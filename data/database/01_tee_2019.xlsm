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lonnecg\Documents\Github\ThreeME\data\database\"/>
    </mc:Choice>
  </mc:AlternateContent>
  <xr:revisionPtr revIDLastSave="0" documentId="13_ncr:1_{DF58F3CC-A2B8-4A6A-A0C9-072FE52C01DA}" xr6:coauthVersionLast="47" xr6:coauthVersionMax="47" xr10:uidLastSave="{00000000-0000-0000-0000-000000000000}"/>
  <bookViews>
    <workbookView xWindow="20370" yWindow="-120" windowWidth="29040" windowHeight="15840" tabRatio="735" firstSheet="5" activeTab="5" xr2:uid="{00000000-000D-0000-FFFF-FFFF00000000}"/>
  </bookViews>
  <sheets>
    <sheet name="Organisation du TEE" sheetId="25" r:id="rId1"/>
    <sheet name="EA_2006" sheetId="15" r:id="rId2"/>
    <sheet name="RP_2006" sheetId="14" r:id="rId3"/>
    <sheet name="TES17" sheetId="28" r:id="rId4"/>
    <sheet name="CpteMenage_t_7401" sheetId="27" r:id="rId5"/>
    <sheet name="TEE_2019_COMPLET" sheetId="26" r:id="rId6"/>
  </sheets>
  <externalReferences>
    <externalReference r:id="rId7"/>
    <externalReference r:id="rId8"/>
  </externalReferences>
  <definedNames>
    <definedName name="ea_flux">#REF!</definedName>
    <definedName name="Equilibre">#REF!</definedName>
    <definedName name="PIB">#REF!</definedName>
    <definedName name="ressources">#REF!</definedName>
    <definedName name="rpflux">#REF!</definedName>
    <definedName name="rptof">#REF!</definedName>
    <definedName name="solver_adj" localSheetId="2" hidden="1">RP_2006!$U$285</definedName>
    <definedName name="solver_adj" localSheetId="5" hidden="1">TEE_2019_COMPLET!$P$304</definedName>
    <definedName name="solver_cvg" localSheetId="2" hidden="1">0.0001</definedName>
    <definedName name="solver_cvg" localSheetId="5" hidden="1">0.0001</definedName>
    <definedName name="solver_drv" localSheetId="2" hidden="1">1</definedName>
    <definedName name="solver_drv" localSheetId="5" hidden="1">1</definedName>
    <definedName name="solver_est" localSheetId="2" hidden="1">1</definedName>
    <definedName name="solver_est" localSheetId="5" hidden="1">1</definedName>
    <definedName name="solver_itr" localSheetId="2" hidden="1">100</definedName>
    <definedName name="solver_itr" localSheetId="5" hidden="1">100</definedName>
    <definedName name="solver_lin" localSheetId="2" hidden="1">2</definedName>
    <definedName name="solver_lin" localSheetId="5" hidden="1">2</definedName>
    <definedName name="solver_neg" localSheetId="2" hidden="1">2</definedName>
    <definedName name="solver_neg" localSheetId="5" hidden="1">2</definedName>
    <definedName name="solver_num" localSheetId="5" hidden="1">0</definedName>
    <definedName name="solver_nwt" localSheetId="2" hidden="1">1</definedName>
    <definedName name="solver_nwt" localSheetId="5" hidden="1">1</definedName>
    <definedName name="solver_opt" localSheetId="2" hidden="1">RP_2006!$S$285</definedName>
    <definedName name="solver_opt" localSheetId="5" hidden="1">TEE_2019_COMPLET!$P$302</definedName>
    <definedName name="solver_pre" localSheetId="2" hidden="1">0.00000000001</definedName>
    <definedName name="solver_pre" localSheetId="5" hidden="1">0.00000000001</definedName>
    <definedName name="solver_scl" localSheetId="2" hidden="1">0</definedName>
    <definedName name="solver_scl" localSheetId="5" hidden="1">0</definedName>
    <definedName name="solver_sho" localSheetId="2" hidden="1">2</definedName>
    <definedName name="solver_sho" localSheetId="5" hidden="1">2</definedName>
    <definedName name="solver_tim" localSheetId="2" hidden="1">100</definedName>
    <definedName name="solver_tim" localSheetId="5" hidden="1">100</definedName>
    <definedName name="solver_tol" localSheetId="2" hidden="1">0.05</definedName>
    <definedName name="solver_tol" localSheetId="5" hidden="1">0.05</definedName>
    <definedName name="solver_typ" localSheetId="2" hidden="1">3</definedName>
    <definedName name="solver_typ" localSheetId="5" hidden="1">3</definedName>
    <definedName name="solver_val" localSheetId="2" hidden="1">0</definedName>
    <definedName name="solver_val" localSheetId="5" hidden="1">0</definedName>
    <definedName name="_xlnm.Print_Area" localSheetId="1">EA_2006!$A$1:$L$164</definedName>
    <definedName name="_xlnm.Print_Area" localSheetId="2">RP_2006!$A$1:$L$164</definedName>
    <definedName name="_xlnm.Print_Area" localSheetId="5">TEE_2019_COMPLET!$A$1:$Y$168</definedName>
    <definedName name="_xlnm.Print_Area" localSheetId="3">'TES17'!$A$1:$BB$67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0" i="26" l="1"/>
  <c r="M48" i="26"/>
  <c r="M49" i="26"/>
  <c r="G173" i="26"/>
  <c r="AD12" i="26" l="1"/>
  <c r="AD2" i="26" l="1"/>
  <c r="AF12" i="26" l="1"/>
  <c r="AF15" i="26"/>
  <c r="AD10" i="26"/>
  <c r="AM12" i="26" l="1"/>
  <c r="AO3" i="26" l="1"/>
  <c r="AO4" i="26"/>
  <c r="AO5" i="26"/>
  <c r="AE4" i="26"/>
  <c r="AN4" i="26"/>
  <c r="AM33" i="26" s="1"/>
  <c r="AM10" i="26"/>
  <c r="AE8" i="26"/>
  <c r="AN8" i="26" s="1"/>
  <c r="AE9" i="26"/>
  <c r="AN9" i="26" s="1"/>
  <c r="AD17" i="26"/>
  <c r="AM17" i="26" s="1"/>
  <c r="AD18" i="26"/>
  <c r="AM18" i="26" s="1"/>
  <c r="AD19" i="26"/>
  <c r="AM19" i="26" s="1"/>
  <c r="AD3" i="26"/>
  <c r="AM3" i="26" s="1"/>
  <c r="AM4" i="26"/>
  <c r="AM5" i="26"/>
  <c r="AD6" i="26"/>
  <c r="AM6" i="26" s="1"/>
  <c r="AM7" i="26"/>
  <c r="AM8" i="26"/>
  <c r="AM9" i="26"/>
  <c r="AM11" i="26"/>
  <c r="AM13" i="26"/>
  <c r="AM14" i="26"/>
  <c r="AM15" i="26"/>
  <c r="AM16" i="26"/>
  <c r="AM2" i="26"/>
  <c r="AH4" i="26"/>
  <c r="AQ4" i="26" s="1"/>
  <c r="AE5" i="26"/>
  <c r="AN5" i="26"/>
  <c r="AN29" i="26" s="1"/>
  <c r="AH5" i="26"/>
  <c r="AQ5" i="26" s="1"/>
  <c r="AH3" i="26"/>
  <c r="AQ3" i="26" s="1"/>
  <c r="AO12" i="26"/>
  <c r="AG12" i="26"/>
  <c r="AI12" i="26" s="1"/>
  <c r="AJ12" i="26" s="1"/>
  <c r="AP12" i="26"/>
  <c r="AQ12" i="26"/>
  <c r="AF13" i="26"/>
  <c r="AO13" i="26" s="1"/>
  <c r="AG13" i="26"/>
  <c r="AP13" i="26" s="1"/>
  <c r="AQ13" i="26"/>
  <c r="AF14" i="26"/>
  <c r="AO14" i="26"/>
  <c r="AG14" i="26"/>
  <c r="AE14" i="26" s="1"/>
  <c r="AN14" i="26" s="1"/>
  <c r="AQ14" i="26"/>
  <c r="AO15" i="26"/>
  <c r="AG15" i="26"/>
  <c r="AP15" i="26"/>
  <c r="AQ15" i="26"/>
  <c r="AF16" i="26"/>
  <c r="AO16" i="26"/>
  <c r="AG16" i="26"/>
  <c r="AP16" i="26" s="1"/>
  <c r="AR16" i="26" s="1"/>
  <c r="AQ16" i="26"/>
  <c r="AF17" i="26"/>
  <c r="AO17" i="26"/>
  <c r="AG17" i="26"/>
  <c r="AP17" i="26" s="1"/>
  <c r="AQ17" i="26"/>
  <c r="AF18" i="26"/>
  <c r="AG18" i="26"/>
  <c r="AP18" i="26" s="1"/>
  <c r="AH18" i="26"/>
  <c r="AQ18" i="26" s="1"/>
  <c r="AF5" i="26"/>
  <c r="AF29" i="26" s="1"/>
  <c r="AF7" i="26"/>
  <c r="AO7" i="26"/>
  <c r="AG5" i="26"/>
  <c r="AG29" i="26" s="1"/>
  <c r="AG7" i="26"/>
  <c r="AI7" i="26" s="1"/>
  <c r="AJ7" i="26" s="1"/>
  <c r="AH7" i="26"/>
  <c r="AQ7" i="26"/>
  <c r="AE21" i="26"/>
  <c r="AN21" i="26" s="1"/>
  <c r="AM21" i="26"/>
  <c r="AE20" i="26"/>
  <c r="AN20" i="26" s="1"/>
  <c r="AM20" i="26"/>
  <c r="AN19" i="26"/>
  <c r="AN18" i="26"/>
  <c r="AN17" i="26"/>
  <c r="AE15" i="26"/>
  <c r="AN15" i="26" s="1"/>
  <c r="AN12" i="26"/>
  <c r="AN11" i="26"/>
  <c r="AN10" i="26"/>
  <c r="AE7" i="26"/>
  <c r="AN7" i="26" s="1"/>
  <c r="AR6" i="26" s="1"/>
  <c r="AN6" i="26"/>
  <c r="AN3" i="26"/>
  <c r="BA39" i="26"/>
  <c r="G325" i="26" s="1"/>
  <c r="BA159" i="26"/>
  <c r="G312" i="26"/>
  <c r="BA160" i="26"/>
  <c r="G313" i="26"/>
  <c r="AX159" i="26"/>
  <c r="D326" i="26" s="1"/>
  <c r="G175" i="26"/>
  <c r="D185" i="26" s="1"/>
  <c r="D189" i="26"/>
  <c r="D190" i="26"/>
  <c r="D239" i="26" s="1"/>
  <c r="D191" i="26"/>
  <c r="U233" i="26"/>
  <c r="U262" i="26" s="1"/>
  <c r="D268" i="26"/>
  <c r="N179" i="26"/>
  <c r="N184" i="26" s="1"/>
  <c r="N186" i="26" s="1"/>
  <c r="I262" i="26"/>
  <c r="N180" i="26"/>
  <c r="I263" i="26"/>
  <c r="N181" i="26"/>
  <c r="I264" i="26" s="1"/>
  <c r="N182" i="26"/>
  <c r="I265" i="26"/>
  <c r="N183" i="26"/>
  <c r="K183" i="26" s="1"/>
  <c r="U234" i="26"/>
  <c r="U263" i="26"/>
  <c r="U235" i="26"/>
  <c r="U264" i="26"/>
  <c r="U236" i="26"/>
  <c r="U265" i="26" s="1"/>
  <c r="U237" i="26"/>
  <c r="U266" i="26" s="1"/>
  <c r="E288" i="26"/>
  <c r="D175" i="26"/>
  <c r="C185" i="26" s="1"/>
  <c r="C193" i="26" s="1"/>
  <c r="C189" i="26"/>
  <c r="C190" i="26"/>
  <c r="C191" i="26"/>
  <c r="C188" i="26"/>
  <c r="M180" i="26"/>
  <c r="I234" i="26"/>
  <c r="C268" i="26"/>
  <c r="F175" i="26"/>
  <c r="H175" i="26"/>
  <c r="E189" i="26"/>
  <c r="H189" i="26" s="1"/>
  <c r="E190" i="26"/>
  <c r="E191" i="26"/>
  <c r="E268" i="26"/>
  <c r="J175" i="26"/>
  <c r="F185" i="26" s="1"/>
  <c r="F189" i="26"/>
  <c r="F216" i="26" s="1"/>
  <c r="F214" i="26" s="1"/>
  <c r="F215" i="26" s="1"/>
  <c r="F190" i="26"/>
  <c r="H190" i="26" s="1"/>
  <c r="F191" i="26"/>
  <c r="F188" i="26"/>
  <c r="S175" i="26"/>
  <c r="I180" i="26" s="1"/>
  <c r="L180" i="26"/>
  <c r="K180" i="26" s="1"/>
  <c r="M181" i="26"/>
  <c r="R175" i="26"/>
  <c r="T175" i="26"/>
  <c r="I181" i="26"/>
  <c r="L181" i="26"/>
  <c r="C239" i="26"/>
  <c r="E239" i="26"/>
  <c r="P175" i="26"/>
  <c r="I182" i="26" s="1"/>
  <c r="L182" i="26"/>
  <c r="M182" i="26"/>
  <c r="K182" i="26"/>
  <c r="F239" i="26"/>
  <c r="M179" i="26"/>
  <c r="E175" i="26"/>
  <c r="G185" i="26" s="1"/>
  <c r="V175" i="26"/>
  <c r="I179" i="26" s="1"/>
  <c r="L183" i="26"/>
  <c r="M183" i="26"/>
  <c r="U175" i="26"/>
  <c r="I183" i="26"/>
  <c r="T183" i="26" s="1"/>
  <c r="P183" i="26"/>
  <c r="R266" i="26" s="1"/>
  <c r="L179" i="26"/>
  <c r="N175" i="26"/>
  <c r="I184" i="26"/>
  <c r="T184" i="26" s="1"/>
  <c r="G189" i="26"/>
  <c r="G190" i="26"/>
  <c r="G191" i="26"/>
  <c r="G268" i="26" s="1"/>
  <c r="L175" i="26"/>
  <c r="H185" i="26"/>
  <c r="I236" i="26"/>
  <c r="G239" i="26"/>
  <c r="I237" i="26"/>
  <c r="D247" i="26" s="1"/>
  <c r="C247" i="26"/>
  <c r="A244" i="26"/>
  <c r="B244" i="26"/>
  <c r="A245" i="26"/>
  <c r="B245" i="26"/>
  <c r="A246" i="26"/>
  <c r="B246" i="26"/>
  <c r="A247" i="26"/>
  <c r="B247" i="26"/>
  <c r="B243" i="26"/>
  <c r="A243" i="26"/>
  <c r="D242" i="26"/>
  <c r="E242" i="26"/>
  <c r="F242" i="26"/>
  <c r="G242" i="26"/>
  <c r="C242" i="26"/>
  <c r="B191" i="26"/>
  <c r="B250" i="26" s="1"/>
  <c r="A191" i="26"/>
  <c r="A250" i="26" s="1"/>
  <c r="B257" i="26"/>
  <c r="A257" i="26"/>
  <c r="B256" i="26"/>
  <c r="A256" i="26"/>
  <c r="B255" i="26"/>
  <c r="A255" i="26"/>
  <c r="B254" i="26"/>
  <c r="A254" i="26"/>
  <c r="B253" i="26"/>
  <c r="A253" i="26"/>
  <c r="G252" i="26"/>
  <c r="F252" i="26"/>
  <c r="E252" i="26"/>
  <c r="D252" i="26"/>
  <c r="C252" i="26"/>
  <c r="B190" i="26"/>
  <c r="B221" i="26" s="1"/>
  <c r="A190" i="26"/>
  <c r="A221" i="26" s="1"/>
  <c r="B228" i="26"/>
  <c r="A228" i="26"/>
  <c r="B227" i="26"/>
  <c r="A227" i="26"/>
  <c r="B226" i="26"/>
  <c r="A226" i="26"/>
  <c r="B225" i="26"/>
  <c r="A225" i="26"/>
  <c r="B224" i="26"/>
  <c r="A224" i="26"/>
  <c r="G223" i="26"/>
  <c r="F223" i="26"/>
  <c r="E223" i="26"/>
  <c r="D223" i="26"/>
  <c r="C223" i="26"/>
  <c r="I211" i="26"/>
  <c r="G211" i="26" s="1"/>
  <c r="I212" i="26"/>
  <c r="G212" i="26" s="1"/>
  <c r="I213" i="26"/>
  <c r="G213" i="26"/>
  <c r="I214" i="26"/>
  <c r="D200" i="26"/>
  <c r="E200" i="26"/>
  <c r="F200" i="26"/>
  <c r="G200" i="26"/>
  <c r="C200" i="26"/>
  <c r="B201" i="26"/>
  <c r="B202" i="26"/>
  <c r="B203" i="26"/>
  <c r="B204" i="26"/>
  <c r="B205" i="26"/>
  <c r="A202" i="26"/>
  <c r="A203" i="26"/>
  <c r="A204" i="26"/>
  <c r="A205" i="26"/>
  <c r="A201" i="26"/>
  <c r="D215" i="26"/>
  <c r="M215" i="26" a="1"/>
  <c r="M215" i="26" s="1"/>
  <c r="C215" i="26"/>
  <c r="L215" i="26" s="1" a="1"/>
  <c r="L215" i="26" s="1"/>
  <c r="D216" i="26"/>
  <c r="D217" i="26"/>
  <c r="C216" i="26"/>
  <c r="C217" i="26"/>
  <c r="A189" i="26"/>
  <c r="A198" i="26" s="1"/>
  <c r="B189" i="26"/>
  <c r="B198" i="26"/>
  <c r="E275" i="26"/>
  <c r="G284" i="26" s="1"/>
  <c r="G282" i="26" s="1"/>
  <c r="G288" i="26"/>
  <c r="J275" i="26"/>
  <c r="F284" i="26" s="1"/>
  <c r="F278" i="26" s="1"/>
  <c r="F283" i="26" s="1"/>
  <c r="F285" i="26" s="1"/>
  <c r="F288" i="26"/>
  <c r="F301" i="26" s="1"/>
  <c r="L278" i="26"/>
  <c r="L279" i="26"/>
  <c r="I296" i="26" s="1"/>
  <c r="L280" i="26"/>
  <c r="L281" i="26"/>
  <c r="L282" i="26"/>
  <c r="L283" i="26"/>
  <c r="L285" i="26" s="1"/>
  <c r="I300" i="26"/>
  <c r="V275" i="26"/>
  <c r="I278" i="26" s="1"/>
  <c r="S275" i="26"/>
  <c r="I279" i="26" s="1"/>
  <c r="C279" i="26" s="1"/>
  <c r="R275" i="26"/>
  <c r="T275" i="26"/>
  <c r="P275" i="26"/>
  <c r="I281" i="26"/>
  <c r="C281" i="26" s="1"/>
  <c r="U275" i="26"/>
  <c r="I282" i="26" s="1"/>
  <c r="C288" i="26"/>
  <c r="E283" i="26"/>
  <c r="AF3" i="26"/>
  <c r="AF4" i="26"/>
  <c r="I297" i="26"/>
  <c r="I298" i="26"/>
  <c r="I299" i="26"/>
  <c r="I295" i="26"/>
  <c r="D295" i="26"/>
  <c r="G295" i="26"/>
  <c r="D296" i="26"/>
  <c r="F296" i="26"/>
  <c r="G296" i="26"/>
  <c r="D297" i="26"/>
  <c r="F297" i="26"/>
  <c r="G297" i="26"/>
  <c r="D298" i="26"/>
  <c r="F298" i="26"/>
  <c r="G298" i="26"/>
  <c r="D299" i="26"/>
  <c r="D300" i="26" s="1"/>
  <c r="F299" i="26"/>
  <c r="B1" i="26"/>
  <c r="C1" i="26"/>
  <c r="D1" i="26" s="1"/>
  <c r="E1" i="26" s="1"/>
  <c r="F1" i="26" s="1"/>
  <c r="G1" i="26"/>
  <c r="H1" i="26"/>
  <c r="I1" i="26" s="1"/>
  <c r="J1" i="26" s="1"/>
  <c r="K1" i="26" s="1"/>
  <c r="L1" i="26" s="1"/>
  <c r="M1" i="26" s="1"/>
  <c r="N1" i="26" s="1"/>
  <c r="O1" i="26" s="1"/>
  <c r="P1" i="26" s="1"/>
  <c r="Q1" i="26" s="1"/>
  <c r="R1" i="26" s="1"/>
  <c r="S1" i="26" s="1"/>
  <c r="T1" i="26" s="1"/>
  <c r="U1" i="26" s="1"/>
  <c r="V1" i="26" s="1"/>
  <c r="W1" i="26" s="1"/>
  <c r="X1" i="26" s="1"/>
  <c r="Y1" i="26" s="1"/>
  <c r="M296" i="26"/>
  <c r="M297" i="26"/>
  <c r="M298" i="26"/>
  <c r="M299" i="26"/>
  <c r="M295" i="26"/>
  <c r="D288" i="26"/>
  <c r="G301" i="26"/>
  <c r="C301" i="26"/>
  <c r="P170" i="26"/>
  <c r="T170" i="26"/>
  <c r="S170" i="26"/>
  <c r="U170" i="26"/>
  <c r="V170" i="26"/>
  <c r="D173" i="26"/>
  <c r="E173" i="26"/>
  <c r="F173" i="26"/>
  <c r="H173" i="26"/>
  <c r="I173" i="26"/>
  <c r="J173" i="26"/>
  <c r="K173" i="26"/>
  <c r="L173" i="26"/>
  <c r="C173" i="26"/>
  <c r="D172" i="26"/>
  <c r="E172" i="26"/>
  <c r="F172" i="26"/>
  <c r="G172" i="26"/>
  <c r="H172" i="26"/>
  <c r="I172" i="26"/>
  <c r="J172" i="26"/>
  <c r="K172" i="26"/>
  <c r="L172" i="26"/>
  <c r="C172" i="26"/>
  <c r="D283" i="26"/>
  <c r="L284" i="26"/>
  <c r="I288" i="26"/>
  <c r="B288" i="26"/>
  <c r="A288" i="26"/>
  <c r="N275" i="26"/>
  <c r="I283" i="26"/>
  <c r="G275" i="26"/>
  <c r="D284" i="26" s="1"/>
  <c r="F275" i="26"/>
  <c r="H275" i="26"/>
  <c r="L275" i="26"/>
  <c r="H284" i="26" s="1"/>
  <c r="D275" i="26"/>
  <c r="C284" i="26" s="1"/>
  <c r="L185" i="26"/>
  <c r="K185" i="26" s="1"/>
  <c r="M185" i="26"/>
  <c r="N185" i="26"/>
  <c r="I189" i="26"/>
  <c r="I190" i="26"/>
  <c r="I191" i="26"/>
  <c r="Y333" i="26"/>
  <c r="AR36" i="28"/>
  <c r="AR37" i="28"/>
  <c r="AS36" i="28"/>
  <c r="AS37" i="28" s="1"/>
  <c r="AR39" i="28" s="1"/>
  <c r="AR40" i="28"/>
  <c r="AT36" i="28"/>
  <c r="AT37" i="28"/>
  <c r="AU36" i="28"/>
  <c r="AU37" i="28" s="1"/>
  <c r="AV36" i="28"/>
  <c r="AV37" i="28" s="1"/>
  <c r="AW36" i="28"/>
  <c r="AW37" i="28" s="1"/>
  <c r="AX39" i="26"/>
  <c r="D316" i="26" s="1"/>
  <c r="AX158" i="26"/>
  <c r="D311" i="26" s="1"/>
  <c r="AX160" i="26"/>
  <c r="D313" i="26"/>
  <c r="AY39" i="26"/>
  <c r="E325" i="26" s="1"/>
  <c r="E316" i="26"/>
  <c r="AY158" i="26"/>
  <c r="E311" i="26"/>
  <c r="AY159" i="26"/>
  <c r="E312" i="26"/>
  <c r="AY160" i="26"/>
  <c r="E313" i="26" s="1"/>
  <c r="AZ39" i="26"/>
  <c r="F316" i="26" s="1"/>
  <c r="F319" i="26" s="1"/>
  <c r="AZ158" i="26"/>
  <c r="AZ159" i="26"/>
  <c r="F312" i="26" s="1"/>
  <c r="AZ160" i="26"/>
  <c r="F313" i="26" s="1"/>
  <c r="BA158" i="26"/>
  <c r="G323" i="26" s="1"/>
  <c r="BB39" i="26"/>
  <c r="H322" i="26" s="1"/>
  <c r="H316" i="26"/>
  <c r="BB158" i="26"/>
  <c r="H311" i="26" s="1"/>
  <c r="BB159" i="26"/>
  <c r="H312" i="26" s="1"/>
  <c r="BB160" i="26"/>
  <c r="H326" i="26" s="1"/>
  <c r="BC39" i="26"/>
  <c r="I325" i="26" s="1"/>
  <c r="BC158" i="26"/>
  <c r="BC159" i="26"/>
  <c r="I326" i="26" s="1"/>
  <c r="I312" i="26"/>
  <c r="BC160" i="26"/>
  <c r="I313" i="26"/>
  <c r="BD39" i="26"/>
  <c r="J316" i="26" s="1"/>
  <c r="J318" i="26" s="1"/>
  <c r="BD158" i="26"/>
  <c r="J323" i="26" s="1"/>
  <c r="J311" i="26"/>
  <c r="BD159" i="26"/>
  <c r="J312" i="26" s="1"/>
  <c r="BD160" i="26"/>
  <c r="J313" i="26"/>
  <c r="BE39" i="26"/>
  <c r="K316" i="26" s="1"/>
  <c r="BE158" i="26"/>
  <c r="K311" i="26"/>
  <c r="BE159" i="26"/>
  <c r="K312" i="26"/>
  <c r="BE160" i="26"/>
  <c r="BF39" i="26"/>
  <c r="L322" i="26" s="1"/>
  <c r="L316" i="26"/>
  <c r="BF158" i="26"/>
  <c r="L311" i="26" s="1"/>
  <c r="BF159" i="26"/>
  <c r="L312" i="26" s="1"/>
  <c r="BF160" i="26"/>
  <c r="L326" i="26" s="1"/>
  <c r="AX40" i="26"/>
  <c r="D317" i="26" s="1"/>
  <c r="D320" i="26" s="1"/>
  <c r="AX161" i="26"/>
  <c r="D314" i="26"/>
  <c r="AY40" i="26"/>
  <c r="E328" i="26" s="1"/>
  <c r="E317" i="26"/>
  <c r="E320" i="26" s="1"/>
  <c r="AY161" i="26"/>
  <c r="E329" i="26" s="1"/>
  <c r="E314" i="26"/>
  <c r="AZ40" i="26"/>
  <c r="F317" i="26" s="1"/>
  <c r="AZ161" i="26"/>
  <c r="F314" i="26" s="1"/>
  <c r="BA40" i="26"/>
  <c r="G317" i="26" s="1"/>
  <c r="BA161" i="26"/>
  <c r="G329" i="26" s="1"/>
  <c r="G314" i="26"/>
  <c r="BB40" i="26"/>
  <c r="H317" i="26"/>
  <c r="BB161" i="26"/>
  <c r="H314" i="26" s="1"/>
  <c r="BC40" i="26"/>
  <c r="I328" i="26" s="1"/>
  <c r="I317" i="26"/>
  <c r="I320" i="26" s="1"/>
  <c r="BC161" i="26"/>
  <c r="I314" i="26"/>
  <c r="BD40" i="26"/>
  <c r="J317" i="26" s="1"/>
  <c r="BD161" i="26"/>
  <c r="J329" i="26" s="1"/>
  <c r="J314" i="26"/>
  <c r="BE40" i="26"/>
  <c r="K317" i="26" s="1"/>
  <c r="K320" i="26" s="1"/>
  <c r="BE161" i="26"/>
  <c r="K314" i="26"/>
  <c r="BF40" i="26"/>
  <c r="L317" i="26"/>
  <c r="BF161" i="26"/>
  <c r="L329" i="26" s="1"/>
  <c r="AW40" i="26"/>
  <c r="C317" i="26"/>
  <c r="AW161" i="26"/>
  <c r="C314" i="26" s="1"/>
  <c r="AW39" i="26"/>
  <c r="C325" i="26" s="1"/>
  <c r="AW159" i="26"/>
  <c r="C312" i="26"/>
  <c r="AW160" i="26"/>
  <c r="C313" i="26" s="1"/>
  <c r="AW158" i="26"/>
  <c r="C323" i="26" s="1"/>
  <c r="C311" i="26"/>
  <c r="A316" i="26"/>
  <c r="A317" i="26"/>
  <c r="B317" i="26"/>
  <c r="B316" i="26"/>
  <c r="L328" i="26"/>
  <c r="K328" i="26"/>
  <c r="K329" i="26"/>
  <c r="J328" i="26"/>
  <c r="I329" i="26"/>
  <c r="H328" i="26"/>
  <c r="F329" i="26"/>
  <c r="D328" i="26"/>
  <c r="D329" i="26"/>
  <c r="D330" i="26" s="1"/>
  <c r="C328" i="26"/>
  <c r="C329" i="26"/>
  <c r="D325" i="26"/>
  <c r="F325" i="26"/>
  <c r="F326" i="26"/>
  <c r="F327" i="26" s="1"/>
  <c r="G326" i="26"/>
  <c r="J326" i="26"/>
  <c r="K325" i="26"/>
  <c r="L325" i="26"/>
  <c r="D322" i="26"/>
  <c r="D323" i="26"/>
  <c r="F322" i="26"/>
  <c r="H323" i="26"/>
  <c r="K322" i="26"/>
  <c r="L323" i="26"/>
  <c r="C322" i="26"/>
  <c r="B329" i="26"/>
  <c r="B326" i="26"/>
  <c r="B323" i="26"/>
  <c r="A311" i="26"/>
  <c r="B311" i="26"/>
  <c r="BH166" i="26"/>
  <c r="BG166" i="26"/>
  <c r="BH165" i="26"/>
  <c r="BG165" i="26"/>
  <c r="BH164" i="26"/>
  <c r="BG164" i="26"/>
  <c r="BH163" i="26"/>
  <c r="BG163" i="26"/>
  <c r="BH162" i="26"/>
  <c r="BG162" i="26"/>
  <c r="BH161" i="26"/>
  <c r="BG161" i="26"/>
  <c r="BH160" i="26"/>
  <c r="BG160" i="26"/>
  <c r="BH159" i="26"/>
  <c r="BG159" i="26"/>
  <c r="BH158" i="26"/>
  <c r="BG158" i="26"/>
  <c r="BH157" i="26"/>
  <c r="BG157" i="26"/>
  <c r="BH156" i="26"/>
  <c r="BG156" i="26"/>
  <c r="BH155" i="26"/>
  <c r="BG155" i="26"/>
  <c r="BH154" i="26"/>
  <c r="BG154" i="26"/>
  <c r="BH153" i="26"/>
  <c r="BG153" i="26"/>
  <c r="BH152" i="26"/>
  <c r="BG152" i="26"/>
  <c r="BH151" i="26"/>
  <c r="BG151" i="26"/>
  <c r="BH150" i="26"/>
  <c r="BG150" i="26"/>
  <c r="BH149" i="26"/>
  <c r="BG149" i="26"/>
  <c r="BH148" i="26"/>
  <c r="BG148" i="26"/>
  <c r="BH147" i="26"/>
  <c r="BG147" i="26"/>
  <c r="BH146" i="26"/>
  <c r="BG146" i="26"/>
  <c r="BH145" i="26"/>
  <c r="BG145" i="26"/>
  <c r="BH144" i="26"/>
  <c r="BG144" i="26"/>
  <c r="BH143" i="26"/>
  <c r="BG143" i="26"/>
  <c r="BH142" i="26"/>
  <c r="BG142" i="26"/>
  <c r="BH141" i="26"/>
  <c r="BG141" i="26"/>
  <c r="BH140" i="26"/>
  <c r="BG140" i="26"/>
  <c r="BH139" i="26"/>
  <c r="BG139" i="26"/>
  <c r="BH138" i="26"/>
  <c r="BG138" i="26"/>
  <c r="BH137" i="26"/>
  <c r="BG137" i="26"/>
  <c r="BH136" i="26"/>
  <c r="BG136" i="26"/>
  <c r="BH135" i="26"/>
  <c r="BG135" i="26"/>
  <c r="BH134" i="26"/>
  <c r="BG134" i="26"/>
  <c r="BH133" i="26"/>
  <c r="BG133" i="26"/>
  <c r="BH132" i="26"/>
  <c r="BG132" i="26"/>
  <c r="BH131" i="26"/>
  <c r="BG131" i="26"/>
  <c r="BH130" i="26"/>
  <c r="BG130" i="26"/>
  <c r="BH129" i="26"/>
  <c r="BG129" i="26"/>
  <c r="BH128" i="26"/>
  <c r="BG128" i="26"/>
  <c r="BH127" i="26"/>
  <c r="BG127" i="26"/>
  <c r="BH126" i="26"/>
  <c r="BG126" i="26"/>
  <c r="BH125" i="26"/>
  <c r="BG125" i="26"/>
  <c r="BH124" i="26"/>
  <c r="BG124" i="26"/>
  <c r="BH123" i="26"/>
  <c r="BG123" i="26"/>
  <c r="BH122" i="26"/>
  <c r="BG122" i="26"/>
  <c r="BH121" i="26"/>
  <c r="BG121" i="26"/>
  <c r="BH120" i="26"/>
  <c r="BG120" i="26"/>
  <c r="BH119" i="26"/>
  <c r="BG119" i="26"/>
  <c r="BH118" i="26"/>
  <c r="BG118" i="26"/>
  <c r="BH117" i="26"/>
  <c r="BG117" i="26"/>
  <c r="BH116" i="26"/>
  <c r="BG116" i="26"/>
  <c r="BH115" i="26"/>
  <c r="BG115" i="26"/>
  <c r="BH114" i="26"/>
  <c r="BG114" i="26"/>
  <c r="BH113" i="26"/>
  <c r="BG113" i="26"/>
  <c r="BH112" i="26"/>
  <c r="BG112" i="26"/>
  <c r="BH111" i="26"/>
  <c r="BG111" i="26"/>
  <c r="BH110" i="26"/>
  <c r="BG110" i="26"/>
  <c r="BH109" i="26"/>
  <c r="BG109" i="26"/>
  <c r="BH108" i="26"/>
  <c r="BG108" i="26"/>
  <c r="BH107" i="26"/>
  <c r="BG107" i="26"/>
  <c r="BH106" i="26"/>
  <c r="BG106" i="26"/>
  <c r="BH105" i="26"/>
  <c r="BG105" i="26"/>
  <c r="BH104" i="26"/>
  <c r="BG104" i="26"/>
  <c r="BH103" i="26"/>
  <c r="BG103" i="26"/>
  <c r="BH102" i="26"/>
  <c r="BG102" i="26"/>
  <c r="BH101" i="26"/>
  <c r="BG101" i="26"/>
  <c r="BH100" i="26"/>
  <c r="BG100" i="26"/>
  <c r="BH99" i="26"/>
  <c r="BG99" i="26"/>
  <c r="BH98" i="26"/>
  <c r="BG98" i="26"/>
  <c r="BH97" i="26"/>
  <c r="BG97" i="26"/>
  <c r="BH96" i="26"/>
  <c r="BG96" i="26"/>
  <c r="BH95" i="26"/>
  <c r="BG95" i="26"/>
  <c r="BH94" i="26"/>
  <c r="BG94" i="26"/>
  <c r="BH93" i="26"/>
  <c r="BG93" i="26"/>
  <c r="BH92" i="26"/>
  <c r="BG92" i="26"/>
  <c r="BH91" i="26"/>
  <c r="BG91" i="26"/>
  <c r="BH90" i="26"/>
  <c r="BG90" i="26"/>
  <c r="BH89" i="26"/>
  <c r="BG89" i="26"/>
  <c r="BH88" i="26"/>
  <c r="BG88" i="26"/>
  <c r="BH87" i="26"/>
  <c r="BG87" i="26"/>
  <c r="BH86" i="26"/>
  <c r="BG86" i="26"/>
  <c r="BH85" i="26"/>
  <c r="BG85" i="26"/>
  <c r="BH84" i="26"/>
  <c r="BG84" i="26"/>
  <c r="BH83" i="26"/>
  <c r="BG83" i="26"/>
  <c r="BH82" i="26"/>
  <c r="BG82" i="26"/>
  <c r="BH81" i="26"/>
  <c r="BG81" i="26"/>
  <c r="BH80" i="26"/>
  <c r="BG80" i="26"/>
  <c r="BH79" i="26"/>
  <c r="BG79" i="26"/>
  <c r="BH78" i="26"/>
  <c r="BG78" i="26"/>
  <c r="BH77" i="26"/>
  <c r="BG77" i="26"/>
  <c r="BH76" i="26"/>
  <c r="BG76" i="26"/>
  <c r="BH75" i="26"/>
  <c r="BG75" i="26"/>
  <c r="BH74" i="26"/>
  <c r="BG74" i="26"/>
  <c r="BH73" i="26"/>
  <c r="BG73" i="26"/>
  <c r="BH72" i="26"/>
  <c r="BG72" i="26"/>
  <c r="BH71" i="26"/>
  <c r="BG71" i="26"/>
  <c r="BH70" i="26"/>
  <c r="BG70" i="26"/>
  <c r="BH69" i="26"/>
  <c r="BG69" i="26"/>
  <c r="BH68" i="26"/>
  <c r="BG68" i="26"/>
  <c r="BH67" i="26"/>
  <c r="BG67" i="26"/>
  <c r="BH66" i="26"/>
  <c r="BG66" i="26"/>
  <c r="BH65" i="26"/>
  <c r="BG65" i="26"/>
  <c r="BH64" i="26"/>
  <c r="BG64" i="26"/>
  <c r="BH63" i="26"/>
  <c r="BG63" i="26"/>
  <c r="BH62" i="26"/>
  <c r="BG62" i="26"/>
  <c r="BH61" i="26"/>
  <c r="BG61" i="26"/>
  <c r="BH60" i="26"/>
  <c r="BG60" i="26"/>
  <c r="BH59" i="26"/>
  <c r="BG59" i="26"/>
  <c r="BH58" i="26"/>
  <c r="BG58" i="26"/>
  <c r="BH57" i="26"/>
  <c r="BG57" i="26"/>
  <c r="BH56" i="26"/>
  <c r="BG56" i="26"/>
  <c r="BH55" i="26"/>
  <c r="BG55" i="26"/>
  <c r="BH54" i="26"/>
  <c r="BG54" i="26"/>
  <c r="BH53" i="26"/>
  <c r="BG53" i="26"/>
  <c r="BH52" i="26"/>
  <c r="BG52" i="26"/>
  <c r="BH51" i="26"/>
  <c r="BG51" i="26"/>
  <c r="BH50" i="26"/>
  <c r="BG50" i="26"/>
  <c r="BH49" i="26"/>
  <c r="BG49" i="26"/>
  <c r="BH48" i="26"/>
  <c r="BG48" i="26"/>
  <c r="BH47" i="26"/>
  <c r="BG47" i="26"/>
  <c r="BH46" i="26"/>
  <c r="BG46" i="26"/>
  <c r="BH45" i="26"/>
  <c r="BG45" i="26"/>
  <c r="BH44" i="26"/>
  <c r="BG44" i="26"/>
  <c r="BH43" i="26"/>
  <c r="BG43" i="26"/>
  <c r="BH42" i="26"/>
  <c r="BG42" i="26"/>
  <c r="BH41" i="26"/>
  <c r="BG41" i="26"/>
  <c r="BH40" i="26"/>
  <c r="BG40" i="26"/>
  <c r="BH39" i="26"/>
  <c r="BG39" i="26"/>
  <c r="BH38" i="26"/>
  <c r="BG38" i="26"/>
  <c r="BH37" i="26"/>
  <c r="BG37" i="26"/>
  <c r="BH36" i="26"/>
  <c r="BG36" i="26"/>
  <c r="BH35" i="26"/>
  <c r="BG35" i="26"/>
  <c r="BH34" i="26"/>
  <c r="BG34" i="26"/>
  <c r="BH33" i="26"/>
  <c r="BG33" i="26"/>
  <c r="BH32" i="26"/>
  <c r="BG32" i="26"/>
  <c r="BH31" i="26"/>
  <c r="BG31" i="26"/>
  <c r="BH30" i="26"/>
  <c r="BG30" i="26"/>
  <c r="BH29" i="26"/>
  <c r="BG29" i="26"/>
  <c r="BH28" i="26"/>
  <c r="BG28" i="26"/>
  <c r="BH27" i="26"/>
  <c r="BG27" i="26"/>
  <c r="BH26" i="26"/>
  <c r="BG26" i="26"/>
  <c r="BH25" i="26"/>
  <c r="BG25" i="26"/>
  <c r="BH24" i="26"/>
  <c r="BG24" i="26"/>
  <c r="BH23" i="26"/>
  <c r="BG23" i="26"/>
  <c r="BH22" i="26"/>
  <c r="BG22" i="26"/>
  <c r="BH21" i="26"/>
  <c r="BG21" i="26"/>
  <c r="BH20" i="26"/>
  <c r="BG20" i="26"/>
  <c r="BH19" i="26"/>
  <c r="BG19" i="26"/>
  <c r="BH18" i="26"/>
  <c r="BG18" i="26"/>
  <c r="BH17" i="26"/>
  <c r="BG17" i="26"/>
  <c r="BH16" i="26"/>
  <c r="BG16" i="26"/>
  <c r="BH15" i="26"/>
  <c r="BG15" i="26"/>
  <c r="BH14" i="26"/>
  <c r="BG14" i="26"/>
  <c r="BH13" i="26"/>
  <c r="BG13" i="26"/>
  <c r="BH12" i="26"/>
  <c r="BG12" i="26"/>
  <c r="BH11" i="26"/>
  <c r="BG11" i="26"/>
  <c r="BH10" i="26"/>
  <c r="BG10" i="26"/>
  <c r="BH9" i="26"/>
  <c r="BG9" i="26"/>
  <c r="BH8" i="26"/>
  <c r="BG8" i="26"/>
  <c r="BH7" i="26"/>
  <c r="BG7" i="26"/>
  <c r="BH6" i="26"/>
  <c r="BG6" i="26"/>
  <c r="BF166" i="26"/>
  <c r="BE166" i="26"/>
  <c r="BD166" i="26"/>
  <c r="BC166" i="26"/>
  <c r="BB166" i="26"/>
  <c r="BA166" i="26"/>
  <c r="AZ166" i="26"/>
  <c r="AY166" i="26"/>
  <c r="AX166" i="26"/>
  <c r="AW166" i="26"/>
  <c r="BF165" i="26"/>
  <c r="BE165" i="26"/>
  <c r="BD165" i="26"/>
  <c r="BC165" i="26"/>
  <c r="BB165" i="26"/>
  <c r="BA165" i="26"/>
  <c r="AZ165" i="26"/>
  <c r="AY165" i="26"/>
  <c r="AX165" i="26"/>
  <c r="AW165" i="26"/>
  <c r="BF164" i="26"/>
  <c r="BE164" i="26"/>
  <c r="BD164" i="26"/>
  <c r="BC164" i="26"/>
  <c r="BB164" i="26"/>
  <c r="BA164" i="26"/>
  <c r="AZ164" i="26"/>
  <c r="AY164" i="26"/>
  <c r="AX164" i="26"/>
  <c r="AW164" i="26"/>
  <c r="BF163" i="26"/>
  <c r="BE163" i="26"/>
  <c r="BD163" i="26"/>
  <c r="BC163" i="26"/>
  <c r="BB163" i="26"/>
  <c r="BA163" i="26"/>
  <c r="AZ163" i="26"/>
  <c r="AY163" i="26"/>
  <c r="AX163" i="26"/>
  <c r="AW163" i="26"/>
  <c r="BF162" i="26"/>
  <c r="BE162" i="26"/>
  <c r="BD162" i="26"/>
  <c r="BC162" i="26"/>
  <c r="BB162" i="26"/>
  <c r="BA162" i="26"/>
  <c r="AZ162" i="26"/>
  <c r="AY162" i="26"/>
  <c r="AX162" i="26"/>
  <c r="AW162" i="26"/>
  <c r="BF157" i="26"/>
  <c r="BE157" i="26"/>
  <c r="BD157" i="26"/>
  <c r="BC157" i="26"/>
  <c r="BB157" i="26"/>
  <c r="BA157" i="26"/>
  <c r="AZ157" i="26"/>
  <c r="AY157" i="26"/>
  <c r="AX157" i="26"/>
  <c r="AW157" i="26"/>
  <c r="BF156" i="26"/>
  <c r="BE156" i="26"/>
  <c r="BD156" i="26"/>
  <c r="BC156" i="26"/>
  <c r="BB156" i="26"/>
  <c r="BA156" i="26"/>
  <c r="AZ156" i="26"/>
  <c r="AY156" i="26"/>
  <c r="AX156" i="26"/>
  <c r="AW156" i="26"/>
  <c r="BF155" i="26"/>
  <c r="BE155" i="26"/>
  <c r="BD155" i="26"/>
  <c r="BC155" i="26"/>
  <c r="BB155" i="26"/>
  <c r="BA155" i="26"/>
  <c r="AZ155" i="26"/>
  <c r="AY155" i="26"/>
  <c r="AX155" i="26"/>
  <c r="AW155" i="26"/>
  <c r="BF154" i="26"/>
  <c r="BE154" i="26"/>
  <c r="BD154" i="26"/>
  <c r="BC154" i="26"/>
  <c r="BB154" i="26"/>
  <c r="BA154" i="26"/>
  <c r="AZ154" i="26"/>
  <c r="AY154" i="26"/>
  <c r="AX154" i="26"/>
  <c r="AW154" i="26"/>
  <c r="BF153" i="26"/>
  <c r="BE153" i="26"/>
  <c r="BD153" i="26"/>
  <c r="BC153" i="26"/>
  <c r="BB153" i="26"/>
  <c r="BA153" i="26"/>
  <c r="AZ153" i="26"/>
  <c r="AY153" i="26"/>
  <c r="AX153" i="26"/>
  <c r="AW153" i="26"/>
  <c r="BF152" i="26"/>
  <c r="BE152" i="26"/>
  <c r="BD152" i="26"/>
  <c r="BC152" i="26"/>
  <c r="BB152" i="26"/>
  <c r="BA152" i="26"/>
  <c r="AZ152" i="26"/>
  <c r="AY152" i="26"/>
  <c r="AX152" i="26"/>
  <c r="AW152" i="26"/>
  <c r="BF151" i="26"/>
  <c r="BE151" i="26"/>
  <c r="BD151" i="26"/>
  <c r="BC151" i="26"/>
  <c r="BB151" i="26"/>
  <c r="BA151" i="26"/>
  <c r="AZ151" i="26"/>
  <c r="AY151" i="26"/>
  <c r="AX151" i="26"/>
  <c r="AW151" i="26"/>
  <c r="BF150" i="26"/>
  <c r="BE150" i="26"/>
  <c r="BD150" i="26"/>
  <c r="BC150" i="26"/>
  <c r="BB150" i="26"/>
  <c r="BA150" i="26"/>
  <c r="AZ150" i="26"/>
  <c r="AY150" i="26"/>
  <c r="AX150" i="26"/>
  <c r="AW150" i="26"/>
  <c r="BF149" i="26"/>
  <c r="BE149" i="26"/>
  <c r="BD149" i="26"/>
  <c r="BC149" i="26"/>
  <c r="BB149" i="26"/>
  <c r="BA149" i="26"/>
  <c r="AZ149" i="26"/>
  <c r="AY149" i="26"/>
  <c r="AX149" i="26"/>
  <c r="AW149" i="26"/>
  <c r="BF148" i="26"/>
  <c r="BE148" i="26"/>
  <c r="BD148" i="26"/>
  <c r="BC148" i="26"/>
  <c r="BB148" i="26"/>
  <c r="BA148" i="26"/>
  <c r="AZ148" i="26"/>
  <c r="AY148" i="26"/>
  <c r="AX148" i="26"/>
  <c r="AW148" i="26"/>
  <c r="BF147" i="26"/>
  <c r="BE147" i="26"/>
  <c r="BD147" i="26"/>
  <c r="BC147" i="26"/>
  <c r="BB147" i="26"/>
  <c r="BA147" i="26"/>
  <c r="AZ147" i="26"/>
  <c r="AY147" i="26"/>
  <c r="AX147" i="26"/>
  <c r="AW147" i="26"/>
  <c r="BF146" i="26"/>
  <c r="BE146" i="26"/>
  <c r="BD146" i="26"/>
  <c r="BC146" i="26"/>
  <c r="BB146" i="26"/>
  <c r="BA146" i="26"/>
  <c r="AZ146" i="26"/>
  <c r="AY146" i="26"/>
  <c r="AX146" i="26"/>
  <c r="AW146" i="26"/>
  <c r="BF145" i="26"/>
  <c r="BE145" i="26"/>
  <c r="BD145" i="26"/>
  <c r="BC145" i="26"/>
  <c r="BB145" i="26"/>
  <c r="BA145" i="26"/>
  <c r="AZ145" i="26"/>
  <c r="AY145" i="26"/>
  <c r="AX145" i="26"/>
  <c r="AW145" i="26"/>
  <c r="BF144" i="26"/>
  <c r="BE144" i="26"/>
  <c r="BD144" i="26"/>
  <c r="BC144" i="26"/>
  <c r="BB144" i="26"/>
  <c r="BA144" i="26"/>
  <c r="AZ144" i="26"/>
  <c r="AY144" i="26"/>
  <c r="AX144" i="26"/>
  <c r="AW144" i="26"/>
  <c r="BF143" i="26"/>
  <c r="BE143" i="26"/>
  <c r="BD143" i="26"/>
  <c r="BC143" i="26"/>
  <c r="BB143" i="26"/>
  <c r="BA143" i="26"/>
  <c r="AZ143" i="26"/>
  <c r="AY143" i="26"/>
  <c r="AX143" i="26"/>
  <c r="AW143" i="26"/>
  <c r="BF142" i="26"/>
  <c r="BE142" i="26"/>
  <c r="BD142" i="26"/>
  <c r="BC142" i="26"/>
  <c r="BB142" i="26"/>
  <c r="BA142" i="26"/>
  <c r="AZ142" i="26"/>
  <c r="AY142" i="26"/>
  <c r="AX142" i="26"/>
  <c r="AW142" i="26"/>
  <c r="BF141" i="26"/>
  <c r="BE141" i="26"/>
  <c r="BD141" i="26"/>
  <c r="BC141" i="26"/>
  <c r="BB141" i="26"/>
  <c r="BA141" i="26"/>
  <c r="AZ141" i="26"/>
  <c r="AY141" i="26"/>
  <c r="AX141" i="26"/>
  <c r="AW141" i="26"/>
  <c r="BF140" i="26"/>
  <c r="BE140" i="26"/>
  <c r="BD140" i="26"/>
  <c r="BC140" i="26"/>
  <c r="BB140" i="26"/>
  <c r="BA140" i="26"/>
  <c r="AZ140" i="26"/>
  <c r="AY140" i="26"/>
  <c r="AX140" i="26"/>
  <c r="AW140" i="26"/>
  <c r="BF139" i="26"/>
  <c r="BE139" i="26"/>
  <c r="BD139" i="26"/>
  <c r="BC139" i="26"/>
  <c r="BB139" i="26"/>
  <c r="BA139" i="26"/>
  <c r="AZ139" i="26"/>
  <c r="AY139" i="26"/>
  <c r="AX139" i="26"/>
  <c r="AW139" i="26"/>
  <c r="BF138" i="26"/>
  <c r="BE138" i="26"/>
  <c r="BD138" i="26"/>
  <c r="BC138" i="26"/>
  <c r="BB138" i="26"/>
  <c r="BA138" i="26"/>
  <c r="AZ138" i="26"/>
  <c r="AY138" i="26"/>
  <c r="AX138" i="26"/>
  <c r="AW138" i="26"/>
  <c r="BF137" i="26"/>
  <c r="BE137" i="26"/>
  <c r="BD137" i="26"/>
  <c r="BC137" i="26"/>
  <c r="BB137" i="26"/>
  <c r="BA137" i="26"/>
  <c r="AZ137" i="26"/>
  <c r="AY137" i="26"/>
  <c r="AX137" i="26"/>
  <c r="AW137" i="26"/>
  <c r="BF136" i="26"/>
  <c r="BE136" i="26"/>
  <c r="BD136" i="26"/>
  <c r="BC136" i="26"/>
  <c r="BB136" i="26"/>
  <c r="BA136" i="26"/>
  <c r="AZ136" i="26"/>
  <c r="AY136" i="26"/>
  <c r="AX136" i="26"/>
  <c r="AW136" i="26"/>
  <c r="BF135" i="26"/>
  <c r="BE135" i="26"/>
  <c r="BD135" i="26"/>
  <c r="BC135" i="26"/>
  <c r="BB135" i="26"/>
  <c r="BA135" i="26"/>
  <c r="AZ135" i="26"/>
  <c r="AY135" i="26"/>
  <c r="AX135" i="26"/>
  <c r="AW135" i="26"/>
  <c r="BF134" i="26"/>
  <c r="BE134" i="26"/>
  <c r="BD134" i="26"/>
  <c r="BC134" i="26"/>
  <c r="BB134" i="26"/>
  <c r="BA134" i="26"/>
  <c r="AZ134" i="26"/>
  <c r="AY134" i="26"/>
  <c r="AX134" i="26"/>
  <c r="AW134" i="26"/>
  <c r="BF133" i="26"/>
  <c r="BE133" i="26"/>
  <c r="BD133" i="26"/>
  <c r="BC133" i="26"/>
  <c r="BB133" i="26"/>
  <c r="BA133" i="26"/>
  <c r="AZ133" i="26"/>
  <c r="AY133" i="26"/>
  <c r="AX133" i="26"/>
  <c r="AW133" i="26"/>
  <c r="BF132" i="26"/>
  <c r="BE132" i="26"/>
  <c r="BD132" i="26"/>
  <c r="BC132" i="26"/>
  <c r="BB132" i="26"/>
  <c r="BA132" i="26"/>
  <c r="AZ132" i="26"/>
  <c r="AY132" i="26"/>
  <c r="AX132" i="26"/>
  <c r="AW132" i="26"/>
  <c r="BF131" i="26"/>
  <c r="BE131" i="26"/>
  <c r="BD131" i="26"/>
  <c r="BC131" i="26"/>
  <c r="BB131" i="26"/>
  <c r="BA131" i="26"/>
  <c r="AZ131" i="26"/>
  <c r="AY131" i="26"/>
  <c r="AX131" i="26"/>
  <c r="AW131" i="26"/>
  <c r="BF130" i="26"/>
  <c r="BE130" i="26"/>
  <c r="BD130" i="26"/>
  <c r="BC130" i="26"/>
  <c r="BB130" i="26"/>
  <c r="BA130" i="26"/>
  <c r="AZ130" i="26"/>
  <c r="AY130" i="26"/>
  <c r="AX130" i="26"/>
  <c r="AW130" i="26"/>
  <c r="BF129" i="26"/>
  <c r="BE129" i="26"/>
  <c r="BD129" i="26"/>
  <c r="BC129" i="26"/>
  <c r="BB129" i="26"/>
  <c r="BA129" i="26"/>
  <c r="AZ129" i="26"/>
  <c r="AY129" i="26"/>
  <c r="AX129" i="26"/>
  <c r="AW129" i="26"/>
  <c r="BF128" i="26"/>
  <c r="BE128" i="26"/>
  <c r="BD128" i="26"/>
  <c r="BC128" i="26"/>
  <c r="BB128" i="26"/>
  <c r="BA128" i="26"/>
  <c r="AZ128" i="26"/>
  <c r="AY128" i="26"/>
  <c r="AX128" i="26"/>
  <c r="AW128" i="26"/>
  <c r="BF127" i="26"/>
  <c r="BE127" i="26"/>
  <c r="BD127" i="26"/>
  <c r="BC127" i="26"/>
  <c r="BB127" i="26"/>
  <c r="BA127" i="26"/>
  <c r="AZ127" i="26"/>
  <c r="AY127" i="26"/>
  <c r="AX127" i="26"/>
  <c r="AW127" i="26"/>
  <c r="BF126" i="26"/>
  <c r="BE126" i="26"/>
  <c r="BD126" i="26"/>
  <c r="BC126" i="26"/>
  <c r="BB126" i="26"/>
  <c r="BA126" i="26"/>
  <c r="AZ126" i="26"/>
  <c r="AY126" i="26"/>
  <c r="AX126" i="26"/>
  <c r="AW126" i="26"/>
  <c r="BF125" i="26"/>
  <c r="BE125" i="26"/>
  <c r="BD125" i="26"/>
  <c r="BC125" i="26"/>
  <c r="BB125" i="26"/>
  <c r="BA125" i="26"/>
  <c r="AZ125" i="26"/>
  <c r="AY125" i="26"/>
  <c r="AX125" i="26"/>
  <c r="AW125" i="26"/>
  <c r="BF124" i="26"/>
  <c r="BE124" i="26"/>
  <c r="BD124" i="26"/>
  <c r="BC124" i="26"/>
  <c r="BB124" i="26"/>
  <c r="BA124" i="26"/>
  <c r="AZ124" i="26"/>
  <c r="AY124" i="26"/>
  <c r="AX124" i="26"/>
  <c r="AW124" i="26"/>
  <c r="BF123" i="26"/>
  <c r="BE123" i="26"/>
  <c r="BD123" i="26"/>
  <c r="BC123" i="26"/>
  <c r="BB123" i="26"/>
  <c r="BA123" i="26"/>
  <c r="AZ123" i="26"/>
  <c r="AY123" i="26"/>
  <c r="AX123" i="26"/>
  <c r="AW123" i="26"/>
  <c r="BF122" i="26"/>
  <c r="BE122" i="26"/>
  <c r="BD122" i="26"/>
  <c r="BC122" i="26"/>
  <c r="BB122" i="26"/>
  <c r="BA122" i="26"/>
  <c r="AZ122" i="26"/>
  <c r="AY122" i="26"/>
  <c r="AX122" i="26"/>
  <c r="AW122" i="26"/>
  <c r="BF121" i="26"/>
  <c r="BE121" i="26"/>
  <c r="BD121" i="26"/>
  <c r="BC121" i="26"/>
  <c r="BB121" i="26"/>
  <c r="BA121" i="26"/>
  <c r="AZ121" i="26"/>
  <c r="AY121" i="26"/>
  <c r="AX121" i="26"/>
  <c r="AW121" i="26"/>
  <c r="BF120" i="26"/>
  <c r="BE120" i="26"/>
  <c r="BD120" i="26"/>
  <c r="BC120" i="26"/>
  <c r="BB120" i="26"/>
  <c r="BA120" i="26"/>
  <c r="AZ120" i="26"/>
  <c r="AY120" i="26"/>
  <c r="AX120" i="26"/>
  <c r="AW120" i="26"/>
  <c r="BF119" i="26"/>
  <c r="BE119" i="26"/>
  <c r="BD119" i="26"/>
  <c r="BC119" i="26"/>
  <c r="BB119" i="26"/>
  <c r="BA119" i="26"/>
  <c r="AZ119" i="26"/>
  <c r="AY119" i="26"/>
  <c r="AX119" i="26"/>
  <c r="AW119" i="26"/>
  <c r="BF118" i="26"/>
  <c r="BE118" i="26"/>
  <c r="BD118" i="26"/>
  <c r="BC118" i="26"/>
  <c r="BB118" i="26"/>
  <c r="BA118" i="26"/>
  <c r="AZ118" i="26"/>
  <c r="AY118" i="26"/>
  <c r="AX118" i="26"/>
  <c r="AW118" i="26"/>
  <c r="BF117" i="26"/>
  <c r="BE117" i="26"/>
  <c r="BD117" i="26"/>
  <c r="BC117" i="26"/>
  <c r="BB117" i="26"/>
  <c r="BA117" i="26"/>
  <c r="AZ117" i="26"/>
  <c r="AY117" i="26"/>
  <c r="AX117" i="26"/>
  <c r="AW117" i="26"/>
  <c r="BF116" i="26"/>
  <c r="BE116" i="26"/>
  <c r="BD116" i="26"/>
  <c r="BC116" i="26"/>
  <c r="BB116" i="26"/>
  <c r="BA116" i="26"/>
  <c r="AZ116" i="26"/>
  <c r="AY116" i="26"/>
  <c r="AX116" i="26"/>
  <c r="AW116" i="26"/>
  <c r="BF115" i="26"/>
  <c r="BE115" i="26"/>
  <c r="BD115" i="26"/>
  <c r="BC115" i="26"/>
  <c r="BB115" i="26"/>
  <c r="BA115" i="26"/>
  <c r="AZ115" i="26"/>
  <c r="AY115" i="26"/>
  <c r="AX115" i="26"/>
  <c r="AW115" i="26"/>
  <c r="BF114" i="26"/>
  <c r="BE114" i="26"/>
  <c r="BD114" i="26"/>
  <c r="BC114" i="26"/>
  <c r="BB114" i="26"/>
  <c r="BA114" i="26"/>
  <c r="AZ114" i="26"/>
  <c r="AY114" i="26"/>
  <c r="AX114" i="26"/>
  <c r="AW114" i="26"/>
  <c r="BF113" i="26"/>
  <c r="BE113" i="26"/>
  <c r="BD113" i="26"/>
  <c r="BC113" i="26"/>
  <c r="BB113" i="26"/>
  <c r="BA113" i="26"/>
  <c r="AZ113" i="26"/>
  <c r="AY113" i="26"/>
  <c r="AX113" i="26"/>
  <c r="AW113" i="26"/>
  <c r="BF112" i="26"/>
  <c r="BE112" i="26"/>
  <c r="BD112" i="26"/>
  <c r="BC112" i="26"/>
  <c r="BB112" i="26"/>
  <c r="BA112" i="26"/>
  <c r="AZ112" i="26"/>
  <c r="AY112" i="26"/>
  <c r="AX112" i="26"/>
  <c r="AW112" i="26"/>
  <c r="BF111" i="26"/>
  <c r="BE111" i="26"/>
  <c r="BD111" i="26"/>
  <c r="BC111" i="26"/>
  <c r="BB111" i="26"/>
  <c r="BA111" i="26"/>
  <c r="AZ111" i="26"/>
  <c r="AY111" i="26"/>
  <c r="AX111" i="26"/>
  <c r="AW111" i="26"/>
  <c r="BF110" i="26"/>
  <c r="BE110" i="26"/>
  <c r="BD110" i="26"/>
  <c r="BC110" i="26"/>
  <c r="BB110" i="26"/>
  <c r="BA110" i="26"/>
  <c r="AZ110" i="26"/>
  <c r="AY110" i="26"/>
  <c r="AX110" i="26"/>
  <c r="AW110" i="26"/>
  <c r="BF109" i="26"/>
  <c r="BE109" i="26"/>
  <c r="BD109" i="26"/>
  <c r="BC109" i="26"/>
  <c r="BB109" i="26"/>
  <c r="BA109" i="26"/>
  <c r="AZ109" i="26"/>
  <c r="AY109" i="26"/>
  <c r="AX109" i="26"/>
  <c r="AW109" i="26"/>
  <c r="BF108" i="26"/>
  <c r="BE108" i="26"/>
  <c r="BD108" i="26"/>
  <c r="BC108" i="26"/>
  <c r="BB108" i="26"/>
  <c r="BA108" i="26"/>
  <c r="AZ108" i="26"/>
  <c r="AY108" i="26"/>
  <c r="AX108" i="26"/>
  <c r="AW108" i="26"/>
  <c r="BF107" i="26"/>
  <c r="BE107" i="26"/>
  <c r="BD107" i="26"/>
  <c r="BC107" i="26"/>
  <c r="BB107" i="26"/>
  <c r="BA107" i="26"/>
  <c r="AZ107" i="26"/>
  <c r="AY107" i="26"/>
  <c r="AX107" i="26"/>
  <c r="AW107" i="26"/>
  <c r="BF106" i="26"/>
  <c r="BE106" i="26"/>
  <c r="BD106" i="26"/>
  <c r="BC106" i="26"/>
  <c r="BB106" i="26"/>
  <c r="BA106" i="26"/>
  <c r="AZ106" i="26"/>
  <c r="AY106" i="26"/>
  <c r="AX106" i="26"/>
  <c r="AW106" i="26"/>
  <c r="BF105" i="26"/>
  <c r="BE105" i="26"/>
  <c r="BD105" i="26"/>
  <c r="BC105" i="26"/>
  <c r="BB105" i="26"/>
  <c r="BA105" i="26"/>
  <c r="AZ105" i="26"/>
  <c r="AY105" i="26"/>
  <c r="AX105" i="26"/>
  <c r="AW105" i="26"/>
  <c r="BF104" i="26"/>
  <c r="BE104" i="26"/>
  <c r="BD104" i="26"/>
  <c r="BC104" i="26"/>
  <c r="BB104" i="26"/>
  <c r="BA104" i="26"/>
  <c r="AZ104" i="26"/>
  <c r="AY104" i="26"/>
  <c r="AX104" i="26"/>
  <c r="AW104" i="26"/>
  <c r="BF103" i="26"/>
  <c r="BE103" i="26"/>
  <c r="BD103" i="26"/>
  <c r="BC103" i="26"/>
  <c r="BB103" i="26"/>
  <c r="BA103" i="26"/>
  <c r="AZ103" i="26"/>
  <c r="AY103" i="26"/>
  <c r="AX103" i="26"/>
  <c r="AW103" i="26"/>
  <c r="BF102" i="26"/>
  <c r="BE102" i="26"/>
  <c r="BD102" i="26"/>
  <c r="BC102" i="26"/>
  <c r="BB102" i="26"/>
  <c r="BA102" i="26"/>
  <c r="AZ102" i="26"/>
  <c r="AY102" i="26"/>
  <c r="AX102" i="26"/>
  <c r="AW102" i="26"/>
  <c r="BF101" i="26"/>
  <c r="BE101" i="26"/>
  <c r="BD101" i="26"/>
  <c r="BC101" i="26"/>
  <c r="BB101" i="26"/>
  <c r="BA101" i="26"/>
  <c r="AZ101" i="26"/>
  <c r="AY101" i="26"/>
  <c r="AX101" i="26"/>
  <c r="AW101" i="26"/>
  <c r="BF100" i="26"/>
  <c r="BE100" i="26"/>
  <c r="BD100" i="26"/>
  <c r="BC100" i="26"/>
  <c r="BB100" i="26"/>
  <c r="BA100" i="26"/>
  <c r="AZ100" i="26"/>
  <c r="AY100" i="26"/>
  <c r="AX100" i="26"/>
  <c r="AW100" i="26"/>
  <c r="BF99" i="26"/>
  <c r="BE99" i="26"/>
  <c r="BD99" i="26"/>
  <c r="BC99" i="26"/>
  <c r="BB99" i="26"/>
  <c r="BA99" i="26"/>
  <c r="AZ99" i="26"/>
  <c r="AY99" i="26"/>
  <c r="AX99" i="26"/>
  <c r="AW99" i="26"/>
  <c r="BF98" i="26"/>
  <c r="BE98" i="26"/>
  <c r="BD98" i="26"/>
  <c r="BC98" i="26"/>
  <c r="BB98" i="26"/>
  <c r="BA98" i="26"/>
  <c r="AZ98" i="26"/>
  <c r="AY98" i="26"/>
  <c r="AX98" i="26"/>
  <c r="AW98" i="26"/>
  <c r="BF97" i="26"/>
  <c r="BE97" i="26"/>
  <c r="BD97" i="26"/>
  <c r="BC97" i="26"/>
  <c r="BB97" i="26"/>
  <c r="BA97" i="26"/>
  <c r="AZ97" i="26"/>
  <c r="AY97" i="26"/>
  <c r="AX97" i="26"/>
  <c r="AW97" i="26"/>
  <c r="BF96" i="26"/>
  <c r="BE96" i="26"/>
  <c r="BD96" i="26"/>
  <c r="BC96" i="26"/>
  <c r="BB96" i="26"/>
  <c r="BA96" i="26"/>
  <c r="AZ96" i="26"/>
  <c r="AY96" i="26"/>
  <c r="AX96" i="26"/>
  <c r="AW96" i="26"/>
  <c r="BF95" i="26"/>
  <c r="BE95" i="26"/>
  <c r="BD95" i="26"/>
  <c r="BC95" i="26"/>
  <c r="BB95" i="26"/>
  <c r="BA95" i="26"/>
  <c r="AZ95" i="26"/>
  <c r="AY95" i="26"/>
  <c r="AX95" i="26"/>
  <c r="AW95" i="26"/>
  <c r="BF94" i="26"/>
  <c r="BE94" i="26"/>
  <c r="BD94" i="26"/>
  <c r="BC94" i="26"/>
  <c r="BB94" i="26"/>
  <c r="BA94" i="26"/>
  <c r="AZ94" i="26"/>
  <c r="AY94" i="26"/>
  <c r="AX94" i="26"/>
  <c r="AW94" i="26"/>
  <c r="BF93" i="26"/>
  <c r="BE93" i="26"/>
  <c r="BD93" i="26"/>
  <c r="BC93" i="26"/>
  <c r="BB93" i="26"/>
  <c r="BA93" i="26"/>
  <c r="AZ93" i="26"/>
  <c r="AY93" i="26"/>
  <c r="AX93" i="26"/>
  <c r="AW93" i="26"/>
  <c r="BF92" i="26"/>
  <c r="BE92" i="26"/>
  <c r="BD92" i="26"/>
  <c r="BC92" i="26"/>
  <c r="BB92" i="26"/>
  <c r="BA92" i="26"/>
  <c r="AZ92" i="26"/>
  <c r="AY92" i="26"/>
  <c r="AX92" i="26"/>
  <c r="AW92" i="26"/>
  <c r="BF91" i="26"/>
  <c r="BE91" i="26"/>
  <c r="BD91" i="26"/>
  <c r="BC91" i="26"/>
  <c r="BB91" i="26"/>
  <c r="BA91" i="26"/>
  <c r="AZ91" i="26"/>
  <c r="AY91" i="26"/>
  <c r="AX91" i="26"/>
  <c r="AW91" i="26"/>
  <c r="BF90" i="26"/>
  <c r="BE90" i="26"/>
  <c r="BD90" i="26"/>
  <c r="BC90" i="26"/>
  <c r="BB90" i="26"/>
  <c r="BA90" i="26"/>
  <c r="AZ90" i="26"/>
  <c r="AY90" i="26"/>
  <c r="AX90" i="26"/>
  <c r="AW90" i="26"/>
  <c r="BF89" i="26"/>
  <c r="BE89" i="26"/>
  <c r="BD89" i="26"/>
  <c r="BC89" i="26"/>
  <c r="BB89" i="26"/>
  <c r="BA89" i="26"/>
  <c r="AZ89" i="26"/>
  <c r="AY89" i="26"/>
  <c r="AX89" i="26"/>
  <c r="AW89" i="26"/>
  <c r="BF88" i="26"/>
  <c r="BE88" i="26"/>
  <c r="BD88" i="26"/>
  <c r="BC88" i="26"/>
  <c r="BB88" i="26"/>
  <c r="BA88" i="26"/>
  <c r="AZ88" i="26"/>
  <c r="AY88" i="26"/>
  <c r="AX88" i="26"/>
  <c r="AW88" i="26"/>
  <c r="BF87" i="26"/>
  <c r="BE87" i="26"/>
  <c r="BD87" i="26"/>
  <c r="BC87" i="26"/>
  <c r="BB87" i="26"/>
  <c r="BA87" i="26"/>
  <c r="AZ87" i="26"/>
  <c r="AY87" i="26"/>
  <c r="AX87" i="26"/>
  <c r="AW87" i="26"/>
  <c r="BF86" i="26"/>
  <c r="BE86" i="26"/>
  <c r="BD86" i="26"/>
  <c r="BC86" i="26"/>
  <c r="BB86" i="26"/>
  <c r="BA86" i="26"/>
  <c r="AZ86" i="26"/>
  <c r="AY86" i="26"/>
  <c r="AX86" i="26"/>
  <c r="AW86" i="26"/>
  <c r="BF85" i="26"/>
  <c r="BE85" i="26"/>
  <c r="BD85" i="26"/>
  <c r="BC85" i="26"/>
  <c r="BB85" i="26"/>
  <c r="BA85" i="26"/>
  <c r="AZ85" i="26"/>
  <c r="AY85" i="26"/>
  <c r="AX85" i="26"/>
  <c r="AW85" i="26"/>
  <c r="BF84" i="26"/>
  <c r="BE84" i="26"/>
  <c r="BD84" i="26"/>
  <c r="BC84" i="26"/>
  <c r="BB84" i="26"/>
  <c r="BA84" i="26"/>
  <c r="AZ84" i="26"/>
  <c r="AY84" i="26"/>
  <c r="AX84" i="26"/>
  <c r="AW84" i="26"/>
  <c r="BF83" i="26"/>
  <c r="BE83" i="26"/>
  <c r="BD83" i="26"/>
  <c r="BC83" i="26"/>
  <c r="BB83" i="26"/>
  <c r="BA83" i="26"/>
  <c r="AZ83" i="26"/>
  <c r="AY83" i="26"/>
  <c r="AX83" i="26"/>
  <c r="AW83" i="26"/>
  <c r="BF82" i="26"/>
  <c r="BE82" i="26"/>
  <c r="BD82" i="26"/>
  <c r="BC82" i="26"/>
  <c r="BB82" i="26"/>
  <c r="BA82" i="26"/>
  <c r="AZ82" i="26"/>
  <c r="AY82" i="26"/>
  <c r="AX82" i="26"/>
  <c r="AW82" i="26"/>
  <c r="BF81" i="26"/>
  <c r="BE81" i="26"/>
  <c r="BD81" i="26"/>
  <c r="BC81" i="26"/>
  <c r="BB81" i="26"/>
  <c r="BA81" i="26"/>
  <c r="AZ81" i="26"/>
  <c r="AY81" i="26"/>
  <c r="AX81" i="26"/>
  <c r="AW81" i="26"/>
  <c r="BF80" i="26"/>
  <c r="BE80" i="26"/>
  <c r="BD80" i="26"/>
  <c r="BC80" i="26"/>
  <c r="BB80" i="26"/>
  <c r="BA80" i="26"/>
  <c r="AZ80" i="26"/>
  <c r="AY80" i="26"/>
  <c r="AX80" i="26"/>
  <c r="AW80" i="26"/>
  <c r="BF79" i="26"/>
  <c r="BE79" i="26"/>
  <c r="BD79" i="26"/>
  <c r="BC79" i="26"/>
  <c r="BB79" i="26"/>
  <c r="BA79" i="26"/>
  <c r="AZ79" i="26"/>
  <c r="AY79" i="26"/>
  <c r="AX79" i="26"/>
  <c r="AW79" i="26"/>
  <c r="BF78" i="26"/>
  <c r="BE78" i="26"/>
  <c r="BD78" i="26"/>
  <c r="BC78" i="26"/>
  <c r="BB78" i="26"/>
  <c r="BA78" i="26"/>
  <c r="AZ78" i="26"/>
  <c r="AY78" i="26"/>
  <c r="AX78" i="26"/>
  <c r="AW78" i="26"/>
  <c r="BF77" i="26"/>
  <c r="BE77" i="26"/>
  <c r="BD77" i="26"/>
  <c r="BC77" i="26"/>
  <c r="BB77" i="26"/>
  <c r="BA77" i="26"/>
  <c r="AZ77" i="26"/>
  <c r="AY77" i="26"/>
  <c r="AX77" i="26"/>
  <c r="AW77" i="26"/>
  <c r="BF76" i="26"/>
  <c r="BE76" i="26"/>
  <c r="BD76" i="26"/>
  <c r="BC76" i="26"/>
  <c r="BB76" i="26"/>
  <c r="BA76" i="26"/>
  <c r="AZ76" i="26"/>
  <c r="AY76" i="26"/>
  <c r="AX76" i="26"/>
  <c r="AW76" i="26"/>
  <c r="BF75" i="26"/>
  <c r="BE75" i="26"/>
  <c r="BD75" i="26"/>
  <c r="BC75" i="26"/>
  <c r="BB75" i="26"/>
  <c r="BA75" i="26"/>
  <c r="AZ75" i="26"/>
  <c r="AY75" i="26"/>
  <c r="AX75" i="26"/>
  <c r="AW75" i="26"/>
  <c r="BF74" i="26"/>
  <c r="BE74" i="26"/>
  <c r="BD74" i="26"/>
  <c r="BC74" i="26"/>
  <c r="BB74" i="26"/>
  <c r="BA74" i="26"/>
  <c r="AZ74" i="26"/>
  <c r="AY74" i="26"/>
  <c r="AX74" i="26"/>
  <c r="AW74" i="26"/>
  <c r="BF73" i="26"/>
  <c r="BE73" i="26"/>
  <c r="BD73" i="26"/>
  <c r="BC73" i="26"/>
  <c r="BB73" i="26"/>
  <c r="BA73" i="26"/>
  <c r="AZ73" i="26"/>
  <c r="AY73" i="26"/>
  <c r="AX73" i="26"/>
  <c r="AW73" i="26"/>
  <c r="BF72" i="26"/>
  <c r="BE72" i="26"/>
  <c r="BD72" i="26"/>
  <c r="BC72" i="26"/>
  <c r="BB72" i="26"/>
  <c r="BA72" i="26"/>
  <c r="AZ72" i="26"/>
  <c r="AY72" i="26"/>
  <c r="AX72" i="26"/>
  <c r="AW72" i="26"/>
  <c r="BF71" i="26"/>
  <c r="BE71" i="26"/>
  <c r="BD71" i="26"/>
  <c r="BC71" i="26"/>
  <c r="BB71" i="26"/>
  <c r="BA71" i="26"/>
  <c r="AZ71" i="26"/>
  <c r="AY71" i="26"/>
  <c r="AX71" i="26"/>
  <c r="AW71" i="26"/>
  <c r="BF70" i="26"/>
  <c r="BE70" i="26"/>
  <c r="BD70" i="26"/>
  <c r="BC70" i="26"/>
  <c r="BB70" i="26"/>
  <c r="BA70" i="26"/>
  <c r="AZ70" i="26"/>
  <c r="AY70" i="26"/>
  <c r="AX70" i="26"/>
  <c r="AW70" i="26"/>
  <c r="BF69" i="26"/>
  <c r="BE69" i="26"/>
  <c r="BD69" i="26"/>
  <c r="BC69" i="26"/>
  <c r="BB69" i="26"/>
  <c r="BA69" i="26"/>
  <c r="AZ69" i="26"/>
  <c r="AY69" i="26"/>
  <c r="AX69" i="26"/>
  <c r="AW69" i="26"/>
  <c r="BF68" i="26"/>
  <c r="BE68" i="26"/>
  <c r="BD68" i="26"/>
  <c r="BC68" i="26"/>
  <c r="BB68" i="26"/>
  <c r="BA68" i="26"/>
  <c r="AZ68" i="26"/>
  <c r="AY68" i="26"/>
  <c r="AX68" i="26"/>
  <c r="AW68" i="26"/>
  <c r="BF67" i="26"/>
  <c r="BE67" i="26"/>
  <c r="BD67" i="26"/>
  <c r="BC67" i="26"/>
  <c r="BB67" i="26"/>
  <c r="BA67" i="26"/>
  <c r="AZ67" i="26"/>
  <c r="AY67" i="26"/>
  <c r="AX67" i="26"/>
  <c r="AW67" i="26"/>
  <c r="BF66" i="26"/>
  <c r="BE66" i="26"/>
  <c r="BD66" i="26"/>
  <c r="BC66" i="26"/>
  <c r="BB66" i="26"/>
  <c r="BA66" i="26"/>
  <c r="AZ66" i="26"/>
  <c r="AY66" i="26"/>
  <c r="AX66" i="26"/>
  <c r="AW66" i="26"/>
  <c r="BF65" i="26"/>
  <c r="BE65" i="26"/>
  <c r="BD65" i="26"/>
  <c r="BC65" i="26"/>
  <c r="BB65" i="26"/>
  <c r="BA65" i="26"/>
  <c r="AZ65" i="26"/>
  <c r="AY65" i="26"/>
  <c r="AX65" i="26"/>
  <c r="AW65" i="26"/>
  <c r="BF64" i="26"/>
  <c r="BE64" i="26"/>
  <c r="BD64" i="26"/>
  <c r="BC64" i="26"/>
  <c r="BB64" i="26"/>
  <c r="BA64" i="26"/>
  <c r="AZ64" i="26"/>
  <c r="AY64" i="26"/>
  <c r="AX64" i="26"/>
  <c r="AW64" i="26"/>
  <c r="BF63" i="26"/>
  <c r="BE63" i="26"/>
  <c r="BD63" i="26"/>
  <c r="BC63" i="26"/>
  <c r="BB63" i="26"/>
  <c r="BA63" i="26"/>
  <c r="AZ63" i="26"/>
  <c r="AY63" i="26"/>
  <c r="AX63" i="26"/>
  <c r="AW63" i="26"/>
  <c r="BF62" i="26"/>
  <c r="BE62" i="26"/>
  <c r="BD62" i="26"/>
  <c r="BC62" i="26"/>
  <c r="BB62" i="26"/>
  <c r="BA62" i="26"/>
  <c r="AZ62" i="26"/>
  <c r="AY62" i="26"/>
  <c r="AX62" i="26"/>
  <c r="AW62" i="26"/>
  <c r="BF61" i="26"/>
  <c r="BE61" i="26"/>
  <c r="BD61" i="26"/>
  <c r="BC61" i="26"/>
  <c r="BB61" i="26"/>
  <c r="BA61" i="26"/>
  <c r="AZ61" i="26"/>
  <c r="AY61" i="26"/>
  <c r="AX61" i="26"/>
  <c r="AW61" i="26"/>
  <c r="BF60" i="26"/>
  <c r="BE60" i="26"/>
  <c r="BD60" i="26"/>
  <c r="BC60" i="26"/>
  <c r="BB60" i="26"/>
  <c r="BA60" i="26"/>
  <c r="AZ60" i="26"/>
  <c r="AY60" i="26"/>
  <c r="AX60" i="26"/>
  <c r="AW60" i="26"/>
  <c r="BF59" i="26"/>
  <c r="BE59" i="26"/>
  <c r="BD59" i="26"/>
  <c r="BC59" i="26"/>
  <c r="BB59" i="26"/>
  <c r="BA59" i="26"/>
  <c r="AZ59" i="26"/>
  <c r="AY59" i="26"/>
  <c r="AX59" i="26"/>
  <c r="AW59" i="26"/>
  <c r="BF58" i="26"/>
  <c r="BE58" i="26"/>
  <c r="BD58" i="26"/>
  <c r="BC58" i="26"/>
  <c r="BB58" i="26"/>
  <c r="BA58" i="26"/>
  <c r="AZ58" i="26"/>
  <c r="AY58" i="26"/>
  <c r="AX58" i="26"/>
  <c r="AW58" i="26"/>
  <c r="BF57" i="26"/>
  <c r="BE57" i="26"/>
  <c r="BD57" i="26"/>
  <c r="BC57" i="26"/>
  <c r="BB57" i="26"/>
  <c r="BA57" i="26"/>
  <c r="AZ57" i="26"/>
  <c r="AY57" i="26"/>
  <c r="AX57" i="26"/>
  <c r="AW57" i="26"/>
  <c r="BF56" i="26"/>
  <c r="BE56" i="26"/>
  <c r="BD56" i="26"/>
  <c r="BC56" i="26"/>
  <c r="BB56" i="26"/>
  <c r="BA56" i="26"/>
  <c r="AZ56" i="26"/>
  <c r="AY56" i="26"/>
  <c r="AX56" i="26"/>
  <c r="AW56" i="26"/>
  <c r="BF55" i="26"/>
  <c r="BE55" i="26"/>
  <c r="BD55" i="26"/>
  <c r="BC55" i="26"/>
  <c r="BB55" i="26"/>
  <c r="BA55" i="26"/>
  <c r="AZ55" i="26"/>
  <c r="AY55" i="26"/>
  <c r="AX55" i="26"/>
  <c r="AW55" i="26"/>
  <c r="BF54" i="26"/>
  <c r="BE54" i="26"/>
  <c r="BD54" i="26"/>
  <c r="BC54" i="26"/>
  <c r="BB54" i="26"/>
  <c r="BA54" i="26"/>
  <c r="AZ54" i="26"/>
  <c r="AY54" i="26"/>
  <c r="AX54" i="26"/>
  <c r="AW54" i="26"/>
  <c r="BF53" i="26"/>
  <c r="BE53" i="26"/>
  <c r="BD53" i="26"/>
  <c r="BC53" i="26"/>
  <c r="BB53" i="26"/>
  <c r="BA53" i="26"/>
  <c r="AZ53" i="26"/>
  <c r="AY53" i="26"/>
  <c r="AX53" i="26"/>
  <c r="AW53" i="26"/>
  <c r="BF52" i="26"/>
  <c r="BE52" i="26"/>
  <c r="BD52" i="26"/>
  <c r="BC52" i="26"/>
  <c r="BB52" i="26"/>
  <c r="BA52" i="26"/>
  <c r="AZ52" i="26"/>
  <c r="AY52" i="26"/>
  <c r="AX52" i="26"/>
  <c r="AW52" i="26"/>
  <c r="BF51" i="26"/>
  <c r="BE51" i="26"/>
  <c r="BD51" i="26"/>
  <c r="BC51" i="26"/>
  <c r="BB51" i="26"/>
  <c r="BA51" i="26"/>
  <c r="AZ51" i="26"/>
  <c r="AY51" i="26"/>
  <c r="AX51" i="26"/>
  <c r="AW51" i="26"/>
  <c r="BF50" i="26"/>
  <c r="BE50" i="26"/>
  <c r="BD50" i="26"/>
  <c r="BC50" i="26"/>
  <c r="BB50" i="26"/>
  <c r="BA50" i="26"/>
  <c r="AZ50" i="26"/>
  <c r="AY50" i="26"/>
  <c r="AX50" i="26"/>
  <c r="AW50" i="26"/>
  <c r="BF49" i="26"/>
  <c r="BE49" i="26"/>
  <c r="BD49" i="26"/>
  <c r="BC49" i="26"/>
  <c r="BB49" i="26"/>
  <c r="BA49" i="26"/>
  <c r="AZ49" i="26"/>
  <c r="AY49" i="26"/>
  <c r="AX49" i="26"/>
  <c r="AW49" i="26"/>
  <c r="BF48" i="26"/>
  <c r="BE48" i="26"/>
  <c r="BD48" i="26"/>
  <c r="BC48" i="26"/>
  <c r="BB48" i="26"/>
  <c r="BA48" i="26"/>
  <c r="AZ48" i="26"/>
  <c r="AY48" i="26"/>
  <c r="AX48" i="26"/>
  <c r="AW48" i="26"/>
  <c r="BF47" i="26"/>
  <c r="BE47" i="26"/>
  <c r="BD47" i="26"/>
  <c r="BC47" i="26"/>
  <c r="BB47" i="26"/>
  <c r="BA47" i="26"/>
  <c r="AZ47" i="26"/>
  <c r="AY47" i="26"/>
  <c r="AX47" i="26"/>
  <c r="AW47" i="26"/>
  <c r="BF46" i="26"/>
  <c r="BE46" i="26"/>
  <c r="BD46" i="26"/>
  <c r="BC46" i="26"/>
  <c r="BB46" i="26"/>
  <c r="BA46" i="26"/>
  <c r="AZ46" i="26"/>
  <c r="AY46" i="26"/>
  <c r="AX46" i="26"/>
  <c r="AW46" i="26"/>
  <c r="BF45" i="26"/>
  <c r="BE45" i="26"/>
  <c r="BD45" i="26"/>
  <c r="BC45" i="26"/>
  <c r="BB45" i="26"/>
  <c r="BA45" i="26"/>
  <c r="AZ45" i="26"/>
  <c r="AY45" i="26"/>
  <c r="AX45" i="26"/>
  <c r="AW45" i="26"/>
  <c r="BF44" i="26"/>
  <c r="BE44" i="26"/>
  <c r="BD44" i="26"/>
  <c r="BC44" i="26"/>
  <c r="BB44" i="26"/>
  <c r="BA44" i="26"/>
  <c r="AZ44" i="26"/>
  <c r="AY44" i="26"/>
  <c r="AX44" i="26"/>
  <c r="AW44" i="26"/>
  <c r="BF43" i="26"/>
  <c r="BE43" i="26"/>
  <c r="BD43" i="26"/>
  <c r="BC43" i="26"/>
  <c r="BB43" i="26"/>
  <c r="BA43" i="26"/>
  <c r="AZ43" i="26"/>
  <c r="AY43" i="26"/>
  <c r="AX43" i="26"/>
  <c r="AW43" i="26"/>
  <c r="BF42" i="26"/>
  <c r="BE42" i="26"/>
  <c r="BD42" i="26"/>
  <c r="BC42" i="26"/>
  <c r="BB42" i="26"/>
  <c r="BA42" i="26"/>
  <c r="AZ42" i="26"/>
  <c r="AY42" i="26"/>
  <c r="AX42" i="26"/>
  <c r="AW42" i="26"/>
  <c r="BF41" i="26"/>
  <c r="BE41" i="26"/>
  <c r="BD41" i="26"/>
  <c r="BC41" i="26"/>
  <c r="BB41" i="26"/>
  <c r="BA41" i="26"/>
  <c r="AZ41" i="26"/>
  <c r="AY41" i="26"/>
  <c r="AX41" i="26"/>
  <c r="AW41" i="26"/>
  <c r="BF38" i="26"/>
  <c r="BE38" i="26"/>
  <c r="BD38" i="26"/>
  <c r="BC38" i="26"/>
  <c r="BB38" i="26"/>
  <c r="BA38" i="26"/>
  <c r="AZ38" i="26"/>
  <c r="AY38" i="26"/>
  <c r="AX38" i="26"/>
  <c r="AW38" i="26"/>
  <c r="BF37" i="26"/>
  <c r="BE37" i="26"/>
  <c r="BD37" i="26"/>
  <c r="BC37" i="26"/>
  <c r="BB37" i="26"/>
  <c r="BA37" i="26"/>
  <c r="AZ37" i="26"/>
  <c r="AY37" i="26"/>
  <c r="AX37" i="26"/>
  <c r="AW37" i="26"/>
  <c r="BF36" i="26"/>
  <c r="BE36" i="26"/>
  <c r="BD36" i="26"/>
  <c r="BC36" i="26"/>
  <c r="BB36" i="26"/>
  <c r="BA36" i="26"/>
  <c r="AZ36" i="26"/>
  <c r="AY36" i="26"/>
  <c r="AX36" i="26"/>
  <c r="AW36" i="26"/>
  <c r="BF35" i="26"/>
  <c r="BE35" i="26"/>
  <c r="BD35" i="26"/>
  <c r="BC35" i="26"/>
  <c r="BB35" i="26"/>
  <c r="BA35" i="26"/>
  <c r="AZ35" i="26"/>
  <c r="AY35" i="26"/>
  <c r="AX35" i="26"/>
  <c r="AW35" i="26"/>
  <c r="BF34" i="26"/>
  <c r="BE34" i="26"/>
  <c r="BD34" i="26"/>
  <c r="BC34" i="26"/>
  <c r="BB34" i="26"/>
  <c r="BA34" i="26"/>
  <c r="AZ34" i="26"/>
  <c r="AY34" i="26"/>
  <c r="AX34" i="26"/>
  <c r="AW34" i="26"/>
  <c r="BF33" i="26"/>
  <c r="BE33" i="26"/>
  <c r="BD33" i="26"/>
  <c r="BC33" i="26"/>
  <c r="BB33" i="26"/>
  <c r="BA33" i="26"/>
  <c r="AZ33" i="26"/>
  <c r="AY33" i="26"/>
  <c r="AX33" i="26"/>
  <c r="AW33" i="26"/>
  <c r="BF32" i="26"/>
  <c r="BE32" i="26"/>
  <c r="BD32" i="26"/>
  <c r="BC32" i="26"/>
  <c r="BB32" i="26"/>
  <c r="BA32" i="26"/>
  <c r="AZ32" i="26"/>
  <c r="AY32" i="26"/>
  <c r="AX32" i="26"/>
  <c r="AW32" i="26"/>
  <c r="BF31" i="26"/>
  <c r="BE31" i="26"/>
  <c r="BD31" i="26"/>
  <c r="BC31" i="26"/>
  <c r="BB31" i="26"/>
  <c r="BA31" i="26"/>
  <c r="AZ31" i="26"/>
  <c r="AY31" i="26"/>
  <c r="AX31" i="26"/>
  <c r="AW31" i="26"/>
  <c r="BF30" i="26"/>
  <c r="BE30" i="26"/>
  <c r="BD30" i="26"/>
  <c r="BC30" i="26"/>
  <c r="BB30" i="26"/>
  <c r="BA30" i="26"/>
  <c r="AZ30" i="26"/>
  <c r="AY30" i="26"/>
  <c r="AX30" i="26"/>
  <c r="AW30" i="26"/>
  <c r="BF29" i="26"/>
  <c r="BE29" i="26"/>
  <c r="BD29" i="26"/>
  <c r="BC29" i="26"/>
  <c r="BB29" i="26"/>
  <c r="BA29" i="26"/>
  <c r="AZ29" i="26"/>
  <c r="AY29" i="26"/>
  <c r="AX29" i="26"/>
  <c r="AW29" i="26"/>
  <c r="BF28" i="26"/>
  <c r="BE28" i="26"/>
  <c r="BD28" i="26"/>
  <c r="BC28" i="26"/>
  <c r="BB28" i="26"/>
  <c r="BA28" i="26"/>
  <c r="AZ28" i="26"/>
  <c r="AY28" i="26"/>
  <c r="AX28" i="26"/>
  <c r="AW28" i="26"/>
  <c r="BF27" i="26"/>
  <c r="BE27" i="26"/>
  <c r="BD27" i="26"/>
  <c r="BC27" i="26"/>
  <c r="BB27" i="26"/>
  <c r="BA27" i="26"/>
  <c r="AZ27" i="26"/>
  <c r="AY27" i="26"/>
  <c r="AX27" i="26"/>
  <c r="AW27" i="26"/>
  <c r="BF26" i="26"/>
  <c r="BE26" i="26"/>
  <c r="BD26" i="26"/>
  <c r="BC26" i="26"/>
  <c r="BB26" i="26"/>
  <c r="BA26" i="26"/>
  <c r="AZ26" i="26"/>
  <c r="AY26" i="26"/>
  <c r="AX26" i="26"/>
  <c r="AW26" i="26"/>
  <c r="BF25" i="26"/>
  <c r="BE25" i="26"/>
  <c r="BD25" i="26"/>
  <c r="BC25" i="26"/>
  <c r="BB25" i="26"/>
  <c r="BA25" i="26"/>
  <c r="AZ25" i="26"/>
  <c r="AY25" i="26"/>
  <c r="AX25" i="26"/>
  <c r="AW25" i="26"/>
  <c r="BF24" i="26"/>
  <c r="BE24" i="26"/>
  <c r="BD24" i="26"/>
  <c r="BC24" i="26"/>
  <c r="BB24" i="26"/>
  <c r="BA24" i="26"/>
  <c r="AZ24" i="26"/>
  <c r="AY24" i="26"/>
  <c r="AX24" i="26"/>
  <c r="AW24" i="26"/>
  <c r="BF23" i="26"/>
  <c r="BE23" i="26"/>
  <c r="BD23" i="26"/>
  <c r="BC23" i="26"/>
  <c r="BB23" i="26"/>
  <c r="BA23" i="26"/>
  <c r="AZ23" i="26"/>
  <c r="AY23" i="26"/>
  <c r="AX23" i="26"/>
  <c r="AW23" i="26"/>
  <c r="BF22" i="26"/>
  <c r="BE22" i="26"/>
  <c r="BD22" i="26"/>
  <c r="BC22" i="26"/>
  <c r="BB22" i="26"/>
  <c r="BA22" i="26"/>
  <c r="AZ22" i="26"/>
  <c r="AY22" i="26"/>
  <c r="AX22" i="26"/>
  <c r="AW22" i="26"/>
  <c r="BF21" i="26"/>
  <c r="BE21" i="26"/>
  <c r="BD21" i="26"/>
  <c r="BC21" i="26"/>
  <c r="BB21" i="26"/>
  <c r="BA21" i="26"/>
  <c r="AZ21" i="26"/>
  <c r="AY21" i="26"/>
  <c r="AX21" i="26"/>
  <c r="AW21" i="26"/>
  <c r="BF20" i="26"/>
  <c r="BE20" i="26"/>
  <c r="BD20" i="26"/>
  <c r="BC20" i="26"/>
  <c r="BB20" i="26"/>
  <c r="BA20" i="26"/>
  <c r="AZ20" i="26"/>
  <c r="AY20" i="26"/>
  <c r="AX20" i="26"/>
  <c r="AW20" i="26"/>
  <c r="BF19" i="26"/>
  <c r="BE19" i="26"/>
  <c r="BD19" i="26"/>
  <c r="BC19" i="26"/>
  <c r="BB19" i="26"/>
  <c r="BA19" i="26"/>
  <c r="AZ19" i="26"/>
  <c r="AY19" i="26"/>
  <c r="AX19" i="26"/>
  <c r="AW19" i="26"/>
  <c r="BF18" i="26"/>
  <c r="BE18" i="26"/>
  <c r="BD18" i="26"/>
  <c r="BC18" i="26"/>
  <c r="BB18" i="26"/>
  <c r="BA18" i="26"/>
  <c r="AZ18" i="26"/>
  <c r="AY18" i="26"/>
  <c r="AX18" i="26"/>
  <c r="AW18" i="26"/>
  <c r="BF17" i="26"/>
  <c r="BE17" i="26"/>
  <c r="BD17" i="26"/>
  <c r="BC17" i="26"/>
  <c r="BB17" i="26"/>
  <c r="BA17" i="26"/>
  <c r="AZ17" i="26"/>
  <c r="AY17" i="26"/>
  <c r="AX17" i="26"/>
  <c r="AW17" i="26"/>
  <c r="BF16" i="26"/>
  <c r="BE16" i="26"/>
  <c r="BD16" i="26"/>
  <c r="BC16" i="26"/>
  <c r="BB16" i="26"/>
  <c r="BA16" i="26"/>
  <c r="AZ16" i="26"/>
  <c r="AY16" i="26"/>
  <c r="AX16" i="26"/>
  <c r="AW16" i="26"/>
  <c r="BF15" i="26"/>
  <c r="BE15" i="26"/>
  <c r="BD15" i="26"/>
  <c r="BC15" i="26"/>
  <c r="BB15" i="26"/>
  <c r="BA15" i="26"/>
  <c r="AZ15" i="26"/>
  <c r="AY15" i="26"/>
  <c r="AX15" i="26"/>
  <c r="AW15" i="26"/>
  <c r="BF14" i="26"/>
  <c r="BE14" i="26"/>
  <c r="BD14" i="26"/>
  <c r="BC14" i="26"/>
  <c r="BB14" i="26"/>
  <c r="BA14" i="26"/>
  <c r="AZ14" i="26"/>
  <c r="AY14" i="26"/>
  <c r="AX14" i="26"/>
  <c r="AW14" i="26"/>
  <c r="BF13" i="26"/>
  <c r="BE13" i="26"/>
  <c r="BD13" i="26"/>
  <c r="BC13" i="26"/>
  <c r="BB13" i="26"/>
  <c r="BA13" i="26"/>
  <c r="AZ13" i="26"/>
  <c r="AY13" i="26"/>
  <c r="AX13" i="26"/>
  <c r="AW13" i="26"/>
  <c r="BF12" i="26"/>
  <c r="BE12" i="26"/>
  <c r="BD12" i="26"/>
  <c r="BC12" i="26"/>
  <c r="BB12" i="26"/>
  <c r="BA12" i="26"/>
  <c r="AZ12" i="26"/>
  <c r="AY12" i="26"/>
  <c r="AX12" i="26"/>
  <c r="AW12" i="26"/>
  <c r="BF11" i="26"/>
  <c r="BE11" i="26"/>
  <c r="BD11" i="26"/>
  <c r="BC11" i="26"/>
  <c r="BB11" i="26"/>
  <c r="BA11" i="26"/>
  <c r="AZ11" i="26"/>
  <c r="AY11" i="26"/>
  <c r="AX11" i="26"/>
  <c r="AW11" i="26"/>
  <c r="BF10" i="26"/>
  <c r="BE10" i="26"/>
  <c r="BD10" i="26"/>
  <c r="BC10" i="26"/>
  <c r="BB10" i="26"/>
  <c r="BA10" i="26"/>
  <c r="AZ10" i="26"/>
  <c r="AY10" i="26"/>
  <c r="AX10" i="26"/>
  <c r="AW10" i="26"/>
  <c r="BF9" i="26"/>
  <c r="BE9" i="26"/>
  <c r="BD9" i="26"/>
  <c r="BC9" i="26"/>
  <c r="BB9" i="26"/>
  <c r="BA9" i="26"/>
  <c r="AZ9" i="26"/>
  <c r="AY9" i="26"/>
  <c r="AX9" i="26"/>
  <c r="AW9" i="26"/>
  <c r="BF8" i="26"/>
  <c r="BE8" i="26"/>
  <c r="BD8" i="26"/>
  <c r="BC8" i="26"/>
  <c r="BB8" i="26"/>
  <c r="BA8" i="26"/>
  <c r="AZ8" i="26"/>
  <c r="AY8" i="26"/>
  <c r="AX8" i="26"/>
  <c r="AW8" i="26"/>
  <c r="BF7" i="26"/>
  <c r="BE7" i="26"/>
  <c r="BD7" i="26"/>
  <c r="BC7" i="26"/>
  <c r="BB7" i="26"/>
  <c r="BA7" i="26"/>
  <c r="AZ7" i="26"/>
  <c r="AY7" i="26"/>
  <c r="AX7" i="26"/>
  <c r="AW7" i="26"/>
  <c r="BF6" i="26"/>
  <c r="BE6" i="26"/>
  <c r="BD6" i="26"/>
  <c r="BC6" i="26"/>
  <c r="BB6" i="26"/>
  <c r="BA6" i="26"/>
  <c r="AZ6" i="26"/>
  <c r="AY6" i="26"/>
  <c r="AX6" i="26"/>
  <c r="AW6" i="26"/>
  <c r="A313" i="26"/>
  <c r="B313" i="26"/>
  <c r="A314" i="26"/>
  <c r="B314" i="26"/>
  <c r="B312" i="26"/>
  <c r="A312" i="26"/>
  <c r="Y275" i="26"/>
  <c r="X275" i="26"/>
  <c r="W275" i="26"/>
  <c r="Q275" i="26"/>
  <c r="O275" i="26"/>
  <c r="M275" i="26"/>
  <c r="K275" i="26"/>
  <c r="I275" i="26"/>
  <c r="C275" i="26"/>
  <c r="B275" i="26"/>
  <c r="A275" i="26"/>
  <c r="Y175" i="26"/>
  <c r="X175" i="26"/>
  <c r="W175" i="26"/>
  <c r="Q175" i="26"/>
  <c r="O175" i="26"/>
  <c r="M175" i="26"/>
  <c r="K175" i="26"/>
  <c r="I175" i="26"/>
  <c r="C175" i="26"/>
  <c r="B175" i="26"/>
  <c r="A175" i="26"/>
  <c r="AD26" i="26"/>
  <c r="AE26" i="26"/>
  <c r="Z71" i="26"/>
  <c r="AA71" i="26" s="1"/>
  <c r="Z70" i="26"/>
  <c r="AA70" i="26" s="1"/>
  <c r="Z74" i="26"/>
  <c r="AG4" i="26"/>
  <c r="AI4" i="26" s="1"/>
  <c r="AJ4" i="26" s="1"/>
  <c r="AE30" i="26"/>
  <c r="AF30" i="26" s="1"/>
  <c r="AG3" i="26"/>
  <c r="AR11" i="26"/>
  <c r="BM58" i="27"/>
  <c r="AH29" i="26"/>
  <c r="AE29" i="26"/>
  <c r="AD34" i="26"/>
  <c r="AD33" i="26"/>
  <c r="AD31" i="26"/>
  <c r="AI15" i="26"/>
  <c r="Z61" i="26"/>
  <c r="AA61" i="26" s="1"/>
  <c r="Z60" i="26"/>
  <c r="AA60" i="26" s="1"/>
  <c r="Z46" i="26"/>
  <c r="Z45" i="26"/>
  <c r="Z38" i="26"/>
  <c r="AA33" i="26"/>
  <c r="Z33" i="26"/>
  <c r="AD40" i="26"/>
  <c r="AD39" i="26"/>
  <c r="AA23" i="26"/>
  <c r="Z23" i="26"/>
  <c r="Z20" i="26"/>
  <c r="Z18" i="26"/>
  <c r="AI17" i="26"/>
  <c r="AJ17" i="26" s="1"/>
  <c r="AI11" i="26"/>
  <c r="AI5" i="26"/>
  <c r="AJ5" i="26" s="1"/>
  <c r="AI3" i="26"/>
  <c r="AJ3" i="26" s="1"/>
  <c r="D238" i="26"/>
  <c r="M238" i="26" a="1"/>
  <c r="M238" i="26" s="1"/>
  <c r="D240" i="26"/>
  <c r="AR15" i="26"/>
  <c r="AR12" i="26"/>
  <c r="AS12" i="26" s="1"/>
  <c r="AT18" i="26" l="1"/>
  <c r="T180" i="26"/>
  <c r="G180" i="26"/>
  <c r="E322" i="26"/>
  <c r="D324" i="26"/>
  <c r="L324" i="26"/>
  <c r="J322" i="26"/>
  <c r="J324" i="26" s="1"/>
  <c r="H325" i="26"/>
  <c r="H327" i="26" s="1"/>
  <c r="F328" i="26"/>
  <c r="F330" i="26" s="1"/>
  <c r="AR13" i="26"/>
  <c r="I280" i="26"/>
  <c r="C280" i="26" s="1"/>
  <c r="H280" i="26" s="1"/>
  <c r="J280" i="26" s="1"/>
  <c r="I322" i="26"/>
  <c r="G328" i="26"/>
  <c r="L330" i="26"/>
  <c r="J325" i="26"/>
  <c r="J327" i="26" s="1"/>
  <c r="H324" i="26"/>
  <c r="G320" i="26"/>
  <c r="AG30" i="26"/>
  <c r="AF8" i="26"/>
  <c r="AQ29" i="26"/>
  <c r="AI6" i="26"/>
  <c r="AM34" i="26"/>
  <c r="AI2" i="26"/>
  <c r="AJ2" i="26" s="1"/>
  <c r="E284" i="26"/>
  <c r="E285" i="26" s="1"/>
  <c r="AJ15" i="26"/>
  <c r="L327" i="26"/>
  <c r="AF26" i="26"/>
  <c r="G327" i="26"/>
  <c r="L239" i="26"/>
  <c r="L268" i="26"/>
  <c r="G330" i="26"/>
  <c r="AI14" i="26"/>
  <c r="AJ14" i="26" s="1"/>
  <c r="F290" i="26"/>
  <c r="O301" i="26" s="1"/>
  <c r="O297" i="26" s="1"/>
  <c r="I330" i="26"/>
  <c r="J320" i="26"/>
  <c r="C330" i="26"/>
  <c r="K330" i="26"/>
  <c r="F320" i="26"/>
  <c r="I327" i="26"/>
  <c r="AE13" i="26"/>
  <c r="AN13" i="26" s="1"/>
  <c r="AE16" i="26"/>
  <c r="AN16" i="26" s="1"/>
  <c r="AS16" i="26" s="1"/>
  <c r="E185" i="26"/>
  <c r="AJ6" i="26"/>
  <c r="AI13" i="26"/>
  <c r="AS15" i="26"/>
  <c r="AS6" i="26"/>
  <c r="AI16" i="26"/>
  <c r="D285" i="26"/>
  <c r="D327" i="26"/>
  <c r="AP14" i="26"/>
  <c r="AR14" i="26" s="1"/>
  <c r="AS14" i="26" s="1"/>
  <c r="J190" i="26"/>
  <c r="H239" i="26"/>
  <c r="AH30" i="26"/>
  <c r="AH8" i="26" s="1"/>
  <c r="AG8" i="26"/>
  <c r="AI8" i="26" s="1"/>
  <c r="AJ8" i="26" s="1"/>
  <c r="H281" i="26"/>
  <c r="AR17" i="26"/>
  <c r="AS17" i="26" s="1"/>
  <c r="H212" i="26"/>
  <c r="J212" i="26" s="1"/>
  <c r="D302" i="26"/>
  <c r="M300" i="26" a="1"/>
  <c r="M300" i="26" s="1"/>
  <c r="M302" i="26" s="1"/>
  <c r="H216" i="26"/>
  <c r="J189" i="26"/>
  <c r="E318" i="26"/>
  <c r="E319" i="26"/>
  <c r="H329" i="26"/>
  <c r="H330" i="26" s="1"/>
  <c r="L314" i="26"/>
  <c r="L320" i="26" s="1"/>
  <c r="K323" i="26"/>
  <c r="K324" i="26" s="1"/>
  <c r="K326" i="26"/>
  <c r="K327" i="26" s="1"/>
  <c r="N280" i="26"/>
  <c r="R297" i="26" s="1"/>
  <c r="H211" i="26"/>
  <c r="J211" i="26" s="1"/>
  <c r="L216" i="26"/>
  <c r="L217" i="26" s="1"/>
  <c r="J319" i="26"/>
  <c r="E326" i="26"/>
  <c r="E327" i="26" s="1"/>
  <c r="E323" i="26"/>
  <c r="O298" i="26"/>
  <c r="M184" i="26"/>
  <c r="I238" i="26" s="1"/>
  <c r="I233" i="26"/>
  <c r="AP7" i="26"/>
  <c r="AR7" i="26" s="1"/>
  <c r="AS7" i="26" s="1"/>
  <c r="J330" i="26"/>
  <c r="G311" i="26"/>
  <c r="K181" i="26"/>
  <c r="P181" i="26" s="1"/>
  <c r="I235" i="26"/>
  <c r="F268" i="26"/>
  <c r="H191" i="26"/>
  <c r="AT9" i="26"/>
  <c r="AM31" i="26"/>
  <c r="K319" i="26"/>
  <c r="L184" i="26"/>
  <c r="L186" i="26" s="1"/>
  <c r="K179" i="26"/>
  <c r="I210" i="26"/>
  <c r="G210" i="26" s="1"/>
  <c r="G181" i="26"/>
  <c r="T181" i="26"/>
  <c r="D262" i="26"/>
  <c r="G316" i="26"/>
  <c r="G322" i="26"/>
  <c r="G324" i="26" s="1"/>
  <c r="AT8" i="26"/>
  <c r="AN30" i="26"/>
  <c r="F246" i="26"/>
  <c r="D246" i="26"/>
  <c r="O296" i="26"/>
  <c r="O299" i="26"/>
  <c r="O295" i="26"/>
  <c r="R237" i="26"/>
  <c r="R214" i="26"/>
  <c r="H320" i="26"/>
  <c r="AS40" i="28"/>
  <c r="AT40" i="28" s="1"/>
  <c r="H279" i="26"/>
  <c r="G214" i="26"/>
  <c r="F217" i="26"/>
  <c r="I266" i="26"/>
  <c r="C262" i="26" s="1"/>
  <c r="G182" i="26"/>
  <c r="T182" i="26"/>
  <c r="E188" i="26"/>
  <c r="E216" i="26"/>
  <c r="E214" i="26" s="1"/>
  <c r="C326" i="26"/>
  <c r="C327" i="26" s="1"/>
  <c r="E330" i="26"/>
  <c r="L318" i="26"/>
  <c r="I311" i="26"/>
  <c r="I323" i="26"/>
  <c r="I324" i="26" s="1"/>
  <c r="D290" i="26"/>
  <c r="D301" i="26"/>
  <c r="H288" i="26"/>
  <c r="J288" i="26" s="1"/>
  <c r="C278" i="26"/>
  <c r="H213" i="26"/>
  <c r="J213" i="26" s="1"/>
  <c r="E265" i="26"/>
  <c r="F193" i="26"/>
  <c r="L319" i="26"/>
  <c r="I316" i="26"/>
  <c r="F311" i="26"/>
  <c r="F318" i="26" s="1"/>
  <c r="F323" i="26"/>
  <c r="F324" i="26" s="1"/>
  <c r="I188" i="26"/>
  <c r="E263" i="26"/>
  <c r="C263" i="26"/>
  <c r="C265" i="26"/>
  <c r="G283" i="26"/>
  <c r="I267" i="26"/>
  <c r="G262" i="26"/>
  <c r="G263" i="26"/>
  <c r="G264" i="26"/>
  <c r="G265" i="26"/>
  <c r="G266" i="26"/>
  <c r="T179" i="26"/>
  <c r="G179" i="26"/>
  <c r="P179" i="26"/>
  <c r="P180" i="26"/>
  <c r="E264" i="26"/>
  <c r="C234" i="26"/>
  <c r="F234" i="26"/>
  <c r="D244" i="26"/>
  <c r="G244" i="26"/>
  <c r="E290" i="26"/>
  <c r="N301" i="26" s="1"/>
  <c r="E301" i="26"/>
  <c r="D188" i="26"/>
  <c r="D266" i="26"/>
  <c r="E324" i="26"/>
  <c r="C320" i="26"/>
  <c r="C282" i="26"/>
  <c r="G193" i="26"/>
  <c r="P182" i="26"/>
  <c r="C264" i="26"/>
  <c r="C324" i="26"/>
  <c r="K313" i="26"/>
  <c r="K318" i="26" s="1"/>
  <c r="M186" i="26"/>
  <c r="F295" i="26"/>
  <c r="F300" i="26" s="1"/>
  <c r="G216" i="26"/>
  <c r="G188" i="26"/>
  <c r="E234" i="26"/>
  <c r="D312" i="26"/>
  <c r="D318" i="26" s="1"/>
  <c r="AI18" i="26"/>
  <c r="AJ18" i="26" s="1"/>
  <c r="AO18" i="26"/>
  <c r="AR18" i="26" s="1"/>
  <c r="AS18" i="26" s="1"/>
  <c r="E262" i="26"/>
  <c r="AM26" i="26"/>
  <c r="AM25" i="26"/>
  <c r="AM32" i="26" s="1"/>
  <c r="C316" i="26"/>
  <c r="L313" i="26"/>
  <c r="H313" i="26"/>
  <c r="H318" i="26" s="1"/>
  <c r="E247" i="26"/>
  <c r="D264" i="26"/>
  <c r="AN2" i="26"/>
  <c r="D265" i="26"/>
  <c r="AD32" i="26"/>
  <c r="AP5" i="26"/>
  <c r="AP3" i="26"/>
  <c r="AR3" i="26" s="1"/>
  <c r="AS3" i="26" s="1"/>
  <c r="AR2" i="26"/>
  <c r="AS2" i="26" s="1"/>
  <c r="AN26" i="26"/>
  <c r="AP4" i="26"/>
  <c r="AO29" i="26"/>
  <c r="AO30" i="26" l="1"/>
  <c r="AP30" i="26" s="1"/>
  <c r="AQ30" i="26" s="1"/>
  <c r="AQ8" i="26" s="1"/>
  <c r="E193" i="26"/>
  <c r="AJ16" i="26"/>
  <c r="AO26" i="26"/>
  <c r="AJ13" i="26"/>
  <c r="AS13" i="26"/>
  <c r="AR5" i="26"/>
  <c r="AS5" i="26" s="1"/>
  <c r="R264" i="26"/>
  <c r="R212" i="26"/>
  <c r="R235" i="26"/>
  <c r="N216" i="26"/>
  <c r="N239" i="26"/>
  <c r="N268" i="26"/>
  <c r="H262" i="26"/>
  <c r="P268" i="26"/>
  <c r="P239" i="26"/>
  <c r="P216" i="26"/>
  <c r="F244" i="26"/>
  <c r="H210" i="26"/>
  <c r="G215" i="26"/>
  <c r="H319" i="26"/>
  <c r="H234" i="26"/>
  <c r="J234" i="26" s="1"/>
  <c r="C244" i="26"/>
  <c r="G290" i="26"/>
  <c r="P301" i="26" s="1"/>
  <c r="G285" i="26"/>
  <c r="O216" i="26"/>
  <c r="O268" i="26"/>
  <c r="O239" i="26"/>
  <c r="H282" i="26"/>
  <c r="I318" i="26"/>
  <c r="I319" i="26"/>
  <c r="D319" i="26"/>
  <c r="O300" i="26" a="1"/>
  <c r="O300" i="26" s="1"/>
  <c r="O302" i="26" s="1"/>
  <c r="F302" i="26"/>
  <c r="G183" i="26"/>
  <c r="G184" i="26" s="1"/>
  <c r="H265" i="26"/>
  <c r="J265" i="26" s="1"/>
  <c r="H214" i="26"/>
  <c r="J214" i="26" s="1"/>
  <c r="E215" i="26"/>
  <c r="G319" i="26"/>
  <c r="G318" i="26"/>
  <c r="N281" i="26"/>
  <c r="R298" i="26" s="1"/>
  <c r="J281" i="26"/>
  <c r="K184" i="26"/>
  <c r="I215" i="26"/>
  <c r="J279" i="26"/>
  <c r="N279" i="26"/>
  <c r="R296" i="26" s="1"/>
  <c r="AO8" i="26"/>
  <c r="C318" i="26"/>
  <c r="C319" i="26"/>
  <c r="H188" i="26"/>
  <c r="G243" i="26"/>
  <c r="F233" i="26"/>
  <c r="D243" i="26"/>
  <c r="E243" i="26"/>
  <c r="C243" i="26"/>
  <c r="E244" i="26"/>
  <c r="E236" i="26"/>
  <c r="R211" i="26"/>
  <c r="R263" i="26"/>
  <c r="R234" i="26"/>
  <c r="L234" i="26"/>
  <c r="C225" i="26" s="1"/>
  <c r="L264" i="26"/>
  <c r="C255" i="26" s="1"/>
  <c r="L265" i="26"/>
  <c r="C256" i="26" s="1"/>
  <c r="L266" i="26"/>
  <c r="L262" i="26"/>
  <c r="C253" i="26" s="1"/>
  <c r="L263" i="26"/>
  <c r="C254" i="26" s="1"/>
  <c r="L214" i="26"/>
  <c r="L210" i="26"/>
  <c r="L211" i="26"/>
  <c r="L236" i="26"/>
  <c r="L237" i="26"/>
  <c r="L235" i="26"/>
  <c r="L212" i="26"/>
  <c r="L213" i="26"/>
  <c r="L233" i="26"/>
  <c r="R233" i="26"/>
  <c r="R210" i="26"/>
  <c r="R262" i="26"/>
  <c r="E296" i="26"/>
  <c r="E295" i="26"/>
  <c r="E300" i="26" s="1"/>
  <c r="D193" i="26"/>
  <c r="N296" i="26"/>
  <c r="N299" i="26"/>
  <c r="N295" i="26"/>
  <c r="N298" i="26"/>
  <c r="N297" i="26"/>
  <c r="C283" i="26"/>
  <c r="H278" i="26"/>
  <c r="J191" i="26"/>
  <c r="H268" i="26"/>
  <c r="C266" i="26"/>
  <c r="C267" i="26" s="1"/>
  <c r="D263" i="26"/>
  <c r="H263" i="26" s="1"/>
  <c r="J263" i="26" s="1"/>
  <c r="E266" i="26"/>
  <c r="F266" i="26"/>
  <c r="F263" i="26"/>
  <c r="F264" i="26"/>
  <c r="H264" i="26" s="1"/>
  <c r="J264" i="26" s="1"/>
  <c r="F262" i="26"/>
  <c r="F265" i="26"/>
  <c r="R236" i="26"/>
  <c r="R213" i="26"/>
  <c r="R265" i="26"/>
  <c r="G267" i="26"/>
  <c r="G245" i="26"/>
  <c r="C235" i="26"/>
  <c r="D245" i="26"/>
  <c r="E245" i="26"/>
  <c r="F245" i="26"/>
  <c r="AP29" i="26"/>
  <c r="AR4" i="26"/>
  <c r="AS4" i="26" s="1"/>
  <c r="AP8" i="26" l="1"/>
  <c r="G194" i="26"/>
  <c r="G195" i="26" s="1"/>
  <c r="G186" i="26"/>
  <c r="C269" i="26"/>
  <c r="L267" i="26" a="1"/>
  <c r="L267" i="26" s="1"/>
  <c r="L269" i="26" s="1"/>
  <c r="C238" i="26"/>
  <c r="J282" i="26"/>
  <c r="N282" i="26"/>
  <c r="R299" i="26" s="1"/>
  <c r="M216" i="26"/>
  <c r="M268" i="26"/>
  <c r="M239" i="26"/>
  <c r="M240" i="26" s="1"/>
  <c r="F243" i="26"/>
  <c r="H233" i="26"/>
  <c r="F237" i="26"/>
  <c r="C226" i="26"/>
  <c r="H235" i="26"/>
  <c r="J235" i="26" s="1"/>
  <c r="C245" i="26"/>
  <c r="H245" i="26" s="1"/>
  <c r="C228" i="26"/>
  <c r="J262" i="26"/>
  <c r="G217" i="26"/>
  <c r="E246" i="26"/>
  <c r="I216" i="26"/>
  <c r="J216" i="26" s="1"/>
  <c r="J210" i="26"/>
  <c r="C290" i="26"/>
  <c r="L301" i="26" s="1"/>
  <c r="C285" i="26"/>
  <c r="H283" i="26"/>
  <c r="C205" i="26"/>
  <c r="E238" i="26"/>
  <c r="N263" i="26"/>
  <c r="E254" i="26" s="1"/>
  <c r="N265" i="26"/>
  <c r="E256" i="26" s="1"/>
  <c r="N266" i="26"/>
  <c r="E257" i="26" s="1"/>
  <c r="N211" i="26"/>
  <c r="E202" i="26" s="1"/>
  <c r="N212" i="26"/>
  <c r="E203" i="26" s="1"/>
  <c r="N213" i="26"/>
  <c r="E204" i="26" s="1"/>
  <c r="N210" i="26"/>
  <c r="E201" i="26" s="1"/>
  <c r="N236" i="26"/>
  <c r="E227" i="26" s="1"/>
  <c r="N237" i="26"/>
  <c r="E228" i="26" s="1"/>
  <c r="N264" i="26"/>
  <c r="E255" i="26" s="1"/>
  <c r="N262" i="26"/>
  <c r="E253" i="26" s="1"/>
  <c r="N233" i="26"/>
  <c r="E224" i="26" s="1"/>
  <c r="N234" i="26"/>
  <c r="E225" i="26" s="1"/>
  <c r="N214" i="26"/>
  <c r="E205" i="26" s="1"/>
  <c r="N235" i="26"/>
  <c r="E226" i="26" s="1"/>
  <c r="N278" i="26"/>
  <c r="R295" i="26" s="1"/>
  <c r="J278" i="26"/>
  <c r="R278" i="26" a="1"/>
  <c r="C201" i="26"/>
  <c r="P184" i="26"/>
  <c r="K186" i="26"/>
  <c r="P298" i="26"/>
  <c r="P296" i="26"/>
  <c r="P299" i="26"/>
  <c r="G299" i="26" s="1"/>
  <c r="G300" i="26" s="1"/>
  <c r="P295" i="26"/>
  <c r="P297" i="26"/>
  <c r="C203" i="26"/>
  <c r="P265" i="26"/>
  <c r="G256" i="26" s="1"/>
  <c r="P210" i="26"/>
  <c r="G201" i="26" s="1"/>
  <c r="P213" i="26"/>
  <c r="G204" i="26" s="1"/>
  <c r="P264" i="26"/>
  <c r="G255" i="26" s="1"/>
  <c r="P237" i="26"/>
  <c r="P233" i="26"/>
  <c r="G224" i="26" s="1"/>
  <c r="P211" i="26"/>
  <c r="G202" i="26" s="1"/>
  <c r="P214" i="26"/>
  <c r="G205" i="26" s="1"/>
  <c r="P263" i="26"/>
  <c r="G254" i="26" s="1"/>
  <c r="P236" i="26"/>
  <c r="P266" i="26"/>
  <c r="G257" i="26" s="1"/>
  <c r="P262" i="26"/>
  <c r="G253" i="26" s="1"/>
  <c r="P212" i="26"/>
  <c r="G203" i="26" s="1"/>
  <c r="P235" i="26"/>
  <c r="G226" i="26" s="1"/>
  <c r="P234" i="26"/>
  <c r="G225" i="26" s="1"/>
  <c r="D267" i="26"/>
  <c r="E267" i="26"/>
  <c r="F267" i="26"/>
  <c r="J188" i="26"/>
  <c r="H193" i="26"/>
  <c r="H244" i="26"/>
  <c r="C257" i="26"/>
  <c r="C258" i="26" s="1"/>
  <c r="H266" i="26"/>
  <c r="J266" i="26" s="1"/>
  <c r="E302" i="26"/>
  <c r="N300" i="26" a="1"/>
  <c r="N300" i="26" s="1"/>
  <c r="N302" i="26" s="1"/>
  <c r="AR8" i="26"/>
  <c r="AS8" i="26" s="1"/>
  <c r="C224" i="26"/>
  <c r="H243" i="26"/>
  <c r="C236" i="26"/>
  <c r="G269" i="26"/>
  <c r="C202" i="26"/>
  <c r="O237" i="26"/>
  <c r="O212" i="26"/>
  <c r="F203" i="26" s="1"/>
  <c r="O210" i="26"/>
  <c r="O234" i="26"/>
  <c r="F225" i="26" s="1"/>
  <c r="O235" i="26"/>
  <c r="F226" i="26" s="1"/>
  <c r="O213" i="26"/>
  <c r="F204" i="26" s="1"/>
  <c r="O266" i="26"/>
  <c r="F257" i="26" s="1"/>
  <c r="O233" i="26"/>
  <c r="F224" i="26" s="1"/>
  <c r="O236" i="26"/>
  <c r="F227" i="26" s="1"/>
  <c r="O214" i="26"/>
  <c r="F205" i="26" s="1"/>
  <c r="O264" i="26"/>
  <c r="F255" i="26" s="1"/>
  <c r="O262" i="26"/>
  <c r="F253" i="26" s="1"/>
  <c r="O211" i="26"/>
  <c r="F202" i="26" s="1"/>
  <c r="O265" i="26"/>
  <c r="F256" i="26" s="1"/>
  <c r="O263" i="26"/>
  <c r="F254" i="26" s="1"/>
  <c r="C204" i="26"/>
  <c r="E217" i="26"/>
  <c r="H215" i="26"/>
  <c r="AT10" i="26"/>
  <c r="E180" i="26" l="1"/>
  <c r="F181" i="26"/>
  <c r="F258" i="26"/>
  <c r="F269" i="26"/>
  <c r="O267" i="26" a="1"/>
  <c r="O267" i="26" s="1"/>
  <c r="O269" i="26" s="1"/>
  <c r="E182" i="26"/>
  <c r="F201" i="26"/>
  <c r="O215" i="26" a="1"/>
  <c r="O215" i="26" s="1"/>
  <c r="O217" i="26" s="1"/>
  <c r="E269" i="26"/>
  <c r="N267" i="26" a="1"/>
  <c r="N267" i="26" s="1"/>
  <c r="N269" i="26" s="1"/>
  <c r="P300" i="26" a="1"/>
  <c r="P300" i="26" s="1"/>
  <c r="P302" i="26" s="1"/>
  <c r="G302" i="26"/>
  <c r="E181" i="26"/>
  <c r="D269" i="26"/>
  <c r="F228" i="26"/>
  <c r="F183" i="26" s="1"/>
  <c r="F247" i="26"/>
  <c r="L238" i="26" a="1"/>
  <c r="L238" i="26" s="1"/>
  <c r="L240" i="26" s="1"/>
  <c r="C240" i="26"/>
  <c r="P267" i="26" a="1"/>
  <c r="P267" i="26" s="1"/>
  <c r="P269" i="26" s="1"/>
  <c r="G206" i="26"/>
  <c r="E229" i="26"/>
  <c r="E240" i="26"/>
  <c r="N238" i="26" a="1"/>
  <c r="N238" i="26" s="1"/>
  <c r="N240" i="26" s="1"/>
  <c r="I268" i="26"/>
  <c r="J268" i="26" s="1"/>
  <c r="H217" i="26"/>
  <c r="J215" i="26"/>
  <c r="N215" i="26" a="1"/>
  <c r="N215" i="26" s="1"/>
  <c r="N217" i="26" s="1"/>
  <c r="C179" i="26"/>
  <c r="C206" i="26"/>
  <c r="E258" i="26"/>
  <c r="H267" i="26"/>
  <c r="E183" i="26"/>
  <c r="C180" i="26"/>
  <c r="C227" i="26"/>
  <c r="C182" i="26" s="1"/>
  <c r="C246" i="26"/>
  <c r="G236" i="26"/>
  <c r="G258" i="26"/>
  <c r="C183" i="26"/>
  <c r="J233" i="26"/>
  <c r="F238" i="26"/>
  <c r="C181" i="26"/>
  <c r="R280" i="26"/>
  <c r="R281" i="26"/>
  <c r="R278" i="26"/>
  <c r="R279" i="26"/>
  <c r="R282" i="26"/>
  <c r="H290" i="26"/>
  <c r="N283" i="26"/>
  <c r="J283" i="26"/>
  <c r="H285" i="26"/>
  <c r="P215" i="26" a="1"/>
  <c r="P215" i="26" s="1"/>
  <c r="P217" i="26" s="1"/>
  <c r="F182" i="26"/>
  <c r="F180" i="26"/>
  <c r="E179" i="26"/>
  <c r="E206" i="26"/>
  <c r="L295" i="26"/>
  <c r="C295" i="26" s="1"/>
  <c r="L297" i="26"/>
  <c r="C297" i="26" s="1"/>
  <c r="L299" i="26"/>
  <c r="C299" i="26" s="1"/>
  <c r="L298" i="26"/>
  <c r="C298" i="26" s="1"/>
  <c r="L296" i="26"/>
  <c r="C296" i="26" s="1"/>
  <c r="M236" i="26"/>
  <c r="D227" i="26" s="1"/>
  <c r="M211" i="26"/>
  <c r="M235" i="26"/>
  <c r="M266" i="26"/>
  <c r="M210" i="26"/>
  <c r="M234" i="26"/>
  <c r="M265" i="26"/>
  <c r="M213" i="26"/>
  <c r="M262" i="26"/>
  <c r="M237" i="26"/>
  <c r="D228" i="26" s="1"/>
  <c r="M212" i="26"/>
  <c r="M264" i="26"/>
  <c r="M214" i="26"/>
  <c r="M233" i="26"/>
  <c r="M263" i="26"/>
  <c r="M217" i="26"/>
  <c r="AT4" i="26"/>
  <c r="AT5" i="26"/>
  <c r="F229" i="26" l="1"/>
  <c r="D257" i="26"/>
  <c r="H257" i="26" s="1"/>
  <c r="Q266" i="26" a="1"/>
  <c r="Q266" i="26" s="1"/>
  <c r="S266" i="26" s="1"/>
  <c r="J267" i="26"/>
  <c r="H269" i="26"/>
  <c r="D254" i="26"/>
  <c r="H254" i="26" s="1"/>
  <c r="Q263" i="26" a="1"/>
  <c r="Q263" i="26" s="1"/>
  <c r="S263" i="26" s="1"/>
  <c r="D226" i="26"/>
  <c r="H226" i="26" s="1"/>
  <c r="Q235" i="26" a="1"/>
  <c r="Q235" i="26" s="1"/>
  <c r="S235" i="26" s="1"/>
  <c r="R283" i="26"/>
  <c r="D224" i="26"/>
  <c r="Q233" i="26" a="1"/>
  <c r="Q233" i="26" s="1"/>
  <c r="S233" i="26" s="1"/>
  <c r="D202" i="26"/>
  <c r="Q211" i="26" a="1"/>
  <c r="Q211" i="26" s="1"/>
  <c r="S211" i="26" s="1"/>
  <c r="D205" i="26"/>
  <c r="Q214" i="26" a="1"/>
  <c r="Q214" i="26" s="1"/>
  <c r="S214" i="26" s="1"/>
  <c r="D255" i="26"/>
  <c r="H255" i="26" s="1"/>
  <c r="Q264" i="26" a="1"/>
  <c r="Q264" i="26" s="1"/>
  <c r="S264" i="26" s="1"/>
  <c r="H296" i="26"/>
  <c r="J296" i="26" s="1"/>
  <c r="G246" i="26"/>
  <c r="G227" i="26"/>
  <c r="G237" i="26"/>
  <c r="G238" i="26" s="1"/>
  <c r="D203" i="26"/>
  <c r="Q212" i="26" a="1"/>
  <c r="Q212" i="26" s="1"/>
  <c r="S212" i="26" s="1"/>
  <c r="H298" i="26"/>
  <c r="J298" i="26" s="1"/>
  <c r="Q298" i="26" a="1"/>
  <c r="Q298" i="26" s="1"/>
  <c r="S298" i="26" s="1"/>
  <c r="H236" i="26"/>
  <c r="C184" i="26"/>
  <c r="H299" i="26"/>
  <c r="J299" i="26" s="1"/>
  <c r="H246" i="26"/>
  <c r="F206" i="26"/>
  <c r="F179" i="26"/>
  <c r="F184" i="26" s="1"/>
  <c r="D253" i="26"/>
  <c r="Q262" i="26" a="1"/>
  <c r="Q262" i="26" s="1"/>
  <c r="S262" i="26" s="1"/>
  <c r="H297" i="26"/>
  <c r="J297" i="26" s="1"/>
  <c r="D204" i="26"/>
  <c r="Q213" i="26" a="1"/>
  <c r="Q213" i="26" s="1"/>
  <c r="S213" i="26" s="1"/>
  <c r="Q295" i="26" a="1"/>
  <c r="Q295" i="26" s="1"/>
  <c r="S295" i="26" s="1"/>
  <c r="C300" i="26"/>
  <c r="H295" i="26"/>
  <c r="J295" i="26" s="1"/>
  <c r="Q265" i="26" a="1"/>
  <c r="Q265" i="26" s="1"/>
  <c r="S265" i="26" s="1"/>
  <c r="D256" i="26"/>
  <c r="H256" i="26" s="1"/>
  <c r="F240" i="26"/>
  <c r="O238" i="26" a="1"/>
  <c r="O238" i="26" s="1"/>
  <c r="O240" i="26" s="1"/>
  <c r="D225" i="26"/>
  <c r="H225" i="26" s="1"/>
  <c r="Q234" i="26" a="1"/>
  <c r="Q234" i="26" s="1"/>
  <c r="S234" i="26" s="1"/>
  <c r="E184" i="26"/>
  <c r="M267" i="26" a="1"/>
  <c r="M267" i="26" s="1"/>
  <c r="M269" i="26" s="1"/>
  <c r="D201" i="26"/>
  <c r="Q210" i="26" a="1"/>
  <c r="Q210" i="26" s="1"/>
  <c r="S210" i="26" s="1"/>
  <c r="C229" i="26"/>
  <c r="S269" i="26" l="1"/>
  <c r="G240" i="26"/>
  <c r="P238" i="26" a="1"/>
  <c r="P238" i="26" s="1"/>
  <c r="P240" i="26" s="1"/>
  <c r="H238" i="26"/>
  <c r="C194" i="26"/>
  <c r="C195" i="26" s="1"/>
  <c r="C186" i="26"/>
  <c r="G228" i="26"/>
  <c r="H228" i="26" s="1"/>
  <c r="G247" i="26"/>
  <c r="H247" i="26" s="1"/>
  <c r="H237" i="26"/>
  <c r="J237" i="26" s="1"/>
  <c r="Q237" i="26" a="1"/>
  <c r="Q237" i="26" s="1"/>
  <c r="S237" i="26" s="1"/>
  <c r="D182" i="26"/>
  <c r="H182" i="26" s="1"/>
  <c r="H204" i="26"/>
  <c r="H227" i="26"/>
  <c r="Q296" i="26" a="1"/>
  <c r="Q296" i="26" s="1"/>
  <c r="S296" i="26" s="1"/>
  <c r="J236" i="26"/>
  <c r="E194" i="26"/>
  <c r="E195" i="26" s="1"/>
  <c r="E186" i="26"/>
  <c r="D229" i="26"/>
  <c r="H224" i="26"/>
  <c r="Q299" i="26" a="1"/>
  <c r="Q299" i="26" s="1"/>
  <c r="S299" i="26" s="1"/>
  <c r="Q297" i="26" a="1"/>
  <c r="Q297" i="26" s="1"/>
  <c r="S297" i="26" s="1"/>
  <c r="D183" i="26"/>
  <c r="H183" i="26" s="1"/>
  <c r="H205" i="26"/>
  <c r="D258" i="26"/>
  <c r="H253" i="26"/>
  <c r="F194" i="26"/>
  <c r="F195" i="26" s="1"/>
  <c r="F186" i="26"/>
  <c r="D181" i="26"/>
  <c r="H181" i="26" s="1"/>
  <c r="H203" i="26"/>
  <c r="S217" i="26"/>
  <c r="J301" i="26"/>
  <c r="J300" i="26"/>
  <c r="D179" i="26"/>
  <c r="D206" i="26"/>
  <c r="H201" i="26"/>
  <c r="C302" i="26"/>
  <c r="L300" i="26" a="1"/>
  <c r="L300" i="26" s="1"/>
  <c r="L302" i="26" s="1"/>
  <c r="Q236" i="26" a="1"/>
  <c r="Q236" i="26" s="1"/>
  <c r="S236" i="26" s="1"/>
  <c r="D180" i="26"/>
  <c r="H180" i="26" s="1"/>
  <c r="H202" i="26"/>
  <c r="G229" i="26" l="1"/>
  <c r="S240" i="26"/>
  <c r="D184" i="26"/>
  <c r="H179" i="26"/>
  <c r="Q181" i="26"/>
  <c r="R181" i="26" s="1"/>
  <c r="J181" i="26"/>
  <c r="Q180" i="26"/>
  <c r="R180" i="26" s="1"/>
  <c r="J180" i="26"/>
  <c r="Q183" i="26"/>
  <c r="R183" i="26" s="1"/>
  <c r="J183" i="26"/>
  <c r="H240" i="26"/>
  <c r="J238" i="26"/>
  <c r="I239" i="26"/>
  <c r="J239" i="26" s="1"/>
  <c r="J182" i="26"/>
  <c r="Q182" i="26"/>
  <c r="R182" i="26" s="1"/>
  <c r="X179" i="26" l="1" a="1"/>
  <c r="H184" i="26"/>
  <c r="J179" i="26"/>
  <c r="Q179" i="26"/>
  <c r="R179" i="26" s="1"/>
  <c r="D186" i="26"/>
  <c r="D194" i="26"/>
  <c r="D195" i="26" s="1"/>
  <c r="H194" i="26" l="1"/>
  <c r="H195" i="26" s="1"/>
  <c r="Q184" i="26"/>
  <c r="R184" i="26" s="1"/>
  <c r="J184" i="26"/>
  <c r="H186" i="26"/>
  <c r="X182" i="26"/>
  <c r="X183" i="26"/>
  <c r="X181" i="26"/>
  <c r="X180" i="26"/>
  <c r="X179" i="26"/>
  <c r="X184" i="26" l="1"/>
</calcChain>
</file>

<file path=xl/sharedStrings.xml><?xml version="1.0" encoding="utf-8"?>
<sst xmlns="http://schemas.openxmlformats.org/spreadsheetml/2006/main" count="1930" uniqueCount="542">
  <si>
    <t>S11</t>
  </si>
  <si>
    <t>S12</t>
  </si>
  <si>
    <t>S13</t>
  </si>
  <si>
    <t>S14</t>
  </si>
  <si>
    <t>S15</t>
  </si>
  <si>
    <t>S2</t>
  </si>
  <si>
    <t>Emplois</t>
  </si>
  <si>
    <t>Économie nationale</t>
  </si>
  <si>
    <t>Sociétés non financières</t>
  </si>
  <si>
    <t>Sociétés financières</t>
  </si>
  <si>
    <t>Administra-tions publiques</t>
  </si>
  <si>
    <t>Ménages</t>
  </si>
  <si>
    <t>Institutions sans but lucratif</t>
  </si>
  <si>
    <t>Reste du Monde</t>
  </si>
  <si>
    <t>Biens et Services</t>
  </si>
  <si>
    <t>Total</t>
  </si>
  <si>
    <t>P6</t>
  </si>
  <si>
    <t>P7</t>
  </si>
  <si>
    <t>P1</t>
  </si>
  <si>
    <t>Production</t>
  </si>
  <si>
    <t>P11</t>
  </si>
  <si>
    <t>P12</t>
  </si>
  <si>
    <t>P13</t>
  </si>
  <si>
    <t>P2</t>
  </si>
  <si>
    <t>Consommation intermédiaire</t>
  </si>
  <si>
    <t>D21N</t>
  </si>
  <si>
    <t>Impôts moins subventions sur les produits</t>
  </si>
  <si>
    <t>B11</t>
  </si>
  <si>
    <t>Solde extérieur de biens et services</t>
  </si>
  <si>
    <t>Compte d'exploitation</t>
  </si>
  <si>
    <t>D1</t>
  </si>
  <si>
    <t>Rémunération des salariés</t>
  </si>
  <si>
    <t>D11</t>
  </si>
  <si>
    <t>D12</t>
  </si>
  <si>
    <t>D2</t>
  </si>
  <si>
    <t>Impôts sur la production et les importations</t>
  </si>
  <si>
    <t>D21</t>
  </si>
  <si>
    <t>D29</t>
  </si>
  <si>
    <t>D3</t>
  </si>
  <si>
    <t>Subventions</t>
  </si>
  <si>
    <t>D31</t>
  </si>
  <si>
    <t>D39</t>
  </si>
  <si>
    <t>B2</t>
  </si>
  <si>
    <t>Excédent brut d'exploitation</t>
  </si>
  <si>
    <t>B3</t>
  </si>
  <si>
    <t>Revenu mixte brut</t>
  </si>
  <si>
    <t>Compte d'affectation des revenus primaires</t>
  </si>
  <si>
    <t>D4</t>
  </si>
  <si>
    <t>Revenus de la propriété</t>
  </si>
  <si>
    <t>D41</t>
  </si>
  <si>
    <t>D42</t>
  </si>
  <si>
    <t>D43</t>
  </si>
  <si>
    <t>D44</t>
  </si>
  <si>
    <t>D45</t>
  </si>
  <si>
    <t>Compte de distribution secondaire du revenu</t>
  </si>
  <si>
    <t>D5</t>
  </si>
  <si>
    <t>Impôts courants sur le revenu et le patrimoine</t>
  </si>
  <si>
    <t>D61</t>
  </si>
  <si>
    <t>Cotisations sociales</t>
  </si>
  <si>
    <t>D611</t>
  </si>
  <si>
    <t>D612</t>
  </si>
  <si>
    <t>D62</t>
  </si>
  <si>
    <t>D7</t>
  </si>
  <si>
    <t>Autres transferts courants</t>
  </si>
  <si>
    <t>D71</t>
  </si>
  <si>
    <t>D72</t>
  </si>
  <si>
    <t>D73</t>
  </si>
  <si>
    <t>D74</t>
  </si>
  <si>
    <t>D75</t>
  </si>
  <si>
    <t>B6</t>
  </si>
  <si>
    <t>Revenu disponible brut</t>
  </si>
  <si>
    <t>Compte d'utilisation du revenu</t>
  </si>
  <si>
    <t>P3</t>
  </si>
  <si>
    <t>Dépense de consommation finale</t>
  </si>
  <si>
    <t>P31</t>
  </si>
  <si>
    <t>P32</t>
  </si>
  <si>
    <t>Ou : redistribution du revenu en nature</t>
  </si>
  <si>
    <t>D631</t>
  </si>
  <si>
    <t>Prestations sociales en nature</t>
  </si>
  <si>
    <t>D632</t>
  </si>
  <si>
    <t>P4</t>
  </si>
  <si>
    <t>Consommation finale effective</t>
  </si>
  <si>
    <t>B8</t>
  </si>
  <si>
    <t>Epargne brute</t>
  </si>
  <si>
    <t>B12</t>
  </si>
  <si>
    <t>Solde extérieur courant</t>
  </si>
  <si>
    <t>Compte de capital</t>
  </si>
  <si>
    <t>D9C</t>
  </si>
  <si>
    <t>Transferts en capital à recevoir</t>
  </si>
  <si>
    <t>D9D</t>
  </si>
  <si>
    <t>Transferts en capital à payer</t>
  </si>
  <si>
    <t>P51</t>
  </si>
  <si>
    <t>Formation brute de capital fixe</t>
  </si>
  <si>
    <t>P511</t>
  </si>
  <si>
    <t>P512</t>
  </si>
  <si>
    <t>P52</t>
  </si>
  <si>
    <t>Variations des stocks</t>
  </si>
  <si>
    <t>P53</t>
  </si>
  <si>
    <t>B9A</t>
  </si>
  <si>
    <t>Capacité (+) ou besoin  (-) de financement</t>
  </si>
  <si>
    <t>B0</t>
  </si>
  <si>
    <t>B9B</t>
  </si>
  <si>
    <t>Compte financier</t>
  </si>
  <si>
    <t>F1</t>
  </si>
  <si>
    <t>Or monétaire et droits de tirage spéciaux</t>
  </si>
  <si>
    <t>F2</t>
  </si>
  <si>
    <t>Numéraire et dépôts</t>
  </si>
  <si>
    <t>F3</t>
  </si>
  <si>
    <t>Titres autres qu'actions</t>
  </si>
  <si>
    <t>F4</t>
  </si>
  <si>
    <t>Crédits</t>
  </si>
  <si>
    <t>F5</t>
  </si>
  <si>
    <t>Actions et participations</t>
  </si>
  <si>
    <t>F6</t>
  </si>
  <si>
    <t>Provisions techniques d'assurance</t>
  </si>
  <si>
    <t>F7</t>
  </si>
  <si>
    <t>F</t>
  </si>
  <si>
    <t>Administra- tions publiques</t>
  </si>
  <si>
    <t>Ressources</t>
  </si>
  <si>
    <t>Non ventilé</t>
  </si>
  <si>
    <t>Exportations de biens et services</t>
  </si>
  <si>
    <t>Importations de biens et services</t>
  </si>
  <si>
    <t>K1</t>
  </si>
  <si>
    <t>Consommation de capital fixe</t>
  </si>
  <si>
    <t>B2n</t>
  </si>
  <si>
    <t>B3n</t>
  </si>
  <si>
    <t>Excédent net d'exploitation</t>
  </si>
  <si>
    <t>Revenu mixte net</t>
  </si>
  <si>
    <t>B6n</t>
  </si>
  <si>
    <t>Revenu disponible net</t>
  </si>
  <si>
    <t>B7</t>
  </si>
  <si>
    <t>B7n</t>
  </si>
  <si>
    <t>Revenu disponible ajusté brut</t>
  </si>
  <si>
    <t>Revenu disponible ajusté net</t>
  </si>
  <si>
    <t>B8n</t>
  </si>
  <si>
    <t>Epargne nette</t>
  </si>
  <si>
    <t>Variation d'actifs / Actifs</t>
  </si>
  <si>
    <t>Acquisitions nettes d'actifs fixes corporels</t>
  </si>
  <si>
    <t>Acquisitions nettes d'actifs fixes incorporels</t>
  </si>
  <si>
    <t>Acquisitions nettes d'objets de valeur</t>
  </si>
  <si>
    <t>Acquisitions nettes d'actifs non produits</t>
  </si>
  <si>
    <t>Autres changements de volume et ajustements</t>
  </si>
  <si>
    <t>AN</t>
  </si>
  <si>
    <t>Actifs non financiers</t>
  </si>
  <si>
    <t>AN1</t>
  </si>
  <si>
    <t xml:space="preserve">   Actifs produits</t>
  </si>
  <si>
    <t>AN11</t>
  </si>
  <si>
    <t xml:space="preserve">      Actifs fixes</t>
  </si>
  <si>
    <t>AN111</t>
  </si>
  <si>
    <t>AN112</t>
  </si>
  <si>
    <t>AN12</t>
  </si>
  <si>
    <t xml:space="preserve">      Stocks</t>
  </si>
  <si>
    <t>AN13</t>
  </si>
  <si>
    <t xml:space="preserve">      Objets de valeur</t>
  </si>
  <si>
    <t xml:space="preserve">   Actifs non produits</t>
  </si>
  <si>
    <t>AF</t>
  </si>
  <si>
    <t>Actifs financiers</t>
  </si>
  <si>
    <t>AF1</t>
  </si>
  <si>
    <t>AF2</t>
  </si>
  <si>
    <t>AF3</t>
  </si>
  <si>
    <t>AF4</t>
  </si>
  <si>
    <t>AF5</t>
  </si>
  <si>
    <t>Actions et autres participations</t>
  </si>
  <si>
    <t>AF6</t>
  </si>
  <si>
    <t>AF7</t>
  </si>
  <si>
    <t>Réévaluations</t>
  </si>
  <si>
    <t>Patrimoine de clôture</t>
  </si>
  <si>
    <t>Total des actifs</t>
  </si>
  <si>
    <t>Passifs financiers</t>
  </si>
  <si>
    <t>B90</t>
  </si>
  <si>
    <t>Valeur nette / Patrimoine</t>
  </si>
  <si>
    <t>Total des passifs et valeur nette</t>
  </si>
  <si>
    <t xml:space="preserve">Autres comptes à recevoir </t>
  </si>
  <si>
    <t>Autres comptes à payer</t>
  </si>
  <si>
    <t>Variation de passifs / Passifs</t>
  </si>
  <si>
    <t xml:space="preserve">  Acquisitions nettes d'actifs fixes incorporels</t>
  </si>
  <si>
    <t xml:space="preserve">  Acquisitions nettes d'actifs fixes corporels</t>
  </si>
  <si>
    <t xml:space="preserve">        Actifs fixes corporels</t>
  </si>
  <si>
    <t xml:space="preserve">        Actifs fixes incorporels</t>
  </si>
  <si>
    <t xml:space="preserve">  Production marchande</t>
  </si>
  <si>
    <t xml:space="preserve">  Production pour emploi final propre</t>
  </si>
  <si>
    <t xml:space="preserve">  Autre production non marchande</t>
  </si>
  <si>
    <t xml:space="preserve">  Cotisations sociales employeurs</t>
  </si>
  <si>
    <t xml:space="preserve">  Salaires et traitements</t>
  </si>
  <si>
    <t xml:space="preserve">  Impôts sur les produits</t>
  </si>
  <si>
    <t xml:space="preserve">  Impôts sur la production</t>
  </si>
  <si>
    <t xml:space="preserve">  Subventions sur les produits</t>
  </si>
  <si>
    <t xml:space="preserve">  Subventions d'exploitation</t>
  </si>
  <si>
    <t xml:space="preserve">  Intérêts</t>
  </si>
  <si>
    <t xml:space="preserve">  Revenus distribués des sociétés</t>
  </si>
  <si>
    <t xml:space="preserve">  Bénéfices réinvestis d'invest. directs étrangers</t>
  </si>
  <si>
    <t xml:space="preserve">  Revenus de la propriété attribués aux assurés</t>
  </si>
  <si>
    <t xml:space="preserve">  Revenus des terrains et gisements</t>
  </si>
  <si>
    <t xml:space="preserve">  Cotisations sociales effectives</t>
  </si>
  <si>
    <t xml:space="preserve">  Cotisations sociales imputées</t>
  </si>
  <si>
    <t xml:space="preserve">  Primes nettes d'assurance dommage</t>
  </si>
  <si>
    <t xml:space="preserve">  Indemnités d'assurance dommage</t>
  </si>
  <si>
    <t xml:space="preserve">  Transferts courants entre administrations publiques</t>
  </si>
  <si>
    <t xml:space="preserve">  Coopération internationale courante</t>
  </si>
  <si>
    <t xml:space="preserve">  Transferts courants divers</t>
  </si>
  <si>
    <t xml:space="preserve">  Dépense de consommation finale individuelle</t>
  </si>
  <si>
    <t xml:space="preserve">  Dépense de consommation finale collective</t>
  </si>
  <si>
    <t xml:space="preserve">      Actifs incorporels non produits</t>
  </si>
  <si>
    <t>S1</t>
  </si>
  <si>
    <t>Ajust. comptes non financiers et financiers</t>
  </si>
  <si>
    <t xml:space="preserve">  Acquisitions nettes d'actifs incorp. non produits</t>
  </si>
  <si>
    <t xml:space="preserve">  Acquisitions nettes de terrains et gisements</t>
  </si>
  <si>
    <t xml:space="preserve">      Terrains et gisements</t>
  </si>
  <si>
    <t>PF</t>
  </si>
  <si>
    <t>PF1</t>
  </si>
  <si>
    <t>PF2</t>
  </si>
  <si>
    <t>PF3</t>
  </si>
  <si>
    <t>PF4</t>
  </si>
  <si>
    <t>PF5</t>
  </si>
  <si>
    <t>PF6</t>
  </si>
  <si>
    <t>PF7</t>
  </si>
  <si>
    <t>En milliards d'Euros</t>
  </si>
  <si>
    <t>K2</t>
  </si>
  <si>
    <t>K21</t>
  </si>
  <si>
    <t>K22</t>
  </si>
  <si>
    <t>AN21</t>
  </si>
  <si>
    <t>AN22</t>
  </si>
  <si>
    <t>AN2</t>
  </si>
  <si>
    <t>B1n/PIN</t>
  </si>
  <si>
    <t>TABLEAU ECONOMIQUE D'ENSEMBLE</t>
  </si>
  <si>
    <t>Organisation du TEE</t>
  </si>
  <si>
    <t>Emplois / Actifs</t>
  </si>
  <si>
    <t>Unité : Milliards d'euros</t>
  </si>
  <si>
    <t>Ressources / Passifs</t>
  </si>
  <si>
    <t>TEE Complet</t>
  </si>
  <si>
    <t>B90 + PF5</t>
  </si>
  <si>
    <t>Fonds propres</t>
  </si>
  <si>
    <t>Transf. de biens et serv. non march. individuels</t>
  </si>
  <si>
    <t>B1/PIB</t>
  </si>
  <si>
    <t>Prest. soc. autres que transf. sociaux en nature</t>
  </si>
  <si>
    <t>Total des flux nets d'actifs financiers</t>
  </si>
  <si>
    <t>Total des flux nets de passifs financiers</t>
  </si>
  <si>
    <t>Solde des flux nets d'act. et pas. financiers</t>
  </si>
  <si>
    <t xml:space="preserve">  Transf. courants entre administrations publiques</t>
  </si>
  <si>
    <t>Solde des revenus primaires bruts/RNB</t>
  </si>
  <si>
    <t>Solde des revenus primaires nets/RNN</t>
  </si>
  <si>
    <t>Compte de prod. et compte ext. de biens et services</t>
  </si>
  <si>
    <t>Impôts - subventions sur produits</t>
  </si>
  <si>
    <t>Année 2006</t>
  </si>
  <si>
    <t>Source : Comptes nationaux - Base 2005, Insee</t>
  </si>
  <si>
    <t>Valeur ajoutée brute/PIB</t>
  </si>
  <si>
    <t>Valeur ajoutée nette/PIN</t>
  </si>
  <si>
    <t>B5/RNB</t>
  </si>
  <si>
    <t>B5n/RNN</t>
  </si>
  <si>
    <t>Tableau Economique d'Ensemble : comptes courants de l'année 2006 base 2005</t>
  </si>
  <si>
    <t>Tableau Economique d'Ensemble : comptes d'accumulation et de patrimoine de l'année 2006 base 2005</t>
  </si>
  <si>
    <t>RDB=</t>
  </si>
  <si>
    <t>Versé par activité dom</t>
  </si>
  <si>
    <t>Versés par RDM</t>
  </si>
  <si>
    <t>Versés au RDM</t>
  </si>
  <si>
    <t>+Rem Salariale (sal brut +CSE)</t>
  </si>
  <si>
    <t>-CS</t>
  </si>
  <si>
    <t>Reçus</t>
  </si>
  <si>
    <t>Versés</t>
  </si>
  <si>
    <t>+Rev Propriete Net</t>
  </si>
  <si>
    <t>+Autres transferts courants (net)</t>
  </si>
  <si>
    <t>+PRESTSOC</t>
  </si>
  <si>
    <t>-Impôt Rev &amp; patrimoine</t>
  </si>
  <si>
    <t>Tx CotSalariés</t>
  </si>
  <si>
    <t>Tx Cot_NonSalariés</t>
  </si>
  <si>
    <t>Tx IR</t>
  </si>
  <si>
    <t>Tx CotEmployeur</t>
  </si>
  <si>
    <t>7.401 Compte des ménages (S14)</t>
  </si>
  <si>
    <t xml:space="preserve"> </t>
  </si>
  <si>
    <t>Compte de production</t>
  </si>
  <si>
    <t>Production au prix de base</t>
  </si>
  <si>
    <t>Production marchande</t>
  </si>
  <si>
    <t>Production pour emploi final propre</t>
  </si>
  <si>
    <t>B1</t>
  </si>
  <si>
    <t>Valeur ajoutée brute</t>
  </si>
  <si>
    <t>Salaires et traitements bruts</t>
  </si>
  <si>
    <t>D121</t>
  </si>
  <si>
    <t>Cotisations soc. effectives à la charge des employeurs</t>
  </si>
  <si>
    <t>D122</t>
  </si>
  <si>
    <t>Cotisations soc. imputées à la charge des employeurs</t>
  </si>
  <si>
    <t>Impôts sur la production</t>
  </si>
  <si>
    <t>D291</t>
  </si>
  <si>
    <t>Impôts sur les salaires et la main d'oeuvre</t>
  </si>
  <si>
    <t>D292</t>
  </si>
  <si>
    <t>Impôts divers sur la production</t>
  </si>
  <si>
    <t>Subventions d'exploitation</t>
  </si>
  <si>
    <t>B2+B3</t>
  </si>
  <si>
    <t>Excédent brut d'exploitation et revenu mixte</t>
  </si>
  <si>
    <t>Revenu mixte</t>
  </si>
  <si>
    <t>Intérêts</t>
  </si>
  <si>
    <t>Revenus distribués des sociétés</t>
  </si>
  <si>
    <t>D421</t>
  </si>
  <si>
    <t>Dividendes</t>
  </si>
  <si>
    <t>D4222</t>
  </si>
  <si>
    <t>Autres revenus distribués des sociétés</t>
  </si>
  <si>
    <t>Revenus de la propriété attribués aux assurés</t>
  </si>
  <si>
    <t>Revenus des terrains et gisements</t>
  </si>
  <si>
    <t>B5</t>
  </si>
  <si>
    <t>Solde des revenus primaires</t>
  </si>
  <si>
    <t>Prestations sociales autres que transferts sociaux en nature</t>
  </si>
  <si>
    <t>D621</t>
  </si>
  <si>
    <t>Prestations de sécurité soc. autres que trsf. soc. en nature</t>
  </si>
  <si>
    <t>D622</t>
  </si>
  <si>
    <t>Prestations d'assurance sociale de régimes privés</t>
  </si>
  <si>
    <t>D623</t>
  </si>
  <si>
    <t>Prestations d'assurance sociale directe d'employeurs</t>
  </si>
  <si>
    <t>D624</t>
  </si>
  <si>
    <t>Prestations d'assistance sociale en espèces</t>
  </si>
  <si>
    <t>Indemnités d'assurance dommage</t>
  </si>
  <si>
    <t>Transferts courants divers reçus</t>
  </si>
  <si>
    <t>D752</t>
  </si>
  <si>
    <t>Transferts courants entre ménages</t>
  </si>
  <si>
    <t>D759</t>
  </si>
  <si>
    <t>Autres transferts courants divers</t>
  </si>
  <si>
    <t>D51</t>
  </si>
  <si>
    <t>Impôts sur le revenu</t>
  </si>
  <si>
    <t>D59</t>
  </si>
  <si>
    <t>Autres impôts courants</t>
  </si>
  <si>
    <t>D6111</t>
  </si>
  <si>
    <t>Cotisations sociales effectives à la charge des employeurs</t>
  </si>
  <si>
    <t>D6112</t>
  </si>
  <si>
    <t>Cotisations sociales à la charge des salariés</t>
  </si>
  <si>
    <t>D6113</t>
  </si>
  <si>
    <t>Cotisations des non salariés</t>
  </si>
  <si>
    <t>Cotisations sociales imputées</t>
  </si>
  <si>
    <t>Primes nettes d'assurance dommage</t>
  </si>
  <si>
    <t>Transferts courants divers versés</t>
  </si>
  <si>
    <t>D751</t>
  </si>
  <si>
    <t>Transferts courants aux ISBLSM</t>
  </si>
  <si>
    <t>D754</t>
  </si>
  <si>
    <t>Amendes et pénalités</t>
  </si>
  <si>
    <t>Dépense de consommation finale individuelle</t>
  </si>
  <si>
    <t>Epargne</t>
  </si>
  <si>
    <t>Transferts en capital reçus</t>
  </si>
  <si>
    <t>D92C</t>
  </si>
  <si>
    <t>Aides à l'investissement</t>
  </si>
  <si>
    <t>D99C</t>
  </si>
  <si>
    <t>Autres transferts en capital reçus</t>
  </si>
  <si>
    <t>Transferts en capital versés</t>
  </si>
  <si>
    <t>D91D</t>
  </si>
  <si>
    <t>Impôts en capital</t>
  </si>
  <si>
    <t>D92D</t>
  </si>
  <si>
    <t>D99D</t>
  </si>
  <si>
    <t>Autres transferts en capital versés</t>
  </si>
  <si>
    <t>Variations de stocks</t>
  </si>
  <si>
    <t>Acq. moins cess. d'objets de valeur</t>
  </si>
  <si>
    <t>Acq. moins cess. d'actifs non financiers non produits</t>
  </si>
  <si>
    <t>Capacité (+) ou besoin (-) de financement</t>
  </si>
  <si>
    <t>Compte de redistribution du revenu en nature</t>
  </si>
  <si>
    <t>D63</t>
  </si>
  <si>
    <t>Transferts sociaux en nature</t>
  </si>
  <si>
    <t>D6311</t>
  </si>
  <si>
    <t>Remboursements de prestations de sécurité sociale</t>
  </si>
  <si>
    <t>D6312</t>
  </si>
  <si>
    <t>Autres prestations de sécurité sociale en nature</t>
  </si>
  <si>
    <t>D6313</t>
  </si>
  <si>
    <t>Prestations d'assistance sociale en nature</t>
  </si>
  <si>
    <t>Transferts de biens et services non marchands individuels</t>
  </si>
  <si>
    <t>Revenu disponible ajusté</t>
  </si>
  <si>
    <t>Compte d'utilisation du revenu disponible ajusté</t>
  </si>
  <si>
    <t>Milliards d'euros</t>
  </si>
  <si>
    <r>
      <t xml:space="preserve">TABLEAU ENTREES SORTIES </t>
    </r>
    <r>
      <rPr>
        <sz val="12"/>
        <rFont val="Arial"/>
        <family val="2"/>
      </rPr>
      <t>en 17 postes</t>
    </r>
  </si>
  <si>
    <t xml:space="preserve">La nouvelle présentation vous permet:                        </t>
  </si>
  <si>
    <t xml:space="preserve"> - de vous déplacer dans le tableau en cliquant sur les liens figurant dans la partie gauche. </t>
  </si>
  <si>
    <t>Organisation du TES</t>
  </si>
  <si>
    <t>Tableau des ressources en produits</t>
  </si>
  <si>
    <t>Tableau des entrées intermédiaires</t>
  </si>
  <si>
    <t>Tableau des emplois finals</t>
  </si>
  <si>
    <t>cliquez sur le compte que vous voulez consulter</t>
  </si>
  <si>
    <t xml:space="preserve"> - de modifier l'affichage afin d'avoir une vision d'ensemble puis de revenir à un affichage normal</t>
  </si>
  <si>
    <t>Compte de production par branche</t>
  </si>
  <si>
    <t>Compte d'exploitation par branche</t>
  </si>
  <si>
    <t>TABLEAU DES RESSOURCES EN PRODUITS</t>
  </si>
  <si>
    <t>TABLEAU DES ENTREES INTERMEDIAIRES</t>
  </si>
  <si>
    <t>TABLEAU DES EMPLOIS FINALS</t>
  </si>
  <si>
    <t>Dépenses de consommation finale</t>
  </si>
  <si>
    <t xml:space="preserve">Formation brute de capital fixe </t>
  </si>
  <si>
    <t>Production des produits (1)</t>
  </si>
  <si>
    <t xml:space="preserve">Importations de biens    </t>
  </si>
  <si>
    <t>Importations de services</t>
  </si>
  <si>
    <t>Total des importations</t>
  </si>
  <si>
    <t>Correction CAF/FAB</t>
  </si>
  <si>
    <t>TOTAL DES RESSOURCES (2)</t>
  </si>
  <si>
    <t>Marges commerciales</t>
  </si>
  <si>
    <t>Marges de transport</t>
  </si>
  <si>
    <t>Impôts sur produits - total -</t>
  </si>
  <si>
    <t>dont TVA</t>
  </si>
  <si>
    <t>Subventions sur produits</t>
  </si>
  <si>
    <t>TOTAL DES RESSOURCES (3)</t>
  </si>
  <si>
    <t>BRANCHES</t>
  </si>
  <si>
    <t>AZ</t>
  </si>
  <si>
    <t>DE</t>
  </si>
  <si>
    <t>C1</t>
  </si>
  <si>
    <t>C2</t>
  </si>
  <si>
    <t>C3</t>
  </si>
  <si>
    <t>C4</t>
  </si>
  <si>
    <t>C5</t>
  </si>
  <si>
    <t>FZ</t>
  </si>
  <si>
    <t>GZ</t>
  </si>
  <si>
    <t>HZ</t>
  </si>
  <si>
    <t>IZ</t>
  </si>
  <si>
    <t>JZ</t>
  </si>
  <si>
    <t>KZ</t>
  </si>
  <si>
    <t>LZ</t>
  </si>
  <si>
    <t>MN</t>
  </si>
  <si>
    <t>OQ</t>
  </si>
  <si>
    <t>RU</t>
  </si>
  <si>
    <t>TOTAL</t>
  </si>
  <si>
    <t>Collective APU</t>
  </si>
  <si>
    <t>Individuelle APU</t>
  </si>
  <si>
    <t>Total APU</t>
  </si>
  <si>
    <t>ISBLSM</t>
  </si>
  <si>
    <t>DEPENSE TOTALE</t>
  </si>
  <si>
    <t>SNFEI</t>
  </si>
  <si>
    <t>Ménages hors EI</t>
  </si>
  <si>
    <t>SFEI</t>
  </si>
  <si>
    <t>APU</t>
  </si>
  <si>
    <t>FBCF TOTALE</t>
  </si>
  <si>
    <t>Objets de valeur</t>
  </si>
  <si>
    <t>Variation de stocks</t>
  </si>
  <si>
    <t xml:space="preserve">FBC totale </t>
  </si>
  <si>
    <t xml:space="preserve">Exportations </t>
  </si>
  <si>
    <t>Total des emplois finals</t>
  </si>
  <si>
    <t>PRODUITS</t>
  </si>
  <si>
    <t>Agriculture, sylviculture et pêche</t>
  </si>
  <si>
    <t>Industries extractives, énergie, eau, gestion des déchets et dépollution</t>
  </si>
  <si>
    <t>Fabrication de denrées alimentaires, de boissons et de produits à base de tabac</t>
  </si>
  <si>
    <t>Cokéfaction et raffinage</t>
  </si>
  <si>
    <t>Fabrication d'équipements électriques, électroniques, informatiques ; fabrication de machines</t>
  </si>
  <si>
    <t>Fabrication de matériels de transport</t>
  </si>
  <si>
    <t>Fabrication d'autres produits industriels</t>
  </si>
  <si>
    <t>Construction</t>
  </si>
  <si>
    <t>Commerce ; réparation d'automobiles et de motocycles</t>
  </si>
  <si>
    <t>Transports et entreposage</t>
  </si>
  <si>
    <t>Hébergement et restauration</t>
  </si>
  <si>
    <t>Information et communication</t>
  </si>
  <si>
    <t>Activités financières et d'assurance</t>
  </si>
  <si>
    <t>Activités immobilières</t>
  </si>
  <si>
    <t>Activités spécialisées, scientifiques et techniques et activités de services administratifs et de soutien</t>
  </si>
  <si>
    <t>Administration publique, enseignement, santé humaine et action sociale</t>
  </si>
  <si>
    <t>Autres activités de services</t>
  </si>
  <si>
    <t>PCHTR</t>
  </si>
  <si>
    <t>Correction territoriale</t>
  </si>
  <si>
    <t>PCAFAB</t>
  </si>
  <si>
    <t xml:space="preserve">(1) Production au prix de base </t>
  </si>
  <si>
    <t xml:space="preserve">(2) Total des ressources au prix de base </t>
  </si>
  <si>
    <t xml:space="preserve">(3) Total des ressources au prix d'acquisition </t>
  </si>
  <si>
    <t>COMPTE DE PRODUCTION PAR BRANCHE</t>
  </si>
  <si>
    <t>Conso. intermédiaire</t>
  </si>
  <si>
    <t xml:space="preserve">Valeur ajoutée </t>
  </si>
  <si>
    <t>PROD. DES BRANCHES</t>
  </si>
  <si>
    <t xml:space="preserve"> Prod. marchande </t>
  </si>
  <si>
    <t xml:space="preserve"> Prod. pour emploi final propre </t>
  </si>
  <si>
    <t>Autre prod. non marchande</t>
  </si>
  <si>
    <t>TR12</t>
  </si>
  <si>
    <t>Transferts agricoles</t>
  </si>
  <si>
    <t>TR13</t>
  </si>
  <si>
    <t>Transf. ventes résiduelles</t>
  </si>
  <si>
    <t>TR10</t>
  </si>
  <si>
    <t>Total des transferts</t>
  </si>
  <si>
    <t>PRODUCTION DES PRODUITS</t>
  </si>
  <si>
    <t>COMPTE D'EXPLOITATION PAR BRANCHE</t>
  </si>
  <si>
    <t>VALEUR AJOUTEE</t>
  </si>
  <si>
    <t xml:space="preserve">D1 </t>
  </si>
  <si>
    <t>B2 ou B3</t>
  </si>
  <si>
    <t>EBE ou revenu mixte (1)</t>
  </si>
  <si>
    <t>Autres impôts sur la prod.</t>
  </si>
  <si>
    <t>(1) EBE : excédent brut d'exploitation</t>
  </si>
  <si>
    <t>SB</t>
  </si>
  <si>
    <t>-CS_Salaries</t>
  </si>
  <si>
    <t>-CS_NonSalaries</t>
  </si>
  <si>
    <t>CSE (effective +imputée)</t>
  </si>
  <si>
    <t>-CSE (effective +imputée)</t>
  </si>
  <si>
    <t>Part SB dans RS</t>
  </si>
  <si>
    <t>Part SN dans RS</t>
  </si>
  <si>
    <t>-IR</t>
  </si>
  <si>
    <t>-Autres Impôts</t>
  </si>
  <si>
    <t>Verif SAM</t>
  </si>
  <si>
    <t>+PRESTSOC (net)</t>
  </si>
  <si>
    <t>RD avant Impot, interest versés</t>
  </si>
  <si>
    <t>APU+ISBL</t>
  </si>
  <si>
    <t>SNF</t>
  </si>
  <si>
    <t>HSH</t>
  </si>
  <si>
    <t>GOV</t>
  </si>
  <si>
    <t>ROW</t>
  </si>
  <si>
    <t>BANK</t>
  </si>
  <si>
    <t>Total versé</t>
  </si>
  <si>
    <t>Total reçu</t>
  </si>
  <si>
    <t>Reçu-Versés (Excédent si &gt;0)</t>
  </si>
  <si>
    <t>Verif</t>
  </si>
  <si>
    <t>Ecart</t>
  </si>
  <si>
    <t>PASSIF NET</t>
  </si>
  <si>
    <t>Tx interet (crédit+obligation)</t>
  </si>
  <si>
    <t>"Tx interet" (action)</t>
  </si>
  <si>
    <t>Tx interet (crédit+obligation+depot)</t>
  </si>
  <si>
    <t>Payés</t>
  </si>
  <si>
    <t>Ecart taux reçu - payé</t>
  </si>
  <si>
    <t>Ressources inversé</t>
  </si>
  <si>
    <t>Net versé</t>
  </si>
  <si>
    <t>Crediteur (-)</t>
  </si>
  <si>
    <t>Debiteur (+)</t>
  </si>
  <si>
    <t>TEE</t>
  </si>
  <si>
    <t>Ecart EI</t>
  </si>
  <si>
    <t>Part menage dans :</t>
  </si>
  <si>
    <t>SF</t>
  </si>
  <si>
    <t>PASSIF dont:</t>
  </si>
  <si>
    <t>Verif Target</t>
  </si>
  <si>
    <t>Verif target</t>
  </si>
  <si>
    <t>ACTIF total dont:</t>
  </si>
  <si>
    <t>Depot</t>
  </si>
  <si>
    <t>Oblig</t>
  </si>
  <si>
    <t>credit</t>
  </si>
  <si>
    <t>Taux d'intétêt moyen</t>
  </si>
  <si>
    <t>Tx intérêt moyen</t>
  </si>
  <si>
    <t>PASSIF:</t>
  </si>
  <si>
    <t>Taux d'intétêt/rendement moyen</t>
  </si>
  <si>
    <t>ACTIF :</t>
  </si>
  <si>
    <t>Action</t>
  </si>
  <si>
    <t>Taux de déclassement (actif fixe)</t>
  </si>
  <si>
    <t>Taux Impot revenu &amp; patrimoine</t>
  </si>
  <si>
    <t>TOTAL REÇU</t>
  </si>
  <si>
    <t>TOTAL VERSE</t>
  </si>
  <si>
    <t>Interet reçus</t>
  </si>
  <si>
    <t>total</t>
  </si>
  <si>
    <t>Taux de rémuneration du passif des SNF, HSH, etc. versé au SNF,etc.</t>
  </si>
  <si>
    <t>Passif des SNF, HSH, etc. detenue par SNF,etc.</t>
  </si>
  <si>
    <t>SOMME Passif</t>
  </si>
  <si>
    <t>SOMME Actif</t>
  </si>
  <si>
    <t>Taux moyen</t>
  </si>
  <si>
    <t>Changer</t>
  </si>
  <si>
    <t>Ecart_type</t>
  </si>
  <si>
    <t>INTERETS</t>
  </si>
  <si>
    <t>STOCK ACTIF</t>
  </si>
  <si>
    <t>TOTAL =1</t>
  </si>
  <si>
    <t>PART ACTIF</t>
  </si>
  <si>
    <t>TABLEAU CORRIGÉ POUR COHERENCE AVEC TES_118_2006.xls]CPR_CEB_Simple</t>
  </si>
  <si>
    <t>RD avant Impot</t>
  </si>
  <si>
    <t>+Rmixte</t>
  </si>
  <si>
    <t xml:space="preserve">  Revenus de la propriété attribués aux assurés+EBE</t>
  </si>
  <si>
    <t>+Rmixte (travailleur independant)</t>
  </si>
  <si>
    <t>+Rev Propriete Net+EBE</t>
  </si>
  <si>
    <t>Tableau Economique d'Ensemble : comptes courants, comptes d'accumulation et de patrimoine de l'année 2019 base 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</si>
</sst>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.00\ _F_-;\-* #,##0.00\ _F_-;_-* &quot;-&quot;??\ _F_-;_-@_-"/>
    <numFmt numFmtId="166" formatCode="0.0"/>
    <numFmt numFmtId="167" formatCode="#,##0.0\ _F;[Red]\-#,##0.0\ _F"/>
    <numFmt numFmtId="168" formatCode="#,##0.0\ _F;\-#,##0.0\ _F"/>
    <numFmt numFmtId="169" formatCode="#,##0.0"/>
    <numFmt numFmtId="170" formatCode="0.000000"/>
    <numFmt numFmtId="171" formatCode="0.0000%"/>
    <numFmt numFmtId="172" formatCode="0.000000%"/>
    <numFmt numFmtId="173" formatCode="_-* #,##0.000\ _F_-;\-* #,##0.000\ _F_-;_-* &quot;-&quot;??\ _F_-;_-@_-"/>
    <numFmt numFmtId="176" formatCode="#,##0.00000"/>
  </numFmts>
  <fonts count="4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sz val="8"/>
      <color indexed="8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10"/>
      <name val="Arial"/>
      <family val="2"/>
    </font>
    <font>
      <b/>
      <sz val="14"/>
      <name val="Arial"/>
      <family val="2"/>
    </font>
    <font>
      <b/>
      <i/>
      <sz val="8"/>
      <name val="Arial"/>
      <family val="2"/>
    </font>
    <font>
      <b/>
      <sz val="7"/>
      <name val="Arial"/>
      <family val="2"/>
    </font>
    <font>
      <sz val="12"/>
      <name val="Arial"/>
      <family val="2"/>
    </font>
    <font>
      <b/>
      <sz val="13.5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6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8"/>
      <color rgb="FFFF0000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249977111117893"/>
      <name val="Arial"/>
      <family val="2"/>
    </font>
    <font>
      <sz val="10"/>
      <color rgb="FF00B0F0"/>
      <name val="Arial"/>
      <family val="2"/>
    </font>
    <font>
      <sz val="8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9"/>
      <color rgb="FF000000"/>
      <name val="Arial"/>
      <family val="2"/>
    </font>
    <font>
      <sz val="12"/>
      <color rgb="FF000000"/>
      <name val="Arial"/>
      <family val="2"/>
    </font>
    <font>
      <sz val="22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39"/>
      </left>
      <right style="double">
        <color indexed="39"/>
      </right>
      <top style="double">
        <color indexed="39"/>
      </top>
      <bottom style="double">
        <color indexed="39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12"/>
      </left>
      <right/>
      <top/>
      <bottom/>
      <diagonal/>
    </border>
    <border>
      <left/>
      <right style="thin">
        <color indexed="12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double">
        <color indexed="12"/>
      </left>
      <right/>
      <top style="double">
        <color indexed="12"/>
      </top>
      <bottom style="double">
        <color indexed="12"/>
      </bottom>
      <diagonal/>
    </border>
    <border>
      <left/>
      <right/>
      <top style="double">
        <color indexed="12"/>
      </top>
      <bottom style="double">
        <color indexed="12"/>
      </bottom>
      <diagonal/>
    </border>
    <border>
      <left/>
      <right style="double">
        <color indexed="12"/>
      </right>
      <top style="double">
        <color indexed="12"/>
      </top>
      <bottom style="double">
        <color indexed="12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" fillId="0" borderId="0"/>
    <xf numFmtId="9" fontId="1" fillId="0" borderId="0" applyFont="0" applyFill="0" applyBorder="0" applyAlignment="0" applyProtection="0"/>
  </cellStyleXfs>
  <cellXfs count="357">
    <xf numFmtId="0" fontId="0" fillId="0" borderId="0" xfId="0"/>
    <xf numFmtId="0" fontId="8" fillId="0" borderId="0" xfId="0" applyFont="1"/>
    <xf numFmtId="0" fontId="2" fillId="0" borderId="0" xfId="0" applyFont="1"/>
    <xf numFmtId="166" fontId="2" fillId="0" borderId="0" xfId="0" applyNumberFormat="1" applyFont="1"/>
    <xf numFmtId="166" fontId="5" fillId="0" borderId="0" xfId="0" applyNumberFormat="1" applyFont="1" applyAlignment="1">
      <alignment horizontal="left"/>
    </xf>
    <xf numFmtId="167" fontId="2" fillId="0" borderId="0" xfId="0" applyNumberFormat="1" applyFont="1"/>
    <xf numFmtId="166" fontId="8" fillId="0" borderId="0" xfId="0" applyNumberFormat="1" applyFont="1"/>
    <xf numFmtId="166" fontId="2" fillId="0" borderId="0" xfId="0" applyNumberFormat="1" applyFont="1" applyAlignment="1">
      <alignment horizontal="left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9" fillId="0" borderId="1" xfId="0" applyFont="1" applyBorder="1" applyAlignment="1">
      <alignment horizontal="centerContinuous" vertical="center" wrapText="1"/>
    </xf>
    <xf numFmtId="38" fontId="5" fillId="0" borderId="1" xfId="0" applyNumberFormat="1" applyFont="1" applyBorder="1" applyAlignment="1">
      <alignment horizontal="center" vertical="center" wrapText="1"/>
    </xf>
    <xf numFmtId="38" fontId="5" fillId="0" borderId="1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Continuous" vertical="center" wrapText="1"/>
    </xf>
    <xf numFmtId="38" fontId="5" fillId="0" borderId="2" xfId="0" applyNumberFormat="1" applyFont="1" applyBorder="1" applyAlignment="1">
      <alignment horizontal="center" vertical="center" wrapText="1"/>
    </xf>
    <xf numFmtId="167" fontId="8" fillId="0" borderId="0" xfId="0" applyNumberFormat="1" applyFont="1"/>
    <xf numFmtId="0" fontId="3" fillId="0" borderId="0" xfId="0" applyFont="1" applyAlignment="1">
      <alignment horizontal="left"/>
    </xf>
    <xf numFmtId="0" fontId="3" fillId="0" borderId="0" xfId="0" applyFont="1"/>
    <xf numFmtId="167" fontId="10" fillId="0" borderId="0" xfId="0" applyNumberFormat="1" applyFont="1"/>
    <xf numFmtId="0" fontId="10" fillId="0" borderId="0" xfId="0" applyFont="1"/>
    <xf numFmtId="0" fontId="12" fillId="0" borderId="0" xfId="0" applyFont="1"/>
    <xf numFmtId="167" fontId="12" fillId="0" borderId="0" xfId="0" applyNumberFormat="1" applyFont="1"/>
    <xf numFmtId="0" fontId="6" fillId="0" borderId="0" xfId="0" applyFont="1"/>
    <xf numFmtId="167" fontId="9" fillId="0" borderId="0" xfId="0" applyNumberFormat="1" applyFont="1" applyAlignment="1">
      <alignment vertical="center"/>
    </xf>
    <xf numFmtId="167" fontId="3" fillId="0" borderId="0" xfId="0" applyNumberFormat="1" applyFont="1" applyAlignment="1">
      <alignment vertical="center"/>
    </xf>
    <xf numFmtId="167" fontId="5" fillId="0" borderId="1" xfId="0" applyNumberFormat="1" applyFont="1" applyBorder="1" applyAlignment="1">
      <alignment horizontal="center" vertical="center" wrapText="1"/>
    </xf>
    <xf numFmtId="167" fontId="5" fillId="0" borderId="1" xfId="0" applyNumberFormat="1" applyFont="1" applyBorder="1" applyAlignment="1">
      <alignment horizontal="center" wrapText="1"/>
    </xf>
    <xf numFmtId="167" fontId="5" fillId="0" borderId="2" xfId="0" applyNumberFormat="1" applyFont="1" applyBorder="1" applyAlignment="1">
      <alignment horizontal="center" vertical="center" wrapText="1"/>
    </xf>
    <xf numFmtId="167" fontId="3" fillId="0" borderId="0" xfId="0" applyNumberFormat="1" applyFont="1"/>
    <xf numFmtId="38" fontId="2" fillId="0" borderId="0" xfId="0" applyNumberFormat="1" applyFont="1"/>
    <xf numFmtId="0" fontId="9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left"/>
    </xf>
    <xf numFmtId="0" fontId="4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3" xfId="0" applyFont="1" applyBorder="1" applyAlignment="1">
      <alignment horizontal="left"/>
    </xf>
    <xf numFmtId="168" fontId="9" fillId="0" borderId="0" xfId="0" applyNumberFormat="1" applyFont="1" applyAlignment="1">
      <alignment vertical="center"/>
    </xf>
    <xf numFmtId="168" fontId="9" fillId="0" borderId="0" xfId="0" applyNumberFormat="1" applyFont="1" applyAlignment="1">
      <alignment vertical="center" wrapText="1"/>
    </xf>
    <xf numFmtId="168" fontId="3" fillId="0" borderId="0" xfId="0" applyNumberFormat="1" applyFont="1" applyAlignment="1">
      <alignment vertical="center"/>
    </xf>
    <xf numFmtId="168" fontId="5" fillId="0" borderId="1" xfId="0" applyNumberFormat="1" applyFont="1" applyBorder="1" applyAlignment="1">
      <alignment horizontal="center" vertical="center" wrapText="1"/>
    </xf>
    <xf numFmtId="168" fontId="5" fillId="0" borderId="1" xfId="0" applyNumberFormat="1" applyFont="1" applyBorder="1" applyAlignment="1">
      <alignment horizontal="center" wrapText="1"/>
    </xf>
    <xf numFmtId="168" fontId="5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left"/>
    </xf>
    <xf numFmtId="38" fontId="2" fillId="0" borderId="0" xfId="0" applyNumberFormat="1" applyFont="1" applyAlignment="1">
      <alignment horizontal="left"/>
    </xf>
    <xf numFmtId="166" fontId="3" fillId="0" borderId="0" xfId="0" applyNumberFormat="1" applyFont="1" applyAlignment="1">
      <alignment horizontal="left"/>
    </xf>
    <xf numFmtId="166" fontId="3" fillId="0" borderId="0" xfId="0" applyNumberFormat="1" applyFont="1"/>
    <xf numFmtId="167" fontId="2" fillId="0" borderId="3" xfId="0" applyNumberFormat="1" applyFont="1" applyBorder="1" applyAlignment="1">
      <alignment horizontal="left"/>
    </xf>
    <xf numFmtId="0" fontId="3" fillId="0" borderId="0" xfId="0" applyFont="1" applyAlignment="1">
      <alignment horizontal="right"/>
    </xf>
    <xf numFmtId="167" fontId="8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14" fillId="0" borderId="0" xfId="0" applyFont="1"/>
    <xf numFmtId="0" fontId="13" fillId="0" borderId="0" xfId="0" applyFont="1"/>
    <xf numFmtId="0" fontId="9" fillId="0" borderId="0" xfId="0" applyFont="1" applyAlignment="1">
      <alignment horizontal="center"/>
    </xf>
    <xf numFmtId="166" fontId="8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166" fontId="3" fillId="0" borderId="0" xfId="0" applyNumberFormat="1" applyFont="1" applyAlignment="1">
      <alignment horizontal="right"/>
    </xf>
    <xf numFmtId="0" fontId="5" fillId="0" borderId="0" xfId="0" applyFont="1"/>
    <xf numFmtId="0" fontId="17" fillId="0" borderId="0" xfId="0" applyFont="1"/>
    <xf numFmtId="0" fontId="5" fillId="0" borderId="0" xfId="0" applyFont="1" applyAlignment="1">
      <alignment horizontal="left"/>
    </xf>
    <xf numFmtId="166" fontId="5" fillId="0" borderId="0" xfId="0" applyNumberFormat="1" applyFont="1"/>
    <xf numFmtId="166" fontId="5" fillId="0" borderId="3" xfId="0" applyNumberFormat="1" applyFont="1" applyBorder="1"/>
    <xf numFmtId="166" fontId="5" fillId="0" borderId="3" xfId="0" applyNumberFormat="1" applyFont="1" applyBorder="1" applyAlignment="1">
      <alignment horizontal="left"/>
    </xf>
    <xf numFmtId="0" fontId="5" fillId="0" borderId="3" xfId="0" applyFont="1" applyBorder="1"/>
    <xf numFmtId="0" fontId="5" fillId="0" borderId="3" xfId="0" applyFont="1" applyBorder="1" applyAlignment="1">
      <alignment horizontal="left"/>
    </xf>
    <xf numFmtId="169" fontId="3" fillId="0" borderId="0" xfId="0" applyNumberFormat="1" applyFont="1" applyAlignment="1">
      <alignment horizontal="right"/>
    </xf>
    <xf numFmtId="169" fontId="0" fillId="0" borderId="0" xfId="0" applyNumberFormat="1" applyAlignment="1">
      <alignment horizontal="right"/>
    </xf>
    <xf numFmtId="169" fontId="3" fillId="0" borderId="3" xfId="0" applyNumberFormat="1" applyFont="1" applyBorder="1" applyAlignment="1">
      <alignment horizontal="right"/>
    </xf>
    <xf numFmtId="169" fontId="0" fillId="0" borderId="3" xfId="0" applyNumberFormat="1" applyBorder="1" applyAlignment="1">
      <alignment horizontal="right"/>
    </xf>
    <xf numFmtId="169" fontId="15" fillId="0" borderId="0" xfId="0" applyNumberFormat="1" applyFont="1" applyAlignment="1">
      <alignment horizontal="right"/>
    </xf>
    <xf numFmtId="169" fontId="12" fillId="0" borderId="0" xfId="0" applyNumberFormat="1" applyFont="1" applyAlignment="1">
      <alignment horizontal="right"/>
    </xf>
    <xf numFmtId="169" fontId="15" fillId="0" borderId="3" xfId="0" applyNumberFormat="1" applyFont="1" applyBorder="1" applyAlignment="1">
      <alignment horizontal="right"/>
    </xf>
    <xf numFmtId="169" fontId="12" fillId="0" borderId="3" xfId="0" applyNumberFormat="1" applyFont="1" applyBorder="1" applyAlignment="1">
      <alignment horizontal="right"/>
    </xf>
    <xf numFmtId="169" fontId="5" fillId="0" borderId="0" xfId="0" applyNumberFormat="1" applyFont="1"/>
    <xf numFmtId="169" fontId="17" fillId="0" borderId="0" xfId="0" applyNumberFormat="1" applyFont="1"/>
    <xf numFmtId="169" fontId="6" fillId="0" borderId="0" xfId="0" applyNumberFormat="1" applyFont="1"/>
    <xf numFmtId="169" fontId="8" fillId="0" borderId="0" xfId="0" applyNumberFormat="1" applyFont="1" applyAlignment="1">
      <alignment horizontal="right"/>
    </xf>
    <xf numFmtId="169" fontId="8" fillId="0" borderId="3" xfId="0" applyNumberFormat="1" applyFont="1" applyBorder="1" applyAlignment="1">
      <alignment horizontal="right"/>
    </xf>
    <xf numFmtId="169" fontId="0" fillId="0" borderId="0" xfId="0" applyNumberFormat="1"/>
    <xf numFmtId="0" fontId="11" fillId="0" borderId="0" xfId="0" applyFont="1"/>
    <xf numFmtId="167" fontId="5" fillId="0" borderId="3" xfId="0" applyNumberFormat="1" applyFont="1" applyBorder="1"/>
    <xf numFmtId="0" fontId="9" fillId="0" borderId="1" xfId="0" applyFont="1" applyBorder="1" applyAlignment="1">
      <alignment horizontal="centerContinuous"/>
    </xf>
    <xf numFmtId="167" fontId="5" fillId="0" borderId="3" xfId="0" applyNumberFormat="1" applyFont="1" applyBorder="1" applyAlignment="1">
      <alignment horizontal="left"/>
    </xf>
    <xf numFmtId="38" fontId="2" fillId="0" borderId="3" xfId="0" applyNumberFormat="1" applyFont="1" applyBorder="1"/>
    <xf numFmtId="0" fontId="9" fillId="0" borderId="2" xfId="0" applyFont="1" applyBorder="1" applyAlignment="1">
      <alignment horizontal="centerContinuous" vertical="center"/>
    </xf>
    <xf numFmtId="0" fontId="17" fillId="0" borderId="0" xfId="0" applyFont="1" applyAlignment="1">
      <alignment horizontal="left"/>
    </xf>
    <xf numFmtId="0" fontId="7" fillId="2" borderId="4" xfId="2" applyFill="1" applyBorder="1" applyAlignment="1" applyProtection="1">
      <alignment horizontal="center"/>
    </xf>
    <xf numFmtId="38" fontId="18" fillId="0" borderId="2" xfId="0" applyNumberFormat="1" applyFont="1" applyBorder="1" applyAlignment="1">
      <alignment horizontal="center" vertical="center" wrapText="1"/>
    </xf>
    <xf numFmtId="165" fontId="0" fillId="0" borderId="0" xfId="1" applyFont="1"/>
    <xf numFmtId="0" fontId="1" fillId="0" borderId="0" xfId="0" applyFont="1"/>
    <xf numFmtId="169" fontId="26" fillId="0" borderId="0" xfId="0" applyNumberFormat="1" applyFont="1"/>
    <xf numFmtId="165" fontId="26" fillId="0" borderId="0" xfId="1" applyFont="1"/>
    <xf numFmtId="10" fontId="0" fillId="0" borderId="0" xfId="0" applyNumberFormat="1"/>
    <xf numFmtId="169" fontId="1" fillId="0" borderId="0" xfId="0" applyNumberFormat="1" applyFont="1"/>
    <xf numFmtId="10" fontId="0" fillId="0" borderId="0" xfId="4" applyNumberFormat="1" applyFont="1"/>
    <xf numFmtId="169" fontId="3" fillId="0" borderId="0" xfId="0" applyNumberFormat="1" applyFont="1"/>
    <xf numFmtId="0" fontId="0" fillId="0" borderId="0" xfId="0" applyAlignment="1">
      <alignment horizontal="right"/>
    </xf>
    <xf numFmtId="0" fontId="1" fillId="0" borderId="5" xfId="3" applyBorder="1" applyAlignment="1">
      <alignment horizontal="center" vertical="center"/>
    </xf>
    <xf numFmtId="0" fontId="1" fillId="0" borderId="6" xfId="3" applyBorder="1" applyAlignment="1">
      <alignment horizontal="center" vertical="center"/>
    </xf>
    <xf numFmtId="0" fontId="1" fillId="0" borderId="7" xfId="3" applyBorder="1" applyAlignment="1">
      <alignment horizontal="center" vertical="center"/>
    </xf>
    <xf numFmtId="0" fontId="1" fillId="0" borderId="0" xfId="3"/>
    <xf numFmtId="0" fontId="1" fillId="0" borderId="0" xfId="3" applyAlignment="1">
      <alignment horizontal="center"/>
    </xf>
    <xf numFmtId="0" fontId="1" fillId="0" borderId="8" xfId="3" applyBorder="1" applyAlignment="1">
      <alignment horizontal="center"/>
    </xf>
    <xf numFmtId="0" fontId="1" fillId="0" borderId="8" xfId="3" applyBorder="1"/>
    <xf numFmtId="0" fontId="7" fillId="3" borderId="7" xfId="2" applyFill="1" applyBorder="1" applyAlignment="1" applyProtection="1">
      <alignment horizontal="center" wrapText="1"/>
    </xf>
    <xf numFmtId="0" fontId="7" fillId="3" borderId="0" xfId="2" applyFill="1" applyBorder="1" applyAlignment="1" applyProtection="1">
      <alignment horizontal="center" wrapText="1"/>
    </xf>
    <xf numFmtId="0" fontId="7" fillId="4" borderId="0" xfId="2" applyFill="1" applyBorder="1" applyAlignment="1" applyProtection="1">
      <alignment horizontal="center" wrapText="1"/>
    </xf>
    <xf numFmtId="0" fontId="1" fillId="0" borderId="9" xfId="3" applyBorder="1"/>
    <xf numFmtId="0" fontId="1" fillId="0" borderId="10" xfId="3" applyBorder="1"/>
    <xf numFmtId="0" fontId="1" fillId="0" borderId="7" xfId="3" applyBorder="1" applyAlignment="1">
      <alignment horizontal="center" wrapText="1"/>
    </xf>
    <xf numFmtId="0" fontId="1" fillId="0" borderId="0" xfId="3" applyAlignment="1">
      <alignment horizontal="center" wrapText="1"/>
    </xf>
    <xf numFmtId="0" fontId="1" fillId="0" borderId="11" xfId="3" applyBorder="1" applyAlignment="1">
      <alignment horizontal="center" wrapText="1"/>
    </xf>
    <xf numFmtId="0" fontId="1" fillId="0" borderId="12" xfId="3" applyBorder="1" applyAlignment="1">
      <alignment horizontal="center" wrapText="1"/>
    </xf>
    <xf numFmtId="0" fontId="1" fillId="0" borderId="12" xfId="3" applyBorder="1"/>
    <xf numFmtId="0" fontId="1" fillId="0" borderId="13" xfId="3" applyBorder="1"/>
    <xf numFmtId="0" fontId="1" fillId="0" borderId="7" xfId="3" applyBorder="1"/>
    <xf numFmtId="0" fontId="1" fillId="0" borderId="14" xfId="3" applyBorder="1"/>
    <xf numFmtId="0" fontId="1" fillId="0" borderId="15" xfId="3" applyBorder="1"/>
    <xf numFmtId="0" fontId="1" fillId="0" borderId="16" xfId="3" applyBorder="1"/>
    <xf numFmtId="1" fontId="1" fillId="0" borderId="0" xfId="3" applyNumberFormat="1"/>
    <xf numFmtId="0" fontId="1" fillId="5" borderId="0" xfId="3" applyFill="1"/>
    <xf numFmtId="0" fontId="3" fillId="0" borderId="0" xfId="3" applyFont="1" applyAlignment="1">
      <alignment horizontal="center"/>
    </xf>
    <xf numFmtId="0" fontId="1" fillId="0" borderId="17" xfId="3" applyBorder="1"/>
    <xf numFmtId="0" fontId="5" fillId="0" borderId="18" xfId="3" applyFont="1" applyBorder="1" applyAlignment="1">
      <alignment horizontal="left" textRotation="90"/>
    </xf>
    <xf numFmtId="0" fontId="5" fillId="0" borderId="19" xfId="3" applyFont="1" applyBorder="1" applyAlignment="1">
      <alignment textRotation="90"/>
    </xf>
    <xf numFmtId="0" fontId="5" fillId="0" borderId="20" xfId="3" applyFont="1" applyBorder="1" applyAlignment="1">
      <alignment textRotation="90"/>
    </xf>
    <xf numFmtId="0" fontId="5" fillId="0" borderId="18" xfId="3" applyFont="1" applyBorder="1" applyAlignment="1">
      <alignment textRotation="90"/>
    </xf>
    <xf numFmtId="0" fontId="17" fillId="0" borderId="20" xfId="3" applyFont="1" applyBorder="1" applyAlignment="1">
      <alignment textRotation="90"/>
    </xf>
    <xf numFmtId="0" fontId="5" fillId="0" borderId="21" xfId="3" applyFont="1" applyBorder="1" applyAlignment="1">
      <alignment textRotation="90"/>
    </xf>
    <xf numFmtId="0" fontId="21" fillId="0" borderId="19" xfId="3" applyFont="1" applyBorder="1"/>
    <xf numFmtId="0" fontId="18" fillId="0" borderId="18" xfId="3" applyFont="1" applyBorder="1"/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5" fillId="0" borderId="18" xfId="3" applyFont="1" applyBorder="1" applyAlignment="1">
      <alignment horizontal="left" vertical="justify" textRotation="90"/>
    </xf>
    <xf numFmtId="0" fontId="18" fillId="0" borderId="18" xfId="3" applyFont="1" applyBorder="1" applyAlignment="1">
      <alignment textRotation="90"/>
    </xf>
    <xf numFmtId="0" fontId="5" fillId="0" borderId="22" xfId="3" applyFont="1" applyBorder="1" applyAlignment="1">
      <alignment textRotation="90"/>
    </xf>
    <xf numFmtId="0" fontId="18" fillId="0" borderId="23" xfId="3" applyFont="1" applyBorder="1"/>
    <xf numFmtId="0" fontId="1" fillId="0" borderId="21" xfId="3" applyBorder="1"/>
    <xf numFmtId="0" fontId="1" fillId="0" borderId="24" xfId="3" applyBorder="1"/>
    <xf numFmtId="0" fontId="18" fillId="0" borderId="2" xfId="3" applyFont="1" applyBorder="1" applyAlignment="1">
      <alignment horizontal="center"/>
    </xf>
    <xf numFmtId="0" fontId="18" fillId="0" borderId="21" xfId="3" applyFont="1" applyBorder="1" applyAlignment="1">
      <alignment horizontal="center"/>
    </xf>
    <xf numFmtId="0" fontId="22" fillId="0" borderId="17" xfId="3" applyFont="1" applyBorder="1"/>
    <xf numFmtId="166" fontId="22" fillId="0" borderId="25" xfId="3" applyNumberFormat="1" applyFont="1" applyBorder="1" applyAlignment="1">
      <alignment horizontal="right"/>
    </xf>
    <xf numFmtId="166" fontId="22" fillId="0" borderId="1" xfId="3" quotePrefix="1" applyNumberFormat="1" applyFont="1" applyBorder="1" applyAlignment="1">
      <alignment horizontal="right"/>
    </xf>
    <xf numFmtId="166" fontId="22" fillId="0" borderId="1" xfId="3" applyNumberFormat="1" applyFont="1" applyBorder="1" applyAlignment="1">
      <alignment horizontal="right"/>
    </xf>
    <xf numFmtId="166" fontId="18" fillId="0" borderId="17" xfId="3" applyNumberFormat="1" applyFont="1" applyBorder="1" applyAlignment="1">
      <alignment horizontal="right"/>
    </xf>
    <xf numFmtId="166" fontId="22" fillId="0" borderId="26" xfId="3" applyNumberFormat="1" applyFont="1" applyBorder="1" applyAlignment="1">
      <alignment horizontal="right"/>
    </xf>
    <xf numFmtId="0" fontId="22" fillId="0" borderId="27" xfId="3" applyFont="1" applyBorder="1"/>
    <xf numFmtId="0" fontId="18" fillId="0" borderId="27" xfId="3" applyFont="1" applyBorder="1"/>
    <xf numFmtId="169" fontId="22" fillId="0" borderId="0" xfId="3" applyNumberFormat="1" applyFont="1"/>
    <xf numFmtId="169" fontId="18" fillId="0" borderId="17" xfId="3" applyNumberFormat="1" applyFont="1" applyBorder="1"/>
    <xf numFmtId="166" fontId="22" fillId="0" borderId="25" xfId="3" applyNumberFormat="1" applyFont="1" applyBorder="1"/>
    <xf numFmtId="166" fontId="22" fillId="0" borderId="1" xfId="3" applyNumberFormat="1" applyFont="1" applyBorder="1"/>
    <xf numFmtId="166" fontId="22" fillId="0" borderId="26" xfId="3" applyNumberFormat="1" applyFont="1" applyBorder="1"/>
    <xf numFmtId="166" fontId="18" fillId="0" borderId="17" xfId="3" applyNumberFormat="1" applyFont="1" applyBorder="1"/>
    <xf numFmtId="166" fontId="22" fillId="0" borderId="17" xfId="3" applyNumberFormat="1" applyFont="1" applyBorder="1"/>
    <xf numFmtId="166" fontId="22" fillId="0" borderId="28" xfId="3" applyNumberFormat="1" applyFont="1" applyBorder="1" applyAlignment="1">
      <alignment horizontal="right"/>
    </xf>
    <xf numFmtId="166" fontId="22" fillId="0" borderId="0" xfId="3" applyNumberFormat="1" applyFont="1" applyAlignment="1">
      <alignment horizontal="right"/>
    </xf>
    <xf numFmtId="166" fontId="18" fillId="0" borderId="27" xfId="3" applyNumberFormat="1" applyFont="1" applyBorder="1" applyAlignment="1">
      <alignment horizontal="right"/>
    </xf>
    <xf numFmtId="166" fontId="22" fillId="0" borderId="29" xfId="3" applyNumberFormat="1" applyFont="1" applyBorder="1" applyAlignment="1">
      <alignment horizontal="right"/>
    </xf>
    <xf numFmtId="169" fontId="18" fillId="0" borderId="27" xfId="3" applyNumberFormat="1" applyFont="1" applyBorder="1"/>
    <xf numFmtId="166" fontId="22" fillId="0" borderId="0" xfId="3" applyNumberFormat="1" applyFont="1"/>
    <xf numFmtId="166" fontId="18" fillId="0" borderId="27" xfId="3" applyNumberFormat="1" applyFont="1" applyBorder="1"/>
    <xf numFmtId="166" fontId="22" fillId="0" borderId="28" xfId="3" applyNumberFormat="1" applyFont="1" applyBorder="1"/>
    <xf numFmtId="166" fontId="22" fillId="0" borderId="29" xfId="3" applyNumberFormat="1" applyFont="1" applyBorder="1"/>
    <xf numFmtId="166" fontId="22" fillId="0" borderId="27" xfId="3" applyNumberFormat="1" applyFont="1" applyBorder="1"/>
    <xf numFmtId="0" fontId="22" fillId="0" borderId="22" xfId="3" applyFont="1" applyBorder="1"/>
    <xf numFmtId="166" fontId="22" fillId="0" borderId="23" xfId="3" applyNumberFormat="1" applyFont="1" applyBorder="1" applyAlignment="1">
      <alignment horizontal="right"/>
    </xf>
    <xf numFmtId="166" fontId="22" fillId="0" borderId="2" xfId="3" applyNumberFormat="1" applyFont="1" applyBorder="1" applyAlignment="1">
      <alignment horizontal="right"/>
    </xf>
    <xf numFmtId="166" fontId="18" fillId="0" borderId="22" xfId="3" applyNumberFormat="1" applyFont="1" applyBorder="1" applyAlignment="1">
      <alignment horizontal="right"/>
    </xf>
    <xf numFmtId="166" fontId="22" fillId="0" borderId="24" xfId="3" applyNumberFormat="1" applyFont="1" applyBorder="1" applyAlignment="1">
      <alignment horizontal="right"/>
    </xf>
    <xf numFmtId="166" fontId="18" fillId="0" borderId="22" xfId="3" applyNumberFormat="1" applyFont="1" applyBorder="1"/>
    <xf numFmtId="166" fontId="22" fillId="0" borderId="22" xfId="3" applyNumberFormat="1" applyFont="1" applyBorder="1"/>
    <xf numFmtId="166" fontId="18" fillId="0" borderId="19" xfId="3" applyNumberFormat="1" applyFont="1" applyBorder="1" applyAlignment="1">
      <alignment horizontal="right"/>
    </xf>
    <xf numFmtId="166" fontId="18" fillId="0" borderId="20" xfId="3" applyNumberFormat="1" applyFont="1" applyBorder="1" applyAlignment="1">
      <alignment horizontal="right"/>
    </xf>
    <xf numFmtId="166" fontId="18" fillId="0" borderId="18" xfId="3" applyNumberFormat="1" applyFont="1" applyBorder="1" applyAlignment="1">
      <alignment horizontal="right"/>
    </xf>
    <xf numFmtId="166" fontId="18" fillId="0" borderId="21" xfId="3" applyNumberFormat="1" applyFont="1" applyBorder="1" applyAlignment="1">
      <alignment horizontal="right"/>
    </xf>
    <xf numFmtId="0" fontId="22" fillId="0" borderId="18" xfId="3" applyFont="1" applyBorder="1"/>
    <xf numFmtId="169" fontId="18" fillId="0" borderId="20" xfId="3" applyNumberFormat="1" applyFont="1" applyBorder="1"/>
    <xf numFmtId="169" fontId="18" fillId="0" borderId="18" xfId="3" applyNumberFormat="1" applyFont="1" applyBorder="1"/>
    <xf numFmtId="166" fontId="18" fillId="0" borderId="20" xfId="3" applyNumberFormat="1" applyFont="1" applyBorder="1"/>
    <xf numFmtId="166" fontId="18" fillId="0" borderId="21" xfId="3" applyNumberFormat="1" applyFont="1" applyBorder="1"/>
    <xf numFmtId="166" fontId="18" fillId="0" borderId="18" xfId="3" applyNumberFormat="1" applyFont="1" applyBorder="1"/>
    <xf numFmtId="166" fontId="18" fillId="0" borderId="19" xfId="3" applyNumberFormat="1" applyFont="1" applyBorder="1"/>
    <xf numFmtId="0" fontId="18" fillId="0" borderId="0" xfId="3" applyFont="1"/>
    <xf numFmtId="1" fontId="18" fillId="0" borderId="0" xfId="3" applyNumberFormat="1" applyFont="1" applyAlignment="1">
      <alignment horizontal="right"/>
    </xf>
    <xf numFmtId="0" fontId="23" fillId="0" borderId="0" xfId="3" applyFont="1"/>
    <xf numFmtId="0" fontId="2" fillId="0" borderId="0" xfId="3" applyFont="1"/>
    <xf numFmtId="0" fontId="2" fillId="0" borderId="0" xfId="3" applyFont="1" applyAlignment="1">
      <alignment wrapText="1"/>
    </xf>
    <xf numFmtId="0" fontId="22" fillId="0" borderId="19" xfId="3" applyFont="1" applyBorder="1"/>
    <xf numFmtId="0" fontId="18" fillId="0" borderId="17" xfId="3" applyFont="1" applyBorder="1"/>
    <xf numFmtId="0" fontId="18" fillId="0" borderId="22" xfId="3" applyFont="1" applyBorder="1"/>
    <xf numFmtId="166" fontId="22" fillId="0" borderId="23" xfId="3" applyNumberFormat="1" applyFont="1" applyBorder="1"/>
    <xf numFmtId="166" fontId="22" fillId="0" borderId="2" xfId="3" applyNumberFormat="1" applyFont="1" applyBorder="1"/>
    <xf numFmtId="0" fontId="22" fillId="0" borderId="20" xfId="3" applyFont="1" applyBorder="1"/>
    <xf numFmtId="0" fontId="18" fillId="0" borderId="20" xfId="3" applyFont="1" applyBorder="1"/>
    <xf numFmtId="1" fontId="22" fillId="0" borderId="20" xfId="3" applyNumberFormat="1" applyFont="1" applyBorder="1"/>
    <xf numFmtId="1" fontId="18" fillId="0" borderId="20" xfId="3" applyNumberFormat="1" applyFont="1" applyBorder="1"/>
    <xf numFmtId="166" fontId="22" fillId="0" borderId="19" xfId="3" quotePrefix="1" applyNumberFormat="1" applyFont="1" applyBorder="1"/>
    <xf numFmtId="166" fontId="22" fillId="0" borderId="20" xfId="3" applyNumberFormat="1" applyFont="1" applyBorder="1"/>
    <xf numFmtId="0" fontId="22" fillId="0" borderId="0" xfId="3" applyFont="1"/>
    <xf numFmtId="0" fontId="22" fillId="0" borderId="23" xfId="3" applyFont="1" applyBorder="1" applyAlignment="1">
      <alignment horizontal="center"/>
    </xf>
    <xf numFmtId="0" fontId="1" fillId="0" borderId="18" xfId="3" applyBorder="1" applyAlignment="1">
      <alignment horizontal="center"/>
    </xf>
    <xf numFmtId="166" fontId="22" fillId="0" borderId="19" xfId="3" applyNumberFormat="1" applyFont="1" applyBorder="1"/>
    <xf numFmtId="0" fontId="1" fillId="0" borderId="0" xfId="0" applyFont="1" applyAlignment="1">
      <alignment horizontal="right"/>
    </xf>
    <xf numFmtId="169" fontId="27" fillId="0" borderId="0" xfId="0" applyNumberFormat="1" applyFont="1"/>
    <xf numFmtId="165" fontId="27" fillId="0" borderId="0" xfId="1" applyFont="1"/>
    <xf numFmtId="0" fontId="3" fillId="0" borderId="0" xfId="0" quotePrefix="1" applyFont="1"/>
    <xf numFmtId="0" fontId="27" fillId="0" borderId="0" xfId="0" applyFont="1"/>
    <xf numFmtId="0" fontId="2" fillId="0" borderId="0" xfId="0" applyFont="1" applyAlignment="1">
      <alignment horizontal="right"/>
    </xf>
    <xf numFmtId="169" fontId="2" fillId="0" borderId="0" xfId="0" applyNumberFormat="1" applyFont="1"/>
    <xf numFmtId="169" fontId="28" fillId="0" borderId="0" xfId="0" applyNumberFormat="1" applyFont="1"/>
    <xf numFmtId="165" fontId="28" fillId="0" borderId="0" xfId="1" applyFont="1"/>
    <xf numFmtId="0" fontId="2" fillId="0" borderId="0" xfId="0" quotePrefix="1" applyFont="1" applyAlignment="1">
      <alignment horizontal="right"/>
    </xf>
    <xf numFmtId="165" fontId="3" fillId="0" borderId="0" xfId="1" applyFont="1"/>
    <xf numFmtId="165" fontId="1" fillId="0" borderId="0" xfId="1" applyFont="1"/>
    <xf numFmtId="0" fontId="26" fillId="0" borderId="0" xfId="0" applyFont="1"/>
    <xf numFmtId="165" fontId="3" fillId="0" borderId="0" xfId="1" applyFont="1" applyAlignment="1">
      <alignment horizontal="right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5" fillId="0" borderId="2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165" fontId="1" fillId="0" borderId="0" xfId="1" applyFont="1" applyAlignment="1"/>
    <xf numFmtId="0" fontId="29" fillId="0" borderId="0" xfId="0" applyFont="1"/>
    <xf numFmtId="10" fontId="29" fillId="0" borderId="0" xfId="4" applyNumberFormat="1" applyFont="1"/>
    <xf numFmtId="165" fontId="1" fillId="0" borderId="0" xfId="1" applyFont="1" applyFill="1" applyAlignment="1"/>
    <xf numFmtId="165" fontId="1" fillId="6" borderId="0" xfId="1" applyFont="1" applyFill="1" applyAlignment="1"/>
    <xf numFmtId="165" fontId="1" fillId="7" borderId="0" xfId="1" applyFont="1" applyFill="1" applyAlignment="1"/>
    <xf numFmtId="169" fontId="3" fillId="7" borderId="0" xfId="0" applyNumberFormat="1" applyFont="1" applyFill="1" applyAlignment="1">
      <alignment horizontal="right"/>
    </xf>
    <xf numFmtId="169" fontId="3" fillId="6" borderId="0" xfId="0" applyNumberFormat="1" applyFont="1" applyFill="1" applyAlignment="1">
      <alignment horizontal="right"/>
    </xf>
    <xf numFmtId="165" fontId="1" fillId="0" borderId="0" xfId="1" applyFont="1" applyFill="1" applyAlignment="1">
      <alignment horizontal="right"/>
    </xf>
    <xf numFmtId="165" fontId="1" fillId="6" borderId="0" xfId="1" applyFont="1" applyFill="1" applyAlignment="1">
      <alignment horizontal="right"/>
    </xf>
    <xf numFmtId="165" fontId="1" fillId="7" borderId="0" xfId="1" applyFont="1" applyFill="1" applyAlignment="1">
      <alignment horizontal="right"/>
    </xf>
    <xf numFmtId="10" fontId="1" fillId="6" borderId="0" xfId="4" applyNumberFormat="1" applyFont="1" applyFill="1"/>
    <xf numFmtId="10" fontId="24" fillId="6" borderId="0" xfId="4" applyNumberFormat="1" applyFont="1" applyFill="1"/>
    <xf numFmtId="10" fontId="29" fillId="0" borderId="0" xfId="4" applyNumberFormat="1" applyFont="1" applyFill="1"/>
    <xf numFmtId="10" fontId="1" fillId="0" borderId="0" xfId="4" applyNumberFormat="1" applyFont="1" applyFill="1"/>
    <xf numFmtId="10" fontId="0" fillId="0" borderId="0" xfId="4" applyNumberFormat="1" applyFont="1" applyFill="1"/>
    <xf numFmtId="10" fontId="24" fillId="7" borderId="0" xfId="4" applyNumberFormat="1" applyFont="1" applyFill="1"/>
    <xf numFmtId="10" fontId="1" fillId="7" borderId="0" xfId="4" applyNumberFormat="1" applyFont="1" applyFill="1"/>
    <xf numFmtId="0" fontId="1" fillId="7" borderId="0" xfId="0" applyFont="1" applyFill="1"/>
    <xf numFmtId="0" fontId="1" fillId="6" borderId="0" xfId="0" applyFont="1" applyFill="1"/>
    <xf numFmtId="0" fontId="3" fillId="6" borderId="0" xfId="0" applyFont="1" applyFill="1"/>
    <xf numFmtId="0" fontId="3" fillId="7" borderId="0" xfId="0" applyFont="1" applyFill="1"/>
    <xf numFmtId="0" fontId="30" fillId="0" borderId="0" xfId="0" applyFont="1"/>
    <xf numFmtId="0" fontId="26" fillId="0" borderId="0" xfId="3" applyFont="1"/>
    <xf numFmtId="0" fontId="28" fillId="0" borderId="0" xfId="3" applyFont="1"/>
    <xf numFmtId="0" fontId="1" fillId="0" borderId="0" xfId="4" applyNumberFormat="1"/>
    <xf numFmtId="170" fontId="1" fillId="0" borderId="0" xfId="3" applyNumberFormat="1"/>
    <xf numFmtId="165" fontId="0" fillId="0" borderId="0" xfId="0" applyNumberFormat="1"/>
    <xf numFmtId="165" fontId="3" fillId="0" borderId="0" xfId="0" applyNumberFormat="1" applyFont="1"/>
    <xf numFmtId="165" fontId="0" fillId="0" borderId="0" xfId="1" applyFont="1" applyAlignment="1">
      <alignment horizontal="right" vertical="center"/>
    </xf>
    <xf numFmtId="165" fontId="26" fillId="0" borderId="0" xfId="1" applyFont="1" applyAlignment="1">
      <alignment horizontal="right" vertical="center"/>
    </xf>
    <xf numFmtId="165" fontId="26" fillId="0" borderId="0" xfId="0" applyNumberFormat="1" applyFont="1"/>
    <xf numFmtId="10" fontId="3" fillId="0" borderId="0" xfId="4" applyNumberFormat="1" applyFont="1"/>
    <xf numFmtId="164" fontId="0" fillId="0" borderId="0" xfId="0" applyNumberFormat="1"/>
    <xf numFmtId="10" fontId="26" fillId="8" borderId="0" xfId="4" applyNumberFormat="1" applyFont="1" applyFill="1"/>
    <xf numFmtId="0" fontId="26" fillId="8" borderId="0" xfId="0" applyFont="1" applyFill="1"/>
    <xf numFmtId="10" fontId="26" fillId="8" borderId="0" xfId="0" applyNumberFormat="1" applyFont="1" applyFill="1"/>
    <xf numFmtId="10" fontId="27" fillId="0" borderId="0" xfId="4" applyNumberFormat="1" applyFont="1"/>
    <xf numFmtId="10" fontId="26" fillId="0" borderId="0" xfId="0" applyNumberFormat="1" applyFont="1"/>
    <xf numFmtId="0" fontId="26" fillId="0" borderId="0" xfId="1" applyNumberFormat="1" applyFont="1"/>
    <xf numFmtId="173" fontId="26" fillId="0" borderId="0" xfId="1" applyNumberFormat="1" applyFont="1"/>
    <xf numFmtId="10" fontId="26" fillId="0" borderId="0" xfId="4" applyNumberFormat="1" applyFont="1"/>
    <xf numFmtId="2" fontId="0" fillId="0" borderId="0" xfId="1" applyNumberFormat="1" applyFont="1"/>
    <xf numFmtId="2" fontId="3" fillId="0" borderId="0" xfId="1" applyNumberFormat="1" applyFont="1"/>
    <xf numFmtId="2" fontId="26" fillId="0" borderId="0" xfId="0" applyNumberFormat="1" applyFont="1"/>
    <xf numFmtId="2" fontId="3" fillId="0" borderId="0" xfId="0" applyNumberFormat="1" applyFont="1"/>
    <xf numFmtId="2" fontId="31" fillId="0" borderId="0" xfId="1" applyNumberFormat="1" applyFont="1"/>
    <xf numFmtId="2" fontId="31" fillId="0" borderId="0" xfId="1" applyNumberFormat="1" applyFont="1" applyFill="1"/>
    <xf numFmtId="0" fontId="1" fillId="0" borderId="0" xfId="1" applyNumberFormat="1" applyFont="1" applyFill="1"/>
    <xf numFmtId="0" fontId="26" fillId="0" borderId="0" xfId="0" applyFont="1" applyAlignment="1">
      <alignment horizontal="right"/>
    </xf>
    <xf numFmtId="2" fontId="25" fillId="8" borderId="0" xfId="1" applyNumberFormat="1" applyFont="1" applyFill="1"/>
    <xf numFmtId="165" fontId="26" fillId="8" borderId="0" xfId="1" applyFont="1" applyFill="1"/>
    <xf numFmtId="0" fontId="26" fillId="8" borderId="0" xfId="1" applyNumberFormat="1" applyFont="1" applyFill="1"/>
    <xf numFmtId="164" fontId="26" fillId="0" borderId="0" xfId="0" applyNumberFormat="1" applyFont="1"/>
    <xf numFmtId="171" fontId="26" fillId="0" borderId="0" xfId="0" applyNumberFormat="1" applyFont="1"/>
    <xf numFmtId="172" fontId="26" fillId="0" borderId="0" xfId="0" applyNumberFormat="1" applyFont="1"/>
    <xf numFmtId="0" fontId="27" fillId="0" borderId="30" xfId="0" applyFont="1" applyBorder="1"/>
    <xf numFmtId="0" fontId="0" fillId="0" borderId="30" xfId="0" applyBorder="1"/>
    <xf numFmtId="165" fontId="26" fillId="0" borderId="30" xfId="1" applyFont="1" applyBorder="1"/>
    <xf numFmtId="0" fontId="0" fillId="0" borderId="31" xfId="0" applyBorder="1"/>
    <xf numFmtId="169" fontId="3" fillId="8" borderId="0" xfId="0" applyNumberFormat="1" applyFont="1" applyFill="1"/>
    <xf numFmtId="165" fontId="27" fillId="0" borderId="0" xfId="1" applyFont="1" applyBorder="1"/>
    <xf numFmtId="165" fontId="26" fillId="0" borderId="0" xfId="1" applyFont="1" applyBorder="1"/>
    <xf numFmtId="0" fontId="0" fillId="0" borderId="32" xfId="0" applyBorder="1"/>
    <xf numFmtId="165" fontId="28" fillId="0" borderId="0" xfId="1" applyFont="1" applyBorder="1"/>
    <xf numFmtId="169" fontId="32" fillId="0" borderId="0" xfId="0" applyNumberFormat="1" applyFont="1"/>
    <xf numFmtId="0" fontId="33" fillId="0" borderId="0" xfId="0" applyFont="1"/>
    <xf numFmtId="169" fontId="34" fillId="0" borderId="0" xfId="0" applyNumberFormat="1" applyFont="1"/>
    <xf numFmtId="165" fontId="0" fillId="0" borderId="0" xfId="1" applyFont="1" applyBorder="1"/>
    <xf numFmtId="0" fontId="0" fillId="0" borderId="33" xfId="0" applyBorder="1"/>
    <xf numFmtId="165" fontId="26" fillId="0" borderId="33" xfId="1" applyFont="1" applyBorder="1"/>
    <xf numFmtId="0" fontId="0" fillId="0" borderId="34" xfId="0" applyBorder="1"/>
    <xf numFmtId="0" fontId="0" fillId="9" borderId="35" xfId="0" applyFill="1" applyBorder="1"/>
    <xf numFmtId="0" fontId="0" fillId="9" borderId="36" xfId="0" applyFill="1" applyBorder="1"/>
    <xf numFmtId="169" fontId="0" fillId="9" borderId="36" xfId="0" applyNumberFormat="1" applyFill="1" applyBorder="1"/>
    <xf numFmtId="0" fontId="0" fillId="9" borderId="37" xfId="0" applyFill="1" applyBorder="1"/>
    <xf numFmtId="169" fontId="2" fillId="8" borderId="0" xfId="0" applyNumberFormat="1" applyFont="1" applyFill="1"/>
    <xf numFmtId="169" fontId="27" fillId="8" borderId="0" xfId="0" applyNumberFormat="1" applyFont="1" applyFill="1"/>
    <xf numFmtId="169" fontId="28" fillId="8" borderId="0" xfId="0" applyNumberFormat="1" applyFont="1" applyFill="1"/>
    <xf numFmtId="0" fontId="0" fillId="8" borderId="0" xfId="0" applyFill="1"/>
    <xf numFmtId="2" fontId="0" fillId="0" borderId="32" xfId="0" applyNumberFormat="1" applyBorder="1"/>
    <xf numFmtId="0" fontId="16" fillId="0" borderId="0" xfId="0" applyFont="1" applyAlignment="1">
      <alignment horizontal="center"/>
    </xf>
    <xf numFmtId="0" fontId="1" fillId="0" borderId="0" xfId="3"/>
    <xf numFmtId="0" fontId="3" fillId="0" borderId="25" xfId="3" applyFont="1" applyBorder="1" applyAlignment="1">
      <alignment horizontal="center"/>
    </xf>
    <xf numFmtId="0" fontId="1" fillId="0" borderId="1" xfId="3" applyBorder="1" applyAlignment="1">
      <alignment horizontal="center"/>
    </xf>
    <xf numFmtId="0" fontId="1" fillId="0" borderId="26" xfId="3" applyBorder="1" applyAlignment="1">
      <alignment horizontal="center"/>
    </xf>
    <xf numFmtId="0" fontId="1" fillId="0" borderId="23" xfId="3" applyBorder="1" applyAlignment="1">
      <alignment horizontal="center"/>
    </xf>
    <xf numFmtId="0" fontId="1" fillId="0" borderId="2" xfId="3" applyBorder="1" applyAlignment="1">
      <alignment horizontal="center"/>
    </xf>
    <xf numFmtId="0" fontId="1" fillId="0" borderId="24" xfId="3" applyBorder="1" applyAlignment="1">
      <alignment horizontal="center"/>
    </xf>
    <xf numFmtId="0" fontId="3" fillId="0" borderId="1" xfId="3" applyFont="1" applyBorder="1" applyAlignment="1">
      <alignment horizontal="center"/>
    </xf>
    <xf numFmtId="0" fontId="3" fillId="0" borderId="26" xfId="3" applyFont="1" applyBorder="1" applyAlignment="1">
      <alignment horizontal="center"/>
    </xf>
    <xf numFmtId="0" fontId="1" fillId="0" borderId="28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29" xfId="3" applyBorder="1" applyAlignment="1">
      <alignment horizontal="center" vertical="center"/>
    </xf>
    <xf numFmtId="0" fontId="1" fillId="0" borderId="23" xfId="3" applyBorder="1" applyAlignment="1">
      <alignment horizontal="center" vertical="center"/>
    </xf>
    <xf numFmtId="0" fontId="1" fillId="0" borderId="2" xfId="3" applyBorder="1" applyAlignment="1">
      <alignment horizontal="center" vertical="center"/>
    </xf>
    <xf numFmtId="0" fontId="1" fillId="0" borderId="24" xfId="3" applyBorder="1" applyAlignment="1">
      <alignment horizontal="center" vertical="center"/>
    </xf>
    <xf numFmtId="0" fontId="5" fillId="0" borderId="25" xfId="3" applyFont="1" applyBorder="1" applyAlignment="1">
      <alignment horizontal="center"/>
    </xf>
    <xf numFmtId="0" fontId="5" fillId="0" borderId="19" xfId="3" applyFont="1" applyBorder="1" applyAlignment="1">
      <alignment horizontal="center"/>
    </xf>
    <xf numFmtId="0" fontId="1" fillId="0" borderId="20" xfId="3" applyBorder="1" applyAlignment="1">
      <alignment horizontal="center"/>
    </xf>
    <xf numFmtId="0" fontId="1" fillId="0" borderId="21" xfId="3" applyBorder="1" applyAlignment="1">
      <alignment horizontal="center"/>
    </xf>
    <xf numFmtId="0" fontId="7" fillId="2" borderId="42" xfId="2" applyFill="1" applyBorder="1" applyAlignment="1" applyProtection="1">
      <alignment horizontal="center" vertical="center" wrapText="1"/>
    </xf>
    <xf numFmtId="0" fontId="7" fillId="0" borderId="43" xfId="2" applyBorder="1" applyAlignment="1" applyProtection="1">
      <alignment horizontal="center" vertical="center"/>
    </xf>
    <xf numFmtId="0" fontId="7" fillId="0" borderId="44" xfId="2" applyBorder="1" applyAlignment="1" applyProtection="1">
      <alignment horizontal="center" vertical="center"/>
    </xf>
    <xf numFmtId="0" fontId="1" fillId="0" borderId="29" xfId="3" applyBorder="1"/>
    <xf numFmtId="0" fontId="1" fillId="0" borderId="27" xfId="3" applyBorder="1"/>
    <xf numFmtId="0" fontId="7" fillId="2" borderId="43" xfId="2" applyFill="1" applyBorder="1" applyAlignment="1" applyProtection="1">
      <alignment horizontal="center" vertical="center" wrapText="1"/>
    </xf>
    <xf numFmtId="0" fontId="7" fillId="2" borderId="44" xfId="2" applyFill="1" applyBorder="1" applyAlignment="1" applyProtection="1">
      <alignment horizontal="center" vertical="center" wrapText="1"/>
    </xf>
    <xf numFmtId="0" fontId="14" fillId="0" borderId="0" xfId="3" applyFont="1" applyAlignment="1">
      <alignment horizontal="center" vertical="center" wrapText="1"/>
    </xf>
    <xf numFmtId="0" fontId="1" fillId="0" borderId="8" xfId="3" applyBorder="1" applyAlignment="1">
      <alignment horizontal="center" vertical="center"/>
    </xf>
    <xf numFmtId="0" fontId="1" fillId="0" borderId="9" xfId="3" applyBorder="1" applyAlignment="1">
      <alignment vertical="center" wrapText="1"/>
    </xf>
    <xf numFmtId="0" fontId="1" fillId="0" borderId="0" xfId="3" applyAlignment="1">
      <alignment wrapText="1"/>
    </xf>
    <xf numFmtId="0" fontId="1" fillId="0" borderId="10" xfId="3" applyBorder="1" applyAlignment="1">
      <alignment wrapText="1"/>
    </xf>
    <xf numFmtId="0" fontId="9" fillId="3" borderId="38" xfId="3" applyFont="1" applyFill="1" applyBorder="1" applyAlignment="1">
      <alignment horizontal="center" vertical="center" wrapText="1"/>
    </xf>
    <xf numFmtId="0" fontId="9" fillId="3" borderId="5" xfId="3" applyFont="1" applyFill="1" applyBorder="1" applyAlignment="1">
      <alignment horizontal="center" vertical="center" wrapText="1"/>
    </xf>
    <xf numFmtId="0" fontId="15" fillId="0" borderId="39" xfId="3" applyFont="1" applyBorder="1" applyAlignment="1">
      <alignment horizontal="center" vertical="center" wrapText="1"/>
    </xf>
    <xf numFmtId="0" fontId="15" fillId="0" borderId="40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0" fontId="2" fillId="0" borderId="7" xfId="3" applyFont="1" applyBorder="1" applyAlignment="1">
      <alignment horizontal="center"/>
    </xf>
    <xf numFmtId="0" fontId="2" fillId="0" borderId="0" xfId="3" applyFont="1" applyAlignment="1">
      <alignment horizontal="center"/>
    </xf>
    <xf numFmtId="0" fontId="1" fillId="0" borderId="0" xfId="3" applyAlignment="1">
      <alignment vertical="center" wrapText="1"/>
    </xf>
    <xf numFmtId="0" fontId="1" fillId="0" borderId="10" xfId="3" applyBorder="1" applyAlignment="1">
      <alignment vertical="center" wrapText="1"/>
    </xf>
    <xf numFmtId="0" fontId="2" fillId="3" borderId="7" xfId="3" applyFont="1" applyFill="1" applyBorder="1" applyAlignment="1">
      <alignment horizontal="center"/>
    </xf>
    <xf numFmtId="0" fontId="2" fillId="3" borderId="0" xfId="3" applyFont="1" applyFill="1" applyAlignment="1">
      <alignment horizontal="center"/>
    </xf>
    <xf numFmtId="0" fontId="20" fillId="3" borderId="7" xfId="3" applyFont="1" applyFill="1" applyBorder="1" applyAlignment="1">
      <alignment horizontal="center" vertical="center" wrapText="1"/>
    </xf>
    <xf numFmtId="176" fontId="0" fillId="0" borderId="0" xfId="0" applyNumberFormat="1"/>
    <xf numFmtId="166" fontId="40" fillId="0" borderId="0" xfId="0" applyNumberFormat="1" applyFont="1" applyAlignment="1" applyProtection="1">
      <alignment horizontal="right"/>
      <protection locked="0"/>
    </xf>
    <xf numFmtId="166" fontId="41" fillId="0" borderId="0" xfId="0" applyNumberFormat="1" applyFont="1" applyAlignment="1" applyProtection="1">
      <alignment horizontal="right"/>
      <protection locked="0"/>
    </xf>
    <xf numFmtId="169" fontId="41" fillId="0" borderId="0" xfId="0" applyNumberFormat="1" applyFont="1" applyAlignment="1" applyProtection="1">
      <alignment horizontal="right"/>
      <protection locked="0"/>
    </xf>
    <xf numFmtId="169" fontId="40" fillId="0" borderId="0" xfId="0" applyNumberFormat="1" applyFont="1" applyAlignment="1" applyProtection="1">
      <alignment horizontal="right"/>
      <protection locked="0"/>
    </xf>
    <xf numFmtId="169" fontId="42" fillId="0" borderId="0" xfId="0" applyNumberFormat="1" applyFont="1" applyAlignment="1" applyProtection="1">
      <alignment horizontal="right"/>
      <protection locked="0"/>
    </xf>
    <xf numFmtId="169" fontId="43" fillId="0" borderId="0" xfId="0" applyNumberFormat="1" applyFont="1" applyAlignment="1" applyProtection="1">
      <alignment horizontal="right"/>
      <protection locked="0"/>
    </xf>
  </cellXfs>
  <cellStyles count="5">
    <cellStyle name="Lien hypertexte" xfId="2" builtinId="8"/>
    <cellStyle name="Milliers" xfId="1" builtinId="3"/>
    <cellStyle name="Normal" xfId="0" builtinId="0"/>
    <cellStyle name="Normal 2" xfId="3" xr:uid="{00000000-0005-0000-0000-000003000000}"/>
    <cellStyle name="Pourcentage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0</xdr:rowOff>
    </xdr:from>
    <xdr:to>
      <xdr:col>3</xdr:col>
      <xdr:colOff>9525</xdr:colOff>
      <xdr:row>1</xdr:row>
      <xdr:rowOff>0</xdr:rowOff>
    </xdr:to>
    <xdr:sp macro="" textlink="">
      <xdr:nvSpPr>
        <xdr:cNvPr id="9217" name="Texte 1">
          <a:extLst>
            <a:ext uri="{FF2B5EF4-FFF2-40B4-BE49-F238E27FC236}">
              <a16:creationId xmlns:a16="http://schemas.microsoft.com/office/drawing/2014/main" id="{00000000-0008-0000-0100-000001240000}"/>
            </a:ext>
          </a:extLst>
        </xdr:cNvPr>
        <xdr:cNvSpPr txBox="1">
          <a:spLocks noChangeArrowheads="1"/>
        </xdr:cNvSpPr>
      </xdr:nvSpPr>
      <xdr:spPr bwMode="auto">
        <a:xfrm>
          <a:off x="28956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9525</xdr:colOff>
      <xdr:row>1</xdr:row>
      <xdr:rowOff>0</xdr:rowOff>
    </xdr:to>
    <xdr:sp macro="" textlink="">
      <xdr:nvSpPr>
        <xdr:cNvPr id="9218" name="Texte 2">
          <a:extLst>
            <a:ext uri="{FF2B5EF4-FFF2-40B4-BE49-F238E27FC236}">
              <a16:creationId xmlns:a16="http://schemas.microsoft.com/office/drawing/2014/main" id="{00000000-0008-0000-0100-000002240000}"/>
            </a:ext>
          </a:extLst>
        </xdr:cNvPr>
        <xdr:cNvSpPr txBox="1">
          <a:spLocks noChangeArrowheads="1"/>
        </xdr:cNvSpPr>
      </xdr:nvSpPr>
      <xdr:spPr bwMode="auto">
        <a:xfrm>
          <a:off x="35433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9525</xdr:colOff>
      <xdr:row>1</xdr:row>
      <xdr:rowOff>0</xdr:rowOff>
    </xdr:to>
    <xdr:sp macro="" textlink="">
      <xdr:nvSpPr>
        <xdr:cNvPr id="9219" name="Texte 3">
          <a:extLst>
            <a:ext uri="{FF2B5EF4-FFF2-40B4-BE49-F238E27FC236}">
              <a16:creationId xmlns:a16="http://schemas.microsoft.com/office/drawing/2014/main" id="{00000000-0008-0000-0100-000003240000}"/>
            </a:ext>
          </a:extLst>
        </xdr:cNvPr>
        <xdr:cNvSpPr txBox="1">
          <a:spLocks noChangeArrowheads="1"/>
        </xdr:cNvSpPr>
      </xdr:nvSpPr>
      <xdr:spPr bwMode="auto">
        <a:xfrm>
          <a:off x="41910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1</xdr:row>
      <xdr:rowOff>0</xdr:rowOff>
    </xdr:from>
    <xdr:to>
      <xdr:col>6</xdr:col>
      <xdr:colOff>9525</xdr:colOff>
      <xdr:row>1</xdr:row>
      <xdr:rowOff>0</xdr:rowOff>
    </xdr:to>
    <xdr:sp macro="" textlink="">
      <xdr:nvSpPr>
        <xdr:cNvPr id="9220" name="Texte 4">
          <a:extLst>
            <a:ext uri="{FF2B5EF4-FFF2-40B4-BE49-F238E27FC236}">
              <a16:creationId xmlns:a16="http://schemas.microsoft.com/office/drawing/2014/main" id="{00000000-0008-0000-0100-000004240000}"/>
            </a:ext>
          </a:extLst>
        </xdr:cNvPr>
        <xdr:cNvSpPr txBox="1">
          <a:spLocks noChangeArrowheads="1"/>
        </xdr:cNvSpPr>
      </xdr:nvSpPr>
      <xdr:spPr bwMode="auto">
        <a:xfrm>
          <a:off x="48387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1</xdr:row>
      <xdr:rowOff>0</xdr:rowOff>
    </xdr:from>
    <xdr:to>
      <xdr:col>7</xdr:col>
      <xdr:colOff>9525</xdr:colOff>
      <xdr:row>1</xdr:row>
      <xdr:rowOff>0</xdr:rowOff>
    </xdr:to>
    <xdr:sp macro="" textlink="">
      <xdr:nvSpPr>
        <xdr:cNvPr id="9221" name="Texte 5">
          <a:extLst>
            <a:ext uri="{FF2B5EF4-FFF2-40B4-BE49-F238E27FC236}">
              <a16:creationId xmlns:a16="http://schemas.microsoft.com/office/drawing/2014/main" id="{00000000-0008-0000-0100-000005240000}"/>
            </a:ext>
          </a:extLst>
        </xdr:cNvPr>
        <xdr:cNvSpPr txBox="1">
          <a:spLocks noChangeArrowheads="1"/>
        </xdr:cNvSpPr>
      </xdr:nvSpPr>
      <xdr:spPr bwMode="auto">
        <a:xfrm>
          <a:off x="54864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1</xdr:row>
      <xdr:rowOff>0</xdr:rowOff>
    </xdr:from>
    <xdr:to>
      <xdr:col>9</xdr:col>
      <xdr:colOff>9525</xdr:colOff>
      <xdr:row>1</xdr:row>
      <xdr:rowOff>0</xdr:rowOff>
    </xdr:to>
    <xdr:sp macro="" textlink="">
      <xdr:nvSpPr>
        <xdr:cNvPr id="9222" name="Texte 6">
          <a:extLst>
            <a:ext uri="{FF2B5EF4-FFF2-40B4-BE49-F238E27FC236}">
              <a16:creationId xmlns:a16="http://schemas.microsoft.com/office/drawing/2014/main" id="{00000000-0008-0000-0100-000006240000}"/>
            </a:ext>
          </a:extLst>
        </xdr:cNvPr>
        <xdr:cNvSpPr txBox="1">
          <a:spLocks noChangeArrowheads="1"/>
        </xdr:cNvSpPr>
      </xdr:nvSpPr>
      <xdr:spPr bwMode="auto">
        <a:xfrm>
          <a:off x="6134100" y="200025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1</xdr:row>
      <xdr:rowOff>0</xdr:rowOff>
    </xdr:from>
    <xdr:to>
      <xdr:col>10</xdr:col>
      <xdr:colOff>9525</xdr:colOff>
      <xdr:row>1</xdr:row>
      <xdr:rowOff>0</xdr:rowOff>
    </xdr:to>
    <xdr:sp macro="" textlink="">
      <xdr:nvSpPr>
        <xdr:cNvPr id="9223" name="Texte 7">
          <a:extLst>
            <a:ext uri="{FF2B5EF4-FFF2-40B4-BE49-F238E27FC236}">
              <a16:creationId xmlns:a16="http://schemas.microsoft.com/office/drawing/2014/main" id="{00000000-0008-0000-0100-000007240000}"/>
            </a:ext>
          </a:extLst>
        </xdr:cNvPr>
        <xdr:cNvSpPr txBox="1">
          <a:spLocks noChangeArrowheads="1"/>
        </xdr:cNvSpPr>
      </xdr:nvSpPr>
      <xdr:spPr bwMode="auto">
        <a:xfrm>
          <a:off x="74295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1</xdr:row>
      <xdr:rowOff>0</xdr:rowOff>
    </xdr:from>
    <xdr:to>
      <xdr:col>11</xdr:col>
      <xdr:colOff>9525</xdr:colOff>
      <xdr:row>1</xdr:row>
      <xdr:rowOff>0</xdr:rowOff>
    </xdr:to>
    <xdr:sp macro="" textlink="">
      <xdr:nvSpPr>
        <xdr:cNvPr id="9224" name="Texte 8">
          <a:extLst>
            <a:ext uri="{FF2B5EF4-FFF2-40B4-BE49-F238E27FC236}">
              <a16:creationId xmlns:a16="http://schemas.microsoft.com/office/drawing/2014/main" id="{00000000-0008-0000-0100-000008240000}"/>
            </a:ext>
          </a:extLst>
        </xdr:cNvPr>
        <xdr:cNvSpPr txBox="1">
          <a:spLocks noChangeArrowheads="1"/>
        </xdr:cNvSpPr>
      </xdr:nvSpPr>
      <xdr:spPr bwMode="auto">
        <a:xfrm>
          <a:off x="80772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1</xdr:row>
      <xdr:rowOff>0</xdr:rowOff>
    </xdr:from>
    <xdr:to>
      <xdr:col>12</xdr:col>
      <xdr:colOff>0</xdr:colOff>
      <xdr:row>1</xdr:row>
      <xdr:rowOff>0</xdr:rowOff>
    </xdr:to>
    <xdr:sp macro="" textlink="">
      <xdr:nvSpPr>
        <xdr:cNvPr id="9225" name="Texte 9">
          <a:extLst>
            <a:ext uri="{FF2B5EF4-FFF2-40B4-BE49-F238E27FC236}">
              <a16:creationId xmlns:a16="http://schemas.microsoft.com/office/drawing/2014/main" id="{00000000-0008-0000-0100-000009240000}"/>
            </a:ext>
          </a:extLst>
        </xdr:cNvPr>
        <xdr:cNvSpPr txBox="1">
          <a:spLocks noChangeArrowheads="1"/>
        </xdr:cNvSpPr>
      </xdr:nvSpPr>
      <xdr:spPr bwMode="auto">
        <a:xfrm>
          <a:off x="8724900" y="200025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73</xdr:row>
      <xdr:rowOff>0</xdr:rowOff>
    </xdr:from>
    <xdr:to>
      <xdr:col>3</xdr:col>
      <xdr:colOff>9525</xdr:colOff>
      <xdr:row>73</xdr:row>
      <xdr:rowOff>0</xdr:rowOff>
    </xdr:to>
    <xdr:sp macro="" textlink="">
      <xdr:nvSpPr>
        <xdr:cNvPr id="9226" name="Texte 10">
          <a:extLst>
            <a:ext uri="{FF2B5EF4-FFF2-40B4-BE49-F238E27FC236}">
              <a16:creationId xmlns:a16="http://schemas.microsoft.com/office/drawing/2014/main" id="{00000000-0008-0000-0100-00000A240000}"/>
            </a:ext>
          </a:extLst>
        </xdr:cNvPr>
        <xdr:cNvSpPr txBox="1">
          <a:spLocks noChangeArrowheads="1"/>
        </xdr:cNvSpPr>
      </xdr:nvSpPr>
      <xdr:spPr bwMode="auto">
        <a:xfrm>
          <a:off x="28956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73</xdr:row>
      <xdr:rowOff>0</xdr:rowOff>
    </xdr:from>
    <xdr:to>
      <xdr:col>4</xdr:col>
      <xdr:colOff>9525</xdr:colOff>
      <xdr:row>73</xdr:row>
      <xdr:rowOff>0</xdr:rowOff>
    </xdr:to>
    <xdr:sp macro="" textlink="">
      <xdr:nvSpPr>
        <xdr:cNvPr id="9227" name="Texte 11">
          <a:extLst>
            <a:ext uri="{FF2B5EF4-FFF2-40B4-BE49-F238E27FC236}">
              <a16:creationId xmlns:a16="http://schemas.microsoft.com/office/drawing/2014/main" id="{00000000-0008-0000-0100-00000B240000}"/>
            </a:ext>
          </a:extLst>
        </xdr:cNvPr>
        <xdr:cNvSpPr txBox="1">
          <a:spLocks noChangeArrowheads="1"/>
        </xdr:cNvSpPr>
      </xdr:nvSpPr>
      <xdr:spPr bwMode="auto">
        <a:xfrm>
          <a:off x="35433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73</xdr:row>
      <xdr:rowOff>0</xdr:rowOff>
    </xdr:from>
    <xdr:to>
      <xdr:col>5</xdr:col>
      <xdr:colOff>9525</xdr:colOff>
      <xdr:row>73</xdr:row>
      <xdr:rowOff>0</xdr:rowOff>
    </xdr:to>
    <xdr:sp macro="" textlink="">
      <xdr:nvSpPr>
        <xdr:cNvPr id="9228" name="Texte 12">
          <a:extLst>
            <a:ext uri="{FF2B5EF4-FFF2-40B4-BE49-F238E27FC236}">
              <a16:creationId xmlns:a16="http://schemas.microsoft.com/office/drawing/2014/main" id="{00000000-0008-0000-0100-00000C240000}"/>
            </a:ext>
          </a:extLst>
        </xdr:cNvPr>
        <xdr:cNvSpPr txBox="1">
          <a:spLocks noChangeArrowheads="1"/>
        </xdr:cNvSpPr>
      </xdr:nvSpPr>
      <xdr:spPr bwMode="auto">
        <a:xfrm>
          <a:off x="41910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73</xdr:row>
      <xdr:rowOff>0</xdr:rowOff>
    </xdr:from>
    <xdr:to>
      <xdr:col>6</xdr:col>
      <xdr:colOff>9525</xdr:colOff>
      <xdr:row>73</xdr:row>
      <xdr:rowOff>0</xdr:rowOff>
    </xdr:to>
    <xdr:sp macro="" textlink="">
      <xdr:nvSpPr>
        <xdr:cNvPr id="9229" name="Texte 13">
          <a:extLst>
            <a:ext uri="{FF2B5EF4-FFF2-40B4-BE49-F238E27FC236}">
              <a16:creationId xmlns:a16="http://schemas.microsoft.com/office/drawing/2014/main" id="{00000000-0008-0000-0100-00000D240000}"/>
            </a:ext>
          </a:extLst>
        </xdr:cNvPr>
        <xdr:cNvSpPr txBox="1">
          <a:spLocks noChangeArrowheads="1"/>
        </xdr:cNvSpPr>
      </xdr:nvSpPr>
      <xdr:spPr bwMode="auto">
        <a:xfrm>
          <a:off x="48387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73</xdr:row>
      <xdr:rowOff>0</xdr:rowOff>
    </xdr:from>
    <xdr:to>
      <xdr:col>7</xdr:col>
      <xdr:colOff>9525</xdr:colOff>
      <xdr:row>73</xdr:row>
      <xdr:rowOff>0</xdr:rowOff>
    </xdr:to>
    <xdr:sp macro="" textlink="">
      <xdr:nvSpPr>
        <xdr:cNvPr id="9230" name="Texte 14">
          <a:extLst>
            <a:ext uri="{FF2B5EF4-FFF2-40B4-BE49-F238E27FC236}">
              <a16:creationId xmlns:a16="http://schemas.microsoft.com/office/drawing/2014/main" id="{00000000-0008-0000-0100-00000E240000}"/>
            </a:ext>
          </a:extLst>
        </xdr:cNvPr>
        <xdr:cNvSpPr txBox="1">
          <a:spLocks noChangeArrowheads="1"/>
        </xdr:cNvSpPr>
      </xdr:nvSpPr>
      <xdr:spPr bwMode="auto">
        <a:xfrm>
          <a:off x="54864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73</xdr:row>
      <xdr:rowOff>0</xdr:rowOff>
    </xdr:from>
    <xdr:to>
      <xdr:col>9</xdr:col>
      <xdr:colOff>9525</xdr:colOff>
      <xdr:row>73</xdr:row>
      <xdr:rowOff>0</xdr:rowOff>
    </xdr:to>
    <xdr:sp macro="" textlink="">
      <xdr:nvSpPr>
        <xdr:cNvPr id="9231" name="Texte 15">
          <a:extLst>
            <a:ext uri="{FF2B5EF4-FFF2-40B4-BE49-F238E27FC236}">
              <a16:creationId xmlns:a16="http://schemas.microsoft.com/office/drawing/2014/main" id="{00000000-0008-0000-0100-00000F240000}"/>
            </a:ext>
          </a:extLst>
        </xdr:cNvPr>
        <xdr:cNvSpPr txBox="1">
          <a:spLocks noChangeArrowheads="1"/>
        </xdr:cNvSpPr>
      </xdr:nvSpPr>
      <xdr:spPr bwMode="auto">
        <a:xfrm>
          <a:off x="6134100" y="12277725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73</xdr:row>
      <xdr:rowOff>0</xdr:rowOff>
    </xdr:from>
    <xdr:to>
      <xdr:col>10</xdr:col>
      <xdr:colOff>9525</xdr:colOff>
      <xdr:row>73</xdr:row>
      <xdr:rowOff>0</xdr:rowOff>
    </xdr:to>
    <xdr:sp macro="" textlink="">
      <xdr:nvSpPr>
        <xdr:cNvPr id="9232" name="Texte 16">
          <a:extLst>
            <a:ext uri="{FF2B5EF4-FFF2-40B4-BE49-F238E27FC236}">
              <a16:creationId xmlns:a16="http://schemas.microsoft.com/office/drawing/2014/main" id="{00000000-0008-0000-0100-000010240000}"/>
            </a:ext>
          </a:extLst>
        </xdr:cNvPr>
        <xdr:cNvSpPr txBox="1">
          <a:spLocks noChangeArrowheads="1"/>
        </xdr:cNvSpPr>
      </xdr:nvSpPr>
      <xdr:spPr bwMode="auto">
        <a:xfrm>
          <a:off x="74295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73</xdr:row>
      <xdr:rowOff>0</xdr:rowOff>
    </xdr:from>
    <xdr:to>
      <xdr:col>11</xdr:col>
      <xdr:colOff>9525</xdr:colOff>
      <xdr:row>73</xdr:row>
      <xdr:rowOff>0</xdr:rowOff>
    </xdr:to>
    <xdr:sp macro="" textlink="">
      <xdr:nvSpPr>
        <xdr:cNvPr id="9233" name="Texte 17">
          <a:extLst>
            <a:ext uri="{FF2B5EF4-FFF2-40B4-BE49-F238E27FC236}">
              <a16:creationId xmlns:a16="http://schemas.microsoft.com/office/drawing/2014/main" id="{00000000-0008-0000-0100-000011240000}"/>
            </a:ext>
          </a:extLst>
        </xdr:cNvPr>
        <xdr:cNvSpPr txBox="1">
          <a:spLocks noChangeArrowheads="1"/>
        </xdr:cNvSpPr>
      </xdr:nvSpPr>
      <xdr:spPr bwMode="auto">
        <a:xfrm>
          <a:off x="80772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73</xdr:row>
      <xdr:rowOff>0</xdr:rowOff>
    </xdr:from>
    <xdr:to>
      <xdr:col>12</xdr:col>
      <xdr:colOff>0</xdr:colOff>
      <xdr:row>73</xdr:row>
      <xdr:rowOff>0</xdr:rowOff>
    </xdr:to>
    <xdr:sp macro="" textlink="">
      <xdr:nvSpPr>
        <xdr:cNvPr id="9234" name="Texte 18">
          <a:extLst>
            <a:ext uri="{FF2B5EF4-FFF2-40B4-BE49-F238E27FC236}">
              <a16:creationId xmlns:a16="http://schemas.microsoft.com/office/drawing/2014/main" id="{00000000-0008-0000-0100-000012240000}"/>
            </a:ext>
          </a:extLst>
        </xdr:cNvPr>
        <xdr:cNvSpPr txBox="1">
          <a:spLocks noChangeArrowheads="1"/>
        </xdr:cNvSpPr>
      </xdr:nvSpPr>
      <xdr:spPr bwMode="auto">
        <a:xfrm>
          <a:off x="8724900" y="12277725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6</xdr:row>
          <xdr:rowOff>409575</xdr:rowOff>
        </xdr:from>
        <xdr:to>
          <xdr:col>17</xdr:col>
          <xdr:colOff>0</xdr:colOff>
          <xdr:row>13</xdr:row>
          <xdr:rowOff>657225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affichage normal</a:t>
              </a:r>
              <a:endParaRPr lang="fr-FR" sz="1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fr-FR" sz="1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6</xdr:row>
          <xdr:rowOff>0</xdr:rowOff>
        </xdr:from>
        <xdr:to>
          <xdr:col>16</xdr:col>
          <xdr:colOff>1304925</xdr:colOff>
          <xdr:row>13</xdr:row>
          <xdr:rowOff>352425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voir l'ensemble du TES</a:t>
              </a:r>
            </a:p>
            <a:p>
              <a:pPr algn="ctr" rtl="0">
                <a:defRPr sz="1000"/>
              </a:pPr>
              <a:endParaRPr lang="fr-FR" sz="9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37" name="Texte 1">
          <a:extLst>
            <a:ext uri="{FF2B5EF4-FFF2-40B4-BE49-F238E27FC236}">
              <a16:creationId xmlns:a16="http://schemas.microsoft.com/office/drawing/2014/main" id="{00000000-0008-0000-0500-000001380000}"/>
            </a:ext>
          </a:extLst>
        </xdr:cNvPr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38" name="Texte 2">
          <a:extLst>
            <a:ext uri="{FF2B5EF4-FFF2-40B4-BE49-F238E27FC236}">
              <a16:creationId xmlns:a16="http://schemas.microsoft.com/office/drawing/2014/main" id="{00000000-0008-0000-0500-000002380000}"/>
            </a:ext>
          </a:extLst>
        </xdr:cNvPr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39" name="Texte 3">
          <a:extLst>
            <a:ext uri="{FF2B5EF4-FFF2-40B4-BE49-F238E27FC236}">
              <a16:creationId xmlns:a16="http://schemas.microsoft.com/office/drawing/2014/main" id="{00000000-0008-0000-0500-000003380000}"/>
            </a:ext>
          </a:extLst>
        </xdr:cNvPr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40" name="Texte 4">
          <a:extLst>
            <a:ext uri="{FF2B5EF4-FFF2-40B4-BE49-F238E27FC236}">
              <a16:creationId xmlns:a16="http://schemas.microsoft.com/office/drawing/2014/main" id="{00000000-0008-0000-0500-000004380000}"/>
            </a:ext>
          </a:extLst>
        </xdr:cNvPr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41" name="Texte 5">
          <a:extLst>
            <a:ext uri="{FF2B5EF4-FFF2-40B4-BE49-F238E27FC236}">
              <a16:creationId xmlns:a16="http://schemas.microsoft.com/office/drawing/2014/main" id="{00000000-0008-0000-0500-000005380000}"/>
            </a:ext>
          </a:extLst>
        </xdr:cNvPr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42" name="Texte 6">
          <a:extLst>
            <a:ext uri="{FF2B5EF4-FFF2-40B4-BE49-F238E27FC236}">
              <a16:creationId xmlns:a16="http://schemas.microsoft.com/office/drawing/2014/main" id="{00000000-0008-0000-0500-000006380000}"/>
            </a:ext>
          </a:extLst>
        </xdr:cNvPr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43" name="Texte 7">
          <a:extLst>
            <a:ext uri="{FF2B5EF4-FFF2-40B4-BE49-F238E27FC236}">
              <a16:creationId xmlns:a16="http://schemas.microsoft.com/office/drawing/2014/main" id="{00000000-0008-0000-0500-000007380000}"/>
            </a:ext>
          </a:extLst>
        </xdr:cNvPr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44" name="Texte 8">
          <a:extLst>
            <a:ext uri="{FF2B5EF4-FFF2-40B4-BE49-F238E27FC236}">
              <a16:creationId xmlns:a16="http://schemas.microsoft.com/office/drawing/2014/main" id="{00000000-0008-0000-0500-000008380000}"/>
            </a:ext>
          </a:extLst>
        </xdr:cNvPr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45" name="Texte 9">
          <a:extLst>
            <a:ext uri="{FF2B5EF4-FFF2-40B4-BE49-F238E27FC236}">
              <a16:creationId xmlns:a16="http://schemas.microsoft.com/office/drawing/2014/main" id="{00000000-0008-0000-0500-000009380000}"/>
            </a:ext>
          </a:extLst>
        </xdr:cNvPr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46" name="Texte 10">
          <a:extLst>
            <a:ext uri="{FF2B5EF4-FFF2-40B4-BE49-F238E27FC236}">
              <a16:creationId xmlns:a16="http://schemas.microsoft.com/office/drawing/2014/main" id="{00000000-0008-0000-0500-00000A380000}"/>
            </a:ext>
          </a:extLst>
        </xdr:cNvPr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47" name="Texte 11">
          <a:extLst>
            <a:ext uri="{FF2B5EF4-FFF2-40B4-BE49-F238E27FC236}">
              <a16:creationId xmlns:a16="http://schemas.microsoft.com/office/drawing/2014/main" id="{00000000-0008-0000-0500-00000B380000}"/>
            </a:ext>
          </a:extLst>
        </xdr:cNvPr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48" name="Texte 12">
          <a:extLst>
            <a:ext uri="{FF2B5EF4-FFF2-40B4-BE49-F238E27FC236}">
              <a16:creationId xmlns:a16="http://schemas.microsoft.com/office/drawing/2014/main" id="{00000000-0008-0000-0500-00000C380000}"/>
            </a:ext>
          </a:extLst>
        </xdr:cNvPr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49" name="Texte 13">
          <a:extLst>
            <a:ext uri="{FF2B5EF4-FFF2-40B4-BE49-F238E27FC236}">
              <a16:creationId xmlns:a16="http://schemas.microsoft.com/office/drawing/2014/main" id="{00000000-0008-0000-0500-00000D380000}"/>
            </a:ext>
          </a:extLst>
        </xdr:cNvPr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50" name="Texte 14">
          <a:extLst>
            <a:ext uri="{FF2B5EF4-FFF2-40B4-BE49-F238E27FC236}">
              <a16:creationId xmlns:a16="http://schemas.microsoft.com/office/drawing/2014/main" id="{00000000-0008-0000-0500-00000E380000}"/>
            </a:ext>
          </a:extLst>
        </xdr:cNvPr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51" name="Texte 15">
          <a:extLst>
            <a:ext uri="{FF2B5EF4-FFF2-40B4-BE49-F238E27FC236}">
              <a16:creationId xmlns:a16="http://schemas.microsoft.com/office/drawing/2014/main" id="{00000000-0008-0000-0500-00000F380000}"/>
            </a:ext>
          </a:extLst>
        </xdr:cNvPr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52" name="Texte 16">
          <a:extLst>
            <a:ext uri="{FF2B5EF4-FFF2-40B4-BE49-F238E27FC236}">
              <a16:creationId xmlns:a16="http://schemas.microsoft.com/office/drawing/2014/main" id="{00000000-0008-0000-0500-000010380000}"/>
            </a:ext>
          </a:extLst>
        </xdr:cNvPr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53" name="Texte 17">
          <a:extLst>
            <a:ext uri="{FF2B5EF4-FFF2-40B4-BE49-F238E27FC236}">
              <a16:creationId xmlns:a16="http://schemas.microsoft.com/office/drawing/2014/main" id="{00000000-0008-0000-0500-000011380000}"/>
            </a:ext>
          </a:extLst>
        </xdr:cNvPr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54" name="Texte 18">
          <a:extLst>
            <a:ext uri="{FF2B5EF4-FFF2-40B4-BE49-F238E27FC236}">
              <a16:creationId xmlns:a16="http://schemas.microsoft.com/office/drawing/2014/main" id="{00000000-0008-0000-0500-000012380000}"/>
            </a:ext>
          </a:extLst>
        </xdr:cNvPr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56" name="Texte 1">
          <a:extLst>
            <a:ext uri="{FF2B5EF4-FFF2-40B4-BE49-F238E27FC236}">
              <a16:creationId xmlns:a16="http://schemas.microsoft.com/office/drawing/2014/main" id="{00000000-0008-0000-0500-000014380000}"/>
            </a:ext>
          </a:extLst>
        </xdr:cNvPr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57" name="Texte 2">
          <a:extLst>
            <a:ext uri="{FF2B5EF4-FFF2-40B4-BE49-F238E27FC236}">
              <a16:creationId xmlns:a16="http://schemas.microsoft.com/office/drawing/2014/main" id="{00000000-0008-0000-0500-000015380000}"/>
            </a:ext>
          </a:extLst>
        </xdr:cNvPr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58" name="Texte 3">
          <a:extLst>
            <a:ext uri="{FF2B5EF4-FFF2-40B4-BE49-F238E27FC236}">
              <a16:creationId xmlns:a16="http://schemas.microsoft.com/office/drawing/2014/main" id="{00000000-0008-0000-0500-000016380000}"/>
            </a:ext>
          </a:extLst>
        </xdr:cNvPr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59" name="Texte 4">
          <a:extLst>
            <a:ext uri="{FF2B5EF4-FFF2-40B4-BE49-F238E27FC236}">
              <a16:creationId xmlns:a16="http://schemas.microsoft.com/office/drawing/2014/main" id="{00000000-0008-0000-0500-000017380000}"/>
            </a:ext>
          </a:extLst>
        </xdr:cNvPr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60" name="Texte 5">
          <a:extLst>
            <a:ext uri="{FF2B5EF4-FFF2-40B4-BE49-F238E27FC236}">
              <a16:creationId xmlns:a16="http://schemas.microsoft.com/office/drawing/2014/main" id="{00000000-0008-0000-0500-000018380000}"/>
            </a:ext>
          </a:extLst>
        </xdr:cNvPr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61" name="Texte 6">
          <a:extLst>
            <a:ext uri="{FF2B5EF4-FFF2-40B4-BE49-F238E27FC236}">
              <a16:creationId xmlns:a16="http://schemas.microsoft.com/office/drawing/2014/main" id="{00000000-0008-0000-0500-000019380000}"/>
            </a:ext>
          </a:extLst>
        </xdr:cNvPr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62" name="Texte 7">
          <a:extLst>
            <a:ext uri="{FF2B5EF4-FFF2-40B4-BE49-F238E27FC236}">
              <a16:creationId xmlns:a16="http://schemas.microsoft.com/office/drawing/2014/main" id="{00000000-0008-0000-0500-00001A380000}"/>
            </a:ext>
          </a:extLst>
        </xdr:cNvPr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63" name="Texte 8">
          <a:extLst>
            <a:ext uri="{FF2B5EF4-FFF2-40B4-BE49-F238E27FC236}">
              <a16:creationId xmlns:a16="http://schemas.microsoft.com/office/drawing/2014/main" id="{00000000-0008-0000-0500-00001B380000}"/>
            </a:ext>
          </a:extLst>
        </xdr:cNvPr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64" name="Texte 9">
          <a:extLst>
            <a:ext uri="{FF2B5EF4-FFF2-40B4-BE49-F238E27FC236}">
              <a16:creationId xmlns:a16="http://schemas.microsoft.com/office/drawing/2014/main" id="{00000000-0008-0000-0500-00001C380000}"/>
            </a:ext>
          </a:extLst>
        </xdr:cNvPr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65" name="Texte 10">
          <a:extLst>
            <a:ext uri="{FF2B5EF4-FFF2-40B4-BE49-F238E27FC236}">
              <a16:creationId xmlns:a16="http://schemas.microsoft.com/office/drawing/2014/main" id="{00000000-0008-0000-0500-00001D380000}"/>
            </a:ext>
          </a:extLst>
        </xdr:cNvPr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66" name="Texte 11">
          <a:extLst>
            <a:ext uri="{FF2B5EF4-FFF2-40B4-BE49-F238E27FC236}">
              <a16:creationId xmlns:a16="http://schemas.microsoft.com/office/drawing/2014/main" id="{00000000-0008-0000-0500-00001E380000}"/>
            </a:ext>
          </a:extLst>
        </xdr:cNvPr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67" name="Texte 12">
          <a:extLst>
            <a:ext uri="{FF2B5EF4-FFF2-40B4-BE49-F238E27FC236}">
              <a16:creationId xmlns:a16="http://schemas.microsoft.com/office/drawing/2014/main" id="{00000000-0008-0000-0500-00001F380000}"/>
            </a:ext>
          </a:extLst>
        </xdr:cNvPr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68" name="Texte 13">
          <a:extLst>
            <a:ext uri="{FF2B5EF4-FFF2-40B4-BE49-F238E27FC236}">
              <a16:creationId xmlns:a16="http://schemas.microsoft.com/office/drawing/2014/main" id="{00000000-0008-0000-0500-000020380000}"/>
            </a:ext>
          </a:extLst>
        </xdr:cNvPr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69" name="Texte 14">
          <a:extLst>
            <a:ext uri="{FF2B5EF4-FFF2-40B4-BE49-F238E27FC236}">
              <a16:creationId xmlns:a16="http://schemas.microsoft.com/office/drawing/2014/main" id="{00000000-0008-0000-0500-000021380000}"/>
            </a:ext>
          </a:extLst>
        </xdr:cNvPr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70" name="Texte 15">
          <a:extLst>
            <a:ext uri="{FF2B5EF4-FFF2-40B4-BE49-F238E27FC236}">
              <a16:creationId xmlns:a16="http://schemas.microsoft.com/office/drawing/2014/main" id="{00000000-0008-0000-0500-000022380000}"/>
            </a:ext>
          </a:extLst>
        </xdr:cNvPr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71" name="Texte 16">
          <a:extLst>
            <a:ext uri="{FF2B5EF4-FFF2-40B4-BE49-F238E27FC236}">
              <a16:creationId xmlns:a16="http://schemas.microsoft.com/office/drawing/2014/main" id="{00000000-0008-0000-0500-000023380000}"/>
            </a:ext>
          </a:extLst>
        </xdr:cNvPr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72" name="Texte 17">
          <a:extLst>
            <a:ext uri="{FF2B5EF4-FFF2-40B4-BE49-F238E27FC236}">
              <a16:creationId xmlns:a16="http://schemas.microsoft.com/office/drawing/2014/main" id="{00000000-0008-0000-0500-000024380000}"/>
            </a:ext>
          </a:extLst>
        </xdr:cNvPr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73" name="Texte 18">
          <a:extLst>
            <a:ext uri="{FF2B5EF4-FFF2-40B4-BE49-F238E27FC236}">
              <a16:creationId xmlns:a16="http://schemas.microsoft.com/office/drawing/2014/main" id="{00000000-0008-0000-0500-000025380000}"/>
            </a:ext>
          </a:extLst>
        </xdr:cNvPr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74" name="Texte 1">
          <a:extLst>
            <a:ext uri="{FF2B5EF4-FFF2-40B4-BE49-F238E27FC236}">
              <a16:creationId xmlns:a16="http://schemas.microsoft.com/office/drawing/2014/main" id="{00000000-0008-0000-0500-000026380000}"/>
            </a:ext>
          </a:extLst>
        </xdr:cNvPr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75" name="Texte 2">
          <a:extLst>
            <a:ext uri="{FF2B5EF4-FFF2-40B4-BE49-F238E27FC236}">
              <a16:creationId xmlns:a16="http://schemas.microsoft.com/office/drawing/2014/main" id="{00000000-0008-0000-0500-000027380000}"/>
            </a:ext>
          </a:extLst>
        </xdr:cNvPr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76" name="Texte 3">
          <a:extLst>
            <a:ext uri="{FF2B5EF4-FFF2-40B4-BE49-F238E27FC236}">
              <a16:creationId xmlns:a16="http://schemas.microsoft.com/office/drawing/2014/main" id="{00000000-0008-0000-0500-000028380000}"/>
            </a:ext>
          </a:extLst>
        </xdr:cNvPr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77" name="Texte 4">
          <a:extLst>
            <a:ext uri="{FF2B5EF4-FFF2-40B4-BE49-F238E27FC236}">
              <a16:creationId xmlns:a16="http://schemas.microsoft.com/office/drawing/2014/main" id="{00000000-0008-0000-0500-000029380000}"/>
            </a:ext>
          </a:extLst>
        </xdr:cNvPr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78" name="Texte 5">
          <a:extLst>
            <a:ext uri="{FF2B5EF4-FFF2-40B4-BE49-F238E27FC236}">
              <a16:creationId xmlns:a16="http://schemas.microsoft.com/office/drawing/2014/main" id="{00000000-0008-0000-0500-00002A380000}"/>
            </a:ext>
          </a:extLst>
        </xdr:cNvPr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79" name="Texte 6">
          <a:extLst>
            <a:ext uri="{FF2B5EF4-FFF2-40B4-BE49-F238E27FC236}">
              <a16:creationId xmlns:a16="http://schemas.microsoft.com/office/drawing/2014/main" id="{00000000-0008-0000-0500-00002B380000}"/>
            </a:ext>
          </a:extLst>
        </xdr:cNvPr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80" name="Texte 7">
          <a:extLst>
            <a:ext uri="{FF2B5EF4-FFF2-40B4-BE49-F238E27FC236}">
              <a16:creationId xmlns:a16="http://schemas.microsoft.com/office/drawing/2014/main" id="{00000000-0008-0000-0500-00002C380000}"/>
            </a:ext>
          </a:extLst>
        </xdr:cNvPr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81" name="Texte 8">
          <a:extLst>
            <a:ext uri="{FF2B5EF4-FFF2-40B4-BE49-F238E27FC236}">
              <a16:creationId xmlns:a16="http://schemas.microsoft.com/office/drawing/2014/main" id="{00000000-0008-0000-0500-00002D380000}"/>
            </a:ext>
          </a:extLst>
        </xdr:cNvPr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82" name="Texte 9">
          <a:extLst>
            <a:ext uri="{FF2B5EF4-FFF2-40B4-BE49-F238E27FC236}">
              <a16:creationId xmlns:a16="http://schemas.microsoft.com/office/drawing/2014/main" id="{00000000-0008-0000-0500-00002E380000}"/>
            </a:ext>
          </a:extLst>
        </xdr:cNvPr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83" name="Texte 10">
          <a:extLst>
            <a:ext uri="{FF2B5EF4-FFF2-40B4-BE49-F238E27FC236}">
              <a16:creationId xmlns:a16="http://schemas.microsoft.com/office/drawing/2014/main" id="{00000000-0008-0000-0500-00002F380000}"/>
            </a:ext>
          </a:extLst>
        </xdr:cNvPr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84" name="Texte 11">
          <a:extLst>
            <a:ext uri="{FF2B5EF4-FFF2-40B4-BE49-F238E27FC236}">
              <a16:creationId xmlns:a16="http://schemas.microsoft.com/office/drawing/2014/main" id="{00000000-0008-0000-0500-000030380000}"/>
            </a:ext>
          </a:extLst>
        </xdr:cNvPr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85" name="Texte 12">
          <a:extLst>
            <a:ext uri="{FF2B5EF4-FFF2-40B4-BE49-F238E27FC236}">
              <a16:creationId xmlns:a16="http://schemas.microsoft.com/office/drawing/2014/main" id="{00000000-0008-0000-0500-000031380000}"/>
            </a:ext>
          </a:extLst>
        </xdr:cNvPr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86" name="Texte 13">
          <a:extLst>
            <a:ext uri="{FF2B5EF4-FFF2-40B4-BE49-F238E27FC236}">
              <a16:creationId xmlns:a16="http://schemas.microsoft.com/office/drawing/2014/main" id="{00000000-0008-0000-0500-000032380000}"/>
            </a:ext>
          </a:extLst>
        </xdr:cNvPr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87" name="Texte 14">
          <a:extLst>
            <a:ext uri="{FF2B5EF4-FFF2-40B4-BE49-F238E27FC236}">
              <a16:creationId xmlns:a16="http://schemas.microsoft.com/office/drawing/2014/main" id="{00000000-0008-0000-0500-000033380000}"/>
            </a:ext>
          </a:extLst>
        </xdr:cNvPr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88" name="Texte 15">
          <a:extLst>
            <a:ext uri="{FF2B5EF4-FFF2-40B4-BE49-F238E27FC236}">
              <a16:creationId xmlns:a16="http://schemas.microsoft.com/office/drawing/2014/main" id="{00000000-0008-0000-0500-000034380000}"/>
            </a:ext>
          </a:extLst>
        </xdr:cNvPr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89" name="Texte 16">
          <a:extLst>
            <a:ext uri="{FF2B5EF4-FFF2-40B4-BE49-F238E27FC236}">
              <a16:creationId xmlns:a16="http://schemas.microsoft.com/office/drawing/2014/main" id="{00000000-0008-0000-0500-000035380000}"/>
            </a:ext>
          </a:extLst>
        </xdr:cNvPr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90" name="Texte 17">
          <a:extLst>
            <a:ext uri="{FF2B5EF4-FFF2-40B4-BE49-F238E27FC236}">
              <a16:creationId xmlns:a16="http://schemas.microsoft.com/office/drawing/2014/main" id="{00000000-0008-0000-0500-000036380000}"/>
            </a:ext>
          </a:extLst>
        </xdr:cNvPr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91" name="Texte 18">
          <a:extLst>
            <a:ext uri="{FF2B5EF4-FFF2-40B4-BE49-F238E27FC236}">
              <a16:creationId xmlns:a16="http://schemas.microsoft.com/office/drawing/2014/main" id="{00000000-0008-0000-0500-000037380000}"/>
            </a:ext>
          </a:extLst>
        </xdr:cNvPr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0</xdr:row>
          <xdr:rowOff>66675</xdr:rowOff>
        </xdr:from>
        <xdr:to>
          <xdr:col>9</xdr:col>
          <xdr:colOff>381000</xdr:colOff>
          <xdr:row>4</xdr:row>
          <xdr:rowOff>38100</xdr:rowOff>
        </xdr:to>
        <xdr:sp macro="" textlink="">
          <xdr:nvSpPr>
            <xdr:cNvPr id="14410" name="Button 74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5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voir l'ensemble du TEE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66675</xdr:rowOff>
        </xdr:from>
        <xdr:to>
          <xdr:col>11</xdr:col>
          <xdr:colOff>28575</xdr:colOff>
          <xdr:row>4</xdr:row>
          <xdr:rowOff>38100</xdr:rowOff>
        </xdr:to>
        <xdr:sp macro="" textlink="">
          <xdr:nvSpPr>
            <xdr:cNvPr id="14411" name="Button 75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5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affichage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0</xdr:row>
          <xdr:rowOff>66675</xdr:rowOff>
        </xdr:from>
        <xdr:to>
          <xdr:col>9</xdr:col>
          <xdr:colOff>381000</xdr:colOff>
          <xdr:row>4</xdr:row>
          <xdr:rowOff>38100</xdr:rowOff>
        </xdr:to>
        <xdr:sp macro="" textlink="">
          <xdr:nvSpPr>
            <xdr:cNvPr id="14952" name="Button 616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5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voir l'ensemble du TEE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66675</xdr:rowOff>
        </xdr:from>
        <xdr:to>
          <xdr:col>11</xdr:col>
          <xdr:colOff>28575</xdr:colOff>
          <xdr:row>4</xdr:row>
          <xdr:rowOff>38100</xdr:rowOff>
        </xdr:to>
        <xdr:sp macro="" textlink="">
          <xdr:nvSpPr>
            <xdr:cNvPr id="14953" name="Button 617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5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affichage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581025</xdr:colOff>
          <xdr:row>293</xdr:row>
          <xdr:rowOff>0</xdr:rowOff>
        </xdr:from>
        <xdr:to>
          <xdr:col>24</xdr:col>
          <xdr:colOff>1362075</xdr:colOff>
          <xdr:row>300</xdr:row>
          <xdr:rowOff>47625</xdr:rowOff>
        </xdr:to>
        <xdr:sp macro="" textlink="">
          <xdr:nvSpPr>
            <xdr:cNvPr id="29151" name="Button 7647" hidden="1">
              <a:extLst>
                <a:ext uri="{63B3BB69-23CF-44E3-9099-C40C66FF867C}">
                  <a14:compatExt spid="_x0000_s29151"/>
                </a:ext>
                <a:ext uri="{FF2B5EF4-FFF2-40B4-BE49-F238E27FC236}">
                  <a16:creationId xmlns:a16="http://schemas.microsoft.com/office/drawing/2014/main" id="{00000000-0008-0000-0500-0000DF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Calcule Rendement Action !!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1_TES_118_2006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llonnecg\Documents\Github\ThreeME\data\database\01_data_calibration_SAM.xls" TargetMode="External"/><Relationship Id="rId1" Type="http://schemas.openxmlformats.org/officeDocument/2006/relationships/externalLinkPath" Target="01_data_calibration_SA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s"/>
      <sheetName val="TRP_Simple"/>
      <sheetName val="Trspt_margin"/>
      <sheetName val="TRP"/>
      <sheetName val="charges_soc"/>
      <sheetName val="CPR_CEB_Simple"/>
      <sheetName val="CPR_CEB"/>
      <sheetName val="Emploi"/>
      <sheetName val="Taxes"/>
      <sheetName val="Transferts"/>
      <sheetName val="TEI_Simple"/>
      <sheetName val="TEI"/>
    </sheetNames>
    <sheetDataSet>
      <sheetData sheetId="0" refreshError="1"/>
      <sheetData sheetId="1">
        <row r="68">
          <cell r="D68">
            <v>8876.9759661025091</v>
          </cell>
        </row>
      </sheetData>
      <sheetData sheetId="2" refreshError="1"/>
      <sheetData sheetId="3">
        <row r="246">
          <cell r="D246">
            <v>50376.336478262776</v>
          </cell>
        </row>
      </sheetData>
      <sheetData sheetId="4" refreshError="1"/>
      <sheetData sheetId="5">
        <row r="34">
          <cell r="K34">
            <v>390.18899999999996</v>
          </cell>
        </row>
        <row r="58">
          <cell r="G58">
            <v>935671</v>
          </cell>
          <cell r="O58">
            <v>689621.16198180884</v>
          </cell>
          <cell r="Q58">
            <v>246049.83801819108</v>
          </cell>
        </row>
      </sheetData>
      <sheetData sheetId="6">
        <row r="69">
          <cell r="K69">
            <v>31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lineHypotheses"/>
      <sheetName val="Supply_Use_dom"/>
      <sheetName val="Supply_Use_foreign"/>
      <sheetName val="OTH_VARIABLE"/>
      <sheetName val="INV_MAT"/>
      <sheetName val="Adjustment"/>
      <sheetName val="ELAS_wage"/>
      <sheetName val="ELAS_L1_KLEM"/>
      <sheetName val="ELAS_L2_NRJ"/>
      <sheetName val="ELAS_L2_TRANSPORT"/>
      <sheetName val="ELAS_TRANSP_MARGIN"/>
      <sheetName val="ELAS_L3_IMP_DOM"/>
      <sheetName val="ELAS_EXPORT"/>
      <sheetName val="ELAS_OTHER"/>
      <sheetName val="ELAS_INVEST"/>
      <sheetName val="Household 2019"/>
      <sheetName val="Household"/>
      <sheetName val="Household_Hybrid_BUIL"/>
      <sheetName val="Household_Hybrid_AUTO"/>
      <sheetName val="Household_Hybrid_TRANSITION"/>
      <sheetName val="exo_realistic_1"/>
      <sheetName val="exo_realistic_Hybrid"/>
      <sheetName val="Demography"/>
      <sheetName val="Donnees_energie"/>
      <sheetName val="EnergyIndus"/>
      <sheetName val="GHG_Emissions"/>
    </sheetNames>
    <sheetDataSet>
      <sheetData sheetId="0"/>
      <sheetData sheetId="1">
        <row r="33">
          <cell r="AP33">
            <v>689621.16198180884</v>
          </cell>
        </row>
        <row r="34">
          <cell r="AP34">
            <v>118294.37000000001</v>
          </cell>
        </row>
        <row r="35">
          <cell r="AP35">
            <v>246049.83801819116</v>
          </cell>
        </row>
      </sheetData>
      <sheetData sheetId="2"/>
      <sheetData sheetId="3">
        <row r="4">
          <cell r="D4">
            <v>3023.1619818089248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E20"/>
  <sheetViews>
    <sheetView workbookViewId="0">
      <selection activeCell="E12" sqref="E12"/>
    </sheetView>
  </sheetViews>
  <sheetFormatPr baseColWidth="10" defaultColWidth="11.42578125" defaultRowHeight="12.75" x14ac:dyDescent="0.2"/>
  <cols>
    <col min="1" max="1" width="25.5703125" customWidth="1"/>
    <col min="2" max="2" width="1.5703125" customWidth="1"/>
    <col min="3" max="3" width="25.5703125" customWidth="1"/>
    <col min="4" max="4" width="1.5703125" customWidth="1"/>
    <col min="5" max="5" width="25.5703125" customWidth="1"/>
  </cols>
  <sheetData>
    <row r="2" spans="1:5" ht="31.5" customHeight="1" x14ac:dyDescent="0.25">
      <c r="A2" s="306" t="s">
        <v>224</v>
      </c>
      <c r="B2" s="306"/>
      <c r="C2" s="306"/>
      <c r="D2" s="306"/>
      <c r="E2" s="306"/>
    </row>
    <row r="3" spans="1:5" x14ac:dyDescent="0.2">
      <c r="C3" t="s">
        <v>227</v>
      </c>
    </row>
    <row r="5" spans="1:5" ht="15.75" x14ac:dyDescent="0.25">
      <c r="C5" s="55" t="s">
        <v>243</v>
      </c>
    </row>
    <row r="6" spans="1:5" ht="15.75" x14ac:dyDescent="0.25">
      <c r="C6" s="55"/>
    </row>
    <row r="7" spans="1:5" ht="15.75" x14ac:dyDescent="0.25">
      <c r="C7" s="55"/>
    </row>
    <row r="11" spans="1:5" ht="24.95" customHeight="1" thickBot="1" x14ac:dyDescent="0.3">
      <c r="A11" s="306" t="s">
        <v>225</v>
      </c>
      <c r="B11" s="306"/>
      <c r="C11" s="306"/>
      <c r="D11" s="306"/>
      <c r="E11" s="306"/>
    </row>
    <row r="12" spans="1:5" ht="45.75" customHeight="1" thickTop="1" thickBot="1" x14ac:dyDescent="0.25">
      <c r="A12" s="88" t="s">
        <v>226</v>
      </c>
      <c r="C12" s="88" t="s">
        <v>228</v>
      </c>
      <c r="E12" s="88" t="s">
        <v>229</v>
      </c>
    </row>
    <row r="13" spans="1:5" ht="6" customHeight="1" thickTop="1" x14ac:dyDescent="0.2"/>
    <row r="15" spans="1:5" x14ac:dyDescent="0.2">
      <c r="A15" s="53"/>
    </row>
    <row r="19" spans="1:1" x14ac:dyDescent="0.2">
      <c r="A19" s="54"/>
    </row>
    <row r="20" spans="1:1" x14ac:dyDescent="0.2">
      <c r="A20" t="s">
        <v>244</v>
      </c>
    </row>
  </sheetData>
  <mergeCells count="2">
    <mergeCell ref="A11:E11"/>
    <mergeCell ref="A2:E2"/>
  </mergeCells>
  <phoneticPr fontId="0" type="noConversion"/>
  <hyperlinks>
    <hyperlink ref="A12" location="EA_2006!A1" display="Emplois / Actifs" xr:uid="{00000000-0004-0000-0000-000000000000}"/>
    <hyperlink ref="C12" location="RP_2006!A1" display="Ressources / Passifs" xr:uid="{00000000-0004-0000-0000-000001000000}"/>
    <hyperlink ref="E12" location="TEE_2006_COMPLET!A1" display="TEE Complet" xr:uid="{00000000-0004-0000-0000-000002000000}"/>
  </hyperlinks>
  <pageMargins left="0.75" right="0.75" top="1" bottom="1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T5438"/>
  <sheetViews>
    <sheetView showZeros="0" zoomScaleNormal="100" workbookViewId="0">
      <pane xSplit="2" ySplit="3" topLeftCell="C4" activePane="bottomRight" state="frozen"/>
      <selection pane="topRight"/>
      <selection pane="bottomLeft"/>
      <selection pane="bottomRight"/>
    </sheetView>
  </sheetViews>
  <sheetFormatPr baseColWidth="10" defaultColWidth="11.42578125" defaultRowHeight="12.75" x14ac:dyDescent="0.2"/>
  <cols>
    <col min="1" max="1" width="7.42578125" style="1" customWidth="1"/>
    <col min="2" max="2" width="35.5703125" style="1" customWidth="1"/>
    <col min="3" max="11" width="9.5703125" style="1" customWidth="1"/>
    <col min="12" max="12" width="9.5703125" style="17" customWidth="1"/>
    <col min="13" max="16384" width="11.42578125" style="1"/>
  </cols>
  <sheetData>
    <row r="1" spans="1:49" s="8" customFormat="1" ht="15.75" x14ac:dyDescent="0.2">
      <c r="A1" s="8" t="s">
        <v>249</v>
      </c>
      <c r="C1" s="9"/>
      <c r="E1" s="9"/>
      <c r="F1" s="9"/>
      <c r="G1" s="9"/>
      <c r="L1" s="50" t="s">
        <v>216</v>
      </c>
    </row>
    <row r="2" spans="1:49" ht="15.75" x14ac:dyDescent="0.2">
      <c r="A2" s="10"/>
      <c r="B2" s="10"/>
      <c r="C2" s="11" t="s">
        <v>203</v>
      </c>
      <c r="D2" s="11" t="s">
        <v>0</v>
      </c>
      <c r="E2" s="11" t="s">
        <v>1</v>
      </c>
      <c r="F2" s="11" t="s">
        <v>2</v>
      </c>
      <c r="G2" s="11" t="s">
        <v>3</v>
      </c>
      <c r="H2" s="11" t="s">
        <v>4</v>
      </c>
      <c r="I2" s="11"/>
      <c r="J2" s="11" t="s">
        <v>5</v>
      </c>
      <c r="K2" s="12"/>
      <c r="L2" s="11"/>
    </row>
    <row r="3" spans="1:49" s="52" customFormat="1" ht="39.950000000000003" customHeight="1" x14ac:dyDescent="0.2">
      <c r="A3" s="13" t="s">
        <v>6</v>
      </c>
      <c r="B3" s="13"/>
      <c r="C3" s="14" t="s">
        <v>7</v>
      </c>
      <c r="D3" s="14" t="s">
        <v>8</v>
      </c>
      <c r="E3" s="14" t="s">
        <v>9</v>
      </c>
      <c r="F3" s="14" t="s">
        <v>10</v>
      </c>
      <c r="G3" s="14" t="s">
        <v>11</v>
      </c>
      <c r="H3" s="14" t="s">
        <v>12</v>
      </c>
      <c r="I3" s="89" t="s">
        <v>242</v>
      </c>
      <c r="J3" s="14" t="s">
        <v>13</v>
      </c>
      <c r="K3" s="14" t="s">
        <v>14</v>
      </c>
      <c r="L3" s="14" t="s">
        <v>15</v>
      </c>
    </row>
    <row r="4" spans="1:49" ht="12.75" customHeight="1" x14ac:dyDescent="0.2">
      <c r="A4" s="59" t="s">
        <v>241</v>
      </c>
      <c r="C4" s="56"/>
      <c r="D4" s="56"/>
      <c r="E4" s="56"/>
      <c r="F4" s="56"/>
      <c r="G4" s="56"/>
      <c r="H4" s="56"/>
      <c r="I4" s="56"/>
      <c r="J4" s="56"/>
      <c r="K4" s="56"/>
      <c r="L4" s="58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</row>
    <row r="5" spans="1:49" s="2" customFormat="1" ht="12.75" customHeight="1" x14ac:dyDescent="0.2">
      <c r="A5" s="2" t="s">
        <v>16</v>
      </c>
      <c r="B5" s="2" t="s">
        <v>120</v>
      </c>
      <c r="C5" s="67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485.91399999999999</v>
      </c>
      <c r="K5" s="78">
        <v>0</v>
      </c>
      <c r="L5" s="67">
        <v>485.91399999999999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 s="2" customFormat="1" ht="12.75" customHeight="1" x14ac:dyDescent="0.2">
      <c r="A6" s="2" t="s">
        <v>17</v>
      </c>
      <c r="B6" s="2" t="s">
        <v>121</v>
      </c>
      <c r="C6" s="67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504.71300000000002</v>
      </c>
      <c r="L6" s="67">
        <v>504.71300000000002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</row>
    <row r="7" spans="1:49" ht="12.75" customHeight="1" x14ac:dyDescent="0.2">
      <c r="A7" s="2" t="s">
        <v>18</v>
      </c>
      <c r="B7" s="2" t="s">
        <v>19</v>
      </c>
      <c r="C7" s="67">
        <v>0</v>
      </c>
      <c r="D7" s="78">
        <v>0</v>
      </c>
      <c r="E7" s="78">
        <v>0</v>
      </c>
      <c r="F7" s="78">
        <v>0</v>
      </c>
      <c r="G7" s="78">
        <v>0</v>
      </c>
      <c r="H7" s="78">
        <v>0</v>
      </c>
      <c r="I7" s="78">
        <v>0</v>
      </c>
      <c r="J7" s="78">
        <v>0</v>
      </c>
      <c r="K7" s="78">
        <v>3263.6336299999998</v>
      </c>
      <c r="L7" s="67">
        <v>3263.6336299999998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</row>
    <row r="8" spans="1:49" ht="12.75" customHeight="1" x14ac:dyDescent="0.2">
      <c r="A8" s="2" t="s">
        <v>20</v>
      </c>
      <c r="B8" s="2" t="s">
        <v>179</v>
      </c>
      <c r="C8" s="67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2706.2972799999998</v>
      </c>
      <c r="L8" s="67">
        <v>2706.2972799999998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</row>
    <row r="9" spans="1:49" ht="12.75" customHeight="1" x14ac:dyDescent="0.2">
      <c r="A9" s="2" t="s">
        <v>21</v>
      </c>
      <c r="B9" s="2" t="s">
        <v>180</v>
      </c>
      <c r="C9" s="67">
        <v>0</v>
      </c>
      <c r="D9" s="78">
        <v>0</v>
      </c>
      <c r="E9" s="78">
        <v>0</v>
      </c>
      <c r="F9" s="78">
        <v>0</v>
      </c>
      <c r="G9" s="78">
        <v>0</v>
      </c>
      <c r="H9" s="78">
        <v>0</v>
      </c>
      <c r="I9" s="78">
        <v>0</v>
      </c>
      <c r="J9" s="78">
        <v>0</v>
      </c>
      <c r="K9" s="78">
        <v>193.90333999999999</v>
      </c>
      <c r="L9" s="67">
        <v>193.90333999999999</v>
      </c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</row>
    <row r="10" spans="1:49" ht="12.75" customHeight="1" x14ac:dyDescent="0.2">
      <c r="A10" s="2" t="s">
        <v>22</v>
      </c>
      <c r="B10" s="2" t="s">
        <v>181</v>
      </c>
      <c r="C10" s="67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78">
        <v>0</v>
      </c>
      <c r="J10" s="78">
        <v>0</v>
      </c>
      <c r="K10" s="78">
        <v>363.43299999999999</v>
      </c>
      <c r="L10" s="67">
        <v>363.43299999999999</v>
      </c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</row>
    <row r="11" spans="1:49" ht="12.75" customHeight="1" x14ac:dyDescent="0.2">
      <c r="A11" s="2" t="s">
        <v>23</v>
      </c>
      <c r="B11" s="2" t="s">
        <v>24</v>
      </c>
      <c r="C11" s="67">
        <v>1657.3753100000001</v>
      </c>
      <c r="D11" s="78">
        <v>1377.16246</v>
      </c>
      <c r="E11" s="78">
        <v>94.69</v>
      </c>
      <c r="F11" s="78">
        <v>92.691999999999993</v>
      </c>
      <c r="G11" s="78">
        <v>80.482849999999999</v>
      </c>
      <c r="H11" s="78">
        <v>12.348000000000001</v>
      </c>
      <c r="I11" s="78">
        <v>0</v>
      </c>
      <c r="J11" s="78">
        <v>0</v>
      </c>
      <c r="K11" s="78">
        <v>0</v>
      </c>
      <c r="L11" s="67">
        <v>1657.3753100000001</v>
      </c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</row>
    <row r="12" spans="1:49" ht="12.75" customHeight="1" x14ac:dyDescent="0.2">
      <c r="A12" s="2" t="s">
        <v>25</v>
      </c>
      <c r="B12" s="31" t="s">
        <v>26</v>
      </c>
      <c r="C12" s="67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191.857</v>
      </c>
      <c r="L12" s="67">
        <v>191.857</v>
      </c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ht="12.75" customHeight="1" x14ac:dyDescent="0.2">
      <c r="A13" s="2"/>
      <c r="B13" s="31"/>
      <c r="C13" s="67"/>
      <c r="D13" s="78"/>
      <c r="E13" s="78"/>
      <c r="F13" s="78"/>
      <c r="G13" s="78"/>
      <c r="H13" s="78"/>
      <c r="I13" s="78"/>
      <c r="J13" s="78"/>
      <c r="K13" s="67"/>
      <c r="L13" s="67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</row>
    <row r="14" spans="1:49" ht="12.75" customHeight="1" x14ac:dyDescent="0.2">
      <c r="A14" s="59" t="s">
        <v>233</v>
      </c>
      <c r="B14" s="59" t="s">
        <v>245</v>
      </c>
      <c r="C14" s="67">
        <v>1798.1153200000001</v>
      </c>
      <c r="D14" s="67">
        <v>912.08706999999993</v>
      </c>
      <c r="E14" s="67">
        <v>73.150000000000006</v>
      </c>
      <c r="F14" s="67">
        <v>284.97000000000003</v>
      </c>
      <c r="G14" s="67">
        <v>311.04924999999997</v>
      </c>
      <c r="H14" s="67">
        <v>25.001999999999999</v>
      </c>
      <c r="I14" s="67">
        <v>191.857</v>
      </c>
      <c r="J14" s="67">
        <v>0</v>
      </c>
      <c r="K14" s="67">
        <v>0</v>
      </c>
      <c r="L14" s="67">
        <v>1798.1153200000001</v>
      </c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ht="12.75" customHeight="1" x14ac:dyDescent="0.2">
      <c r="A15" s="2" t="s">
        <v>122</v>
      </c>
      <c r="B15" s="2" t="s">
        <v>123</v>
      </c>
      <c r="C15" s="67">
        <v>229.76599999999999</v>
      </c>
      <c r="D15" s="78">
        <v>131.52600000000001</v>
      </c>
      <c r="E15" s="78">
        <v>9.8689999999999998</v>
      </c>
      <c r="F15" s="78">
        <v>42.73</v>
      </c>
      <c r="G15" s="78">
        <v>42.765999999999998</v>
      </c>
      <c r="H15" s="78">
        <v>2.875</v>
      </c>
      <c r="I15" s="78">
        <v>0</v>
      </c>
      <c r="J15" s="78">
        <v>0</v>
      </c>
      <c r="K15" s="78">
        <v>0</v>
      </c>
      <c r="L15" s="67">
        <v>229.76599999999999</v>
      </c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</row>
    <row r="16" spans="1:49" ht="12.75" customHeight="1" x14ac:dyDescent="0.2">
      <c r="A16" s="59" t="s">
        <v>223</v>
      </c>
      <c r="B16" s="59" t="s">
        <v>246</v>
      </c>
      <c r="C16" s="67">
        <v>1568.34932</v>
      </c>
      <c r="D16" s="67">
        <v>780.56106999999997</v>
      </c>
      <c r="E16" s="67">
        <v>63.280999999999999</v>
      </c>
      <c r="F16" s="67">
        <v>242.24</v>
      </c>
      <c r="G16" s="67">
        <v>268.28325000000001</v>
      </c>
      <c r="H16" s="67">
        <v>22.126999999999999</v>
      </c>
      <c r="I16" s="67">
        <v>191.857</v>
      </c>
      <c r="J16" s="67">
        <v>0</v>
      </c>
      <c r="K16" s="67">
        <v>0</v>
      </c>
      <c r="L16" s="67">
        <v>1568.34932</v>
      </c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ht="12.75" customHeight="1" x14ac:dyDescent="0.2">
      <c r="A17" s="65" t="s">
        <v>27</v>
      </c>
      <c r="B17" s="65" t="s">
        <v>28</v>
      </c>
      <c r="C17" s="69">
        <v>0</v>
      </c>
      <c r="D17" s="69">
        <v>0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18.798999999999999</v>
      </c>
      <c r="K17" s="69">
        <v>0</v>
      </c>
      <c r="L17" s="69">
        <v>18.798999999999999</v>
      </c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</row>
    <row r="18" spans="1:49" ht="12.75" customHeight="1" x14ac:dyDescent="0.2">
      <c r="A18" s="17" t="s">
        <v>29</v>
      </c>
      <c r="C18" s="67">
        <v>0</v>
      </c>
      <c r="D18" s="78">
        <v>0</v>
      </c>
      <c r="E18" s="78">
        <v>0</v>
      </c>
      <c r="F18" s="78">
        <v>0</v>
      </c>
      <c r="G18" s="78">
        <v>0</v>
      </c>
      <c r="H18" s="78">
        <v>0</v>
      </c>
      <c r="I18" s="78">
        <v>0</v>
      </c>
      <c r="J18" s="78">
        <v>0</v>
      </c>
      <c r="K18" s="67">
        <v>0</v>
      </c>
      <c r="L18" s="67">
        <v>0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</row>
    <row r="19" spans="1:49" ht="12.75" customHeight="1" x14ac:dyDescent="0.2">
      <c r="A19" s="2" t="s">
        <v>30</v>
      </c>
      <c r="B19" s="2" t="s">
        <v>31</v>
      </c>
      <c r="C19" s="67">
        <v>939.24621999999999</v>
      </c>
      <c r="D19" s="78">
        <v>598.03442000000007</v>
      </c>
      <c r="E19" s="78">
        <v>47.131999999999998</v>
      </c>
      <c r="F19" s="78">
        <v>233.21299999999999</v>
      </c>
      <c r="G19" s="78">
        <v>39.084800000000001</v>
      </c>
      <c r="H19" s="78">
        <v>21.782</v>
      </c>
      <c r="I19" s="78">
        <v>0</v>
      </c>
      <c r="J19" s="78">
        <v>8.9280000000000008</v>
      </c>
      <c r="K19" s="78">
        <v>0</v>
      </c>
      <c r="L19" s="67">
        <v>948.17421999999999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</row>
    <row r="20" spans="1:49" ht="12.75" customHeight="1" x14ac:dyDescent="0.2">
      <c r="A20" s="2" t="s">
        <v>32</v>
      </c>
      <c r="B20" s="2" t="s">
        <v>183</v>
      </c>
      <c r="C20" s="67">
        <v>692.25621999999998</v>
      </c>
      <c r="D20" s="78">
        <v>451.81541999999996</v>
      </c>
      <c r="E20" s="78">
        <v>33.795000000000002</v>
      </c>
      <c r="F20" s="78">
        <v>160.12299999999999</v>
      </c>
      <c r="G20" s="78">
        <v>30.2148</v>
      </c>
      <c r="H20" s="78">
        <v>16.308</v>
      </c>
      <c r="I20" s="78">
        <v>0</v>
      </c>
      <c r="J20" s="78">
        <v>6.6130000000000004</v>
      </c>
      <c r="K20" s="78">
        <v>0</v>
      </c>
      <c r="L20" s="67">
        <v>698.86921999999993</v>
      </c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</row>
    <row r="21" spans="1:49" ht="12.75" customHeight="1" x14ac:dyDescent="0.2">
      <c r="A21" s="2" t="s">
        <v>33</v>
      </c>
      <c r="B21" s="2" t="s">
        <v>182</v>
      </c>
      <c r="C21" s="67">
        <v>246.99</v>
      </c>
      <c r="D21" s="78">
        <v>146.21899999999999</v>
      </c>
      <c r="E21" s="78">
        <v>13.337</v>
      </c>
      <c r="F21" s="78">
        <v>73.09</v>
      </c>
      <c r="G21" s="78">
        <v>8.8699999999999992</v>
      </c>
      <c r="H21" s="78">
        <v>5.4740000000000002</v>
      </c>
      <c r="I21" s="78">
        <v>0</v>
      </c>
      <c r="J21" s="78">
        <v>2.3149999999999999</v>
      </c>
      <c r="K21" s="78">
        <v>0</v>
      </c>
      <c r="L21" s="67">
        <v>249.30500000000001</v>
      </c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</row>
    <row r="22" spans="1:49" ht="12.75" customHeight="1" x14ac:dyDescent="0.2">
      <c r="A22" s="2" t="s">
        <v>34</v>
      </c>
      <c r="B22" s="2" t="s">
        <v>35</v>
      </c>
      <c r="C22" s="67">
        <v>279.92200000000003</v>
      </c>
      <c r="D22" s="78">
        <v>48.475000000000001</v>
      </c>
      <c r="E22" s="78">
        <v>5.62</v>
      </c>
      <c r="F22" s="78">
        <v>7.6180000000000003</v>
      </c>
      <c r="G22" s="78">
        <v>13.377000000000001</v>
      </c>
      <c r="H22" s="78">
        <v>0.85599999999999998</v>
      </c>
      <c r="I22" s="78">
        <v>203.976</v>
      </c>
      <c r="J22" s="78">
        <v>0</v>
      </c>
      <c r="K22" s="78">
        <v>0</v>
      </c>
      <c r="L22" s="67">
        <v>279.92200000000003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</row>
    <row r="23" spans="1:49" ht="12.75" customHeight="1" x14ac:dyDescent="0.2">
      <c r="A23" s="2" t="s">
        <v>36</v>
      </c>
      <c r="B23" s="2" t="s">
        <v>184</v>
      </c>
      <c r="C23" s="67">
        <v>203.976</v>
      </c>
      <c r="D23" s="78">
        <v>0</v>
      </c>
      <c r="E23" s="78">
        <v>0</v>
      </c>
      <c r="F23" s="78">
        <v>0</v>
      </c>
      <c r="G23" s="78">
        <v>0</v>
      </c>
      <c r="H23" s="78">
        <v>0</v>
      </c>
      <c r="I23" s="78">
        <v>203.976</v>
      </c>
      <c r="J23" s="78">
        <v>0</v>
      </c>
      <c r="K23" s="78">
        <v>0</v>
      </c>
      <c r="L23" s="67">
        <v>203.976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</row>
    <row r="24" spans="1:49" ht="12.75" customHeight="1" x14ac:dyDescent="0.2">
      <c r="A24" s="2" t="s">
        <v>37</v>
      </c>
      <c r="B24" s="2" t="s">
        <v>185</v>
      </c>
      <c r="C24" s="67">
        <v>75.945999999999998</v>
      </c>
      <c r="D24" s="78">
        <v>48.475000000000001</v>
      </c>
      <c r="E24" s="78">
        <v>5.62</v>
      </c>
      <c r="F24" s="78">
        <v>7.6180000000000003</v>
      </c>
      <c r="G24" s="78">
        <v>13.377000000000001</v>
      </c>
      <c r="H24" s="78">
        <v>0.85599999999999998</v>
      </c>
      <c r="I24" s="78">
        <v>0</v>
      </c>
      <c r="J24" s="78">
        <v>0</v>
      </c>
      <c r="K24" s="78">
        <v>0</v>
      </c>
      <c r="L24" s="67">
        <v>75.945999999999998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</row>
    <row r="25" spans="1:49" ht="12.75" customHeight="1" x14ac:dyDescent="0.2">
      <c r="A25" s="2" t="s">
        <v>38</v>
      </c>
      <c r="B25" s="2" t="s">
        <v>39</v>
      </c>
      <c r="C25" s="67">
        <v>-34.865000000000002</v>
      </c>
      <c r="D25" s="78">
        <v>-15.859</v>
      </c>
      <c r="E25" s="78">
        <v>-0.38</v>
      </c>
      <c r="F25" s="78">
        <v>-3.0529999999999999</v>
      </c>
      <c r="G25" s="78">
        <v>-2.9430000000000001</v>
      </c>
      <c r="H25" s="78">
        <v>-0.51100000000000001</v>
      </c>
      <c r="I25" s="78">
        <v>-12.119</v>
      </c>
      <c r="J25" s="78">
        <v>0</v>
      </c>
      <c r="K25" s="78">
        <v>0</v>
      </c>
      <c r="L25" s="67">
        <v>-34.865000000000002</v>
      </c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</row>
    <row r="26" spans="1:49" ht="12.75" customHeight="1" x14ac:dyDescent="0.2">
      <c r="A26" s="2" t="s">
        <v>40</v>
      </c>
      <c r="B26" s="2" t="s">
        <v>186</v>
      </c>
      <c r="C26" s="67">
        <v>-12.119</v>
      </c>
      <c r="D26" s="78">
        <v>0</v>
      </c>
      <c r="E26" s="78">
        <v>0</v>
      </c>
      <c r="F26" s="78">
        <v>0</v>
      </c>
      <c r="G26" s="78">
        <v>0</v>
      </c>
      <c r="H26" s="78">
        <v>0</v>
      </c>
      <c r="I26" s="78">
        <v>-12.119</v>
      </c>
      <c r="J26" s="78">
        <v>0</v>
      </c>
      <c r="K26" s="78">
        <v>0</v>
      </c>
      <c r="L26" s="67">
        <v>-12.119</v>
      </c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</row>
    <row r="27" spans="1:49" ht="12.75" customHeight="1" x14ac:dyDescent="0.2">
      <c r="A27" s="2" t="s">
        <v>41</v>
      </c>
      <c r="B27" s="2" t="s">
        <v>187</v>
      </c>
      <c r="C27" s="67">
        <v>-22.745999999999999</v>
      </c>
      <c r="D27" s="78">
        <v>-15.859</v>
      </c>
      <c r="E27" s="78">
        <v>-0.38</v>
      </c>
      <c r="F27" s="78">
        <v>-3.0529999999999999</v>
      </c>
      <c r="G27" s="78">
        <v>-2.9430000000000001</v>
      </c>
      <c r="H27" s="78">
        <v>-0.51100000000000001</v>
      </c>
      <c r="I27" s="78">
        <v>0</v>
      </c>
      <c r="J27" s="78">
        <v>0</v>
      </c>
      <c r="K27" s="78">
        <v>0</v>
      </c>
      <c r="L27" s="67">
        <v>-22.745999999999999</v>
      </c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</row>
    <row r="28" spans="1:49" ht="12.75" customHeight="1" x14ac:dyDescent="0.2">
      <c r="A28" s="2"/>
      <c r="B28" s="2"/>
      <c r="C28" s="67"/>
      <c r="D28" s="78"/>
      <c r="E28" s="78"/>
      <c r="F28" s="78"/>
      <c r="G28" s="78"/>
      <c r="H28" s="78"/>
      <c r="I28" s="78"/>
      <c r="J28" s="78"/>
      <c r="K28" s="67"/>
      <c r="L28" s="67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</row>
    <row r="29" spans="1:49" ht="12.75" customHeight="1" x14ac:dyDescent="0.2">
      <c r="A29" s="59" t="s">
        <v>42</v>
      </c>
      <c r="B29" s="59" t="s">
        <v>43</v>
      </c>
      <c r="C29" s="67">
        <v>495.51772999999997</v>
      </c>
      <c r="D29" s="67">
        <v>281.43665000000004</v>
      </c>
      <c r="E29" s="67">
        <v>20.777999999999999</v>
      </c>
      <c r="F29" s="67">
        <v>47.192</v>
      </c>
      <c r="G29" s="67">
        <v>143.23607999999999</v>
      </c>
      <c r="H29" s="67">
        <v>2.875</v>
      </c>
      <c r="I29" s="67">
        <v>0</v>
      </c>
      <c r="J29" s="67">
        <v>0</v>
      </c>
      <c r="K29" s="67">
        <v>0</v>
      </c>
      <c r="L29" s="67">
        <v>495.51772999999997</v>
      </c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</row>
    <row r="30" spans="1:49" ht="12.75" customHeight="1" x14ac:dyDescent="0.2">
      <c r="A30" s="59" t="s">
        <v>44</v>
      </c>
      <c r="B30" s="59" t="s">
        <v>45</v>
      </c>
      <c r="C30" s="67">
        <v>118.29437</v>
      </c>
      <c r="D30" s="67">
        <v>0</v>
      </c>
      <c r="E30" s="67">
        <v>0</v>
      </c>
      <c r="F30" s="67">
        <v>0</v>
      </c>
      <c r="G30" s="67">
        <v>118.29437</v>
      </c>
      <c r="H30" s="67">
        <v>0</v>
      </c>
      <c r="I30" s="67">
        <v>0</v>
      </c>
      <c r="J30" s="67">
        <v>0</v>
      </c>
      <c r="K30" s="67">
        <v>0</v>
      </c>
      <c r="L30" s="67">
        <v>118.29437</v>
      </c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</row>
    <row r="31" spans="1:49" ht="12.75" customHeight="1" x14ac:dyDescent="0.2">
      <c r="A31" s="59" t="s">
        <v>124</v>
      </c>
      <c r="B31" s="59" t="s">
        <v>126</v>
      </c>
      <c r="C31" s="67">
        <v>281.19934000000001</v>
      </c>
      <c r="D31" s="67">
        <v>149.91065</v>
      </c>
      <c r="E31" s="67">
        <v>10.909000000000001</v>
      </c>
      <c r="F31" s="67">
        <v>4.4619999999999997</v>
      </c>
      <c r="G31" s="67">
        <v>115.91767999999999</v>
      </c>
      <c r="H31" s="67">
        <v>0</v>
      </c>
      <c r="I31" s="67">
        <v>0</v>
      </c>
      <c r="J31" s="67">
        <v>0</v>
      </c>
      <c r="K31" s="67">
        <v>0</v>
      </c>
      <c r="L31" s="67">
        <v>281.19934000000001</v>
      </c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</row>
    <row r="32" spans="1:49" ht="12.75" customHeight="1" x14ac:dyDescent="0.2">
      <c r="A32" s="65" t="s">
        <v>125</v>
      </c>
      <c r="B32" s="65" t="s">
        <v>127</v>
      </c>
      <c r="C32" s="69">
        <v>102.84675999999999</v>
      </c>
      <c r="D32" s="69">
        <v>0</v>
      </c>
      <c r="E32" s="69">
        <v>0</v>
      </c>
      <c r="F32" s="69">
        <v>0</v>
      </c>
      <c r="G32" s="69">
        <v>102.84675999999999</v>
      </c>
      <c r="H32" s="69">
        <v>0</v>
      </c>
      <c r="I32" s="69">
        <v>0</v>
      </c>
      <c r="J32" s="69">
        <v>0</v>
      </c>
      <c r="K32" s="69">
        <v>0</v>
      </c>
      <c r="L32" s="69">
        <v>102.84675999999999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</row>
    <row r="33" spans="1:49" ht="12.75" customHeight="1" x14ac:dyDescent="0.2">
      <c r="A33" s="16" t="s">
        <v>46</v>
      </c>
      <c r="C33" s="67"/>
      <c r="D33" s="78"/>
      <c r="E33" s="78"/>
      <c r="F33" s="78"/>
      <c r="G33" s="78"/>
      <c r="H33" s="78"/>
      <c r="I33" s="78"/>
      <c r="J33" s="78"/>
      <c r="K33" s="67"/>
      <c r="L33" s="67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</row>
    <row r="34" spans="1:49" ht="12.75" customHeight="1" x14ac:dyDescent="0.2">
      <c r="A34" s="2" t="s">
        <v>47</v>
      </c>
      <c r="B34" s="2" t="s">
        <v>48</v>
      </c>
      <c r="C34" s="67">
        <v>687.26800000000003</v>
      </c>
      <c r="D34" s="78">
        <v>302.04700000000003</v>
      </c>
      <c r="E34" s="78">
        <v>308.94400000000002</v>
      </c>
      <c r="F34" s="78">
        <v>47.994</v>
      </c>
      <c r="G34" s="78">
        <v>27.888999999999999</v>
      </c>
      <c r="H34" s="78">
        <v>0.39400000000000002</v>
      </c>
      <c r="I34" s="78">
        <v>0</v>
      </c>
      <c r="J34" s="78">
        <v>150.751</v>
      </c>
      <c r="K34" s="78">
        <v>0</v>
      </c>
      <c r="L34" s="67">
        <v>838.01900000000001</v>
      </c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</row>
    <row r="35" spans="1:49" ht="12.75" customHeight="1" x14ac:dyDescent="0.2">
      <c r="A35" s="2" t="s">
        <v>49</v>
      </c>
      <c r="B35" s="2" t="s">
        <v>188</v>
      </c>
      <c r="C35" s="67">
        <v>375.01499999999999</v>
      </c>
      <c r="D35" s="78">
        <v>82.673000000000002</v>
      </c>
      <c r="E35" s="78">
        <v>217.393</v>
      </c>
      <c r="F35" s="78">
        <v>47.895000000000003</v>
      </c>
      <c r="G35" s="78">
        <v>26.66</v>
      </c>
      <c r="H35" s="78">
        <v>0.39400000000000002</v>
      </c>
      <c r="I35" s="78">
        <v>0</v>
      </c>
      <c r="J35" s="78">
        <v>90.201999999999998</v>
      </c>
      <c r="K35" s="78">
        <v>0</v>
      </c>
      <c r="L35" s="67">
        <v>465.21699999999998</v>
      </c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</row>
    <row r="36" spans="1:49" ht="12.75" customHeight="1" x14ac:dyDescent="0.2">
      <c r="A36" s="2" t="s">
        <v>50</v>
      </c>
      <c r="B36" s="2" t="s">
        <v>189</v>
      </c>
      <c r="C36" s="67">
        <v>256.49200000000002</v>
      </c>
      <c r="D36" s="78">
        <v>209.31700000000001</v>
      </c>
      <c r="E36" s="78">
        <v>47.174999999999997</v>
      </c>
      <c r="F36" s="78">
        <v>0</v>
      </c>
      <c r="G36" s="78">
        <v>0</v>
      </c>
      <c r="H36" s="78">
        <v>0</v>
      </c>
      <c r="I36" s="78">
        <v>0</v>
      </c>
      <c r="J36" s="78">
        <v>35.445</v>
      </c>
      <c r="K36" s="78">
        <v>0</v>
      </c>
      <c r="L36" s="67">
        <v>291.93700000000001</v>
      </c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</row>
    <row r="37" spans="1:49" ht="12.75" customHeight="1" x14ac:dyDescent="0.2">
      <c r="A37" s="2" t="s">
        <v>51</v>
      </c>
      <c r="B37" s="2" t="s">
        <v>190</v>
      </c>
      <c r="C37" s="67">
        <v>9.4559999999999995</v>
      </c>
      <c r="D37" s="78">
        <v>7.5750000000000002</v>
      </c>
      <c r="E37" s="78">
        <v>1.881</v>
      </c>
      <c r="F37" s="78">
        <v>0</v>
      </c>
      <c r="G37" s="78">
        <v>0</v>
      </c>
      <c r="H37" s="78">
        <v>0</v>
      </c>
      <c r="I37" s="78">
        <v>0</v>
      </c>
      <c r="J37" s="78">
        <v>25.103999999999999</v>
      </c>
      <c r="K37" s="78">
        <v>0</v>
      </c>
      <c r="L37" s="67">
        <v>34.56</v>
      </c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</row>
    <row r="38" spans="1:49" ht="12.75" customHeight="1" x14ac:dyDescent="0.2">
      <c r="A38" s="2" t="s">
        <v>52</v>
      </c>
      <c r="B38" s="2" t="s">
        <v>191</v>
      </c>
      <c r="C38" s="67">
        <v>42.494999999999997</v>
      </c>
      <c r="D38" s="78">
        <v>0</v>
      </c>
      <c r="E38" s="78">
        <v>42.494999999999997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67">
        <v>42.494999999999997</v>
      </c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</row>
    <row r="39" spans="1:49" ht="12.75" customHeight="1" x14ac:dyDescent="0.2">
      <c r="A39" s="2" t="s">
        <v>53</v>
      </c>
      <c r="B39" s="2" t="s">
        <v>192</v>
      </c>
      <c r="C39" s="67">
        <v>3.81</v>
      </c>
      <c r="D39" s="78">
        <v>2.4820000000000002</v>
      </c>
      <c r="E39" s="78">
        <v>0</v>
      </c>
      <c r="F39" s="78">
        <v>9.9000000000000005E-2</v>
      </c>
      <c r="G39" s="78">
        <v>1.2290000000000001</v>
      </c>
      <c r="H39" s="78">
        <v>0</v>
      </c>
      <c r="I39" s="78">
        <v>0</v>
      </c>
      <c r="J39" s="78">
        <v>0</v>
      </c>
      <c r="K39" s="78">
        <v>0</v>
      </c>
      <c r="L39" s="67">
        <v>3.81</v>
      </c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</row>
    <row r="40" spans="1:49" ht="12.75" customHeight="1" x14ac:dyDescent="0.2">
      <c r="A40" s="2"/>
      <c r="B40" s="2"/>
      <c r="C40" s="67"/>
      <c r="D40" s="78"/>
      <c r="E40" s="78"/>
      <c r="F40" s="78"/>
      <c r="G40" s="78"/>
      <c r="H40" s="78"/>
      <c r="I40" s="78"/>
      <c r="J40" s="78"/>
      <c r="K40" s="67"/>
      <c r="L40" s="67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</row>
    <row r="41" spans="1:49" ht="12.75" customHeight="1" x14ac:dyDescent="0.2">
      <c r="A41" s="59" t="s">
        <v>247</v>
      </c>
      <c r="B41" s="59" t="s">
        <v>239</v>
      </c>
      <c r="C41" s="67">
        <v>1830.26232</v>
      </c>
      <c r="D41" s="67">
        <v>201.41764999999998</v>
      </c>
      <c r="E41" s="67">
        <v>36.838000000000001</v>
      </c>
      <c r="F41" s="67">
        <v>263.101</v>
      </c>
      <c r="G41" s="67">
        <v>1325.12067</v>
      </c>
      <c r="H41" s="67">
        <v>3.7850000000000001</v>
      </c>
      <c r="I41" s="67">
        <v>0</v>
      </c>
      <c r="J41" s="67">
        <v>0</v>
      </c>
      <c r="K41" s="67">
        <v>0</v>
      </c>
      <c r="L41" s="67">
        <v>1830.26232</v>
      </c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</row>
    <row r="42" spans="1:49" ht="12.75" customHeight="1" x14ac:dyDescent="0.2">
      <c r="A42" s="65" t="s">
        <v>248</v>
      </c>
      <c r="B42" s="65" t="s">
        <v>240</v>
      </c>
      <c r="C42" s="69">
        <v>1600.49632</v>
      </c>
      <c r="D42" s="69">
        <v>69.891649999999998</v>
      </c>
      <c r="E42" s="69">
        <v>26.969000000000001</v>
      </c>
      <c r="F42" s="69">
        <v>220.37100000000001</v>
      </c>
      <c r="G42" s="69">
        <v>1282.3546699999999</v>
      </c>
      <c r="H42" s="69">
        <v>0.91</v>
      </c>
      <c r="I42" s="69">
        <v>0</v>
      </c>
      <c r="J42" s="69">
        <v>0</v>
      </c>
      <c r="K42" s="69">
        <v>0</v>
      </c>
      <c r="L42" s="69">
        <v>1600.49632</v>
      </c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</row>
    <row r="43" spans="1:49" ht="12.75" customHeight="1" x14ac:dyDescent="0.2">
      <c r="A43" s="17" t="s">
        <v>54</v>
      </c>
      <c r="C43" s="67"/>
      <c r="D43" s="78"/>
      <c r="E43" s="78"/>
      <c r="F43" s="78"/>
      <c r="G43" s="78"/>
      <c r="H43" s="78"/>
      <c r="I43" s="78"/>
      <c r="J43" s="78"/>
      <c r="K43" s="67"/>
      <c r="L43" s="67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</row>
    <row r="44" spans="1:49" ht="12.75" customHeight="1" x14ac:dyDescent="0.2">
      <c r="A44" s="2" t="s">
        <v>55</v>
      </c>
      <c r="B44" s="2" t="s">
        <v>56</v>
      </c>
      <c r="C44" s="67">
        <v>209.45099999999999</v>
      </c>
      <c r="D44" s="78">
        <v>41.72</v>
      </c>
      <c r="E44" s="78">
        <v>10.08</v>
      </c>
      <c r="F44" s="78">
        <v>0.114</v>
      </c>
      <c r="G44" s="78">
        <v>157.53700000000001</v>
      </c>
      <c r="H44" s="78">
        <v>0</v>
      </c>
      <c r="I44" s="78">
        <v>0</v>
      </c>
      <c r="J44" s="78">
        <v>2.2040000000000002</v>
      </c>
      <c r="K44" s="78">
        <v>0</v>
      </c>
      <c r="L44" s="67">
        <v>211.655</v>
      </c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</row>
    <row r="45" spans="1:49" ht="12.75" customHeight="1" x14ac:dyDescent="0.2">
      <c r="A45" s="2" t="s">
        <v>57</v>
      </c>
      <c r="B45" s="2" t="s">
        <v>58</v>
      </c>
      <c r="C45" s="67">
        <v>370.14499999999998</v>
      </c>
      <c r="D45" s="78">
        <v>0</v>
      </c>
      <c r="E45" s="78">
        <v>0</v>
      </c>
      <c r="F45" s="78">
        <v>0</v>
      </c>
      <c r="G45" s="78">
        <v>370.14499999999998</v>
      </c>
      <c r="H45" s="78">
        <v>0</v>
      </c>
      <c r="I45" s="78">
        <v>0</v>
      </c>
      <c r="J45" s="78">
        <v>0.32300000000000001</v>
      </c>
      <c r="K45" s="78">
        <v>0</v>
      </c>
      <c r="L45" s="67">
        <v>370.46800000000002</v>
      </c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</row>
    <row r="46" spans="1:49" s="19" customFormat="1" ht="12.75" customHeight="1" x14ac:dyDescent="0.2">
      <c r="A46" s="2" t="s">
        <v>59</v>
      </c>
      <c r="B46" s="2" t="s">
        <v>193</v>
      </c>
      <c r="C46" s="67">
        <v>327.404</v>
      </c>
      <c r="D46" s="78">
        <v>0</v>
      </c>
      <c r="E46" s="78">
        <v>0</v>
      </c>
      <c r="F46" s="78">
        <v>0</v>
      </c>
      <c r="G46" s="78">
        <v>327.404</v>
      </c>
      <c r="H46" s="78">
        <v>0</v>
      </c>
      <c r="I46" s="78">
        <v>0</v>
      </c>
      <c r="J46" s="78">
        <v>0.32300000000000001</v>
      </c>
      <c r="K46" s="78">
        <v>0</v>
      </c>
      <c r="L46" s="67">
        <v>327.72699999999998</v>
      </c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8"/>
      <c r="AU46" s="18"/>
      <c r="AV46" s="18"/>
      <c r="AW46" s="18"/>
    </row>
    <row r="47" spans="1:49" ht="12.75" customHeight="1" x14ac:dyDescent="0.2">
      <c r="A47" s="2" t="s">
        <v>60</v>
      </c>
      <c r="B47" s="2" t="s">
        <v>194</v>
      </c>
      <c r="C47" s="67">
        <v>42.741</v>
      </c>
      <c r="D47" s="78">
        <v>0</v>
      </c>
      <c r="E47" s="78">
        <v>0</v>
      </c>
      <c r="F47" s="78">
        <v>0</v>
      </c>
      <c r="G47" s="78">
        <v>42.741</v>
      </c>
      <c r="H47" s="78">
        <v>0</v>
      </c>
      <c r="I47" s="78">
        <v>0</v>
      </c>
      <c r="J47" s="78">
        <v>0</v>
      </c>
      <c r="K47" s="78">
        <v>0</v>
      </c>
      <c r="L47" s="67">
        <v>42.741</v>
      </c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8"/>
      <c r="AS47" s="18"/>
      <c r="AT47" s="15"/>
      <c r="AU47" s="15"/>
      <c r="AV47" s="15"/>
      <c r="AW47" s="15"/>
    </row>
    <row r="48" spans="1:49" ht="12.75" customHeight="1" x14ac:dyDescent="0.2">
      <c r="A48" s="81" t="s">
        <v>61</v>
      </c>
      <c r="B48" s="81" t="s">
        <v>234</v>
      </c>
      <c r="C48" s="67">
        <v>359.4</v>
      </c>
      <c r="D48" s="78">
        <v>9.9540000000000006</v>
      </c>
      <c r="E48" s="78">
        <v>29.04</v>
      </c>
      <c r="F48" s="78">
        <v>320.09899999999999</v>
      </c>
      <c r="G48" s="78">
        <v>6.0000000000000001E-3</v>
      </c>
      <c r="H48" s="78">
        <v>0.30099999999999999</v>
      </c>
      <c r="I48" s="78">
        <v>0</v>
      </c>
      <c r="J48" s="78">
        <v>1.2629999999999999</v>
      </c>
      <c r="K48" s="78">
        <v>0</v>
      </c>
      <c r="L48" s="67">
        <v>360.66300000000001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5"/>
      <c r="AS48" s="15"/>
      <c r="AT48" s="15"/>
      <c r="AU48" s="15"/>
      <c r="AV48" s="15"/>
      <c r="AW48" s="15"/>
    </row>
    <row r="49" spans="1:52" ht="12.75" customHeight="1" x14ac:dyDescent="0.2">
      <c r="A49" s="2" t="s">
        <v>62</v>
      </c>
      <c r="B49" s="2" t="s">
        <v>63</v>
      </c>
      <c r="C49" s="67">
        <v>502.71550999999999</v>
      </c>
      <c r="D49" s="78">
        <v>26.42051</v>
      </c>
      <c r="E49" s="78">
        <v>33.183</v>
      </c>
      <c r="F49" s="78">
        <v>395.44099999999997</v>
      </c>
      <c r="G49" s="78">
        <v>46.552</v>
      </c>
      <c r="H49" s="78">
        <v>1.119</v>
      </c>
      <c r="I49" s="78">
        <v>0</v>
      </c>
      <c r="J49" s="78">
        <v>9.9740000000000002</v>
      </c>
      <c r="K49" s="78">
        <v>0</v>
      </c>
      <c r="L49" s="67">
        <v>512.68951000000004</v>
      </c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</row>
    <row r="50" spans="1:52" ht="12.75" customHeight="1" x14ac:dyDescent="0.2">
      <c r="A50" s="2" t="s">
        <v>64</v>
      </c>
      <c r="B50" s="2" t="s">
        <v>195</v>
      </c>
      <c r="C50" s="67">
        <v>29.652999999999999</v>
      </c>
      <c r="D50" s="78">
        <v>5.9870000000000001</v>
      </c>
      <c r="E50" s="78">
        <v>0.20599999999999999</v>
      </c>
      <c r="F50" s="78">
        <v>0.78300000000000003</v>
      </c>
      <c r="G50" s="78">
        <v>22.643000000000001</v>
      </c>
      <c r="H50" s="78">
        <v>3.4000000000000002E-2</v>
      </c>
      <c r="I50" s="78">
        <v>0</v>
      </c>
      <c r="J50" s="78">
        <v>1.748</v>
      </c>
      <c r="K50" s="78">
        <v>0</v>
      </c>
      <c r="L50" s="67">
        <v>31.401</v>
      </c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</row>
    <row r="51" spans="1:52" ht="12.75" customHeight="1" x14ac:dyDescent="0.2">
      <c r="A51" s="2" t="s">
        <v>65</v>
      </c>
      <c r="B51" s="2" t="s">
        <v>196</v>
      </c>
      <c r="C51" s="67">
        <v>29.805</v>
      </c>
      <c r="D51" s="78">
        <v>0</v>
      </c>
      <c r="E51" s="78">
        <v>29.805</v>
      </c>
      <c r="F51" s="78">
        <v>0</v>
      </c>
      <c r="G51" s="78">
        <v>0</v>
      </c>
      <c r="H51" s="78">
        <v>0</v>
      </c>
      <c r="I51" s="78">
        <v>0</v>
      </c>
      <c r="J51" s="78">
        <v>0.27400000000000002</v>
      </c>
      <c r="K51" s="78">
        <v>0</v>
      </c>
      <c r="L51" s="67">
        <v>30.079000000000001</v>
      </c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</row>
    <row r="52" spans="1:52" ht="12.75" customHeight="1" x14ac:dyDescent="0.2">
      <c r="A52" s="2" t="s">
        <v>66</v>
      </c>
      <c r="B52" s="81" t="s">
        <v>238</v>
      </c>
      <c r="C52" s="67">
        <v>344.07100000000003</v>
      </c>
      <c r="D52" s="78">
        <v>0</v>
      </c>
      <c r="E52" s="78">
        <v>0</v>
      </c>
      <c r="F52" s="78">
        <v>344.07100000000003</v>
      </c>
      <c r="G52" s="78">
        <v>0</v>
      </c>
      <c r="H52" s="78">
        <v>0</v>
      </c>
      <c r="I52" s="78">
        <v>0</v>
      </c>
      <c r="J52" s="78">
        <v>0</v>
      </c>
      <c r="K52" s="78">
        <v>0</v>
      </c>
      <c r="L52" s="67">
        <v>344.07100000000003</v>
      </c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</row>
    <row r="53" spans="1:52" ht="12.75" customHeight="1" x14ac:dyDescent="0.2">
      <c r="A53" s="2" t="s">
        <v>67</v>
      </c>
      <c r="B53" s="2" t="s">
        <v>198</v>
      </c>
      <c r="C53" s="67">
        <v>6.8250000000000002</v>
      </c>
      <c r="D53" s="78">
        <v>0</v>
      </c>
      <c r="E53" s="78">
        <v>0</v>
      </c>
      <c r="F53" s="78">
        <v>6.8250000000000002</v>
      </c>
      <c r="G53" s="78">
        <v>0</v>
      </c>
      <c r="H53" s="78">
        <v>0</v>
      </c>
      <c r="I53" s="78">
        <v>0</v>
      </c>
      <c r="J53" s="78">
        <v>1.2589999999999999</v>
      </c>
      <c r="K53" s="78">
        <v>0</v>
      </c>
      <c r="L53" s="67">
        <v>8.0839999999999996</v>
      </c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</row>
    <row r="54" spans="1:52" ht="12.75" customHeight="1" x14ac:dyDescent="0.2">
      <c r="A54" s="2" t="s">
        <v>68</v>
      </c>
      <c r="B54" s="2" t="s">
        <v>199</v>
      </c>
      <c r="C54" s="67">
        <v>92.361509999999996</v>
      </c>
      <c r="D54" s="78">
        <v>20.433509999999998</v>
      </c>
      <c r="E54" s="78">
        <v>3.1720000000000002</v>
      </c>
      <c r="F54" s="78">
        <v>43.762</v>
      </c>
      <c r="G54" s="78">
        <v>23.908999999999999</v>
      </c>
      <c r="H54" s="78">
        <v>1.085</v>
      </c>
      <c r="I54" s="78">
        <v>0</v>
      </c>
      <c r="J54" s="78">
        <v>6.6929999999999996</v>
      </c>
      <c r="K54" s="78">
        <v>0</v>
      </c>
      <c r="L54" s="67">
        <v>99.054509999999993</v>
      </c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</row>
    <row r="55" spans="1:52" ht="12.75" customHeight="1" x14ac:dyDescent="0.2">
      <c r="A55" s="2"/>
      <c r="B55" s="2"/>
      <c r="C55" s="67"/>
      <c r="D55" s="78"/>
      <c r="E55" s="78"/>
      <c r="F55" s="78"/>
      <c r="G55" s="78"/>
      <c r="H55" s="78"/>
      <c r="I55" s="78"/>
      <c r="J55" s="78"/>
      <c r="K55" s="67"/>
      <c r="L55" s="67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</row>
    <row r="56" spans="1:52" ht="12.75" customHeight="1" x14ac:dyDescent="0.2">
      <c r="A56" s="59" t="s">
        <v>69</v>
      </c>
      <c r="B56" s="59" t="s">
        <v>70</v>
      </c>
      <c r="C56" s="67">
        <v>1802.0843200000002</v>
      </c>
      <c r="D56" s="67">
        <v>139.01214000000002</v>
      </c>
      <c r="E56" s="67">
        <v>23.568000000000001</v>
      </c>
      <c r="F56" s="67">
        <v>444.99299999999999</v>
      </c>
      <c r="G56" s="67">
        <v>1159.3821799999998</v>
      </c>
      <c r="H56" s="67">
        <v>35.128999999999998</v>
      </c>
      <c r="I56" s="67">
        <v>0</v>
      </c>
      <c r="J56" s="67">
        <v>0</v>
      </c>
      <c r="K56" s="67">
        <v>0</v>
      </c>
      <c r="L56" s="67">
        <v>1802.0843200000002</v>
      </c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</row>
    <row r="57" spans="1:52" ht="12.75" customHeight="1" x14ac:dyDescent="0.2">
      <c r="A57" s="65" t="s">
        <v>128</v>
      </c>
      <c r="B57" s="65" t="s">
        <v>129</v>
      </c>
      <c r="C57" s="69">
        <v>1572.3183200000001</v>
      </c>
      <c r="D57" s="69">
        <v>7.4861400000000007</v>
      </c>
      <c r="E57" s="69">
        <v>13.699</v>
      </c>
      <c r="F57" s="69">
        <v>402.26299999999998</v>
      </c>
      <c r="G57" s="69">
        <v>1116.61618</v>
      </c>
      <c r="H57" s="69">
        <v>32.253999999999998</v>
      </c>
      <c r="I57" s="69">
        <v>0</v>
      </c>
      <c r="J57" s="69">
        <v>0</v>
      </c>
      <c r="K57" s="69">
        <v>0</v>
      </c>
      <c r="L57" s="69">
        <v>1572.3183200000001</v>
      </c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</row>
    <row r="58" spans="1:52" ht="12.75" customHeight="1" x14ac:dyDescent="0.2">
      <c r="A58" s="17" t="s">
        <v>71</v>
      </c>
      <c r="C58" s="67">
        <v>0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78">
        <v>0</v>
      </c>
      <c r="J58" s="78">
        <v>0</v>
      </c>
      <c r="K58" s="67">
        <v>0</v>
      </c>
      <c r="L58" s="67">
        <v>0</v>
      </c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</row>
    <row r="59" spans="1:52" s="20" customFormat="1" ht="12.75" customHeight="1" x14ac:dyDescent="0.2">
      <c r="A59" s="2" t="s">
        <v>72</v>
      </c>
      <c r="B59" s="2" t="s">
        <v>73</v>
      </c>
      <c r="C59" s="67">
        <v>1441.7760000000001</v>
      </c>
      <c r="D59" s="78">
        <v>0</v>
      </c>
      <c r="E59" s="78">
        <v>0</v>
      </c>
      <c r="F59" s="78">
        <v>421.74200000000002</v>
      </c>
      <c r="G59" s="78">
        <v>986.59400000000005</v>
      </c>
      <c r="H59" s="78">
        <v>33.44</v>
      </c>
      <c r="I59" s="78">
        <v>0</v>
      </c>
      <c r="J59" s="78">
        <v>0</v>
      </c>
      <c r="K59" s="78">
        <v>0</v>
      </c>
      <c r="L59" s="67">
        <v>1441.7760000000001</v>
      </c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"/>
      <c r="AY59" s="1"/>
      <c r="AZ59" s="1"/>
    </row>
    <row r="60" spans="1:52" s="20" customFormat="1" ht="12.75" customHeight="1" x14ac:dyDescent="0.2">
      <c r="A60" s="2" t="s">
        <v>74</v>
      </c>
      <c r="B60" s="2" t="s">
        <v>200</v>
      </c>
      <c r="C60" s="67">
        <v>1292.2</v>
      </c>
      <c r="D60" s="78">
        <v>0</v>
      </c>
      <c r="E60" s="78">
        <v>0</v>
      </c>
      <c r="F60" s="78">
        <v>272.166</v>
      </c>
      <c r="G60" s="78">
        <v>986.59400000000005</v>
      </c>
      <c r="H60" s="78">
        <v>33.44</v>
      </c>
      <c r="I60" s="78">
        <v>0</v>
      </c>
      <c r="J60" s="78">
        <v>0</v>
      </c>
      <c r="K60" s="78">
        <v>0</v>
      </c>
      <c r="L60" s="67">
        <v>1292.2</v>
      </c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21"/>
      <c r="AU60" s="21"/>
      <c r="AV60" s="21"/>
      <c r="AW60" s="21"/>
    </row>
    <row r="61" spans="1:52" s="20" customFormat="1" ht="12.75" customHeight="1" x14ac:dyDescent="0.2">
      <c r="A61" s="2" t="s">
        <v>75</v>
      </c>
      <c r="B61" s="2" t="s">
        <v>201</v>
      </c>
      <c r="C61" s="67">
        <v>149.57599999999999</v>
      </c>
      <c r="D61" s="78">
        <v>0</v>
      </c>
      <c r="E61" s="78">
        <v>0</v>
      </c>
      <c r="F61" s="78">
        <v>149.57599999999999</v>
      </c>
      <c r="G61" s="78">
        <v>0</v>
      </c>
      <c r="H61" s="78">
        <v>0</v>
      </c>
      <c r="I61" s="78">
        <v>0</v>
      </c>
      <c r="J61" s="78">
        <v>0</v>
      </c>
      <c r="K61" s="78">
        <v>0</v>
      </c>
      <c r="L61" s="67">
        <v>149.57599999999999</v>
      </c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21"/>
      <c r="AS61" s="21"/>
      <c r="AT61" s="21"/>
      <c r="AU61" s="21"/>
      <c r="AV61" s="21"/>
      <c r="AW61" s="21"/>
    </row>
    <row r="62" spans="1:52" s="20" customFormat="1" ht="12.75" customHeight="1" x14ac:dyDescent="0.2">
      <c r="A62" s="2"/>
      <c r="B62" s="2"/>
      <c r="C62" s="67"/>
      <c r="D62" s="78"/>
      <c r="E62" s="78"/>
      <c r="F62" s="78"/>
      <c r="G62" s="78"/>
      <c r="H62" s="78"/>
      <c r="I62" s="78"/>
      <c r="J62" s="78"/>
      <c r="K62" s="78"/>
      <c r="L62" s="67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21"/>
      <c r="AS62" s="21"/>
      <c r="AT62" s="21"/>
      <c r="AU62" s="21"/>
      <c r="AV62" s="21"/>
      <c r="AW62" s="21"/>
    </row>
    <row r="63" spans="1:52" s="20" customFormat="1" ht="12.75" customHeight="1" x14ac:dyDescent="0.2">
      <c r="A63" s="22" t="s">
        <v>76</v>
      </c>
      <c r="C63" s="71"/>
      <c r="D63" s="72"/>
      <c r="E63" s="72"/>
      <c r="F63" s="72"/>
      <c r="G63" s="72"/>
      <c r="H63" s="72"/>
      <c r="I63" s="72"/>
      <c r="J63" s="72"/>
      <c r="K63" s="72"/>
      <c r="L63" s="7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</row>
    <row r="64" spans="1:52" s="20" customFormat="1" ht="12.75" customHeight="1" x14ac:dyDescent="0.2">
      <c r="A64" s="22" t="s">
        <v>77</v>
      </c>
      <c r="B64" s="22" t="s">
        <v>78</v>
      </c>
      <c r="C64" s="71">
        <v>156.869</v>
      </c>
      <c r="D64" s="72">
        <v>0</v>
      </c>
      <c r="E64" s="72">
        <v>0</v>
      </c>
      <c r="F64" s="72">
        <v>156.869</v>
      </c>
      <c r="G64" s="72">
        <v>0</v>
      </c>
      <c r="H64" s="72">
        <v>0</v>
      </c>
      <c r="I64" s="72">
        <v>0</v>
      </c>
      <c r="J64" s="72">
        <v>0</v>
      </c>
      <c r="K64" s="72">
        <v>0</v>
      </c>
      <c r="L64" s="71">
        <v>156.869</v>
      </c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</row>
    <row r="65" spans="1:251" s="20" customFormat="1" ht="12.75" customHeight="1" x14ac:dyDescent="0.2">
      <c r="A65" s="22" t="s">
        <v>79</v>
      </c>
      <c r="B65" s="36" t="s">
        <v>232</v>
      </c>
      <c r="C65" s="71">
        <v>148.73699999999999</v>
      </c>
      <c r="D65" s="72">
        <v>0</v>
      </c>
      <c r="E65" s="72">
        <v>0</v>
      </c>
      <c r="F65" s="72">
        <v>115.297</v>
      </c>
      <c r="G65" s="72">
        <v>0</v>
      </c>
      <c r="H65" s="72">
        <v>33.44</v>
      </c>
      <c r="I65" s="72">
        <v>0</v>
      </c>
      <c r="J65" s="72">
        <v>0</v>
      </c>
      <c r="K65" s="72">
        <v>0</v>
      </c>
      <c r="L65" s="71">
        <v>148.73699999999999</v>
      </c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</row>
    <row r="66" spans="1:251" ht="12.75" customHeight="1" x14ac:dyDescent="0.2">
      <c r="A66" s="60" t="s">
        <v>130</v>
      </c>
      <c r="B66" s="60" t="s">
        <v>132</v>
      </c>
      <c r="C66" s="71">
        <v>1802.0843200000002</v>
      </c>
      <c r="D66" s="71">
        <v>139.01214000000002</v>
      </c>
      <c r="E66" s="71">
        <v>23.568000000000001</v>
      </c>
      <c r="F66" s="71">
        <v>172.827</v>
      </c>
      <c r="G66" s="71">
        <v>1464.9881799999998</v>
      </c>
      <c r="H66" s="71">
        <v>1.6890000000000001</v>
      </c>
      <c r="I66" s="71">
        <v>0</v>
      </c>
      <c r="J66" s="71">
        <v>0</v>
      </c>
      <c r="K66" s="71">
        <v>0</v>
      </c>
      <c r="L66" s="71">
        <v>1802.0843200000002</v>
      </c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0"/>
      <c r="AY66" s="20"/>
      <c r="AZ66" s="20"/>
    </row>
    <row r="67" spans="1:251" ht="12.75" customHeight="1" x14ac:dyDescent="0.2">
      <c r="A67" s="60" t="s">
        <v>131</v>
      </c>
      <c r="B67" s="60" t="s">
        <v>133</v>
      </c>
      <c r="C67" s="71">
        <v>1572.3183200000001</v>
      </c>
      <c r="D67" s="71">
        <v>7.4861400000000007</v>
      </c>
      <c r="E67" s="71">
        <v>13.699</v>
      </c>
      <c r="F67" s="71">
        <v>130.09700000000001</v>
      </c>
      <c r="G67" s="71">
        <v>1422.22218</v>
      </c>
      <c r="H67" s="71">
        <v>-1.1859999999999999</v>
      </c>
      <c r="I67" s="71">
        <v>0</v>
      </c>
      <c r="J67" s="71">
        <v>0</v>
      </c>
      <c r="K67" s="71">
        <v>0</v>
      </c>
      <c r="L67" s="71">
        <v>1572.3183200000001</v>
      </c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15"/>
      <c r="AU67" s="15"/>
      <c r="AV67" s="15"/>
      <c r="AW67" s="15"/>
    </row>
    <row r="68" spans="1:251" ht="12.75" customHeight="1" x14ac:dyDescent="0.2">
      <c r="A68" s="22" t="s">
        <v>80</v>
      </c>
      <c r="B68" s="22" t="s">
        <v>81</v>
      </c>
      <c r="C68" s="71">
        <v>1441.7760000000001</v>
      </c>
      <c r="D68" s="72">
        <v>0</v>
      </c>
      <c r="E68" s="72">
        <v>0</v>
      </c>
      <c r="F68" s="72">
        <v>149.57599999999999</v>
      </c>
      <c r="G68" s="72">
        <v>1292.2</v>
      </c>
      <c r="H68" s="72">
        <v>0</v>
      </c>
      <c r="I68" s="72">
        <v>0</v>
      </c>
      <c r="J68" s="72">
        <v>0</v>
      </c>
      <c r="K68" s="72">
        <v>0</v>
      </c>
      <c r="L68" s="71">
        <v>1441.7760000000001</v>
      </c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15"/>
      <c r="AS68" s="15"/>
      <c r="AT68" s="15"/>
      <c r="AU68" s="15"/>
      <c r="AV68" s="15"/>
      <c r="AW68" s="15"/>
    </row>
    <row r="69" spans="1:251" ht="12.75" customHeight="1" x14ac:dyDescent="0.2">
      <c r="A69" s="22"/>
      <c r="B69" s="22"/>
      <c r="C69" s="67"/>
      <c r="D69" s="78"/>
      <c r="E69" s="78"/>
      <c r="F69" s="78"/>
      <c r="G69" s="78"/>
      <c r="H69" s="78"/>
      <c r="I69" s="78"/>
      <c r="J69" s="78"/>
      <c r="K69" s="78"/>
      <c r="L69" s="67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15"/>
      <c r="AS69" s="15"/>
      <c r="AT69" s="15"/>
      <c r="AU69" s="15"/>
      <c r="AV69" s="15"/>
      <c r="AW69" s="15"/>
    </row>
    <row r="70" spans="1:251" s="8" customFormat="1" ht="12.75" customHeight="1" x14ac:dyDescent="0.2">
      <c r="A70" s="59" t="s">
        <v>82</v>
      </c>
      <c r="B70" s="59" t="s">
        <v>83</v>
      </c>
      <c r="C70" s="67">
        <v>360.30831999999998</v>
      </c>
      <c r="D70" s="67">
        <v>139.01214000000002</v>
      </c>
      <c r="E70" s="67">
        <v>23.568000000000001</v>
      </c>
      <c r="F70" s="67">
        <v>23.251000000000001</v>
      </c>
      <c r="G70" s="67">
        <v>172.78817999999998</v>
      </c>
      <c r="H70" s="67">
        <v>1.6890000000000001</v>
      </c>
      <c r="I70" s="67">
        <v>0</v>
      </c>
      <c r="J70" s="67">
        <v>0</v>
      </c>
      <c r="K70" s="67">
        <v>0</v>
      </c>
      <c r="L70" s="67">
        <v>360.30831999999998</v>
      </c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"/>
      <c r="AY70" s="1"/>
      <c r="AZ70" s="1"/>
    </row>
    <row r="71" spans="1:251" ht="12.75" customHeight="1" x14ac:dyDescent="0.2">
      <c r="A71" s="59" t="s">
        <v>134</v>
      </c>
      <c r="B71" s="59" t="s">
        <v>135</v>
      </c>
      <c r="C71" s="67">
        <v>130.54232000000002</v>
      </c>
      <c r="D71" s="67">
        <v>7.4861400000000007</v>
      </c>
      <c r="E71" s="67">
        <v>13.699</v>
      </c>
      <c r="F71" s="67">
        <v>-19.478999999999999</v>
      </c>
      <c r="G71" s="67">
        <v>130.02217999999999</v>
      </c>
      <c r="H71" s="67">
        <v>-1.1859999999999999</v>
      </c>
      <c r="I71" s="67">
        <v>0</v>
      </c>
      <c r="J71" s="67">
        <v>0</v>
      </c>
      <c r="K71" s="67">
        <v>0</v>
      </c>
      <c r="L71" s="67">
        <v>130.54232000000002</v>
      </c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23"/>
      <c r="AU71" s="23"/>
      <c r="AV71" s="23"/>
      <c r="AW71" s="23"/>
      <c r="AX71" s="8"/>
      <c r="AY71" s="8"/>
      <c r="AZ71" s="8"/>
    </row>
    <row r="72" spans="1:251" ht="12.75" customHeight="1" x14ac:dyDescent="0.2">
      <c r="A72" s="65" t="s">
        <v>84</v>
      </c>
      <c r="B72" s="65" t="s">
        <v>85</v>
      </c>
      <c r="C72" s="69">
        <v>0</v>
      </c>
      <c r="D72" s="69">
        <v>0</v>
      </c>
      <c r="E72" s="69">
        <v>0</v>
      </c>
      <c r="F72" s="69">
        <v>0</v>
      </c>
      <c r="G72" s="69">
        <v>0</v>
      </c>
      <c r="H72" s="69">
        <v>0</v>
      </c>
      <c r="I72" s="69">
        <v>0</v>
      </c>
      <c r="J72" s="69">
        <v>14.83</v>
      </c>
      <c r="K72" s="69">
        <v>0</v>
      </c>
      <c r="L72" s="69">
        <v>14.83</v>
      </c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23"/>
      <c r="AS72" s="23"/>
      <c r="AT72" s="15"/>
      <c r="AU72" s="15"/>
      <c r="AV72" s="15"/>
      <c r="AW72" s="15"/>
    </row>
    <row r="73" spans="1:251" ht="15.75" customHeight="1" x14ac:dyDescent="0.25">
      <c r="A73" s="35" t="s">
        <v>250</v>
      </c>
      <c r="B73" s="35"/>
      <c r="C73" s="24"/>
      <c r="D73" s="23"/>
      <c r="E73" s="23"/>
      <c r="F73" s="24"/>
      <c r="G73" s="24"/>
      <c r="H73" s="23"/>
      <c r="I73" s="23"/>
      <c r="J73" s="23"/>
      <c r="K73" s="23"/>
      <c r="L73" s="50" t="s">
        <v>216</v>
      </c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15"/>
      <c r="AS73" s="15"/>
      <c r="AT73" s="15"/>
      <c r="AU73" s="15"/>
      <c r="AV73" s="15"/>
      <c r="AW73" s="15"/>
    </row>
    <row r="74" spans="1:251" ht="15.75" customHeight="1" x14ac:dyDescent="0.25">
      <c r="A74" s="83"/>
      <c r="B74" s="83"/>
      <c r="C74" s="25" t="s">
        <v>203</v>
      </c>
      <c r="D74" s="25" t="s">
        <v>0</v>
      </c>
      <c r="E74" s="25" t="s">
        <v>1</v>
      </c>
      <c r="F74" s="25" t="s">
        <v>2</v>
      </c>
      <c r="G74" s="25" t="s">
        <v>3</v>
      </c>
      <c r="H74" s="25" t="s">
        <v>4</v>
      </c>
      <c r="I74" s="25"/>
      <c r="J74" s="25" t="s">
        <v>5</v>
      </c>
      <c r="K74" s="26"/>
      <c r="L74" s="2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</row>
    <row r="75" spans="1:251" s="52" customFormat="1" ht="39.950000000000003" customHeight="1" x14ac:dyDescent="0.2">
      <c r="A75" s="86" t="s">
        <v>136</v>
      </c>
      <c r="B75" s="86"/>
      <c r="C75" s="27" t="s">
        <v>7</v>
      </c>
      <c r="D75" s="27" t="s">
        <v>8</v>
      </c>
      <c r="E75" s="27" t="s">
        <v>9</v>
      </c>
      <c r="F75" s="27" t="s">
        <v>10</v>
      </c>
      <c r="G75" s="27" t="s">
        <v>11</v>
      </c>
      <c r="H75" s="27" t="s">
        <v>12</v>
      </c>
      <c r="I75" s="27" t="s">
        <v>119</v>
      </c>
      <c r="J75" s="27" t="s">
        <v>13</v>
      </c>
      <c r="K75" s="27" t="s">
        <v>14</v>
      </c>
      <c r="L75" s="27" t="s">
        <v>15</v>
      </c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</row>
    <row r="76" spans="1:251" ht="12.75" customHeight="1" x14ac:dyDescent="0.2">
      <c r="A76" s="17" t="s">
        <v>86</v>
      </c>
      <c r="C76" s="56"/>
      <c r="D76" s="56"/>
      <c r="E76" s="56"/>
      <c r="F76" s="56"/>
      <c r="G76" s="56"/>
      <c r="H76" s="56"/>
      <c r="I76" s="56"/>
      <c r="J76" s="56"/>
      <c r="K76" s="56"/>
      <c r="L76" s="58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</row>
    <row r="77" spans="1:251" ht="12.75" customHeight="1" x14ac:dyDescent="0.2">
      <c r="A77" s="59" t="s">
        <v>82</v>
      </c>
      <c r="B77" s="59" t="s">
        <v>83</v>
      </c>
      <c r="C77" s="67">
        <v>360.30831999999998</v>
      </c>
      <c r="D77" s="67">
        <v>139.01214000000002</v>
      </c>
      <c r="E77" s="67">
        <v>23.568000000000001</v>
      </c>
      <c r="F77" s="67">
        <v>23.251000000000001</v>
      </c>
      <c r="G77" s="67">
        <v>172.78817999999998</v>
      </c>
      <c r="H77" s="67">
        <v>1.6890000000000001</v>
      </c>
      <c r="I77" s="67">
        <v>0</v>
      </c>
      <c r="J77" s="67">
        <v>0</v>
      </c>
      <c r="K77" s="67">
        <v>0</v>
      </c>
      <c r="L77" s="67">
        <v>360.30831999999998</v>
      </c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</row>
    <row r="78" spans="1:251" ht="12.75" customHeight="1" x14ac:dyDescent="0.2">
      <c r="A78" s="59" t="s">
        <v>84</v>
      </c>
      <c r="B78" s="59" t="s">
        <v>85</v>
      </c>
      <c r="C78" s="67">
        <v>0</v>
      </c>
      <c r="D78" s="67">
        <v>0</v>
      </c>
      <c r="E78" s="67">
        <v>0</v>
      </c>
      <c r="F78" s="67">
        <v>0</v>
      </c>
      <c r="G78" s="67">
        <v>0</v>
      </c>
      <c r="H78" s="67">
        <v>0</v>
      </c>
      <c r="I78" s="67">
        <v>0</v>
      </c>
      <c r="J78" s="67">
        <v>14.83</v>
      </c>
      <c r="K78" s="67">
        <v>0</v>
      </c>
      <c r="L78" s="67">
        <v>14.83</v>
      </c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</row>
    <row r="79" spans="1:251" ht="12.75" customHeight="1" x14ac:dyDescent="0.2">
      <c r="A79" s="2" t="s">
        <v>87</v>
      </c>
      <c r="B79" s="2" t="s">
        <v>88</v>
      </c>
      <c r="C79" s="67">
        <v>0</v>
      </c>
      <c r="D79" s="78">
        <v>0</v>
      </c>
      <c r="E79" s="78">
        <v>0</v>
      </c>
      <c r="F79" s="78">
        <v>0</v>
      </c>
      <c r="G79" s="78">
        <v>0</v>
      </c>
      <c r="H79" s="78">
        <v>0</v>
      </c>
      <c r="I79" s="78">
        <v>0</v>
      </c>
      <c r="J79" s="78">
        <v>0</v>
      </c>
      <c r="K79" s="78">
        <v>0</v>
      </c>
      <c r="L79" s="67">
        <v>0</v>
      </c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</row>
    <row r="80" spans="1:251" ht="12.75" customHeight="1" x14ac:dyDescent="0.2">
      <c r="A80" s="2" t="s">
        <v>89</v>
      </c>
      <c r="B80" s="2" t="s">
        <v>90</v>
      </c>
      <c r="C80" s="67">
        <v>0</v>
      </c>
      <c r="D80" s="78">
        <v>0</v>
      </c>
      <c r="E80" s="78">
        <v>0</v>
      </c>
      <c r="F80" s="78">
        <v>0</v>
      </c>
      <c r="G80" s="78">
        <v>0</v>
      </c>
      <c r="H80" s="78">
        <v>0</v>
      </c>
      <c r="I80" s="78">
        <v>0</v>
      </c>
      <c r="J80" s="78">
        <v>0</v>
      </c>
      <c r="K80" s="78">
        <v>0</v>
      </c>
      <c r="L80" s="67">
        <v>0</v>
      </c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</row>
    <row r="81" spans="1:251" ht="12.75" customHeight="1" x14ac:dyDescent="0.2">
      <c r="A81" s="2" t="s">
        <v>91</v>
      </c>
      <c r="B81" s="2" t="s">
        <v>92</v>
      </c>
      <c r="C81" s="67">
        <v>360.37646999999998</v>
      </c>
      <c r="D81" s="78">
        <v>170.28478000000001</v>
      </c>
      <c r="E81" s="78">
        <v>14.917</v>
      </c>
      <c r="F81" s="78">
        <v>57.561</v>
      </c>
      <c r="G81" s="78">
        <v>114.30967999999999</v>
      </c>
      <c r="H81" s="78">
        <v>3.3039999999999998</v>
      </c>
      <c r="I81" s="78">
        <v>0</v>
      </c>
      <c r="J81" s="78">
        <v>0</v>
      </c>
      <c r="K81" s="78">
        <v>0</v>
      </c>
      <c r="L81" s="67">
        <v>360.37646999999998</v>
      </c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5"/>
      <c r="AU81" s="5"/>
      <c r="AV81" s="5"/>
      <c r="AW81" s="5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</row>
    <row r="82" spans="1:251" ht="12.75" customHeight="1" x14ac:dyDescent="0.2">
      <c r="A82" s="2" t="s">
        <v>93</v>
      </c>
      <c r="B82" s="2" t="s">
        <v>176</v>
      </c>
      <c r="C82" s="67">
        <v>326.58753000000002</v>
      </c>
      <c r="D82" s="78">
        <v>144.3184</v>
      </c>
      <c r="E82" s="78">
        <v>11.516</v>
      </c>
      <c r="F82" s="78">
        <v>53.606000000000002</v>
      </c>
      <c r="G82" s="78">
        <v>113.84313</v>
      </c>
      <c r="H82" s="78">
        <v>3.3039999999999998</v>
      </c>
      <c r="I82" s="78">
        <v>0</v>
      </c>
      <c r="J82" s="78">
        <v>0</v>
      </c>
      <c r="K82" s="78">
        <v>0</v>
      </c>
      <c r="L82" s="67">
        <v>326.58753000000002</v>
      </c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5"/>
      <c r="AS82" s="5"/>
      <c r="AT82" s="5"/>
      <c r="AU82" s="5"/>
      <c r="AV82" s="5"/>
      <c r="AW82" s="5"/>
      <c r="AX82" s="2"/>
      <c r="AY82" s="2"/>
      <c r="AZ82" s="2"/>
    </row>
    <row r="83" spans="1:251" ht="12.75" customHeight="1" x14ac:dyDescent="0.2">
      <c r="A83" s="2" t="s">
        <v>94</v>
      </c>
      <c r="B83" s="2" t="s">
        <v>175</v>
      </c>
      <c r="C83" s="67">
        <v>33.788930000000001</v>
      </c>
      <c r="D83" s="78">
        <v>25.966390000000001</v>
      </c>
      <c r="E83" s="78">
        <v>3.4009999999999998</v>
      </c>
      <c r="F83" s="78">
        <v>3.9550000000000001</v>
      </c>
      <c r="G83" s="78">
        <v>0.46655000000000002</v>
      </c>
      <c r="H83" s="78">
        <v>0</v>
      </c>
      <c r="I83" s="78">
        <v>0</v>
      </c>
      <c r="J83" s="78">
        <v>0</v>
      </c>
      <c r="K83" s="78">
        <v>0</v>
      </c>
      <c r="L83" s="67">
        <v>33.788930000000001</v>
      </c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15"/>
      <c r="AU83" s="15"/>
      <c r="AV83" s="15"/>
      <c r="AW83" s="15"/>
    </row>
    <row r="84" spans="1:251" s="2" customFormat="1" ht="12.75" customHeight="1" x14ac:dyDescent="0.2">
      <c r="A84" s="2" t="s">
        <v>122</v>
      </c>
      <c r="B84" s="2" t="s">
        <v>123</v>
      </c>
      <c r="C84" s="67">
        <v>-229.76599999999999</v>
      </c>
      <c r="D84" s="78">
        <v>-131.52600000000001</v>
      </c>
      <c r="E84" s="78">
        <v>-9.8689999999999998</v>
      </c>
      <c r="F84" s="78">
        <v>-42.73</v>
      </c>
      <c r="G84" s="78">
        <v>-42.765999999999998</v>
      </c>
      <c r="H84" s="78">
        <v>-2.875</v>
      </c>
      <c r="I84" s="78">
        <v>0</v>
      </c>
      <c r="J84" s="78">
        <v>0</v>
      </c>
      <c r="K84" s="78">
        <v>0</v>
      </c>
      <c r="L84" s="67">
        <v>-229.76599999999999</v>
      </c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15"/>
      <c r="AS84" s="15"/>
      <c r="AT84" s="15"/>
      <c r="AU84" s="15"/>
      <c r="AV84" s="15"/>
      <c r="AW84" s="15"/>
      <c r="AX84" s="1"/>
      <c r="AY84" s="1"/>
      <c r="AZ84" s="1"/>
    </row>
    <row r="85" spans="1:251" ht="12.75" customHeight="1" x14ac:dyDescent="0.2">
      <c r="A85" s="2" t="s">
        <v>95</v>
      </c>
      <c r="B85" s="2" t="s">
        <v>96</v>
      </c>
      <c r="C85" s="67">
        <v>13.733000000000001</v>
      </c>
      <c r="D85" s="78">
        <v>12.988</v>
      </c>
      <c r="E85" s="78">
        <v>0</v>
      </c>
      <c r="F85" s="78">
        <v>0.186</v>
      </c>
      <c r="G85" s="78">
        <v>0.55900000000000005</v>
      </c>
      <c r="H85" s="78">
        <v>0</v>
      </c>
      <c r="I85" s="78">
        <v>0</v>
      </c>
      <c r="J85" s="78">
        <v>0</v>
      </c>
      <c r="K85" s="78">
        <v>0</v>
      </c>
      <c r="L85" s="67">
        <v>13.733000000000001</v>
      </c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5"/>
      <c r="AU85" s="5"/>
      <c r="AV85" s="5"/>
      <c r="AW85" s="5"/>
      <c r="AX85" s="2"/>
      <c r="AY85" s="2"/>
      <c r="AZ85" s="2"/>
    </row>
    <row r="86" spans="1:251" ht="12.75" customHeight="1" x14ac:dyDescent="0.2">
      <c r="A86" s="2" t="s">
        <v>97</v>
      </c>
      <c r="B86" s="2" t="s">
        <v>139</v>
      </c>
      <c r="C86" s="67">
        <v>1.02948</v>
      </c>
      <c r="D86" s="78">
        <v>0</v>
      </c>
      <c r="E86" s="78">
        <v>0</v>
      </c>
      <c r="F86" s="78">
        <v>0</v>
      </c>
      <c r="G86" s="78">
        <v>1.02948</v>
      </c>
      <c r="H86" s="78">
        <v>0</v>
      </c>
      <c r="I86" s="78">
        <v>0</v>
      </c>
      <c r="J86" s="78">
        <v>0</v>
      </c>
      <c r="K86" s="78">
        <v>0</v>
      </c>
      <c r="L86" s="67">
        <v>1.02948</v>
      </c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5"/>
      <c r="AS86" s="5"/>
      <c r="AT86" s="15"/>
      <c r="AU86" s="15"/>
      <c r="AV86" s="15"/>
      <c r="AW86" s="15"/>
    </row>
    <row r="87" spans="1:251" ht="12.75" customHeight="1" x14ac:dyDescent="0.2">
      <c r="A87" s="2" t="s">
        <v>217</v>
      </c>
      <c r="B87" s="2" t="s">
        <v>140</v>
      </c>
      <c r="C87" s="67">
        <v>0.36499999999999999</v>
      </c>
      <c r="D87" s="78">
        <v>1.6459999999999999</v>
      </c>
      <c r="E87" s="78">
        <v>0.34300000000000003</v>
      </c>
      <c r="F87" s="78">
        <v>2.3570000000000002</v>
      </c>
      <c r="G87" s="78">
        <v>-3.9809999999999999</v>
      </c>
      <c r="H87" s="78">
        <v>0</v>
      </c>
      <c r="I87" s="78">
        <v>0</v>
      </c>
      <c r="J87" s="78">
        <v>-0.36499999999999999</v>
      </c>
      <c r="K87" s="78">
        <v>0</v>
      </c>
      <c r="L87" s="67">
        <v>0</v>
      </c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15"/>
      <c r="AS87" s="15"/>
      <c r="AT87" s="15"/>
      <c r="AU87" s="15"/>
      <c r="AV87" s="15"/>
      <c r="AW87" s="15"/>
    </row>
    <row r="88" spans="1:251" ht="12.75" customHeight="1" x14ac:dyDescent="0.2">
      <c r="A88" s="2" t="s">
        <v>218</v>
      </c>
      <c r="B88" s="31" t="s">
        <v>206</v>
      </c>
      <c r="C88" s="67">
        <v>0</v>
      </c>
      <c r="D88" s="78">
        <v>1.284</v>
      </c>
      <c r="E88" s="78">
        <v>0.34300000000000003</v>
      </c>
      <c r="F88" s="78">
        <v>2.3540000000000001</v>
      </c>
      <c r="G88" s="78">
        <v>-3.9809999999999999</v>
      </c>
      <c r="H88" s="78">
        <v>0</v>
      </c>
      <c r="I88" s="78">
        <v>0</v>
      </c>
      <c r="J88" s="78">
        <v>0</v>
      </c>
      <c r="K88" s="78">
        <v>0</v>
      </c>
      <c r="L88" s="67">
        <v>0</v>
      </c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15"/>
      <c r="AS88" s="15"/>
      <c r="AT88" s="15"/>
      <c r="AU88" s="15"/>
      <c r="AV88" s="15"/>
      <c r="AW88" s="15"/>
    </row>
    <row r="89" spans="1:251" ht="12.75" customHeight="1" x14ac:dyDescent="0.2">
      <c r="A89" s="2" t="s">
        <v>219</v>
      </c>
      <c r="B89" s="31" t="s">
        <v>205</v>
      </c>
      <c r="C89" s="67">
        <v>0.36499999999999999</v>
      </c>
      <c r="D89" s="78">
        <v>0.36199999999999999</v>
      </c>
      <c r="E89" s="78">
        <v>0</v>
      </c>
      <c r="F89" s="78">
        <v>3.0000000000000001E-3</v>
      </c>
      <c r="G89" s="78">
        <v>0</v>
      </c>
      <c r="H89" s="78">
        <v>0</v>
      </c>
      <c r="I89" s="78">
        <v>0</v>
      </c>
      <c r="J89" s="78">
        <v>-0.36499999999999999</v>
      </c>
      <c r="K89" s="78">
        <v>0</v>
      </c>
      <c r="L89" s="67">
        <v>0</v>
      </c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15"/>
      <c r="AS89" s="15"/>
      <c r="AT89" s="15"/>
      <c r="AU89" s="15"/>
      <c r="AV89" s="15"/>
      <c r="AW89" s="15"/>
    </row>
    <row r="90" spans="1:251" ht="12.75" customHeight="1" x14ac:dyDescent="0.2">
      <c r="A90" s="2"/>
      <c r="B90" s="31"/>
      <c r="C90" s="67"/>
      <c r="D90" s="78"/>
      <c r="E90" s="78"/>
      <c r="F90" s="78"/>
      <c r="G90" s="78"/>
      <c r="H90" s="78"/>
      <c r="I90" s="78"/>
      <c r="J90" s="78"/>
      <c r="K90" s="78"/>
      <c r="L90" s="67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15"/>
      <c r="AS90" s="15"/>
      <c r="AT90" s="15"/>
      <c r="AU90" s="15"/>
      <c r="AV90" s="15"/>
      <c r="AW90" s="15"/>
    </row>
    <row r="91" spans="1:251" ht="12.75" customHeight="1" x14ac:dyDescent="0.2">
      <c r="A91" s="59" t="s">
        <v>98</v>
      </c>
      <c r="B91" s="59" t="s">
        <v>99</v>
      </c>
      <c r="C91" s="67">
        <v>-14.420629999999999</v>
      </c>
      <c r="D91" s="67">
        <v>-38.962650000000004</v>
      </c>
      <c r="E91" s="67">
        <v>10.946999999999999</v>
      </c>
      <c r="F91" s="67">
        <v>-42.725999999999999</v>
      </c>
      <c r="G91" s="67">
        <v>56.403010000000002</v>
      </c>
      <c r="H91" s="67">
        <v>-8.2000000000000003E-2</v>
      </c>
      <c r="I91" s="67">
        <v>0</v>
      </c>
      <c r="J91" s="67">
        <v>14.42</v>
      </c>
      <c r="K91" s="67">
        <v>0</v>
      </c>
      <c r="L91" s="67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</row>
    <row r="92" spans="1:251" ht="12.75" customHeight="1" x14ac:dyDescent="0.2">
      <c r="A92" s="82" t="s">
        <v>100</v>
      </c>
      <c r="B92" s="84" t="s">
        <v>204</v>
      </c>
      <c r="C92" s="69">
        <v>-0.88137000000013543</v>
      </c>
      <c r="D92" s="69">
        <v>-7.7163500000000269</v>
      </c>
      <c r="E92" s="69">
        <v>8.6270000000000699</v>
      </c>
      <c r="F92" s="69">
        <v>9.9999999999766942E-4</v>
      </c>
      <c r="G92" s="69">
        <v>-5.6450100000000205</v>
      </c>
      <c r="H92" s="69">
        <v>3.8489999999999993</v>
      </c>
      <c r="I92" s="69">
        <v>0</v>
      </c>
      <c r="J92" s="69">
        <v>0.88300000000011103</v>
      </c>
      <c r="K92" s="69">
        <v>0</v>
      </c>
      <c r="L92" s="69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</row>
    <row r="93" spans="1:251" ht="12.75" customHeight="1" x14ac:dyDescent="0.2">
      <c r="A93" s="17" t="s">
        <v>102</v>
      </c>
      <c r="C93" s="67"/>
      <c r="D93" s="78"/>
      <c r="E93" s="78"/>
      <c r="F93" s="78"/>
      <c r="G93" s="78"/>
      <c r="H93" s="78"/>
      <c r="I93" s="78"/>
      <c r="J93" s="78"/>
      <c r="K93" s="67"/>
      <c r="L93" s="67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</row>
    <row r="94" spans="1:251" ht="12.75" customHeight="1" x14ac:dyDescent="0.2">
      <c r="A94" s="17"/>
      <c r="C94" s="67"/>
      <c r="D94" s="78"/>
      <c r="E94" s="78"/>
      <c r="F94" s="78"/>
      <c r="G94" s="78"/>
      <c r="H94" s="78"/>
      <c r="I94" s="78"/>
      <c r="J94" s="78"/>
      <c r="K94" s="67"/>
      <c r="L94" s="67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</row>
    <row r="95" spans="1:251" ht="12.75" customHeight="1" x14ac:dyDescent="0.2">
      <c r="A95" s="59" t="s">
        <v>116</v>
      </c>
      <c r="B95" s="62" t="s">
        <v>235</v>
      </c>
      <c r="C95" s="67">
        <v>2182.2489999999998</v>
      </c>
      <c r="D95" s="67">
        <v>221.392</v>
      </c>
      <c r="E95" s="67">
        <v>1822.626</v>
      </c>
      <c r="F95" s="67">
        <v>-12.500999999999999</v>
      </c>
      <c r="G95" s="67">
        <v>146.15799999999999</v>
      </c>
      <c r="H95" s="67">
        <v>4.5709999999999997</v>
      </c>
      <c r="I95" s="67">
        <v>0</v>
      </c>
      <c r="J95" s="67">
        <v>1100.9670000000001</v>
      </c>
      <c r="K95" s="67">
        <v>0</v>
      </c>
      <c r="L95" s="67">
        <v>3283.2139999999999</v>
      </c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15"/>
      <c r="AS95" s="15"/>
      <c r="AT95" s="15"/>
      <c r="AU95" s="15"/>
      <c r="AV95" s="15"/>
      <c r="AW95" s="15"/>
    </row>
    <row r="96" spans="1:251" ht="12.75" customHeight="1" x14ac:dyDescent="0.2">
      <c r="A96" s="2" t="s">
        <v>103</v>
      </c>
      <c r="B96" s="2" t="s">
        <v>104</v>
      </c>
      <c r="C96" s="67">
        <v>-1.726</v>
      </c>
      <c r="D96" s="78">
        <v>0</v>
      </c>
      <c r="E96" s="78">
        <v>-1.726</v>
      </c>
      <c r="F96" s="78">
        <v>0</v>
      </c>
      <c r="G96" s="78">
        <v>0</v>
      </c>
      <c r="H96" s="78">
        <v>0</v>
      </c>
      <c r="I96" s="78">
        <v>0</v>
      </c>
      <c r="J96" s="78">
        <v>0</v>
      </c>
      <c r="K96" s="78">
        <v>0</v>
      </c>
      <c r="L96" s="67">
        <v>-1.726</v>
      </c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</row>
    <row r="97" spans="1:52" ht="12.75" customHeight="1" x14ac:dyDescent="0.2">
      <c r="A97" s="2" t="s">
        <v>105</v>
      </c>
      <c r="B97" s="2" t="s">
        <v>106</v>
      </c>
      <c r="C97" s="67">
        <v>183.452</v>
      </c>
      <c r="D97" s="78">
        <v>18.216999999999999</v>
      </c>
      <c r="E97" s="78">
        <v>172.25200000000001</v>
      </c>
      <c r="F97" s="78">
        <v>-30.363</v>
      </c>
      <c r="G97" s="78">
        <v>20.3</v>
      </c>
      <c r="H97" s="78">
        <v>3.0459999999999998</v>
      </c>
      <c r="I97" s="78">
        <v>0</v>
      </c>
      <c r="J97" s="78">
        <v>270.21499999999997</v>
      </c>
      <c r="K97" s="78">
        <v>0</v>
      </c>
      <c r="L97" s="67">
        <v>453.666</v>
      </c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</row>
    <row r="98" spans="1:52" ht="12.75" customHeight="1" x14ac:dyDescent="0.2">
      <c r="A98" s="2" t="s">
        <v>107</v>
      </c>
      <c r="B98" s="2" t="s">
        <v>108</v>
      </c>
      <c r="C98" s="67">
        <v>1194.2529999999999</v>
      </c>
      <c r="D98" s="78">
        <v>-23.896999999999998</v>
      </c>
      <c r="E98" s="78">
        <v>1200.271</v>
      </c>
      <c r="F98" s="78">
        <v>15.734999999999999</v>
      </c>
      <c r="G98" s="78">
        <v>2.0369999999999999</v>
      </c>
      <c r="H98" s="78">
        <v>0.106</v>
      </c>
      <c r="I98" s="78">
        <v>0</v>
      </c>
      <c r="J98" s="78">
        <v>652.64700000000005</v>
      </c>
      <c r="K98" s="78">
        <v>0</v>
      </c>
      <c r="L98" s="67">
        <v>1846.9</v>
      </c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</row>
    <row r="99" spans="1:52" ht="12.75" customHeight="1" x14ac:dyDescent="0.2">
      <c r="A99" s="2" t="s">
        <v>109</v>
      </c>
      <c r="B99" s="2" t="s">
        <v>110</v>
      </c>
      <c r="C99" s="67">
        <v>249.64599999999999</v>
      </c>
      <c r="D99" s="78">
        <v>50.180999999999997</v>
      </c>
      <c r="E99" s="78">
        <v>197.428</v>
      </c>
      <c r="F99" s="78">
        <v>-0.27</v>
      </c>
      <c r="G99" s="78">
        <v>2.3069999999999999</v>
      </c>
      <c r="H99" s="78">
        <v>0</v>
      </c>
      <c r="I99" s="78">
        <v>0</v>
      </c>
      <c r="J99" s="78">
        <v>37.988</v>
      </c>
      <c r="K99" s="78">
        <v>0</v>
      </c>
      <c r="L99" s="67">
        <v>287.63400000000001</v>
      </c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</row>
    <row r="100" spans="1:52" ht="12.75" customHeight="1" x14ac:dyDescent="0.2">
      <c r="A100" s="2" t="s">
        <v>111</v>
      </c>
      <c r="B100" s="2" t="s">
        <v>112</v>
      </c>
      <c r="C100" s="67">
        <v>290.61200000000002</v>
      </c>
      <c r="D100" s="78">
        <v>99.908000000000001</v>
      </c>
      <c r="E100" s="78">
        <v>180.452</v>
      </c>
      <c r="F100" s="78">
        <v>-11.407999999999999</v>
      </c>
      <c r="G100" s="78">
        <v>20.242999999999999</v>
      </c>
      <c r="H100" s="78">
        <v>1.4159999999999999</v>
      </c>
      <c r="I100" s="78">
        <v>0</v>
      </c>
      <c r="J100" s="78">
        <v>106.002</v>
      </c>
      <c r="K100" s="78">
        <v>0</v>
      </c>
      <c r="L100" s="67">
        <v>396.61399999999998</v>
      </c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</row>
    <row r="101" spans="1:52" s="17" customFormat="1" ht="12.75" customHeight="1" x14ac:dyDescent="0.2">
      <c r="A101" s="2" t="s">
        <v>113</v>
      </c>
      <c r="B101" s="2" t="s">
        <v>114</v>
      </c>
      <c r="C101" s="67">
        <v>102.976</v>
      </c>
      <c r="D101" s="78">
        <v>-2.5999999999999999E-2</v>
      </c>
      <c r="E101" s="78">
        <v>10.695</v>
      </c>
      <c r="F101" s="78">
        <v>0.03</v>
      </c>
      <c r="G101" s="78">
        <v>92.272999999999996</v>
      </c>
      <c r="H101" s="78">
        <v>3.0000000000000001E-3</v>
      </c>
      <c r="I101" s="78">
        <v>0</v>
      </c>
      <c r="J101" s="78">
        <v>-0.92700000000000005</v>
      </c>
      <c r="K101" s="78">
        <v>0</v>
      </c>
      <c r="L101" s="67">
        <v>102.04900000000001</v>
      </c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28"/>
      <c r="AU101" s="28"/>
      <c r="AV101" s="28"/>
      <c r="AW101" s="28"/>
      <c r="AX101" s="1"/>
      <c r="AY101" s="1"/>
      <c r="AZ101" s="1"/>
    </row>
    <row r="102" spans="1:52" ht="12.75" customHeight="1" x14ac:dyDescent="0.2">
      <c r="A102" s="49" t="s">
        <v>115</v>
      </c>
      <c r="B102" s="49" t="s">
        <v>173</v>
      </c>
      <c r="C102" s="69">
        <v>163.036</v>
      </c>
      <c r="D102" s="79">
        <v>77.009</v>
      </c>
      <c r="E102" s="79">
        <v>63.253999999999998</v>
      </c>
      <c r="F102" s="79">
        <v>13.775</v>
      </c>
      <c r="G102" s="79">
        <v>8.9979999999999993</v>
      </c>
      <c r="H102" s="79">
        <v>0</v>
      </c>
      <c r="I102" s="79">
        <v>0</v>
      </c>
      <c r="J102" s="79">
        <v>35.042000000000002</v>
      </c>
      <c r="K102" s="79">
        <v>0</v>
      </c>
      <c r="L102" s="69">
        <v>198.077</v>
      </c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28"/>
      <c r="AS102" s="28"/>
      <c r="AT102" s="15"/>
      <c r="AU102" s="15"/>
      <c r="AV102" s="15"/>
      <c r="AW102" s="15"/>
      <c r="AX102" s="17"/>
      <c r="AY102" s="17"/>
      <c r="AZ102" s="17"/>
    </row>
    <row r="103" spans="1:52" ht="12.75" customHeight="1" x14ac:dyDescent="0.2">
      <c r="A103" s="48" t="s">
        <v>141</v>
      </c>
      <c r="C103" s="67"/>
      <c r="D103" s="78"/>
      <c r="E103" s="78"/>
      <c r="F103" s="78"/>
      <c r="G103" s="78"/>
      <c r="H103" s="78"/>
      <c r="I103" s="78"/>
      <c r="J103" s="78"/>
      <c r="K103" s="67"/>
      <c r="L103" s="67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</row>
    <row r="104" spans="1:52" ht="12.75" customHeight="1" x14ac:dyDescent="0.2">
      <c r="A104" s="2" t="s">
        <v>142</v>
      </c>
      <c r="B104" s="62" t="s">
        <v>143</v>
      </c>
      <c r="C104" s="67">
        <v>64.016000000000005</v>
      </c>
      <c r="D104" s="67">
        <v>44.570999999999998</v>
      </c>
      <c r="E104" s="67">
        <v>4.7290000000000001</v>
      </c>
      <c r="F104" s="67">
        <v>6.5730000000000004</v>
      </c>
      <c r="G104" s="67">
        <v>7.3920000000000003</v>
      </c>
      <c r="H104" s="67">
        <v>0.75</v>
      </c>
      <c r="I104" s="67">
        <v>0</v>
      </c>
      <c r="J104" s="67">
        <v>0</v>
      </c>
      <c r="K104" s="67">
        <v>0</v>
      </c>
      <c r="L104" s="67">
        <v>64.016000000000005</v>
      </c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</row>
    <row r="105" spans="1:52" ht="12.75" customHeight="1" x14ac:dyDescent="0.2">
      <c r="A105" s="2" t="s">
        <v>144</v>
      </c>
      <c r="B105" s="3" t="s">
        <v>145</v>
      </c>
      <c r="C105" s="67">
        <v>-0.60699999999999998</v>
      </c>
      <c r="D105" s="78">
        <v>0.77700000000000002</v>
      </c>
      <c r="E105" s="78">
        <v>0</v>
      </c>
      <c r="F105" s="78">
        <v>0.113</v>
      </c>
      <c r="G105" s="78">
        <v>-1.4970000000000001</v>
      </c>
      <c r="H105" s="78">
        <v>0</v>
      </c>
      <c r="I105" s="78">
        <v>0</v>
      </c>
      <c r="J105" s="78">
        <v>0</v>
      </c>
      <c r="K105" s="78">
        <v>0</v>
      </c>
      <c r="L105" s="67">
        <v>-0.60699999999999998</v>
      </c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</row>
    <row r="106" spans="1:52" ht="12.75" customHeight="1" x14ac:dyDescent="0.2">
      <c r="A106" s="2" t="s">
        <v>146</v>
      </c>
      <c r="B106" s="3" t="s">
        <v>147</v>
      </c>
      <c r="C106" s="67">
        <v>-0.54700000000000004</v>
      </c>
      <c r="D106" s="78">
        <v>0.89200000000000002</v>
      </c>
      <c r="E106" s="78">
        <v>0</v>
      </c>
      <c r="F106" s="78">
        <v>0</v>
      </c>
      <c r="G106" s="78">
        <v>-1.4390000000000001</v>
      </c>
      <c r="H106" s="78">
        <v>0</v>
      </c>
      <c r="I106" s="78">
        <v>0</v>
      </c>
      <c r="J106" s="78">
        <v>0</v>
      </c>
      <c r="K106" s="78">
        <v>0</v>
      </c>
      <c r="L106" s="67">
        <v>-0.54700000000000004</v>
      </c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</row>
    <row r="107" spans="1:52" ht="12.75" customHeight="1" x14ac:dyDescent="0.2">
      <c r="A107" s="2" t="s">
        <v>148</v>
      </c>
      <c r="B107" s="3" t="s">
        <v>177</v>
      </c>
      <c r="C107" s="67">
        <v>-0.54700000000000004</v>
      </c>
      <c r="D107" s="78">
        <v>0.89200000000000002</v>
      </c>
      <c r="E107" s="78">
        <v>0</v>
      </c>
      <c r="F107" s="78">
        <v>0</v>
      </c>
      <c r="G107" s="78">
        <v>-1.4390000000000001</v>
      </c>
      <c r="H107" s="78">
        <v>0</v>
      </c>
      <c r="I107" s="78">
        <v>0</v>
      </c>
      <c r="J107" s="78">
        <v>0</v>
      </c>
      <c r="K107" s="78">
        <v>0</v>
      </c>
      <c r="L107" s="67">
        <v>-0.54700000000000004</v>
      </c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</row>
    <row r="108" spans="1:52" ht="12.75" customHeight="1" x14ac:dyDescent="0.2">
      <c r="A108" s="2" t="s">
        <v>149</v>
      </c>
      <c r="B108" s="3" t="s">
        <v>178</v>
      </c>
      <c r="C108" s="67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67">
        <v>0</v>
      </c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</row>
    <row r="109" spans="1:52" ht="12.75" customHeight="1" x14ac:dyDescent="0.2">
      <c r="A109" s="2" t="s">
        <v>150</v>
      </c>
      <c r="B109" s="3" t="s">
        <v>151</v>
      </c>
      <c r="C109" s="67">
        <v>-2E-3</v>
      </c>
      <c r="D109" s="78">
        <v>-0.115</v>
      </c>
      <c r="E109" s="78">
        <v>0</v>
      </c>
      <c r="F109" s="78">
        <v>0.113</v>
      </c>
      <c r="G109" s="78">
        <v>0</v>
      </c>
      <c r="H109" s="78">
        <v>0</v>
      </c>
      <c r="I109" s="78">
        <v>0</v>
      </c>
      <c r="J109" s="78">
        <v>0</v>
      </c>
      <c r="K109" s="78">
        <v>0</v>
      </c>
      <c r="L109" s="67">
        <v>-2E-3</v>
      </c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</row>
    <row r="110" spans="1:52" s="2" customFormat="1" ht="12.75" customHeight="1" x14ac:dyDescent="0.2">
      <c r="A110" s="2" t="s">
        <v>152</v>
      </c>
      <c r="B110" s="3" t="s">
        <v>153</v>
      </c>
      <c r="C110" s="67">
        <v>-5.8000000000000003E-2</v>
      </c>
      <c r="D110" s="78">
        <v>0</v>
      </c>
      <c r="E110" s="78">
        <v>0</v>
      </c>
      <c r="F110" s="78">
        <v>0</v>
      </c>
      <c r="G110" s="78">
        <v>-5.8000000000000003E-2</v>
      </c>
      <c r="H110" s="78">
        <v>0</v>
      </c>
      <c r="I110" s="78">
        <v>0</v>
      </c>
      <c r="J110" s="78">
        <v>0</v>
      </c>
      <c r="K110" s="78">
        <v>0</v>
      </c>
      <c r="L110" s="67">
        <v>-5.8000000000000003E-2</v>
      </c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</row>
    <row r="111" spans="1:52" ht="12.75" customHeight="1" x14ac:dyDescent="0.2">
      <c r="A111" s="2" t="s">
        <v>222</v>
      </c>
      <c r="B111" s="3" t="s">
        <v>154</v>
      </c>
      <c r="C111" s="67">
        <v>64.623000000000005</v>
      </c>
      <c r="D111" s="78">
        <v>43.795000000000002</v>
      </c>
      <c r="E111" s="78">
        <v>4.7290000000000001</v>
      </c>
      <c r="F111" s="78">
        <v>6.46</v>
      </c>
      <c r="G111" s="78">
        <v>8.8889999999999993</v>
      </c>
      <c r="H111" s="78">
        <v>0.75</v>
      </c>
      <c r="I111" s="78">
        <v>0</v>
      </c>
      <c r="J111" s="78">
        <v>0</v>
      </c>
      <c r="K111" s="78">
        <v>0</v>
      </c>
      <c r="L111" s="67">
        <v>64.623000000000005</v>
      </c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15"/>
      <c r="AS111" s="15"/>
      <c r="AT111" s="15"/>
      <c r="AU111" s="15"/>
      <c r="AV111" s="15"/>
      <c r="AW111" s="15"/>
    </row>
    <row r="112" spans="1:52" ht="12.75" customHeight="1" x14ac:dyDescent="0.2">
      <c r="A112" s="2" t="s">
        <v>220</v>
      </c>
      <c r="B112" s="31" t="s">
        <v>207</v>
      </c>
      <c r="C112" s="67">
        <v>37.712000000000003</v>
      </c>
      <c r="D112" s="78">
        <v>17.687999999999999</v>
      </c>
      <c r="E112" s="78">
        <v>3.67</v>
      </c>
      <c r="F112" s="78">
        <v>6.46</v>
      </c>
      <c r="G112" s="78">
        <v>9.1430000000000007</v>
      </c>
      <c r="H112" s="78">
        <v>0.75</v>
      </c>
      <c r="I112" s="78">
        <v>0</v>
      </c>
      <c r="J112" s="78">
        <v>0</v>
      </c>
      <c r="K112" s="78">
        <v>0</v>
      </c>
      <c r="L112" s="67">
        <v>37.712000000000003</v>
      </c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15"/>
      <c r="AS112" s="15"/>
      <c r="AT112" s="15"/>
      <c r="AU112" s="15"/>
      <c r="AV112" s="15"/>
      <c r="AW112" s="15"/>
    </row>
    <row r="113" spans="1:254" ht="12.75" customHeight="1" x14ac:dyDescent="0.2">
      <c r="A113" s="2" t="s">
        <v>221</v>
      </c>
      <c r="B113" s="31" t="s">
        <v>202</v>
      </c>
      <c r="C113" s="67">
        <v>26.911000000000001</v>
      </c>
      <c r="D113" s="78">
        <v>26.106999999999999</v>
      </c>
      <c r="E113" s="78">
        <v>1.0589999999999999</v>
      </c>
      <c r="F113" s="78">
        <v>0</v>
      </c>
      <c r="G113" s="78">
        <v>-0.255</v>
      </c>
      <c r="H113" s="78">
        <v>0</v>
      </c>
      <c r="I113" s="78">
        <v>0</v>
      </c>
      <c r="J113" s="78">
        <v>0</v>
      </c>
      <c r="K113" s="78">
        <v>0</v>
      </c>
      <c r="L113" s="67">
        <v>26.911000000000001</v>
      </c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15"/>
      <c r="AS113" s="15"/>
      <c r="AT113" s="15"/>
      <c r="AU113" s="15"/>
      <c r="AV113" s="15"/>
      <c r="AW113" s="15"/>
    </row>
    <row r="114" spans="1:254" ht="12.75" customHeight="1" x14ac:dyDescent="0.2">
      <c r="A114" s="2" t="s">
        <v>155</v>
      </c>
      <c r="B114" s="62" t="s">
        <v>156</v>
      </c>
      <c r="C114" s="67">
        <v>-46.924999999999997</v>
      </c>
      <c r="D114" s="67">
        <v>-13.627000000000001</v>
      </c>
      <c r="E114" s="67">
        <v>-38.131</v>
      </c>
      <c r="F114" s="67">
        <v>5.6349999999999998</v>
      </c>
      <c r="G114" s="67">
        <v>-0.79800000000000004</v>
      </c>
      <c r="H114" s="67">
        <v>1E-3</v>
      </c>
      <c r="I114" s="67">
        <v>0</v>
      </c>
      <c r="J114" s="67">
        <v>75.777000000000001</v>
      </c>
      <c r="K114" s="67">
        <v>0</v>
      </c>
      <c r="L114" s="67">
        <v>28.853999999999999</v>
      </c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</row>
    <row r="115" spans="1:254" ht="12.75" customHeight="1" x14ac:dyDescent="0.2">
      <c r="A115" s="2" t="s">
        <v>157</v>
      </c>
      <c r="B115" s="3" t="s">
        <v>104</v>
      </c>
      <c r="C115" s="67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67">
        <v>0</v>
      </c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</row>
    <row r="116" spans="1:254" ht="12.75" customHeight="1" x14ac:dyDescent="0.2">
      <c r="A116" s="2" t="s">
        <v>158</v>
      </c>
      <c r="B116" s="3" t="s">
        <v>106</v>
      </c>
      <c r="C116" s="67">
        <v>-2.476</v>
      </c>
      <c r="D116" s="78">
        <v>-0.432</v>
      </c>
      <c r="E116" s="78">
        <v>-1.885</v>
      </c>
      <c r="F116" s="78">
        <v>-0.22800000000000001</v>
      </c>
      <c r="G116" s="78">
        <v>6.9000000000000006E-2</v>
      </c>
      <c r="H116" s="78">
        <v>0</v>
      </c>
      <c r="I116" s="78">
        <v>0</v>
      </c>
      <c r="J116" s="78">
        <v>-1E-3</v>
      </c>
      <c r="K116" s="78">
        <v>0</v>
      </c>
      <c r="L116" s="67">
        <v>-2.476</v>
      </c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</row>
    <row r="117" spans="1:254" ht="12.75" customHeight="1" x14ac:dyDescent="0.2">
      <c r="A117" s="2" t="s">
        <v>159</v>
      </c>
      <c r="B117" s="3" t="s">
        <v>108</v>
      </c>
      <c r="C117" s="67">
        <v>-64.346000000000004</v>
      </c>
      <c r="D117" s="78">
        <v>8.0009999999999994</v>
      </c>
      <c r="E117" s="78">
        <v>-72.344999999999999</v>
      </c>
      <c r="F117" s="78">
        <v>0</v>
      </c>
      <c r="G117" s="78">
        <v>0</v>
      </c>
      <c r="H117" s="78">
        <v>1E-3</v>
      </c>
      <c r="I117" s="78">
        <v>0</v>
      </c>
      <c r="J117" s="78">
        <v>74</v>
      </c>
      <c r="K117" s="78">
        <v>0</v>
      </c>
      <c r="L117" s="67">
        <v>9.6539999999999999</v>
      </c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</row>
    <row r="118" spans="1:254" ht="12.75" customHeight="1" x14ac:dyDescent="0.2">
      <c r="A118" s="2" t="s">
        <v>160</v>
      </c>
      <c r="B118" s="3" t="s">
        <v>110</v>
      </c>
      <c r="C118" s="67">
        <v>-17.876999999999999</v>
      </c>
      <c r="D118" s="78">
        <v>-9.2929999999999993</v>
      </c>
      <c r="E118" s="78">
        <v>-8.5850000000000009</v>
      </c>
      <c r="F118" s="78">
        <v>2E-3</v>
      </c>
      <c r="G118" s="78">
        <v>0</v>
      </c>
      <c r="H118" s="78">
        <v>0</v>
      </c>
      <c r="I118" s="78">
        <v>0</v>
      </c>
      <c r="J118" s="78">
        <v>-5.891</v>
      </c>
      <c r="K118" s="78">
        <v>0</v>
      </c>
      <c r="L118" s="67">
        <v>-23.768000000000001</v>
      </c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</row>
    <row r="119" spans="1:254" ht="12.75" customHeight="1" x14ac:dyDescent="0.2">
      <c r="A119" s="2" t="s">
        <v>161</v>
      </c>
      <c r="B119" s="3" t="s">
        <v>162</v>
      </c>
      <c r="C119" s="67">
        <v>-10.145</v>
      </c>
      <c r="D119" s="78">
        <v>-10.478999999999999</v>
      </c>
      <c r="E119" s="78">
        <v>-4.6440000000000001</v>
      </c>
      <c r="F119" s="78">
        <v>6.6909999999999998</v>
      </c>
      <c r="G119" s="78">
        <v>-1.712</v>
      </c>
      <c r="H119" s="78">
        <v>0</v>
      </c>
      <c r="I119" s="78">
        <v>0</v>
      </c>
      <c r="J119" s="78">
        <v>6.3959999999999999</v>
      </c>
      <c r="K119" s="78">
        <v>0</v>
      </c>
      <c r="L119" s="67">
        <v>-3.7490000000000001</v>
      </c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</row>
    <row r="120" spans="1:254" ht="12.75" customHeight="1" x14ac:dyDescent="0.2">
      <c r="A120" s="2" t="s">
        <v>163</v>
      </c>
      <c r="B120" s="3" t="s">
        <v>114</v>
      </c>
      <c r="C120" s="67">
        <v>51.451999999999998</v>
      </c>
      <c r="D120" s="78">
        <v>1.2789999999999999</v>
      </c>
      <c r="E120" s="78">
        <v>49.328000000000003</v>
      </c>
      <c r="F120" s="78">
        <v>0</v>
      </c>
      <c r="G120" s="78">
        <v>0.84599999999999997</v>
      </c>
      <c r="H120" s="78">
        <v>0</v>
      </c>
      <c r="I120" s="78">
        <v>0</v>
      </c>
      <c r="J120" s="78">
        <v>4.6280000000000001</v>
      </c>
      <c r="K120" s="78">
        <v>0</v>
      </c>
      <c r="L120" s="67">
        <v>56.08</v>
      </c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</row>
    <row r="121" spans="1:254" ht="12.75" customHeight="1" x14ac:dyDescent="0.2">
      <c r="A121" s="49" t="s">
        <v>164</v>
      </c>
      <c r="B121" s="49" t="s">
        <v>173</v>
      </c>
      <c r="C121" s="69">
        <v>-3.5329999999999999</v>
      </c>
      <c r="D121" s="79">
        <v>-2.7029999999999998</v>
      </c>
      <c r="E121" s="79">
        <v>0</v>
      </c>
      <c r="F121" s="79">
        <v>-0.83</v>
      </c>
      <c r="G121" s="79">
        <v>-1E-3</v>
      </c>
      <c r="H121" s="79">
        <v>0</v>
      </c>
      <c r="I121" s="79">
        <v>0</v>
      </c>
      <c r="J121" s="79">
        <v>-3.355</v>
      </c>
      <c r="K121" s="79">
        <v>0</v>
      </c>
      <c r="L121" s="69">
        <v>-6.8869999999999996</v>
      </c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</row>
    <row r="122" spans="1:254" ht="12.75" customHeight="1" x14ac:dyDescent="0.2">
      <c r="A122" s="48" t="s">
        <v>165</v>
      </c>
      <c r="C122" s="67"/>
      <c r="D122" s="78"/>
      <c r="E122" s="78"/>
      <c r="F122" s="78"/>
      <c r="G122" s="78"/>
      <c r="H122" s="78"/>
      <c r="I122" s="78"/>
      <c r="J122" s="78"/>
      <c r="K122" s="78"/>
      <c r="L122" s="67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</row>
    <row r="123" spans="1:254" ht="12.75" customHeight="1" x14ac:dyDescent="0.2">
      <c r="A123" s="2" t="s">
        <v>142</v>
      </c>
      <c r="B123" s="62" t="s">
        <v>143</v>
      </c>
      <c r="C123" s="67">
        <v>883.10699999999997</v>
      </c>
      <c r="D123" s="67">
        <v>198.065</v>
      </c>
      <c r="E123" s="67">
        <v>15.938000000000001</v>
      </c>
      <c r="F123" s="67">
        <v>109.578</v>
      </c>
      <c r="G123" s="67">
        <v>556.43799999999999</v>
      </c>
      <c r="H123" s="67">
        <v>3.0859999999999999</v>
      </c>
      <c r="I123" s="67">
        <v>0</v>
      </c>
      <c r="J123" s="67">
        <v>0</v>
      </c>
      <c r="K123" s="67">
        <v>0</v>
      </c>
      <c r="L123" s="67">
        <v>883.10699999999997</v>
      </c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</row>
    <row r="124" spans="1:254" ht="12.75" customHeight="1" x14ac:dyDescent="0.2">
      <c r="A124" s="2" t="s">
        <v>144</v>
      </c>
      <c r="B124" s="3" t="s">
        <v>145</v>
      </c>
      <c r="C124" s="67">
        <v>209.745</v>
      </c>
      <c r="D124" s="78">
        <v>60.098999999999997</v>
      </c>
      <c r="E124" s="78">
        <v>3.613</v>
      </c>
      <c r="F124" s="78">
        <v>35.851999999999997</v>
      </c>
      <c r="G124" s="78">
        <v>109.214</v>
      </c>
      <c r="H124" s="78">
        <v>0.96599999999999997</v>
      </c>
      <c r="I124" s="78">
        <v>0</v>
      </c>
      <c r="J124" s="78">
        <v>0</v>
      </c>
      <c r="K124" s="78">
        <v>0</v>
      </c>
      <c r="L124" s="67">
        <v>209.745</v>
      </c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</row>
    <row r="125" spans="1:254" ht="12.75" customHeight="1" x14ac:dyDescent="0.2">
      <c r="A125" s="2" t="s">
        <v>146</v>
      </c>
      <c r="B125" s="3" t="s">
        <v>147</v>
      </c>
      <c r="C125" s="67">
        <v>193.565</v>
      </c>
      <c r="D125" s="78">
        <v>53.915999999999997</v>
      </c>
      <c r="E125" s="78">
        <v>3.613</v>
      </c>
      <c r="F125" s="78">
        <v>35.07</v>
      </c>
      <c r="G125" s="78">
        <v>100</v>
      </c>
      <c r="H125" s="78">
        <v>0.96599999999999997</v>
      </c>
      <c r="I125" s="78">
        <v>0</v>
      </c>
      <c r="J125" s="78">
        <v>0</v>
      </c>
      <c r="K125" s="78">
        <v>0</v>
      </c>
      <c r="L125" s="67">
        <v>193.565</v>
      </c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</row>
    <row r="126" spans="1:254" ht="12.75" customHeight="1" x14ac:dyDescent="0.2">
      <c r="A126" s="2" t="s">
        <v>148</v>
      </c>
      <c r="B126" s="3" t="s">
        <v>177</v>
      </c>
      <c r="C126" s="67">
        <v>192.7</v>
      </c>
      <c r="D126" s="78">
        <v>53.226999999999997</v>
      </c>
      <c r="E126" s="78">
        <v>3.5289999999999999</v>
      </c>
      <c r="F126" s="78">
        <v>34.988999999999997</v>
      </c>
      <c r="G126" s="78">
        <v>99.986999999999995</v>
      </c>
      <c r="H126" s="78">
        <v>0.96599999999999997</v>
      </c>
      <c r="I126" s="78">
        <v>0</v>
      </c>
      <c r="J126" s="78">
        <v>0</v>
      </c>
      <c r="K126" s="78">
        <v>0</v>
      </c>
      <c r="L126" s="67">
        <v>192.7</v>
      </c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</row>
    <row r="127" spans="1:254" ht="12.75" customHeight="1" x14ac:dyDescent="0.2">
      <c r="A127" s="2" t="s">
        <v>149</v>
      </c>
      <c r="B127" s="3" t="s">
        <v>178</v>
      </c>
      <c r="C127" s="67">
        <v>0.86599999999999999</v>
      </c>
      <c r="D127" s="78">
        <v>0.68799999999999994</v>
      </c>
      <c r="E127" s="78">
        <v>8.4000000000000005E-2</v>
      </c>
      <c r="F127" s="78">
        <v>8.1000000000000003E-2</v>
      </c>
      <c r="G127" s="78">
        <v>1.2999999999999999E-2</v>
      </c>
      <c r="H127" s="78">
        <v>0</v>
      </c>
      <c r="I127" s="78">
        <v>0</v>
      </c>
      <c r="J127" s="78">
        <v>0</v>
      </c>
      <c r="K127" s="78">
        <v>0</v>
      </c>
      <c r="L127" s="67">
        <v>0.86599999999999999</v>
      </c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</row>
    <row r="128" spans="1:254" ht="12.75" customHeight="1" x14ac:dyDescent="0.2">
      <c r="A128" s="2" t="s">
        <v>150</v>
      </c>
      <c r="B128" s="3" t="s">
        <v>151</v>
      </c>
      <c r="C128" s="67">
        <v>7.9660000000000002</v>
      </c>
      <c r="D128" s="78">
        <v>6.1829999999999998</v>
      </c>
      <c r="E128" s="78">
        <v>0</v>
      </c>
      <c r="F128" s="78">
        <v>0.78200000000000003</v>
      </c>
      <c r="G128" s="78">
        <v>1.0009999999999999</v>
      </c>
      <c r="H128" s="78">
        <v>0</v>
      </c>
      <c r="I128" s="78">
        <v>0</v>
      </c>
      <c r="J128" s="78">
        <v>0</v>
      </c>
      <c r="K128" s="78">
        <v>0</v>
      </c>
      <c r="L128" s="67">
        <v>7.9660000000000002</v>
      </c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</row>
    <row r="129" spans="1:49" ht="12.75" customHeight="1" x14ac:dyDescent="0.2">
      <c r="A129" s="2" t="s">
        <v>152</v>
      </c>
      <c r="B129" s="3" t="s">
        <v>153</v>
      </c>
      <c r="C129" s="67">
        <v>8.2140000000000004</v>
      </c>
      <c r="D129" s="78">
        <v>0</v>
      </c>
      <c r="E129" s="78">
        <v>0</v>
      </c>
      <c r="F129" s="78">
        <v>0</v>
      </c>
      <c r="G129" s="78">
        <v>8.2140000000000004</v>
      </c>
      <c r="H129" s="78">
        <v>0</v>
      </c>
      <c r="I129" s="78">
        <v>0</v>
      </c>
      <c r="J129" s="78">
        <v>0</v>
      </c>
      <c r="K129" s="78">
        <v>0</v>
      </c>
      <c r="L129" s="67">
        <v>8.2140000000000004</v>
      </c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</row>
    <row r="130" spans="1:49" ht="12.75" customHeight="1" x14ac:dyDescent="0.2">
      <c r="A130" s="2" t="s">
        <v>222</v>
      </c>
      <c r="B130" s="3" t="s">
        <v>154</v>
      </c>
      <c r="C130" s="67">
        <v>673.36099999999999</v>
      </c>
      <c r="D130" s="78">
        <v>137.96600000000001</v>
      </c>
      <c r="E130" s="78">
        <v>12.324999999999999</v>
      </c>
      <c r="F130" s="78">
        <v>73.724999999999994</v>
      </c>
      <c r="G130" s="78">
        <v>447.22399999999999</v>
      </c>
      <c r="H130" s="78">
        <v>2.12</v>
      </c>
      <c r="I130" s="78">
        <v>0</v>
      </c>
      <c r="J130" s="78">
        <v>0</v>
      </c>
      <c r="K130" s="78">
        <v>0</v>
      </c>
      <c r="L130" s="67">
        <v>673.36099999999999</v>
      </c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15"/>
      <c r="AS130" s="15"/>
      <c r="AT130" s="15"/>
      <c r="AU130" s="15"/>
      <c r="AV130" s="15"/>
      <c r="AW130" s="15"/>
    </row>
    <row r="131" spans="1:49" ht="12.75" customHeight="1" x14ac:dyDescent="0.2">
      <c r="A131" s="2" t="s">
        <v>220</v>
      </c>
      <c r="B131" s="31" t="s">
        <v>207</v>
      </c>
      <c r="C131" s="67">
        <v>672.95399999999995</v>
      </c>
      <c r="D131" s="78">
        <v>137.64400000000001</v>
      </c>
      <c r="E131" s="78">
        <v>12.314</v>
      </c>
      <c r="F131" s="78">
        <v>73.724999999999994</v>
      </c>
      <c r="G131" s="78">
        <v>447.15</v>
      </c>
      <c r="H131" s="78">
        <v>2.12</v>
      </c>
      <c r="I131" s="78">
        <v>0</v>
      </c>
      <c r="J131" s="78">
        <v>0</v>
      </c>
      <c r="K131" s="78">
        <v>0</v>
      </c>
      <c r="L131" s="67">
        <v>672.95399999999995</v>
      </c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15"/>
      <c r="AS131" s="15"/>
      <c r="AT131" s="15"/>
      <c r="AU131" s="15"/>
      <c r="AV131" s="15"/>
      <c r="AW131" s="15"/>
    </row>
    <row r="132" spans="1:49" ht="12.75" customHeight="1" x14ac:dyDescent="0.2">
      <c r="A132" s="2" t="s">
        <v>221</v>
      </c>
      <c r="B132" s="31" t="s">
        <v>202</v>
      </c>
      <c r="C132" s="67">
        <v>0.40799999999999997</v>
      </c>
      <c r="D132" s="78">
        <v>0.32200000000000001</v>
      </c>
      <c r="E132" s="78">
        <v>1.2E-2</v>
      </c>
      <c r="F132" s="78">
        <v>0</v>
      </c>
      <c r="G132" s="78">
        <v>7.3999999999999996E-2</v>
      </c>
      <c r="H132" s="78">
        <v>0</v>
      </c>
      <c r="I132" s="78">
        <v>0</v>
      </c>
      <c r="J132" s="78">
        <v>0</v>
      </c>
      <c r="K132" s="78">
        <v>0</v>
      </c>
      <c r="L132" s="67">
        <v>0.40799999999999997</v>
      </c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15"/>
      <c r="AS132" s="15"/>
      <c r="AT132" s="15"/>
      <c r="AU132" s="15"/>
      <c r="AV132" s="15"/>
      <c r="AW132" s="15"/>
    </row>
    <row r="133" spans="1:49" s="2" customFormat="1" ht="12.75" customHeight="1" x14ac:dyDescent="0.2">
      <c r="A133" s="2" t="s">
        <v>155</v>
      </c>
      <c r="B133" s="62" t="s">
        <v>156</v>
      </c>
      <c r="C133" s="67">
        <v>146.86600000000001</v>
      </c>
      <c r="D133" s="67">
        <v>441.51299999999998</v>
      </c>
      <c r="E133" s="67">
        <v>-536.89599999999996</v>
      </c>
      <c r="F133" s="67">
        <v>70.950999999999993</v>
      </c>
      <c r="G133" s="67">
        <v>167.33600000000001</v>
      </c>
      <c r="H133" s="67">
        <v>3.9620000000000002</v>
      </c>
      <c r="I133" s="67">
        <v>0</v>
      </c>
      <c r="J133" s="67">
        <v>-455.88900000000001</v>
      </c>
      <c r="K133" s="67">
        <v>0</v>
      </c>
      <c r="L133" s="67">
        <v>-309.02300000000002</v>
      </c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</row>
    <row r="134" spans="1:49" ht="12.75" customHeight="1" x14ac:dyDescent="0.2">
      <c r="A134" s="2" t="s">
        <v>157</v>
      </c>
      <c r="B134" s="3" t="s">
        <v>104</v>
      </c>
      <c r="C134" s="67">
        <v>4.4000000000000004</v>
      </c>
      <c r="D134" s="78">
        <v>0</v>
      </c>
      <c r="E134" s="78">
        <v>4.4000000000000004</v>
      </c>
      <c r="F134" s="78">
        <v>0</v>
      </c>
      <c r="G134" s="78">
        <v>0</v>
      </c>
      <c r="H134" s="78">
        <v>0</v>
      </c>
      <c r="I134" s="78">
        <v>0</v>
      </c>
      <c r="J134" s="78">
        <v>0</v>
      </c>
      <c r="K134" s="78">
        <v>0</v>
      </c>
      <c r="L134" s="67">
        <v>4.4000000000000004</v>
      </c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</row>
    <row r="135" spans="1:49" ht="12.75" customHeight="1" x14ac:dyDescent="0.2">
      <c r="A135" s="2" t="s">
        <v>158</v>
      </c>
      <c r="B135" s="3" t="s">
        <v>106</v>
      </c>
      <c r="C135" s="67">
        <v>-29.356999999999999</v>
      </c>
      <c r="D135" s="78">
        <v>-1.0289999999999999</v>
      </c>
      <c r="E135" s="78">
        <v>-27.763999999999999</v>
      </c>
      <c r="F135" s="78">
        <v>0</v>
      </c>
      <c r="G135" s="78">
        <v>-0.56499999999999995</v>
      </c>
      <c r="H135" s="78">
        <v>1E-3</v>
      </c>
      <c r="I135" s="78">
        <v>0</v>
      </c>
      <c r="J135" s="78">
        <v>-13.391</v>
      </c>
      <c r="K135" s="78">
        <v>0</v>
      </c>
      <c r="L135" s="67">
        <v>-42.747999999999998</v>
      </c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</row>
    <row r="136" spans="1:49" ht="12.75" customHeight="1" x14ac:dyDescent="0.2">
      <c r="A136" s="2" t="s">
        <v>159</v>
      </c>
      <c r="B136" s="3" t="s">
        <v>108</v>
      </c>
      <c r="C136" s="67">
        <v>-790.79899999999998</v>
      </c>
      <c r="D136" s="78">
        <v>20.295000000000002</v>
      </c>
      <c r="E136" s="78">
        <v>-807.76099999999997</v>
      </c>
      <c r="F136" s="78">
        <v>0.39800000000000002</v>
      </c>
      <c r="G136" s="78">
        <v>-6.7830000000000004</v>
      </c>
      <c r="H136" s="78">
        <v>3.0510000000000002</v>
      </c>
      <c r="I136" s="78">
        <v>0</v>
      </c>
      <c r="J136" s="78">
        <v>-566.47299999999996</v>
      </c>
      <c r="K136" s="78">
        <v>0</v>
      </c>
      <c r="L136" s="67">
        <v>-1357.2719999999999</v>
      </c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</row>
    <row r="137" spans="1:49" ht="12.75" customHeight="1" x14ac:dyDescent="0.2">
      <c r="A137" s="2" t="s">
        <v>160</v>
      </c>
      <c r="B137" s="3" t="s">
        <v>110</v>
      </c>
      <c r="C137" s="67">
        <v>-0.69799999999999995</v>
      </c>
      <c r="D137" s="78">
        <v>1.8959999999999999</v>
      </c>
      <c r="E137" s="78">
        <v>-2.5939999999999999</v>
      </c>
      <c r="F137" s="78">
        <v>0</v>
      </c>
      <c r="G137" s="78">
        <v>0</v>
      </c>
      <c r="H137" s="78">
        <v>0</v>
      </c>
      <c r="I137" s="78">
        <v>0</v>
      </c>
      <c r="J137" s="78">
        <v>3.7269999999999999</v>
      </c>
      <c r="K137" s="78">
        <v>0</v>
      </c>
      <c r="L137" s="67">
        <v>3.0289999999999999</v>
      </c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</row>
    <row r="138" spans="1:49" ht="12.75" customHeight="1" x14ac:dyDescent="0.2">
      <c r="A138" s="2" t="s">
        <v>161</v>
      </c>
      <c r="B138" s="3" t="s">
        <v>162</v>
      </c>
      <c r="C138" s="67">
        <v>940.26099999999997</v>
      </c>
      <c r="D138" s="78">
        <v>419.572</v>
      </c>
      <c r="E138" s="78">
        <v>296.82299999999998</v>
      </c>
      <c r="F138" s="78">
        <v>70.552999999999997</v>
      </c>
      <c r="G138" s="78">
        <v>152.404</v>
      </c>
      <c r="H138" s="78">
        <v>0.91</v>
      </c>
      <c r="I138" s="78">
        <v>0</v>
      </c>
      <c r="J138" s="78">
        <v>118.93300000000001</v>
      </c>
      <c r="K138" s="78">
        <v>0</v>
      </c>
      <c r="L138" s="67">
        <v>1059.194</v>
      </c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</row>
    <row r="139" spans="1:49" ht="12.75" customHeight="1" x14ac:dyDescent="0.2">
      <c r="A139" s="2" t="s">
        <v>163</v>
      </c>
      <c r="B139" s="3" t="s">
        <v>114</v>
      </c>
      <c r="C139" s="67">
        <v>22.28</v>
      </c>
      <c r="D139" s="78">
        <v>0</v>
      </c>
      <c r="E139" s="78">
        <v>0</v>
      </c>
      <c r="F139" s="78">
        <v>0</v>
      </c>
      <c r="G139" s="78">
        <v>22.28</v>
      </c>
      <c r="H139" s="78">
        <v>0</v>
      </c>
      <c r="I139" s="78">
        <v>0</v>
      </c>
      <c r="J139" s="78">
        <v>1.0880000000000001</v>
      </c>
      <c r="K139" s="78">
        <v>0</v>
      </c>
      <c r="L139" s="67">
        <v>23.367999999999999</v>
      </c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</row>
    <row r="140" spans="1:49" ht="12.75" customHeight="1" x14ac:dyDescent="0.2">
      <c r="A140" s="49" t="s">
        <v>164</v>
      </c>
      <c r="B140" s="49" t="s">
        <v>173</v>
      </c>
      <c r="C140" s="69">
        <v>0.77900000000000003</v>
      </c>
      <c r="D140" s="79">
        <v>0.77900000000000003</v>
      </c>
      <c r="E140" s="79">
        <v>0</v>
      </c>
      <c r="F140" s="79">
        <v>0</v>
      </c>
      <c r="G140" s="79">
        <v>0</v>
      </c>
      <c r="H140" s="79">
        <v>0</v>
      </c>
      <c r="I140" s="79">
        <v>0</v>
      </c>
      <c r="J140" s="79">
        <v>0.22700000000000001</v>
      </c>
      <c r="K140" s="79">
        <v>0</v>
      </c>
      <c r="L140" s="69">
        <v>1.006</v>
      </c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</row>
    <row r="141" spans="1:49" ht="12.75" customHeight="1" x14ac:dyDescent="0.2">
      <c r="A141" s="48" t="s">
        <v>166</v>
      </c>
      <c r="C141" s="67"/>
      <c r="D141" s="78"/>
      <c r="E141" s="78"/>
      <c r="F141" s="78"/>
      <c r="G141" s="78"/>
      <c r="H141" s="78"/>
      <c r="I141" s="78"/>
      <c r="J141" s="78"/>
      <c r="K141" s="78"/>
      <c r="L141" s="67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</row>
    <row r="142" spans="1:49" ht="12.75" customHeight="1" x14ac:dyDescent="0.2">
      <c r="A142" s="2" t="s">
        <v>142</v>
      </c>
      <c r="B142" s="62" t="s">
        <v>143</v>
      </c>
      <c r="C142" s="67">
        <v>11363.29</v>
      </c>
      <c r="D142" s="67">
        <v>3260.3110000000001</v>
      </c>
      <c r="E142" s="67">
        <v>215.745</v>
      </c>
      <c r="F142" s="67">
        <v>1408.087</v>
      </c>
      <c r="G142" s="67">
        <v>6434.0370000000003</v>
      </c>
      <c r="H142" s="67">
        <v>45.11</v>
      </c>
      <c r="I142" s="67">
        <v>0</v>
      </c>
      <c r="J142" s="67">
        <v>0</v>
      </c>
      <c r="K142" s="67">
        <v>0</v>
      </c>
      <c r="L142" s="67">
        <v>11363.29</v>
      </c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</row>
    <row r="143" spans="1:49" ht="12.75" customHeight="1" x14ac:dyDescent="0.2">
      <c r="A143" s="2" t="s">
        <v>144</v>
      </c>
      <c r="B143" s="3" t="s">
        <v>145</v>
      </c>
      <c r="C143" s="67">
        <v>5940.7340000000004</v>
      </c>
      <c r="D143" s="78">
        <v>1955.884</v>
      </c>
      <c r="E143" s="78">
        <v>114.133</v>
      </c>
      <c r="F143" s="78">
        <v>833.17899999999997</v>
      </c>
      <c r="G143" s="78">
        <v>3008.3789999999999</v>
      </c>
      <c r="H143" s="78">
        <v>29.16</v>
      </c>
      <c r="I143" s="78">
        <v>0</v>
      </c>
      <c r="J143" s="78">
        <v>0</v>
      </c>
      <c r="K143" s="78">
        <v>0</v>
      </c>
      <c r="L143" s="67">
        <v>5940.7340000000004</v>
      </c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</row>
    <row r="144" spans="1:49" ht="12.75" customHeight="1" x14ac:dyDescent="0.2">
      <c r="A144" s="2" t="s">
        <v>146</v>
      </c>
      <c r="B144" s="3" t="s">
        <v>147</v>
      </c>
      <c r="C144" s="67">
        <v>5464.799</v>
      </c>
      <c r="D144" s="78">
        <v>1629.182</v>
      </c>
      <c r="E144" s="78">
        <v>114.133</v>
      </c>
      <c r="F144" s="78">
        <v>818.101</v>
      </c>
      <c r="G144" s="78">
        <v>2874.223</v>
      </c>
      <c r="H144" s="78">
        <v>29.16</v>
      </c>
      <c r="I144" s="78">
        <v>0</v>
      </c>
      <c r="J144" s="78">
        <v>0</v>
      </c>
      <c r="K144" s="78">
        <v>0</v>
      </c>
      <c r="L144" s="67">
        <v>5464.799</v>
      </c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</row>
    <row r="145" spans="1:254" ht="12.75" customHeight="1" x14ac:dyDescent="0.2">
      <c r="A145" s="2" t="s">
        <v>148</v>
      </c>
      <c r="B145" s="3" t="s">
        <v>177</v>
      </c>
      <c r="C145" s="67">
        <v>5383.4949999999999</v>
      </c>
      <c r="D145" s="78">
        <v>1564.7809999999999</v>
      </c>
      <c r="E145" s="78">
        <v>106.37</v>
      </c>
      <c r="F145" s="78">
        <v>810.27</v>
      </c>
      <c r="G145" s="78">
        <v>2872.915</v>
      </c>
      <c r="H145" s="78">
        <v>29.16</v>
      </c>
      <c r="I145" s="78">
        <v>0</v>
      </c>
      <c r="J145" s="78">
        <v>0</v>
      </c>
      <c r="K145" s="78">
        <v>0</v>
      </c>
      <c r="L145" s="67">
        <v>5383.4949999999999</v>
      </c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</row>
    <row r="146" spans="1:254" ht="12.75" customHeight="1" x14ac:dyDescent="0.2">
      <c r="A146" s="2" t="s">
        <v>149</v>
      </c>
      <c r="B146" s="3" t="s">
        <v>178</v>
      </c>
      <c r="C146" s="67">
        <v>81.302999999999997</v>
      </c>
      <c r="D146" s="78">
        <v>64.400999999999996</v>
      </c>
      <c r="E146" s="78">
        <v>7.7629999999999999</v>
      </c>
      <c r="F146" s="78">
        <v>7.8310000000000004</v>
      </c>
      <c r="G146" s="78">
        <v>1.3080000000000001</v>
      </c>
      <c r="H146" s="78">
        <v>0</v>
      </c>
      <c r="I146" s="78">
        <v>0</v>
      </c>
      <c r="J146" s="78">
        <v>0</v>
      </c>
      <c r="K146" s="78">
        <v>0</v>
      </c>
      <c r="L146" s="67">
        <v>81.302999999999997</v>
      </c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</row>
    <row r="147" spans="1:254" ht="12.75" customHeight="1" x14ac:dyDescent="0.2">
      <c r="A147" s="2" t="s">
        <v>150</v>
      </c>
      <c r="B147" s="3" t="s">
        <v>151</v>
      </c>
      <c r="C147" s="67">
        <v>370.774</v>
      </c>
      <c r="D147" s="78">
        <v>326.702</v>
      </c>
      <c r="E147" s="78">
        <v>0</v>
      </c>
      <c r="F147" s="78">
        <v>15.077999999999999</v>
      </c>
      <c r="G147" s="78">
        <v>28.992999999999999</v>
      </c>
      <c r="H147" s="78">
        <v>0</v>
      </c>
      <c r="I147" s="78">
        <v>0</v>
      </c>
      <c r="J147" s="78">
        <v>0</v>
      </c>
      <c r="K147" s="78">
        <v>0</v>
      </c>
      <c r="L147" s="67">
        <v>370.774</v>
      </c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</row>
    <row r="148" spans="1:254" ht="12.75" customHeight="1" x14ac:dyDescent="0.2">
      <c r="A148" s="2" t="s">
        <v>152</v>
      </c>
      <c r="B148" s="3" t="s">
        <v>153</v>
      </c>
      <c r="C148" s="67">
        <v>105.16200000000001</v>
      </c>
      <c r="D148" s="78">
        <v>0</v>
      </c>
      <c r="E148" s="78">
        <v>0</v>
      </c>
      <c r="F148" s="78">
        <v>0</v>
      </c>
      <c r="G148" s="78">
        <v>105.16200000000001</v>
      </c>
      <c r="H148" s="78">
        <v>0</v>
      </c>
      <c r="I148" s="78">
        <v>0</v>
      </c>
      <c r="J148" s="78">
        <v>0</v>
      </c>
      <c r="K148" s="78">
        <v>0</v>
      </c>
      <c r="L148" s="67">
        <v>105.16200000000001</v>
      </c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</row>
    <row r="149" spans="1:254" ht="12.75" customHeight="1" x14ac:dyDescent="0.2">
      <c r="A149" s="2" t="s">
        <v>222</v>
      </c>
      <c r="B149" s="3" t="s">
        <v>154</v>
      </c>
      <c r="C149" s="67">
        <v>5422.5559999999996</v>
      </c>
      <c r="D149" s="78">
        <v>1304.4269999999999</v>
      </c>
      <c r="E149" s="78">
        <v>101.61199999999999</v>
      </c>
      <c r="F149" s="78">
        <v>574.90800000000002</v>
      </c>
      <c r="G149" s="78">
        <v>3425.6590000000001</v>
      </c>
      <c r="H149" s="78">
        <v>15.95</v>
      </c>
      <c r="I149" s="78">
        <v>0</v>
      </c>
      <c r="J149" s="78">
        <v>0</v>
      </c>
      <c r="K149" s="78">
        <v>0</v>
      </c>
      <c r="L149" s="67">
        <v>5422.5559999999996</v>
      </c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15"/>
      <c r="AS149" s="15"/>
      <c r="AT149" s="15"/>
      <c r="AU149" s="15"/>
      <c r="AV149" s="15"/>
      <c r="AW149" s="15"/>
    </row>
    <row r="150" spans="1:254" ht="12.75" customHeight="1" x14ac:dyDescent="0.2">
      <c r="A150" s="2" t="s">
        <v>220</v>
      </c>
      <c r="B150" s="31" t="s">
        <v>207</v>
      </c>
      <c r="C150" s="67">
        <v>5157.2290000000003</v>
      </c>
      <c r="D150" s="78">
        <v>1093.2090000000001</v>
      </c>
      <c r="E150" s="78">
        <v>93.162999999999997</v>
      </c>
      <c r="F150" s="78">
        <v>574.25400000000002</v>
      </c>
      <c r="G150" s="78">
        <v>3380.6529999999998</v>
      </c>
      <c r="H150" s="78">
        <v>15.95</v>
      </c>
      <c r="I150" s="78">
        <v>0</v>
      </c>
      <c r="J150" s="78">
        <v>0</v>
      </c>
      <c r="K150" s="78">
        <v>0</v>
      </c>
      <c r="L150" s="67">
        <v>5157.2290000000003</v>
      </c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15"/>
      <c r="AS150" s="15"/>
      <c r="AT150" s="15"/>
      <c r="AU150" s="15"/>
      <c r="AV150" s="15"/>
      <c r="AW150" s="15"/>
    </row>
    <row r="151" spans="1:254" ht="12.75" customHeight="1" x14ac:dyDescent="0.2">
      <c r="A151" s="2" t="s">
        <v>221</v>
      </c>
      <c r="B151" s="31" t="s">
        <v>202</v>
      </c>
      <c r="C151" s="67">
        <v>265.327</v>
      </c>
      <c r="D151" s="78">
        <v>211.21899999999999</v>
      </c>
      <c r="E151" s="78">
        <v>8.4489999999999998</v>
      </c>
      <c r="F151" s="78">
        <v>0.65400000000000003</v>
      </c>
      <c r="G151" s="78">
        <v>45.006</v>
      </c>
      <c r="H151" s="78">
        <v>0</v>
      </c>
      <c r="I151" s="78">
        <v>0</v>
      </c>
      <c r="J151" s="78">
        <v>0</v>
      </c>
      <c r="K151" s="78">
        <v>0</v>
      </c>
      <c r="L151" s="67">
        <v>265.327</v>
      </c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15"/>
      <c r="AS151" s="15"/>
      <c r="AT151" s="15"/>
      <c r="AU151" s="15"/>
      <c r="AV151" s="15"/>
      <c r="AW151" s="15"/>
    </row>
    <row r="152" spans="1:254" s="2" customFormat="1" ht="12.75" customHeight="1" x14ac:dyDescent="0.2">
      <c r="A152" s="2" t="s">
        <v>155</v>
      </c>
      <c r="B152" s="62" t="s">
        <v>156</v>
      </c>
      <c r="C152" s="67">
        <v>18481.188999999998</v>
      </c>
      <c r="D152" s="67">
        <v>4753.2470000000003</v>
      </c>
      <c r="E152" s="67">
        <v>9467.6550000000007</v>
      </c>
      <c r="F152" s="67">
        <v>767.47900000000004</v>
      </c>
      <c r="G152" s="67">
        <v>3435.61</v>
      </c>
      <c r="H152" s="67">
        <v>57.198999999999998</v>
      </c>
      <c r="I152" s="67">
        <v>0</v>
      </c>
      <c r="J152" s="67">
        <v>4752.3999999999996</v>
      </c>
      <c r="K152" s="67">
        <v>0</v>
      </c>
      <c r="L152" s="67">
        <v>23233.588</v>
      </c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</row>
    <row r="153" spans="1:254" ht="12.75" customHeight="1" x14ac:dyDescent="0.2">
      <c r="A153" s="2" t="s">
        <v>157</v>
      </c>
      <c r="B153" s="3" t="s">
        <v>104</v>
      </c>
      <c r="C153" s="67">
        <v>42.908000000000001</v>
      </c>
      <c r="D153" s="78">
        <v>0</v>
      </c>
      <c r="E153" s="78">
        <v>42.908000000000001</v>
      </c>
      <c r="F153" s="78">
        <v>0</v>
      </c>
      <c r="G153" s="78">
        <v>0</v>
      </c>
      <c r="H153" s="78">
        <v>0</v>
      </c>
      <c r="I153" s="78">
        <v>0</v>
      </c>
      <c r="J153" s="78">
        <v>0</v>
      </c>
      <c r="K153" s="78">
        <v>0</v>
      </c>
      <c r="L153" s="67">
        <v>42.908000000000001</v>
      </c>
      <c r="M153" s="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</row>
    <row r="154" spans="1:254" ht="12.75" customHeight="1" x14ac:dyDescent="0.2">
      <c r="A154" s="2" t="s">
        <v>158</v>
      </c>
      <c r="B154" s="3" t="s">
        <v>106</v>
      </c>
      <c r="C154" s="67">
        <v>3340.2689999999998</v>
      </c>
      <c r="D154" s="78">
        <v>244.02</v>
      </c>
      <c r="E154" s="78">
        <v>2013.31</v>
      </c>
      <c r="F154" s="78">
        <v>71.694999999999993</v>
      </c>
      <c r="G154" s="78">
        <v>986.90499999999997</v>
      </c>
      <c r="H154" s="78">
        <v>24.338999999999999</v>
      </c>
      <c r="I154" s="78">
        <v>0</v>
      </c>
      <c r="J154" s="78">
        <v>1361.578</v>
      </c>
      <c r="K154" s="78">
        <v>0</v>
      </c>
      <c r="L154" s="67">
        <v>4701.8469999999998</v>
      </c>
      <c r="M154" s="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</row>
    <row r="155" spans="1:254" ht="12.75" customHeight="1" x14ac:dyDescent="0.2">
      <c r="A155" s="2" t="s">
        <v>159</v>
      </c>
      <c r="B155" s="3" t="s">
        <v>108</v>
      </c>
      <c r="C155" s="67">
        <v>2867.0839999999998</v>
      </c>
      <c r="D155" s="78">
        <v>68.034000000000006</v>
      </c>
      <c r="E155" s="78">
        <v>2696.3960000000002</v>
      </c>
      <c r="F155" s="78">
        <v>48.555</v>
      </c>
      <c r="G155" s="78">
        <v>49.603999999999999</v>
      </c>
      <c r="H155" s="78">
        <v>4.4950000000000001</v>
      </c>
      <c r="I155" s="78">
        <v>0</v>
      </c>
      <c r="J155" s="78">
        <v>1510.191</v>
      </c>
      <c r="K155" s="78">
        <v>0</v>
      </c>
      <c r="L155" s="67">
        <v>4377.2749999999996</v>
      </c>
      <c r="M155" s="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</row>
    <row r="156" spans="1:254" ht="12.75" customHeight="1" x14ac:dyDescent="0.2">
      <c r="A156" s="2" t="s">
        <v>160</v>
      </c>
      <c r="B156" s="3" t="s">
        <v>110</v>
      </c>
      <c r="C156" s="67">
        <v>2657.5140000000001</v>
      </c>
      <c r="D156" s="78">
        <v>632.81700000000001</v>
      </c>
      <c r="E156" s="78">
        <v>1957.7919999999999</v>
      </c>
      <c r="F156" s="78">
        <v>44.988</v>
      </c>
      <c r="G156" s="78">
        <v>21.917000000000002</v>
      </c>
      <c r="H156" s="78">
        <v>0</v>
      </c>
      <c r="I156" s="78">
        <v>0</v>
      </c>
      <c r="J156" s="78">
        <v>338.46499999999997</v>
      </c>
      <c r="K156" s="78">
        <v>0</v>
      </c>
      <c r="L156" s="67">
        <v>2995.9780000000001</v>
      </c>
      <c r="M156" s="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</row>
    <row r="157" spans="1:254" ht="12.75" customHeight="1" x14ac:dyDescent="0.2">
      <c r="A157" s="2" t="s">
        <v>161</v>
      </c>
      <c r="B157" s="3" t="s">
        <v>162</v>
      </c>
      <c r="C157" s="67">
        <v>6740.2619999999997</v>
      </c>
      <c r="D157" s="78">
        <v>2881.6350000000002</v>
      </c>
      <c r="E157" s="78">
        <v>2398.11</v>
      </c>
      <c r="F157" s="78">
        <v>397.02699999999999</v>
      </c>
      <c r="G157" s="78">
        <v>1035.21</v>
      </c>
      <c r="H157" s="78">
        <v>28.280999999999999</v>
      </c>
      <c r="I157" s="78">
        <v>0</v>
      </c>
      <c r="J157" s="78">
        <v>1362.771</v>
      </c>
      <c r="K157" s="78">
        <v>0</v>
      </c>
      <c r="L157" s="67">
        <v>8103.0330000000004</v>
      </c>
      <c r="M157" s="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</row>
    <row r="158" spans="1:254" ht="12.75" customHeight="1" x14ac:dyDescent="0.2">
      <c r="A158" s="2" t="s">
        <v>163</v>
      </c>
      <c r="B158" s="3" t="s">
        <v>114</v>
      </c>
      <c r="C158" s="67">
        <v>1289.42</v>
      </c>
      <c r="D158" s="78">
        <v>43.655999999999999</v>
      </c>
      <c r="E158" s="78">
        <v>61.359000000000002</v>
      </c>
      <c r="F158" s="78">
        <v>1.06</v>
      </c>
      <c r="G158" s="78">
        <v>1183.261</v>
      </c>
      <c r="H158" s="78">
        <v>8.4000000000000005E-2</v>
      </c>
      <c r="I158" s="78">
        <v>0</v>
      </c>
      <c r="J158" s="78">
        <v>9.1470000000000002</v>
      </c>
      <c r="K158" s="78">
        <v>0</v>
      </c>
      <c r="L158" s="67">
        <v>1298.567</v>
      </c>
      <c r="M158" s="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</row>
    <row r="159" spans="1:254" ht="12.75" customHeight="1" x14ac:dyDescent="0.2">
      <c r="A159" s="2" t="s">
        <v>164</v>
      </c>
      <c r="B159" s="3" t="s">
        <v>173</v>
      </c>
      <c r="C159" s="67">
        <v>1543.732</v>
      </c>
      <c r="D159" s="78">
        <v>883.08500000000004</v>
      </c>
      <c r="E159" s="78">
        <v>297.77999999999997</v>
      </c>
      <c r="F159" s="78">
        <v>204.154</v>
      </c>
      <c r="G159" s="78">
        <v>158.71299999999999</v>
      </c>
      <c r="H159" s="78">
        <v>0</v>
      </c>
      <c r="I159" s="78">
        <v>0</v>
      </c>
      <c r="J159" s="78">
        <v>170.24799999999999</v>
      </c>
      <c r="K159" s="78">
        <v>0</v>
      </c>
      <c r="L159" s="67">
        <v>1713.98</v>
      </c>
      <c r="M159" s="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</row>
    <row r="160" spans="1:254" ht="12.75" customHeight="1" x14ac:dyDescent="0.2">
      <c r="A160" s="2"/>
      <c r="C160" s="67"/>
      <c r="D160" s="78"/>
      <c r="E160" s="78"/>
      <c r="F160" s="78"/>
      <c r="G160" s="78"/>
      <c r="H160" s="78"/>
      <c r="I160" s="78"/>
      <c r="J160" s="78"/>
      <c r="K160" s="78"/>
      <c r="L160" s="67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</row>
    <row r="161" spans="1:49" ht="12.75" customHeight="1" x14ac:dyDescent="0.2">
      <c r="A161" s="2"/>
      <c r="C161" s="67"/>
      <c r="D161" s="78"/>
      <c r="E161" s="78"/>
      <c r="F161" s="78"/>
      <c r="G161" s="78"/>
      <c r="H161" s="78"/>
      <c r="I161" s="78"/>
      <c r="J161" s="78"/>
      <c r="K161" s="78"/>
      <c r="L161" s="67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</row>
    <row r="162" spans="1:49" ht="12.75" customHeight="1" x14ac:dyDescent="0.2">
      <c r="A162" s="85"/>
      <c r="B162" s="63" t="s">
        <v>167</v>
      </c>
      <c r="C162" s="69">
        <v>29844.478999999999</v>
      </c>
      <c r="D162" s="69">
        <v>8013.5580000000009</v>
      </c>
      <c r="E162" s="69">
        <v>9683.4</v>
      </c>
      <c r="F162" s="69">
        <v>2175.5659999999998</v>
      </c>
      <c r="G162" s="69">
        <v>9869.6470000000008</v>
      </c>
      <c r="H162" s="69">
        <v>102.309</v>
      </c>
      <c r="I162" s="69">
        <v>0</v>
      </c>
      <c r="J162" s="69">
        <v>4752.3999999999996</v>
      </c>
      <c r="K162" s="69">
        <v>0</v>
      </c>
      <c r="L162" s="69">
        <v>34596.877999999997</v>
      </c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</row>
    <row r="163" spans="1:49" ht="12.75" customHeight="1" x14ac:dyDescent="0.2">
      <c r="A163" s="29"/>
      <c r="B163" s="29"/>
      <c r="C163" s="5"/>
      <c r="D163" s="5"/>
      <c r="E163" s="5"/>
      <c r="F163" s="5"/>
      <c r="G163" s="5"/>
      <c r="H163" s="5"/>
      <c r="I163" s="5"/>
      <c r="J163" s="5"/>
      <c r="K163" s="5"/>
      <c r="L163" s="28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</row>
    <row r="164" spans="1:49" ht="12.75" customHeight="1" x14ac:dyDescent="0.2">
      <c r="A164" s="29"/>
      <c r="B164" s="2" t="s">
        <v>244</v>
      </c>
      <c r="C164" s="5"/>
      <c r="D164" s="5"/>
      <c r="E164" s="5"/>
      <c r="F164" s="5"/>
      <c r="G164" s="5"/>
      <c r="H164" s="5"/>
      <c r="I164" s="5"/>
      <c r="J164" s="5"/>
      <c r="K164" s="5"/>
      <c r="L164" s="28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</row>
    <row r="165" spans="1:49" ht="12.75" customHeight="1" x14ac:dyDescent="0.2">
      <c r="C165" s="15"/>
      <c r="D165" s="15"/>
      <c r="E165" s="15"/>
      <c r="F165" s="15"/>
      <c r="G165" s="15"/>
      <c r="H165" s="15"/>
      <c r="I165" s="15"/>
      <c r="J165" s="15"/>
      <c r="K165" s="15"/>
      <c r="L165" s="28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</row>
    <row r="166" spans="1:49" ht="12.75" customHeight="1" x14ac:dyDescent="0.2">
      <c r="A166" s="29"/>
      <c r="B166" s="29"/>
      <c r="C166" s="5"/>
      <c r="D166" s="5"/>
      <c r="E166" s="5"/>
      <c r="F166" s="5"/>
      <c r="G166" s="5"/>
      <c r="H166" s="5"/>
      <c r="I166" s="5"/>
      <c r="J166" s="5"/>
      <c r="K166" s="5"/>
      <c r="L166" s="28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</row>
    <row r="167" spans="1:49" ht="12.75" customHeight="1" x14ac:dyDescent="0.2">
      <c r="C167" s="15"/>
      <c r="D167" s="15"/>
      <c r="E167" s="15"/>
      <c r="F167" s="15"/>
      <c r="G167" s="15"/>
      <c r="H167" s="15"/>
      <c r="I167" s="15"/>
      <c r="J167" s="15"/>
      <c r="K167" s="15"/>
      <c r="L167" s="28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</row>
    <row r="168" spans="1:49" ht="12.75" customHeight="1" x14ac:dyDescent="0.2">
      <c r="C168" s="15"/>
      <c r="D168" s="15"/>
      <c r="E168" s="15"/>
      <c r="F168" s="15"/>
      <c r="G168" s="15"/>
      <c r="H168" s="15"/>
      <c r="I168" s="15"/>
      <c r="J168" s="15"/>
      <c r="K168" s="15"/>
      <c r="L168" s="28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</row>
    <row r="169" spans="1:49" ht="12.75" customHeight="1" x14ac:dyDescent="0.2">
      <c r="C169" s="15"/>
      <c r="D169" s="15"/>
      <c r="E169" s="15"/>
      <c r="F169" s="15"/>
      <c r="G169" s="15"/>
      <c r="H169" s="15"/>
      <c r="I169" s="15"/>
      <c r="J169" s="15"/>
      <c r="K169" s="15"/>
      <c r="L169" s="28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</row>
    <row r="170" spans="1:49" ht="12.75" customHeight="1" x14ac:dyDescent="0.2">
      <c r="C170" s="15"/>
      <c r="D170" s="15"/>
      <c r="E170" s="15"/>
      <c r="F170" s="15"/>
      <c r="G170" s="15"/>
      <c r="H170" s="15"/>
      <c r="I170" s="15"/>
      <c r="J170" s="15"/>
      <c r="K170" s="15"/>
      <c r="L170" s="28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</row>
    <row r="171" spans="1:49" ht="12.75" customHeight="1" x14ac:dyDescent="0.2">
      <c r="C171" s="15"/>
      <c r="D171" s="15"/>
      <c r="E171" s="15"/>
      <c r="F171" s="15"/>
      <c r="G171" s="15"/>
      <c r="H171" s="15"/>
      <c r="I171" s="15"/>
      <c r="J171" s="15"/>
      <c r="K171" s="15"/>
      <c r="L171" s="28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</row>
    <row r="172" spans="1:49" ht="12.75" customHeight="1" x14ac:dyDescent="0.2">
      <c r="C172" s="15"/>
      <c r="D172" s="15"/>
      <c r="E172" s="15"/>
      <c r="F172" s="15"/>
      <c r="G172" s="15"/>
      <c r="H172" s="15"/>
      <c r="I172" s="15"/>
      <c r="J172" s="15"/>
      <c r="K172" s="15"/>
      <c r="L172" s="28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</row>
    <row r="173" spans="1:49" ht="12.75" customHeight="1" x14ac:dyDescent="0.2">
      <c r="C173" s="15"/>
      <c r="D173" s="15"/>
      <c r="E173" s="15"/>
      <c r="F173" s="15"/>
      <c r="G173" s="15"/>
      <c r="H173" s="15"/>
      <c r="I173" s="15"/>
      <c r="J173" s="15"/>
      <c r="K173" s="15"/>
      <c r="L173" s="28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</row>
    <row r="174" spans="1:49" ht="12.75" customHeight="1" x14ac:dyDescent="0.2">
      <c r="C174" s="15"/>
      <c r="D174" s="15"/>
      <c r="E174" s="15"/>
      <c r="F174" s="15"/>
      <c r="G174" s="15"/>
      <c r="H174" s="15"/>
      <c r="I174" s="15"/>
      <c r="J174" s="15"/>
      <c r="K174" s="15"/>
      <c r="L174" s="28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</row>
    <row r="175" spans="1:49" ht="12.75" customHeight="1" x14ac:dyDescent="0.2">
      <c r="C175" s="15"/>
      <c r="D175" s="15"/>
      <c r="E175" s="15"/>
      <c r="F175" s="15"/>
      <c r="G175" s="15"/>
      <c r="H175" s="15"/>
      <c r="I175" s="15"/>
      <c r="J175" s="15"/>
      <c r="K175" s="15"/>
      <c r="L175" s="28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</row>
    <row r="176" spans="1:49" ht="12.75" customHeight="1" x14ac:dyDescent="0.2">
      <c r="A176" s="29"/>
      <c r="B176" s="29"/>
      <c r="C176" s="5"/>
      <c r="D176" s="5"/>
      <c r="E176" s="5"/>
      <c r="F176" s="5"/>
      <c r="G176" s="5"/>
      <c r="H176" s="5"/>
      <c r="I176" s="5"/>
      <c r="J176" s="5"/>
      <c r="K176" s="5"/>
      <c r="L176" s="28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</row>
    <row r="177" spans="1:49" ht="12.75" customHeight="1" x14ac:dyDescent="0.2">
      <c r="A177" s="29"/>
      <c r="B177" s="29"/>
      <c r="C177" s="5"/>
      <c r="D177" s="5"/>
      <c r="E177" s="5"/>
      <c r="F177" s="5"/>
      <c r="G177" s="5"/>
      <c r="H177" s="5"/>
      <c r="I177" s="5"/>
      <c r="J177" s="5"/>
      <c r="K177" s="5"/>
      <c r="L177" s="28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</row>
    <row r="178" spans="1:49" ht="12.75" customHeight="1" x14ac:dyDescent="0.2">
      <c r="C178" s="15"/>
      <c r="D178" s="15"/>
      <c r="E178" s="15"/>
      <c r="F178" s="15"/>
      <c r="G178" s="15"/>
      <c r="H178" s="15"/>
      <c r="I178" s="15"/>
      <c r="J178" s="15"/>
      <c r="K178" s="15"/>
      <c r="L178" s="28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</row>
    <row r="179" spans="1:49" ht="12.75" customHeight="1" x14ac:dyDescent="0.2">
      <c r="C179" s="15"/>
      <c r="D179" s="15"/>
      <c r="E179" s="15"/>
      <c r="F179" s="15"/>
      <c r="G179" s="15"/>
      <c r="H179" s="15"/>
      <c r="I179" s="15"/>
      <c r="J179" s="15"/>
      <c r="K179" s="15"/>
      <c r="L179" s="28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</row>
    <row r="180" spans="1:49" ht="12.75" customHeight="1" x14ac:dyDescent="0.2">
      <c r="C180" s="15"/>
      <c r="D180" s="15"/>
      <c r="E180" s="15"/>
      <c r="F180" s="15"/>
      <c r="G180" s="15"/>
      <c r="H180" s="15"/>
      <c r="I180" s="15"/>
      <c r="J180" s="15"/>
      <c r="K180" s="15"/>
      <c r="L180" s="28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</row>
    <row r="181" spans="1:49" ht="12.75" customHeight="1" x14ac:dyDescent="0.2">
      <c r="A181" s="29"/>
      <c r="B181" s="29"/>
      <c r="C181" s="5"/>
      <c r="D181" s="5"/>
      <c r="E181" s="5"/>
      <c r="F181" s="5"/>
      <c r="G181" s="5"/>
      <c r="H181" s="5"/>
      <c r="I181" s="5"/>
      <c r="J181" s="5"/>
      <c r="K181" s="5"/>
      <c r="L181" s="28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</row>
    <row r="182" spans="1:49" ht="12.75" customHeight="1" x14ac:dyDescent="0.2">
      <c r="A182" s="29"/>
      <c r="B182" s="29"/>
      <c r="C182" s="5"/>
      <c r="D182" s="5"/>
      <c r="E182" s="5"/>
      <c r="F182" s="5"/>
      <c r="G182" s="5"/>
      <c r="H182" s="5"/>
      <c r="I182" s="5"/>
      <c r="J182" s="5"/>
      <c r="K182" s="5"/>
      <c r="L182" s="28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</row>
    <row r="183" spans="1:49" ht="12.75" customHeight="1" x14ac:dyDescent="0.2">
      <c r="A183" s="29"/>
      <c r="B183" s="29"/>
      <c r="C183" s="5"/>
      <c r="D183" s="5"/>
      <c r="E183" s="5"/>
      <c r="F183" s="5"/>
      <c r="G183" s="5"/>
      <c r="H183" s="5"/>
      <c r="I183" s="5"/>
      <c r="J183" s="5"/>
      <c r="K183" s="5"/>
      <c r="L183" s="28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</row>
    <row r="184" spans="1:49" ht="12.75" customHeight="1" x14ac:dyDescent="0.2">
      <c r="A184" s="29"/>
      <c r="B184" s="29"/>
      <c r="C184" s="5"/>
      <c r="D184" s="5"/>
      <c r="E184" s="5"/>
      <c r="F184" s="5"/>
      <c r="G184" s="5"/>
      <c r="H184" s="5"/>
      <c r="I184" s="5"/>
      <c r="J184" s="5"/>
      <c r="K184" s="5"/>
      <c r="L184" s="28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</row>
    <row r="185" spans="1:49" ht="12.75" customHeight="1" x14ac:dyDescent="0.2">
      <c r="C185" s="15"/>
      <c r="D185" s="15"/>
      <c r="E185" s="15"/>
      <c r="F185" s="15"/>
      <c r="G185" s="15"/>
      <c r="H185" s="15"/>
      <c r="I185" s="15"/>
      <c r="J185" s="15"/>
      <c r="K185" s="15"/>
      <c r="L185" s="28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</row>
    <row r="186" spans="1:49" ht="12.75" customHeight="1" x14ac:dyDescent="0.2">
      <c r="C186" s="15"/>
      <c r="D186" s="15"/>
      <c r="E186" s="15"/>
      <c r="F186" s="15"/>
      <c r="G186" s="15"/>
      <c r="H186" s="15"/>
      <c r="I186" s="15"/>
      <c r="J186" s="15"/>
      <c r="K186" s="15"/>
      <c r="L186" s="28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</row>
    <row r="187" spans="1:49" ht="12.75" customHeight="1" x14ac:dyDescent="0.2">
      <c r="A187" s="29"/>
      <c r="B187" s="29"/>
      <c r="C187" s="5"/>
      <c r="D187" s="5"/>
      <c r="E187" s="5"/>
      <c r="F187" s="5"/>
      <c r="G187" s="5"/>
      <c r="H187" s="5"/>
      <c r="I187" s="5"/>
      <c r="J187" s="5"/>
      <c r="K187" s="5"/>
      <c r="L187" s="28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</row>
    <row r="188" spans="1:49" ht="12.75" customHeight="1" x14ac:dyDescent="0.2">
      <c r="C188" s="15"/>
      <c r="D188" s="15"/>
      <c r="E188" s="15"/>
      <c r="F188" s="15"/>
      <c r="G188" s="15"/>
      <c r="H188" s="15"/>
      <c r="I188" s="15"/>
      <c r="J188" s="15"/>
      <c r="K188" s="15"/>
      <c r="L188" s="28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</row>
    <row r="189" spans="1:49" ht="12.75" customHeight="1" x14ac:dyDescent="0.2">
      <c r="C189" s="15"/>
      <c r="D189" s="15"/>
      <c r="E189" s="15"/>
      <c r="F189" s="15"/>
      <c r="G189" s="15"/>
      <c r="H189" s="15"/>
      <c r="I189" s="15"/>
      <c r="J189" s="15"/>
      <c r="K189" s="15"/>
      <c r="L189" s="28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</row>
    <row r="190" spans="1:49" ht="12.75" customHeight="1" x14ac:dyDescent="0.2">
      <c r="C190" s="15"/>
      <c r="D190" s="15"/>
      <c r="E190" s="15"/>
      <c r="F190" s="15"/>
      <c r="G190" s="15"/>
      <c r="H190" s="15"/>
      <c r="I190" s="15"/>
      <c r="J190" s="15"/>
      <c r="K190" s="15"/>
      <c r="L190" s="28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</row>
    <row r="191" spans="1:49" x14ac:dyDescent="0.2">
      <c r="C191" s="15"/>
      <c r="D191" s="15"/>
      <c r="E191" s="15"/>
      <c r="F191" s="15"/>
      <c r="G191" s="15"/>
      <c r="H191" s="15"/>
      <c r="I191" s="15"/>
      <c r="J191" s="15"/>
      <c r="K191" s="15"/>
      <c r="L191" s="28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</row>
    <row r="192" spans="1:49" x14ac:dyDescent="0.2">
      <c r="C192" s="15"/>
      <c r="D192" s="15"/>
      <c r="E192" s="15"/>
      <c r="F192" s="15"/>
      <c r="G192" s="15"/>
      <c r="H192" s="15"/>
      <c r="I192" s="15"/>
      <c r="J192" s="15"/>
      <c r="K192" s="15"/>
      <c r="L192" s="28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</row>
    <row r="193" spans="3:49" x14ac:dyDescent="0.2">
      <c r="C193" s="15"/>
      <c r="D193" s="15"/>
      <c r="E193" s="15"/>
      <c r="F193" s="15"/>
      <c r="G193" s="15"/>
      <c r="H193" s="15"/>
      <c r="I193" s="15"/>
      <c r="J193" s="15"/>
      <c r="K193" s="15"/>
      <c r="L193" s="28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</row>
    <row r="194" spans="3:49" x14ac:dyDescent="0.2">
      <c r="C194" s="15"/>
      <c r="D194" s="15"/>
      <c r="E194" s="15"/>
      <c r="F194" s="15"/>
      <c r="G194" s="15"/>
      <c r="H194" s="15"/>
      <c r="I194" s="15"/>
      <c r="J194" s="15"/>
      <c r="K194" s="15"/>
      <c r="L194" s="28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</row>
    <row r="195" spans="3:49" x14ac:dyDescent="0.2">
      <c r="C195" s="15"/>
      <c r="D195" s="15"/>
      <c r="E195" s="15"/>
      <c r="F195" s="15"/>
      <c r="G195" s="15"/>
      <c r="H195" s="15"/>
      <c r="I195" s="15"/>
      <c r="J195" s="15"/>
      <c r="K195" s="15"/>
      <c r="L195" s="28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</row>
    <row r="196" spans="3:49" x14ac:dyDescent="0.2">
      <c r="C196" s="15"/>
      <c r="D196" s="15"/>
      <c r="E196" s="15"/>
      <c r="F196" s="15"/>
      <c r="G196" s="15"/>
      <c r="H196" s="15"/>
      <c r="I196" s="15"/>
      <c r="J196" s="15"/>
      <c r="K196" s="15"/>
      <c r="L196" s="28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</row>
    <row r="197" spans="3:49" x14ac:dyDescent="0.2">
      <c r="C197" s="15"/>
      <c r="D197" s="15"/>
      <c r="E197" s="15"/>
      <c r="F197" s="15"/>
      <c r="G197" s="15"/>
      <c r="H197" s="15"/>
      <c r="I197" s="15"/>
      <c r="J197" s="15"/>
      <c r="K197" s="15"/>
      <c r="L197" s="28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</row>
    <row r="198" spans="3:49" x14ac:dyDescent="0.2">
      <c r="C198" s="15"/>
      <c r="D198" s="15"/>
      <c r="E198" s="15"/>
      <c r="F198" s="15"/>
      <c r="G198" s="15"/>
      <c r="H198" s="15"/>
      <c r="I198" s="15"/>
      <c r="J198" s="15"/>
      <c r="K198" s="15"/>
      <c r="L198" s="28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</row>
    <row r="199" spans="3:49" x14ac:dyDescent="0.2">
      <c r="C199" s="15"/>
      <c r="D199" s="15"/>
      <c r="E199" s="15"/>
      <c r="F199" s="15"/>
      <c r="G199" s="15"/>
      <c r="H199" s="15"/>
      <c r="I199" s="15"/>
      <c r="J199" s="15"/>
      <c r="K199" s="15"/>
      <c r="L199" s="28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</row>
    <row r="200" spans="3:49" x14ac:dyDescent="0.2">
      <c r="C200" s="15"/>
      <c r="D200" s="15"/>
      <c r="E200" s="15"/>
      <c r="F200" s="15"/>
      <c r="G200" s="15"/>
      <c r="H200" s="15"/>
      <c r="I200" s="15"/>
      <c r="J200" s="15"/>
      <c r="K200" s="15"/>
      <c r="L200" s="28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</row>
    <row r="201" spans="3:49" x14ac:dyDescent="0.2">
      <c r="C201" s="15"/>
      <c r="D201" s="15"/>
      <c r="E201" s="15"/>
      <c r="F201" s="15"/>
      <c r="G201" s="15"/>
      <c r="H201" s="15"/>
      <c r="I201" s="15"/>
      <c r="J201" s="15"/>
      <c r="K201" s="15"/>
      <c r="L201" s="28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</row>
    <row r="202" spans="3:49" x14ac:dyDescent="0.2">
      <c r="C202" s="15"/>
      <c r="D202" s="15"/>
      <c r="E202" s="15"/>
      <c r="F202" s="15"/>
      <c r="G202" s="15"/>
      <c r="H202" s="15"/>
      <c r="I202" s="15"/>
      <c r="J202" s="15"/>
      <c r="K202" s="15"/>
      <c r="L202" s="28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</row>
    <row r="203" spans="3:49" x14ac:dyDescent="0.2">
      <c r="C203" s="15"/>
      <c r="D203" s="15"/>
      <c r="E203" s="15"/>
      <c r="F203" s="15"/>
      <c r="G203" s="15"/>
      <c r="H203" s="15"/>
      <c r="I203" s="15"/>
      <c r="J203" s="15"/>
      <c r="K203" s="15"/>
      <c r="L203" s="28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</row>
    <row r="204" spans="3:49" x14ac:dyDescent="0.2">
      <c r="C204" s="15"/>
      <c r="D204" s="15"/>
      <c r="E204" s="15"/>
      <c r="F204" s="15"/>
      <c r="G204" s="15"/>
      <c r="H204" s="15"/>
      <c r="I204" s="15"/>
      <c r="J204" s="15"/>
      <c r="K204" s="15"/>
      <c r="L204" s="28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</row>
    <row r="205" spans="3:49" x14ac:dyDescent="0.2">
      <c r="C205" s="15"/>
      <c r="D205" s="15"/>
      <c r="E205" s="15"/>
      <c r="F205" s="15"/>
      <c r="G205" s="15"/>
      <c r="H205" s="15"/>
      <c r="I205" s="15"/>
      <c r="J205" s="15"/>
      <c r="K205" s="15"/>
      <c r="L205" s="28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</row>
    <row r="206" spans="3:49" x14ac:dyDescent="0.2">
      <c r="C206" s="15"/>
      <c r="D206" s="15"/>
      <c r="E206" s="15"/>
      <c r="F206" s="15"/>
      <c r="G206" s="15"/>
      <c r="H206" s="15"/>
      <c r="I206" s="15"/>
      <c r="J206" s="15"/>
      <c r="K206" s="15"/>
      <c r="L206" s="28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</row>
    <row r="207" spans="3:49" x14ac:dyDescent="0.2">
      <c r="C207" s="15"/>
      <c r="D207" s="15"/>
      <c r="E207" s="15"/>
      <c r="F207" s="15"/>
      <c r="G207" s="15"/>
      <c r="H207" s="15"/>
      <c r="I207" s="15"/>
      <c r="J207" s="15"/>
      <c r="K207" s="15"/>
      <c r="L207" s="28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</row>
    <row r="208" spans="3:49" x14ac:dyDescent="0.2">
      <c r="C208" s="15"/>
      <c r="D208" s="15"/>
      <c r="E208" s="15"/>
      <c r="F208" s="15"/>
      <c r="G208" s="15"/>
      <c r="H208" s="15"/>
      <c r="I208" s="15"/>
      <c r="J208" s="15"/>
      <c r="K208" s="15"/>
      <c r="L208" s="28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</row>
    <row r="209" spans="3:49" x14ac:dyDescent="0.2">
      <c r="C209" s="15"/>
      <c r="D209" s="15"/>
      <c r="E209" s="15"/>
      <c r="F209" s="15"/>
      <c r="G209" s="15"/>
      <c r="H209" s="15"/>
      <c r="I209" s="15"/>
      <c r="J209" s="15"/>
      <c r="K209" s="15"/>
      <c r="L209" s="28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</row>
    <row r="210" spans="3:49" x14ac:dyDescent="0.2">
      <c r="C210" s="15"/>
      <c r="D210" s="15"/>
      <c r="E210" s="15"/>
      <c r="F210" s="15"/>
      <c r="G210" s="15"/>
      <c r="H210" s="15"/>
      <c r="I210" s="15"/>
      <c r="J210" s="15"/>
      <c r="K210" s="15"/>
      <c r="L210" s="28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</row>
    <row r="211" spans="3:49" x14ac:dyDescent="0.2">
      <c r="C211" s="15"/>
      <c r="D211" s="15"/>
      <c r="E211" s="15"/>
      <c r="F211" s="15"/>
      <c r="G211" s="15"/>
      <c r="H211" s="15"/>
      <c r="I211" s="15"/>
      <c r="J211" s="15"/>
      <c r="K211" s="15"/>
      <c r="L211" s="28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</row>
    <row r="212" spans="3:49" x14ac:dyDescent="0.2">
      <c r="C212" s="15"/>
      <c r="D212" s="15"/>
      <c r="E212" s="15"/>
      <c r="F212" s="15"/>
      <c r="G212" s="15"/>
      <c r="H212" s="15"/>
      <c r="I212" s="15"/>
      <c r="J212" s="15"/>
      <c r="K212" s="15"/>
      <c r="L212" s="28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</row>
    <row r="213" spans="3:49" x14ac:dyDescent="0.2">
      <c r="C213" s="15"/>
      <c r="D213" s="15"/>
      <c r="E213" s="15"/>
      <c r="F213" s="15"/>
      <c r="G213" s="15"/>
      <c r="H213" s="15"/>
      <c r="I213" s="15"/>
      <c r="J213" s="15"/>
      <c r="K213" s="15"/>
      <c r="L213" s="28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</row>
    <row r="214" spans="3:49" x14ac:dyDescent="0.2">
      <c r="C214" s="15"/>
      <c r="D214" s="15"/>
      <c r="E214" s="15"/>
      <c r="F214" s="15"/>
      <c r="G214" s="15"/>
      <c r="H214" s="15"/>
      <c r="I214" s="15"/>
      <c r="J214" s="15"/>
      <c r="K214" s="15"/>
      <c r="L214" s="28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</row>
    <row r="215" spans="3:49" x14ac:dyDescent="0.2">
      <c r="C215" s="15"/>
      <c r="D215" s="15"/>
      <c r="E215" s="15"/>
      <c r="F215" s="15"/>
      <c r="G215" s="15"/>
      <c r="H215" s="15"/>
      <c r="I215" s="15"/>
      <c r="J215" s="15"/>
      <c r="K215" s="15"/>
      <c r="L215" s="28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</row>
    <row r="216" spans="3:49" x14ac:dyDescent="0.2">
      <c r="C216" s="15"/>
      <c r="D216" s="15"/>
      <c r="E216" s="15"/>
      <c r="F216" s="15"/>
      <c r="G216" s="15"/>
      <c r="H216" s="15"/>
      <c r="I216" s="15"/>
      <c r="J216" s="15"/>
      <c r="K216" s="15"/>
      <c r="L216" s="28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</row>
    <row r="217" spans="3:49" x14ac:dyDescent="0.2">
      <c r="C217" s="15"/>
      <c r="D217" s="15"/>
      <c r="E217" s="15"/>
      <c r="F217" s="15"/>
      <c r="G217" s="15"/>
      <c r="H217" s="15"/>
      <c r="I217" s="15"/>
      <c r="J217" s="15"/>
      <c r="K217" s="15"/>
      <c r="L217" s="28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</row>
    <row r="218" spans="3:49" x14ac:dyDescent="0.2">
      <c r="C218" s="15"/>
      <c r="D218" s="15"/>
      <c r="E218" s="15"/>
      <c r="F218" s="15"/>
      <c r="G218" s="15"/>
      <c r="H218" s="15"/>
      <c r="I218" s="15"/>
      <c r="J218" s="15"/>
      <c r="K218" s="15"/>
      <c r="L218" s="28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</row>
    <row r="219" spans="3:49" x14ac:dyDescent="0.2">
      <c r="C219" s="15"/>
      <c r="D219" s="15"/>
      <c r="E219" s="15"/>
      <c r="F219" s="15"/>
      <c r="G219" s="15"/>
      <c r="H219" s="15"/>
      <c r="I219" s="15"/>
      <c r="J219" s="15"/>
      <c r="K219" s="15"/>
      <c r="L219" s="28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</row>
    <row r="220" spans="3:49" x14ac:dyDescent="0.2">
      <c r="C220" s="15"/>
      <c r="D220" s="15"/>
      <c r="E220" s="15"/>
      <c r="F220" s="15"/>
      <c r="G220" s="15"/>
      <c r="H220" s="15"/>
      <c r="I220" s="15"/>
      <c r="J220" s="15"/>
      <c r="K220" s="15"/>
      <c r="L220" s="28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</row>
    <row r="221" spans="3:49" x14ac:dyDescent="0.2">
      <c r="C221" s="15"/>
      <c r="D221" s="15"/>
      <c r="E221" s="15"/>
      <c r="F221" s="15"/>
      <c r="G221" s="15"/>
      <c r="H221" s="15"/>
      <c r="I221" s="15"/>
      <c r="J221" s="15"/>
      <c r="K221" s="15"/>
      <c r="L221" s="28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</row>
    <row r="222" spans="3:49" x14ac:dyDescent="0.2">
      <c r="C222" s="15"/>
      <c r="D222" s="15"/>
      <c r="E222" s="15"/>
      <c r="F222" s="15"/>
      <c r="G222" s="15"/>
      <c r="H222" s="15"/>
      <c r="I222" s="15"/>
      <c r="J222" s="15"/>
      <c r="K222" s="15"/>
      <c r="L222" s="28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</row>
    <row r="223" spans="3:49" x14ac:dyDescent="0.2">
      <c r="C223" s="15"/>
      <c r="D223" s="15"/>
      <c r="E223" s="15"/>
      <c r="F223" s="15"/>
      <c r="G223" s="15"/>
      <c r="H223" s="15"/>
      <c r="I223" s="15"/>
      <c r="J223" s="15"/>
      <c r="K223" s="15"/>
      <c r="L223" s="28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</row>
    <row r="224" spans="3:49" x14ac:dyDescent="0.2">
      <c r="C224" s="15"/>
      <c r="D224" s="15"/>
      <c r="E224" s="15"/>
      <c r="F224" s="15"/>
      <c r="G224" s="15"/>
      <c r="H224" s="15"/>
      <c r="I224" s="15"/>
      <c r="J224" s="15"/>
      <c r="K224" s="15"/>
      <c r="L224" s="28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</row>
    <row r="225" spans="3:49" x14ac:dyDescent="0.2">
      <c r="C225" s="15"/>
      <c r="D225" s="15"/>
      <c r="E225" s="15"/>
      <c r="F225" s="15"/>
      <c r="G225" s="15"/>
      <c r="H225" s="15"/>
      <c r="I225" s="15"/>
      <c r="J225" s="15"/>
      <c r="K225" s="15"/>
      <c r="L225" s="28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</row>
    <row r="226" spans="3:49" x14ac:dyDescent="0.2">
      <c r="C226" s="15"/>
      <c r="D226" s="15"/>
      <c r="E226" s="15"/>
      <c r="F226" s="15"/>
      <c r="G226" s="15"/>
      <c r="H226" s="15"/>
      <c r="I226" s="15"/>
      <c r="J226" s="15"/>
      <c r="K226" s="15"/>
      <c r="L226" s="28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</row>
    <row r="227" spans="3:49" x14ac:dyDescent="0.2">
      <c r="C227" s="15"/>
      <c r="D227" s="15"/>
      <c r="E227" s="15"/>
      <c r="F227" s="15"/>
      <c r="G227" s="15"/>
      <c r="H227" s="15"/>
      <c r="I227" s="15"/>
      <c r="J227" s="15"/>
      <c r="K227" s="15"/>
      <c r="L227" s="28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</row>
    <row r="228" spans="3:49" x14ac:dyDescent="0.2">
      <c r="C228" s="15"/>
      <c r="D228" s="15"/>
      <c r="E228" s="15"/>
      <c r="F228" s="15"/>
      <c r="G228" s="15"/>
      <c r="H228" s="15"/>
      <c r="I228" s="15"/>
      <c r="J228" s="15"/>
      <c r="K228" s="15"/>
      <c r="L228" s="28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</row>
    <row r="229" spans="3:49" x14ac:dyDescent="0.2">
      <c r="C229" s="15"/>
      <c r="D229" s="15"/>
      <c r="E229" s="15"/>
      <c r="F229" s="15"/>
      <c r="G229" s="15"/>
      <c r="H229" s="15"/>
      <c r="I229" s="15"/>
      <c r="J229" s="15"/>
      <c r="K229" s="15"/>
      <c r="L229" s="28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</row>
    <row r="230" spans="3:49" x14ac:dyDescent="0.2">
      <c r="C230" s="15"/>
      <c r="D230" s="15"/>
      <c r="E230" s="15"/>
      <c r="F230" s="15"/>
      <c r="G230" s="15"/>
      <c r="H230" s="15"/>
      <c r="I230" s="15"/>
      <c r="J230" s="15"/>
      <c r="K230" s="15"/>
      <c r="L230" s="28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</row>
    <row r="231" spans="3:49" x14ac:dyDescent="0.2">
      <c r="C231" s="15"/>
      <c r="D231" s="15"/>
      <c r="E231" s="15"/>
      <c r="F231" s="15"/>
      <c r="G231" s="15"/>
      <c r="H231" s="15"/>
      <c r="I231" s="15"/>
      <c r="J231" s="15"/>
      <c r="K231" s="15"/>
      <c r="L231" s="28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</row>
    <row r="232" spans="3:49" x14ac:dyDescent="0.2">
      <c r="C232" s="15"/>
      <c r="D232" s="15"/>
      <c r="E232" s="15"/>
      <c r="F232" s="15"/>
      <c r="G232" s="15"/>
      <c r="H232" s="15"/>
      <c r="I232" s="15"/>
      <c r="J232" s="15"/>
      <c r="K232" s="15"/>
      <c r="L232" s="28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</row>
    <row r="233" spans="3:49" x14ac:dyDescent="0.2">
      <c r="C233" s="15"/>
      <c r="D233" s="15"/>
      <c r="E233" s="15"/>
      <c r="F233" s="15"/>
      <c r="G233" s="15"/>
      <c r="H233" s="15"/>
      <c r="I233" s="15"/>
      <c r="J233" s="15"/>
      <c r="K233" s="15"/>
      <c r="L233" s="28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</row>
    <row r="234" spans="3:49" x14ac:dyDescent="0.2">
      <c r="C234" s="15"/>
      <c r="D234" s="15"/>
      <c r="E234" s="15"/>
      <c r="F234" s="15"/>
      <c r="G234" s="15"/>
      <c r="H234" s="15"/>
      <c r="I234" s="15"/>
      <c r="J234" s="15"/>
      <c r="K234" s="15"/>
      <c r="L234" s="28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</row>
    <row r="235" spans="3:49" x14ac:dyDescent="0.2">
      <c r="C235" s="15"/>
      <c r="D235" s="15"/>
      <c r="E235" s="15"/>
      <c r="F235" s="15"/>
      <c r="G235" s="15"/>
      <c r="H235" s="15"/>
      <c r="I235" s="15"/>
      <c r="J235" s="15"/>
      <c r="K235" s="15"/>
      <c r="L235" s="28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</row>
    <row r="236" spans="3:49" x14ac:dyDescent="0.2">
      <c r="C236" s="15"/>
      <c r="D236" s="15"/>
      <c r="E236" s="15"/>
      <c r="F236" s="15"/>
      <c r="G236" s="15"/>
      <c r="H236" s="15"/>
      <c r="I236" s="15"/>
      <c r="J236" s="15"/>
      <c r="K236" s="15"/>
      <c r="L236" s="28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</row>
    <row r="237" spans="3:49" x14ac:dyDescent="0.2">
      <c r="C237" s="15"/>
      <c r="D237" s="15"/>
      <c r="E237" s="15"/>
      <c r="F237" s="15"/>
      <c r="G237" s="15"/>
      <c r="H237" s="15"/>
      <c r="I237" s="15"/>
      <c r="J237" s="15"/>
      <c r="K237" s="15"/>
      <c r="L237" s="28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</row>
    <row r="238" spans="3:49" x14ac:dyDescent="0.2">
      <c r="C238" s="15"/>
      <c r="D238" s="15"/>
      <c r="E238" s="15"/>
      <c r="F238" s="15"/>
      <c r="G238" s="15"/>
      <c r="H238" s="15"/>
      <c r="I238" s="15"/>
      <c r="J238" s="15"/>
      <c r="K238" s="15"/>
      <c r="L238" s="28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</row>
    <row r="239" spans="3:49" x14ac:dyDescent="0.2">
      <c r="C239" s="15"/>
      <c r="D239" s="15"/>
      <c r="E239" s="15"/>
      <c r="F239" s="15"/>
      <c r="G239" s="15"/>
      <c r="H239" s="15"/>
      <c r="I239" s="15"/>
      <c r="J239" s="15"/>
      <c r="K239" s="15"/>
      <c r="L239" s="28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</row>
    <row r="240" spans="3:49" x14ac:dyDescent="0.2">
      <c r="C240" s="15"/>
      <c r="D240" s="15"/>
      <c r="E240" s="15"/>
      <c r="F240" s="15"/>
      <c r="G240" s="15"/>
      <c r="H240" s="15"/>
      <c r="I240" s="15"/>
      <c r="J240" s="15"/>
      <c r="K240" s="15"/>
      <c r="L240" s="28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</row>
    <row r="241" spans="3:49" x14ac:dyDescent="0.2">
      <c r="C241" s="15"/>
      <c r="D241" s="15"/>
      <c r="E241" s="15"/>
      <c r="F241" s="15"/>
      <c r="G241" s="15"/>
      <c r="H241" s="15"/>
      <c r="I241" s="15"/>
      <c r="J241" s="15"/>
      <c r="K241" s="15"/>
      <c r="L241" s="28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</row>
    <row r="242" spans="3:49" x14ac:dyDescent="0.2">
      <c r="C242" s="15"/>
      <c r="D242" s="15"/>
      <c r="E242" s="15"/>
      <c r="F242" s="15"/>
      <c r="G242" s="15"/>
      <c r="H242" s="15"/>
      <c r="I242" s="15"/>
      <c r="J242" s="15"/>
      <c r="K242" s="15"/>
      <c r="L242" s="28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</row>
    <row r="243" spans="3:49" x14ac:dyDescent="0.2">
      <c r="C243" s="15"/>
      <c r="D243" s="15"/>
      <c r="E243" s="15"/>
      <c r="F243" s="15"/>
      <c r="G243" s="15"/>
      <c r="H243" s="15"/>
      <c r="I243" s="15"/>
      <c r="J243" s="15"/>
      <c r="K243" s="15"/>
      <c r="L243" s="28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</row>
    <row r="244" spans="3:49" x14ac:dyDescent="0.2">
      <c r="C244" s="15"/>
      <c r="D244" s="15"/>
      <c r="E244" s="15"/>
      <c r="F244" s="15"/>
      <c r="G244" s="15"/>
      <c r="H244" s="15"/>
      <c r="I244" s="15"/>
      <c r="J244" s="15"/>
      <c r="K244" s="15"/>
      <c r="L244" s="28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</row>
    <row r="245" spans="3:49" x14ac:dyDescent="0.2">
      <c r="C245" s="15"/>
      <c r="D245" s="15"/>
      <c r="E245" s="15"/>
      <c r="F245" s="15"/>
      <c r="G245" s="15"/>
      <c r="H245" s="15"/>
      <c r="I245" s="15"/>
      <c r="J245" s="15"/>
      <c r="K245" s="15"/>
      <c r="L245" s="28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</row>
    <row r="246" spans="3:49" x14ac:dyDescent="0.2">
      <c r="C246" s="15"/>
      <c r="D246" s="15"/>
      <c r="E246" s="15"/>
      <c r="F246" s="15"/>
      <c r="G246" s="15"/>
      <c r="H246" s="15"/>
      <c r="I246" s="15"/>
      <c r="J246" s="15"/>
      <c r="K246" s="15"/>
      <c r="L246" s="28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</row>
    <row r="247" spans="3:49" x14ac:dyDescent="0.2">
      <c r="C247" s="15"/>
      <c r="D247" s="15"/>
      <c r="E247" s="15"/>
      <c r="F247" s="15"/>
      <c r="G247" s="15"/>
      <c r="H247" s="15"/>
      <c r="I247" s="15"/>
      <c r="J247" s="15"/>
      <c r="K247" s="15"/>
      <c r="L247" s="28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</row>
    <row r="248" spans="3:49" x14ac:dyDescent="0.2">
      <c r="C248" s="15"/>
      <c r="D248" s="15"/>
      <c r="E248" s="15"/>
      <c r="F248" s="15"/>
      <c r="G248" s="15"/>
      <c r="H248" s="15"/>
      <c r="I248" s="15"/>
      <c r="J248" s="15"/>
      <c r="K248" s="15"/>
      <c r="L248" s="28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</row>
    <row r="249" spans="3:49" x14ac:dyDescent="0.2">
      <c r="C249" s="15"/>
      <c r="D249" s="15"/>
      <c r="E249" s="15"/>
      <c r="F249" s="15"/>
      <c r="G249" s="15"/>
      <c r="H249" s="15"/>
      <c r="I249" s="15"/>
      <c r="J249" s="15"/>
      <c r="K249" s="15"/>
      <c r="L249" s="28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</row>
    <row r="250" spans="3:49" x14ac:dyDescent="0.2">
      <c r="C250" s="15"/>
      <c r="D250" s="15"/>
      <c r="E250" s="15"/>
      <c r="F250" s="15"/>
      <c r="G250" s="15"/>
      <c r="H250" s="15"/>
      <c r="I250" s="15"/>
      <c r="J250" s="15"/>
      <c r="K250" s="15"/>
      <c r="L250" s="28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</row>
    <row r="251" spans="3:49" x14ac:dyDescent="0.2">
      <c r="C251" s="15"/>
      <c r="D251" s="15"/>
      <c r="E251" s="15"/>
      <c r="F251" s="15"/>
      <c r="G251" s="15"/>
      <c r="H251" s="15"/>
      <c r="I251" s="15"/>
      <c r="J251" s="15"/>
      <c r="K251" s="15"/>
      <c r="L251" s="28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</row>
    <row r="252" spans="3:49" x14ac:dyDescent="0.2">
      <c r="C252" s="15"/>
      <c r="D252" s="15"/>
      <c r="E252" s="15"/>
      <c r="F252" s="15"/>
      <c r="G252" s="15"/>
      <c r="H252" s="15"/>
      <c r="I252" s="15"/>
      <c r="J252" s="15"/>
      <c r="K252" s="15"/>
      <c r="L252" s="28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</row>
    <row r="253" spans="3:49" x14ac:dyDescent="0.2">
      <c r="C253" s="15"/>
      <c r="D253" s="15"/>
      <c r="E253" s="15"/>
      <c r="F253" s="15"/>
      <c r="G253" s="15"/>
      <c r="H253" s="15"/>
      <c r="I253" s="15"/>
      <c r="J253" s="15"/>
      <c r="K253" s="15"/>
      <c r="L253" s="28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</row>
    <row r="254" spans="3:49" x14ac:dyDescent="0.2">
      <c r="C254" s="15"/>
      <c r="D254" s="15"/>
      <c r="E254" s="15"/>
      <c r="F254" s="15"/>
      <c r="G254" s="15"/>
      <c r="H254" s="15"/>
      <c r="I254" s="15"/>
      <c r="J254" s="15"/>
      <c r="K254" s="15"/>
      <c r="L254" s="28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</row>
    <row r="255" spans="3:49" x14ac:dyDescent="0.2">
      <c r="C255" s="15"/>
      <c r="D255" s="15"/>
      <c r="E255" s="15"/>
      <c r="F255" s="15"/>
      <c r="G255" s="15"/>
      <c r="H255" s="15"/>
      <c r="I255" s="15"/>
      <c r="J255" s="15"/>
      <c r="K255" s="15"/>
      <c r="L255" s="28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</row>
    <row r="256" spans="3:49" x14ac:dyDescent="0.2">
      <c r="C256" s="15"/>
      <c r="D256" s="15"/>
      <c r="E256" s="15"/>
      <c r="F256" s="15"/>
      <c r="G256" s="15"/>
      <c r="H256" s="15"/>
      <c r="I256" s="15"/>
      <c r="J256" s="15"/>
      <c r="K256" s="15"/>
      <c r="L256" s="28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</row>
    <row r="257" spans="3:49" x14ac:dyDescent="0.2">
      <c r="C257" s="15"/>
      <c r="D257" s="15"/>
      <c r="E257" s="15"/>
      <c r="F257" s="15"/>
      <c r="G257" s="15"/>
      <c r="H257" s="15"/>
      <c r="I257" s="15"/>
      <c r="J257" s="15"/>
      <c r="K257" s="15"/>
      <c r="L257" s="28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</row>
    <row r="258" spans="3:49" x14ac:dyDescent="0.2">
      <c r="C258" s="15"/>
      <c r="D258" s="15"/>
      <c r="E258" s="15"/>
      <c r="F258" s="15"/>
      <c r="G258" s="15"/>
      <c r="H258" s="15"/>
      <c r="I258" s="15"/>
      <c r="J258" s="15"/>
      <c r="K258" s="15"/>
      <c r="L258" s="28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</row>
    <row r="259" spans="3:49" x14ac:dyDescent="0.2">
      <c r="C259" s="15"/>
      <c r="D259" s="15"/>
      <c r="E259" s="15"/>
      <c r="F259" s="15"/>
      <c r="G259" s="15"/>
      <c r="H259" s="15"/>
      <c r="I259" s="15"/>
      <c r="J259" s="15"/>
      <c r="K259" s="15"/>
      <c r="L259" s="28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</row>
    <row r="260" spans="3:49" x14ac:dyDescent="0.2">
      <c r="C260" s="15"/>
      <c r="D260" s="15"/>
      <c r="E260" s="15"/>
      <c r="F260" s="15"/>
      <c r="G260" s="15"/>
      <c r="H260" s="15"/>
      <c r="I260" s="15"/>
      <c r="J260" s="15"/>
      <c r="K260" s="15"/>
      <c r="L260" s="28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</row>
    <row r="261" spans="3:49" x14ac:dyDescent="0.2">
      <c r="C261" s="15"/>
      <c r="D261" s="15"/>
      <c r="E261" s="15"/>
      <c r="F261" s="15"/>
      <c r="G261" s="15"/>
      <c r="H261" s="15"/>
      <c r="I261" s="15"/>
      <c r="J261" s="15"/>
      <c r="K261" s="15"/>
      <c r="L261" s="28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</row>
    <row r="262" spans="3:49" x14ac:dyDescent="0.2">
      <c r="C262" s="15"/>
      <c r="D262" s="15"/>
      <c r="E262" s="15"/>
      <c r="F262" s="15"/>
      <c r="G262" s="15"/>
      <c r="H262" s="15"/>
      <c r="I262" s="15"/>
      <c r="J262" s="15"/>
      <c r="K262" s="15"/>
      <c r="L262" s="28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</row>
    <row r="263" spans="3:49" x14ac:dyDescent="0.2">
      <c r="C263" s="15"/>
      <c r="D263" s="15"/>
      <c r="E263" s="15"/>
      <c r="F263" s="15"/>
      <c r="G263" s="15"/>
      <c r="H263" s="15"/>
      <c r="I263" s="15"/>
      <c r="J263" s="15"/>
      <c r="K263" s="15"/>
      <c r="L263" s="28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</row>
    <row r="264" spans="3:49" x14ac:dyDescent="0.2">
      <c r="C264" s="15"/>
      <c r="D264" s="15"/>
      <c r="E264" s="15"/>
      <c r="F264" s="15"/>
      <c r="G264" s="15"/>
      <c r="H264" s="15"/>
      <c r="I264" s="15"/>
      <c r="J264" s="15"/>
      <c r="K264" s="15"/>
      <c r="L264" s="28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</row>
    <row r="265" spans="3:49" x14ac:dyDescent="0.2">
      <c r="C265" s="15"/>
      <c r="D265" s="15"/>
      <c r="E265" s="15"/>
      <c r="F265" s="15"/>
      <c r="G265" s="15"/>
      <c r="H265" s="15"/>
      <c r="I265" s="15"/>
      <c r="J265" s="15"/>
      <c r="K265" s="15"/>
      <c r="L265" s="28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</row>
    <row r="266" spans="3:49" x14ac:dyDescent="0.2">
      <c r="C266" s="15"/>
      <c r="D266" s="15"/>
      <c r="E266" s="15"/>
      <c r="F266" s="15"/>
      <c r="G266" s="15"/>
      <c r="H266" s="15"/>
      <c r="I266" s="15"/>
      <c r="J266" s="15"/>
      <c r="K266" s="15"/>
      <c r="L266" s="28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</row>
    <row r="267" spans="3:49" x14ac:dyDescent="0.2">
      <c r="C267" s="15"/>
      <c r="D267" s="15"/>
      <c r="E267" s="15"/>
      <c r="F267" s="15"/>
      <c r="G267" s="15"/>
      <c r="H267" s="15"/>
      <c r="I267" s="15"/>
      <c r="J267" s="15"/>
      <c r="K267" s="15"/>
      <c r="L267" s="28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</row>
    <row r="268" spans="3:49" x14ac:dyDescent="0.2">
      <c r="C268" s="15"/>
      <c r="D268" s="15"/>
      <c r="E268" s="15"/>
      <c r="F268" s="15"/>
      <c r="G268" s="15"/>
      <c r="H268" s="15"/>
      <c r="I268" s="15"/>
      <c r="J268" s="15"/>
      <c r="K268" s="15"/>
      <c r="L268" s="28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</row>
    <row r="269" spans="3:49" x14ac:dyDescent="0.2">
      <c r="C269" s="15"/>
      <c r="D269" s="15"/>
      <c r="E269" s="15"/>
      <c r="F269" s="15"/>
      <c r="G269" s="15"/>
      <c r="H269" s="15"/>
      <c r="I269" s="15"/>
      <c r="J269" s="15"/>
      <c r="K269" s="15"/>
      <c r="L269" s="28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</row>
    <row r="270" spans="3:49" x14ac:dyDescent="0.2">
      <c r="C270" s="15"/>
      <c r="D270" s="15"/>
      <c r="E270" s="15"/>
      <c r="F270" s="15"/>
      <c r="G270" s="15"/>
      <c r="H270" s="15"/>
      <c r="I270" s="15"/>
      <c r="J270" s="15"/>
      <c r="K270" s="15"/>
      <c r="L270" s="28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</row>
    <row r="271" spans="3:49" x14ac:dyDescent="0.2">
      <c r="C271" s="15"/>
      <c r="D271" s="15"/>
      <c r="E271" s="15"/>
      <c r="F271" s="15"/>
      <c r="G271" s="15"/>
      <c r="H271" s="15"/>
      <c r="I271" s="15"/>
      <c r="J271" s="15"/>
      <c r="K271" s="15"/>
      <c r="L271" s="28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</row>
    <row r="272" spans="3:49" x14ac:dyDescent="0.2">
      <c r="C272" s="15"/>
      <c r="D272" s="15"/>
      <c r="E272" s="15"/>
      <c r="F272" s="15"/>
      <c r="G272" s="15"/>
      <c r="H272" s="15"/>
      <c r="I272" s="15"/>
      <c r="J272" s="15"/>
      <c r="K272" s="15"/>
      <c r="L272" s="28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</row>
    <row r="273" spans="3:49" x14ac:dyDescent="0.2">
      <c r="C273" s="15"/>
      <c r="D273" s="15"/>
      <c r="E273" s="15"/>
      <c r="F273" s="15"/>
      <c r="G273" s="15"/>
      <c r="H273" s="15"/>
      <c r="I273" s="15"/>
      <c r="J273" s="15"/>
      <c r="K273" s="15"/>
      <c r="L273" s="28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</row>
    <row r="274" spans="3:49" x14ac:dyDescent="0.2">
      <c r="C274" s="15"/>
      <c r="D274" s="15"/>
      <c r="E274" s="15"/>
      <c r="F274" s="15"/>
      <c r="G274" s="15"/>
      <c r="H274" s="15"/>
      <c r="I274" s="15"/>
      <c r="J274" s="15"/>
      <c r="K274" s="15"/>
      <c r="L274" s="28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</row>
    <row r="275" spans="3:49" x14ac:dyDescent="0.2">
      <c r="C275" s="15"/>
      <c r="D275" s="15"/>
      <c r="E275" s="15"/>
      <c r="F275" s="15"/>
      <c r="G275" s="15"/>
      <c r="H275" s="15"/>
      <c r="I275" s="15"/>
      <c r="J275" s="15"/>
      <c r="K275" s="15"/>
      <c r="L275" s="28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</row>
    <row r="276" spans="3:49" x14ac:dyDescent="0.2">
      <c r="C276" s="15"/>
      <c r="D276" s="15"/>
      <c r="E276" s="15"/>
      <c r="F276" s="15"/>
      <c r="G276" s="15"/>
      <c r="H276" s="15"/>
      <c r="I276" s="15"/>
      <c r="J276" s="15"/>
      <c r="K276" s="15"/>
      <c r="L276" s="28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</row>
    <row r="277" spans="3:49" x14ac:dyDescent="0.2">
      <c r="C277" s="15"/>
      <c r="D277" s="15"/>
      <c r="E277" s="15"/>
      <c r="F277" s="15"/>
      <c r="G277" s="15"/>
      <c r="H277" s="15"/>
      <c r="I277" s="15"/>
      <c r="J277" s="15"/>
      <c r="K277" s="15"/>
      <c r="L277" s="28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</row>
    <row r="278" spans="3:49" x14ac:dyDescent="0.2">
      <c r="C278" s="15"/>
      <c r="D278" s="15"/>
      <c r="E278" s="15"/>
      <c r="F278" s="15"/>
      <c r="G278" s="15"/>
      <c r="H278" s="15"/>
      <c r="I278" s="15"/>
      <c r="J278" s="15"/>
      <c r="K278" s="15"/>
      <c r="L278" s="28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</row>
    <row r="279" spans="3:49" x14ac:dyDescent="0.2">
      <c r="C279" s="15"/>
      <c r="D279" s="15"/>
      <c r="E279" s="15"/>
      <c r="F279" s="15"/>
      <c r="G279" s="15"/>
      <c r="H279" s="15"/>
      <c r="I279" s="15"/>
      <c r="J279" s="15"/>
      <c r="K279" s="15"/>
      <c r="L279" s="28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</row>
    <row r="280" spans="3:49" x14ac:dyDescent="0.2">
      <c r="C280" s="15"/>
      <c r="D280" s="15"/>
      <c r="E280" s="15"/>
      <c r="F280" s="15"/>
      <c r="G280" s="15"/>
      <c r="H280" s="15"/>
      <c r="I280" s="15"/>
      <c r="J280" s="15"/>
      <c r="K280" s="15"/>
      <c r="L280" s="28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</row>
    <row r="281" spans="3:49" x14ac:dyDescent="0.2">
      <c r="C281" s="15"/>
      <c r="D281" s="15"/>
      <c r="E281" s="15"/>
      <c r="F281" s="15"/>
      <c r="G281" s="15"/>
      <c r="H281" s="15"/>
      <c r="I281" s="15"/>
      <c r="J281" s="15"/>
      <c r="K281" s="15"/>
      <c r="L281" s="28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</row>
    <row r="282" spans="3:49" x14ac:dyDescent="0.2">
      <c r="C282" s="15"/>
      <c r="D282" s="15"/>
      <c r="E282" s="15"/>
      <c r="F282" s="15"/>
      <c r="G282" s="15"/>
      <c r="H282" s="15"/>
      <c r="I282" s="15"/>
      <c r="J282" s="15"/>
      <c r="K282" s="15"/>
      <c r="L282" s="28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</row>
    <row r="283" spans="3:49" x14ac:dyDescent="0.2">
      <c r="C283" s="15"/>
      <c r="D283" s="15"/>
      <c r="E283" s="15"/>
      <c r="F283" s="15"/>
      <c r="G283" s="15"/>
      <c r="H283" s="15"/>
      <c r="I283" s="15"/>
      <c r="J283" s="15"/>
      <c r="K283" s="15"/>
      <c r="L283" s="28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</row>
    <row r="284" spans="3:49" x14ac:dyDescent="0.2">
      <c r="C284" s="15"/>
      <c r="D284" s="15"/>
      <c r="E284" s="15"/>
      <c r="F284" s="15"/>
      <c r="G284" s="15"/>
      <c r="H284" s="15"/>
      <c r="I284" s="15"/>
      <c r="J284" s="15"/>
      <c r="K284" s="15"/>
      <c r="L284" s="28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</row>
    <row r="285" spans="3:49" x14ac:dyDescent="0.2">
      <c r="C285" s="15"/>
      <c r="D285" s="15"/>
      <c r="E285" s="15"/>
      <c r="F285" s="15"/>
      <c r="G285" s="15"/>
      <c r="H285" s="15"/>
      <c r="I285" s="15"/>
      <c r="J285" s="15"/>
      <c r="K285" s="15"/>
      <c r="L285" s="28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</row>
    <row r="286" spans="3:49" x14ac:dyDescent="0.2">
      <c r="C286" s="15"/>
      <c r="D286" s="15"/>
      <c r="E286" s="15"/>
      <c r="F286" s="15"/>
      <c r="G286" s="15"/>
      <c r="H286" s="15"/>
      <c r="I286" s="15"/>
      <c r="J286" s="15"/>
      <c r="K286" s="15"/>
      <c r="L286" s="28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</row>
    <row r="287" spans="3:49" x14ac:dyDescent="0.2">
      <c r="C287" s="15"/>
      <c r="D287" s="15"/>
      <c r="E287" s="15"/>
      <c r="F287" s="15"/>
      <c r="G287" s="15"/>
      <c r="H287" s="15"/>
      <c r="I287" s="15"/>
      <c r="J287" s="15"/>
      <c r="K287" s="15"/>
      <c r="L287" s="28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</row>
    <row r="288" spans="3:49" x14ac:dyDescent="0.2">
      <c r="C288" s="15"/>
      <c r="D288" s="15"/>
      <c r="E288" s="15"/>
      <c r="F288" s="15"/>
      <c r="G288" s="15"/>
      <c r="H288" s="15"/>
      <c r="I288" s="15"/>
      <c r="J288" s="15"/>
      <c r="K288" s="15"/>
      <c r="L288" s="28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</row>
    <row r="289" spans="3:49" x14ac:dyDescent="0.2">
      <c r="C289" s="15"/>
      <c r="D289" s="15"/>
      <c r="E289" s="15"/>
      <c r="F289" s="15"/>
      <c r="G289" s="15"/>
      <c r="H289" s="15"/>
      <c r="I289" s="15"/>
      <c r="J289" s="15"/>
      <c r="K289" s="15"/>
      <c r="L289" s="28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</row>
    <row r="290" spans="3:49" x14ac:dyDescent="0.2">
      <c r="C290" s="15"/>
      <c r="D290" s="15"/>
      <c r="E290" s="15"/>
      <c r="F290" s="15"/>
      <c r="G290" s="15"/>
      <c r="H290" s="15"/>
      <c r="I290" s="15"/>
      <c r="J290" s="15"/>
      <c r="K290" s="15"/>
      <c r="L290" s="28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</row>
    <row r="291" spans="3:49" x14ac:dyDescent="0.2">
      <c r="C291" s="15"/>
      <c r="D291" s="15"/>
      <c r="E291" s="15"/>
      <c r="F291" s="15"/>
      <c r="G291" s="15"/>
      <c r="H291" s="15"/>
      <c r="I291" s="15"/>
      <c r="J291" s="15"/>
      <c r="K291" s="15"/>
      <c r="L291" s="28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</row>
    <row r="292" spans="3:49" x14ac:dyDescent="0.2">
      <c r="C292" s="15"/>
      <c r="D292" s="15"/>
      <c r="E292" s="15"/>
      <c r="F292" s="15"/>
      <c r="G292" s="15"/>
      <c r="H292" s="15"/>
      <c r="I292" s="15"/>
      <c r="J292" s="15"/>
      <c r="K292" s="15"/>
      <c r="L292" s="28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</row>
    <row r="293" spans="3:49" x14ac:dyDescent="0.2">
      <c r="C293" s="15"/>
      <c r="D293" s="15"/>
      <c r="E293" s="15"/>
      <c r="F293" s="15"/>
      <c r="G293" s="15"/>
      <c r="H293" s="15"/>
      <c r="I293" s="15"/>
      <c r="J293" s="15"/>
      <c r="K293" s="15"/>
      <c r="L293" s="28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</row>
    <row r="294" spans="3:49" x14ac:dyDescent="0.2">
      <c r="C294" s="15"/>
      <c r="D294" s="15"/>
      <c r="E294" s="15"/>
      <c r="F294" s="15"/>
      <c r="G294" s="15"/>
      <c r="H294" s="15"/>
      <c r="I294" s="15"/>
      <c r="J294" s="15"/>
      <c r="K294" s="15"/>
      <c r="L294" s="28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</row>
    <row r="295" spans="3:49" x14ac:dyDescent="0.2">
      <c r="C295" s="15"/>
      <c r="D295" s="15"/>
      <c r="E295" s="15"/>
      <c r="F295" s="15"/>
      <c r="G295" s="15"/>
      <c r="H295" s="15"/>
      <c r="I295" s="15"/>
      <c r="J295" s="15"/>
      <c r="K295" s="15"/>
      <c r="L295" s="28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</row>
    <row r="296" spans="3:49" x14ac:dyDescent="0.2">
      <c r="C296" s="15"/>
      <c r="D296" s="15"/>
      <c r="E296" s="15"/>
      <c r="F296" s="15"/>
      <c r="G296" s="15"/>
      <c r="H296" s="15"/>
      <c r="I296" s="15"/>
      <c r="J296" s="15"/>
      <c r="K296" s="15"/>
      <c r="L296" s="28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</row>
    <row r="297" spans="3:49" x14ac:dyDescent="0.2">
      <c r="C297" s="15"/>
      <c r="D297" s="15"/>
      <c r="E297" s="15"/>
      <c r="F297" s="15"/>
      <c r="G297" s="15"/>
      <c r="H297" s="15"/>
      <c r="I297" s="15"/>
      <c r="J297" s="15"/>
      <c r="K297" s="15"/>
      <c r="L297" s="28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</row>
    <row r="298" spans="3:49" x14ac:dyDescent="0.2">
      <c r="C298" s="15"/>
      <c r="D298" s="15"/>
      <c r="E298" s="15"/>
      <c r="F298" s="15"/>
      <c r="G298" s="15"/>
      <c r="H298" s="15"/>
      <c r="I298" s="15"/>
      <c r="J298" s="15"/>
      <c r="K298" s="15"/>
      <c r="L298" s="28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</row>
    <row r="299" spans="3:49" x14ac:dyDescent="0.2">
      <c r="C299" s="15"/>
      <c r="D299" s="15"/>
      <c r="E299" s="15"/>
      <c r="F299" s="15"/>
      <c r="G299" s="15"/>
      <c r="H299" s="15"/>
      <c r="I299" s="15"/>
      <c r="J299" s="15"/>
      <c r="K299" s="15"/>
      <c r="L299" s="28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</row>
    <row r="300" spans="3:49" x14ac:dyDescent="0.2">
      <c r="C300" s="15"/>
      <c r="D300" s="15"/>
      <c r="E300" s="15"/>
      <c r="F300" s="15"/>
      <c r="G300" s="15"/>
      <c r="H300" s="15"/>
      <c r="I300" s="15"/>
      <c r="J300" s="15"/>
      <c r="K300" s="15"/>
      <c r="L300" s="28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</row>
    <row r="301" spans="3:49" x14ac:dyDescent="0.2">
      <c r="C301" s="15"/>
      <c r="D301" s="15"/>
      <c r="E301" s="15"/>
      <c r="F301" s="15"/>
      <c r="G301" s="15"/>
      <c r="H301" s="15"/>
      <c r="I301" s="15"/>
      <c r="J301" s="15"/>
      <c r="K301" s="15"/>
      <c r="L301" s="28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</row>
    <row r="302" spans="3:49" x14ac:dyDescent="0.2">
      <c r="C302" s="15"/>
      <c r="D302" s="15"/>
      <c r="E302" s="15"/>
      <c r="F302" s="15"/>
      <c r="G302" s="15"/>
      <c r="H302" s="15"/>
      <c r="I302" s="15"/>
      <c r="J302" s="15"/>
      <c r="K302" s="15"/>
      <c r="L302" s="28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</row>
    <row r="303" spans="3:49" x14ac:dyDescent="0.2">
      <c r="C303" s="15"/>
      <c r="D303" s="15"/>
      <c r="E303" s="15"/>
      <c r="F303" s="15"/>
      <c r="G303" s="15"/>
      <c r="H303" s="15"/>
      <c r="I303" s="15"/>
      <c r="J303" s="15"/>
      <c r="K303" s="15"/>
      <c r="L303" s="28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</row>
    <row r="304" spans="3:49" x14ac:dyDescent="0.2">
      <c r="C304" s="15"/>
      <c r="D304" s="15"/>
      <c r="E304" s="15"/>
      <c r="F304" s="15"/>
      <c r="G304" s="15"/>
      <c r="H304" s="15"/>
      <c r="I304" s="15"/>
      <c r="J304" s="15"/>
      <c r="K304" s="15"/>
      <c r="L304" s="28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</row>
    <row r="305" spans="3:49" x14ac:dyDescent="0.2">
      <c r="C305" s="15"/>
      <c r="D305" s="15"/>
      <c r="E305" s="15"/>
      <c r="F305" s="15"/>
      <c r="G305" s="15"/>
      <c r="H305" s="15"/>
      <c r="I305" s="15"/>
      <c r="J305" s="15"/>
      <c r="K305" s="15"/>
      <c r="L305" s="28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</row>
    <row r="306" spans="3:49" x14ac:dyDescent="0.2">
      <c r="C306" s="15"/>
      <c r="D306" s="15"/>
      <c r="E306" s="15"/>
      <c r="F306" s="15"/>
      <c r="G306" s="15"/>
      <c r="H306" s="15"/>
      <c r="I306" s="15"/>
      <c r="J306" s="15"/>
      <c r="K306" s="15"/>
      <c r="L306" s="28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</row>
    <row r="307" spans="3:49" x14ac:dyDescent="0.2">
      <c r="C307" s="15"/>
      <c r="D307" s="15"/>
      <c r="E307" s="15"/>
      <c r="F307" s="15"/>
      <c r="G307" s="15"/>
      <c r="H307" s="15"/>
      <c r="I307" s="15"/>
      <c r="J307" s="15"/>
      <c r="K307" s="15"/>
      <c r="L307" s="28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</row>
    <row r="308" spans="3:49" x14ac:dyDescent="0.2">
      <c r="C308" s="15"/>
      <c r="D308" s="15"/>
      <c r="E308" s="15"/>
      <c r="F308" s="15"/>
      <c r="G308" s="15"/>
      <c r="H308" s="15"/>
      <c r="I308" s="15"/>
      <c r="J308" s="15"/>
      <c r="K308" s="15"/>
      <c r="L308" s="28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</row>
    <row r="309" spans="3:49" x14ac:dyDescent="0.2">
      <c r="C309" s="15"/>
      <c r="D309" s="15"/>
      <c r="E309" s="15"/>
      <c r="F309" s="15"/>
      <c r="G309" s="15"/>
      <c r="H309" s="15"/>
      <c r="I309" s="15"/>
      <c r="J309" s="15"/>
      <c r="K309" s="15"/>
      <c r="L309" s="28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</row>
    <row r="310" spans="3:49" x14ac:dyDescent="0.2">
      <c r="C310" s="15"/>
      <c r="D310" s="15"/>
      <c r="E310" s="15"/>
      <c r="F310" s="15"/>
      <c r="G310" s="15"/>
      <c r="H310" s="15"/>
      <c r="I310" s="15"/>
      <c r="J310" s="15"/>
      <c r="K310" s="15"/>
      <c r="L310" s="28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</row>
    <row r="311" spans="3:49" x14ac:dyDescent="0.2">
      <c r="C311" s="15"/>
      <c r="D311" s="15"/>
      <c r="E311" s="15"/>
      <c r="F311" s="15"/>
      <c r="G311" s="15"/>
      <c r="H311" s="15"/>
      <c r="I311" s="15"/>
      <c r="J311" s="15"/>
      <c r="K311" s="15"/>
      <c r="L311" s="28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</row>
    <row r="312" spans="3:49" x14ac:dyDescent="0.2">
      <c r="C312" s="15"/>
      <c r="D312" s="15"/>
      <c r="E312" s="15"/>
      <c r="F312" s="15"/>
      <c r="G312" s="15"/>
      <c r="H312" s="15"/>
      <c r="I312" s="15"/>
      <c r="J312" s="15"/>
      <c r="K312" s="15"/>
      <c r="L312" s="28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</row>
    <row r="313" spans="3:49" x14ac:dyDescent="0.2">
      <c r="C313" s="15"/>
      <c r="D313" s="15"/>
      <c r="E313" s="15"/>
      <c r="F313" s="15"/>
      <c r="G313" s="15"/>
      <c r="H313" s="15"/>
      <c r="I313" s="15"/>
      <c r="J313" s="15"/>
      <c r="K313" s="15"/>
      <c r="L313" s="28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</row>
    <row r="314" spans="3:49" x14ac:dyDescent="0.2">
      <c r="C314" s="15"/>
      <c r="D314" s="15"/>
      <c r="E314" s="15"/>
      <c r="F314" s="15"/>
      <c r="G314" s="15"/>
      <c r="H314" s="15"/>
      <c r="I314" s="15"/>
      <c r="J314" s="15"/>
      <c r="K314" s="15"/>
      <c r="L314" s="28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</row>
    <row r="315" spans="3:49" x14ac:dyDescent="0.2">
      <c r="C315" s="15"/>
      <c r="D315" s="15"/>
      <c r="E315" s="15"/>
      <c r="F315" s="15"/>
      <c r="G315" s="15"/>
      <c r="H315" s="15"/>
      <c r="I315" s="15"/>
      <c r="J315" s="15"/>
      <c r="K315" s="15"/>
      <c r="L315" s="28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</row>
    <row r="316" spans="3:49" x14ac:dyDescent="0.2">
      <c r="C316" s="15"/>
      <c r="D316" s="15"/>
      <c r="E316" s="15"/>
      <c r="F316" s="15"/>
      <c r="G316" s="15"/>
      <c r="H316" s="15"/>
      <c r="I316" s="15"/>
      <c r="J316" s="15"/>
      <c r="K316" s="15"/>
      <c r="L316" s="28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</row>
    <row r="317" spans="3:49" x14ac:dyDescent="0.2">
      <c r="C317" s="15"/>
      <c r="D317" s="15"/>
      <c r="E317" s="15"/>
      <c r="F317" s="15"/>
      <c r="G317" s="15"/>
      <c r="H317" s="15"/>
      <c r="I317" s="15"/>
      <c r="J317" s="15"/>
      <c r="K317" s="15"/>
      <c r="L317" s="28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</row>
    <row r="318" spans="3:49" x14ac:dyDescent="0.2">
      <c r="C318" s="15"/>
      <c r="D318" s="15"/>
      <c r="E318" s="15"/>
      <c r="F318" s="15"/>
      <c r="G318" s="15"/>
      <c r="H318" s="15"/>
      <c r="I318" s="15"/>
      <c r="J318" s="15"/>
      <c r="K318" s="15"/>
      <c r="L318" s="28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</row>
    <row r="319" spans="3:49" x14ac:dyDescent="0.2">
      <c r="C319" s="15"/>
      <c r="D319" s="15"/>
      <c r="E319" s="15"/>
      <c r="F319" s="15"/>
      <c r="G319" s="15"/>
      <c r="H319" s="15"/>
      <c r="I319" s="15"/>
      <c r="J319" s="15"/>
      <c r="K319" s="15"/>
      <c r="L319" s="28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</row>
    <row r="320" spans="3:49" x14ac:dyDescent="0.2">
      <c r="C320" s="15"/>
      <c r="D320" s="15"/>
      <c r="E320" s="15"/>
      <c r="F320" s="15"/>
      <c r="G320" s="15"/>
      <c r="H320" s="15"/>
      <c r="I320" s="15"/>
      <c r="J320" s="15"/>
      <c r="K320" s="15"/>
      <c r="L320" s="28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</row>
    <row r="321" spans="3:49" x14ac:dyDescent="0.2">
      <c r="C321" s="15"/>
      <c r="D321" s="15"/>
      <c r="E321" s="15"/>
      <c r="F321" s="15"/>
      <c r="G321" s="15"/>
      <c r="H321" s="15"/>
      <c r="I321" s="15"/>
      <c r="J321" s="15"/>
      <c r="K321" s="15"/>
      <c r="L321" s="28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</row>
    <row r="322" spans="3:49" x14ac:dyDescent="0.2">
      <c r="C322" s="15"/>
      <c r="D322" s="15"/>
      <c r="E322" s="15"/>
      <c r="F322" s="15"/>
      <c r="G322" s="15"/>
      <c r="H322" s="15"/>
      <c r="I322" s="15"/>
      <c r="J322" s="15"/>
      <c r="K322" s="15"/>
      <c r="L322" s="28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</row>
    <row r="323" spans="3:49" x14ac:dyDescent="0.2">
      <c r="C323" s="15"/>
      <c r="D323" s="15"/>
      <c r="E323" s="15"/>
      <c r="F323" s="15"/>
      <c r="G323" s="15"/>
      <c r="H323" s="15"/>
      <c r="I323" s="15"/>
      <c r="J323" s="15"/>
      <c r="K323" s="15"/>
      <c r="L323" s="28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</row>
    <row r="324" spans="3:49" x14ac:dyDescent="0.2">
      <c r="C324" s="15"/>
      <c r="D324" s="15"/>
      <c r="E324" s="15"/>
      <c r="F324" s="15"/>
      <c r="G324" s="15"/>
      <c r="H324" s="15"/>
      <c r="I324" s="15"/>
      <c r="J324" s="15"/>
      <c r="K324" s="15"/>
      <c r="L324" s="28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</row>
    <row r="325" spans="3:49" x14ac:dyDescent="0.2">
      <c r="C325" s="15"/>
      <c r="D325" s="15"/>
      <c r="E325" s="15"/>
      <c r="F325" s="15"/>
      <c r="G325" s="15"/>
      <c r="H325" s="15"/>
      <c r="I325" s="15"/>
      <c r="J325" s="15"/>
      <c r="K325" s="15"/>
      <c r="L325" s="28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</row>
    <row r="326" spans="3:49" x14ac:dyDescent="0.2">
      <c r="C326" s="15"/>
      <c r="D326" s="15"/>
      <c r="E326" s="15"/>
      <c r="F326" s="15"/>
      <c r="G326" s="15"/>
      <c r="H326" s="15"/>
      <c r="I326" s="15"/>
      <c r="J326" s="15"/>
      <c r="K326" s="15"/>
      <c r="L326" s="28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</row>
    <row r="327" spans="3:49" x14ac:dyDescent="0.2">
      <c r="C327" s="15"/>
      <c r="D327" s="15"/>
      <c r="E327" s="15"/>
      <c r="F327" s="15"/>
      <c r="G327" s="15"/>
      <c r="H327" s="15"/>
      <c r="I327" s="15"/>
      <c r="J327" s="15"/>
      <c r="K327" s="15"/>
      <c r="L327" s="28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</row>
    <row r="328" spans="3:49" x14ac:dyDescent="0.2">
      <c r="C328" s="15"/>
      <c r="D328" s="15"/>
      <c r="E328" s="15"/>
      <c r="F328" s="15"/>
      <c r="G328" s="15"/>
      <c r="H328" s="15"/>
      <c r="I328" s="15"/>
      <c r="J328" s="15"/>
      <c r="K328" s="15"/>
      <c r="L328" s="28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</row>
    <row r="329" spans="3:49" x14ac:dyDescent="0.2">
      <c r="C329" s="15"/>
      <c r="D329" s="15"/>
      <c r="E329" s="15"/>
      <c r="F329" s="15"/>
      <c r="G329" s="15"/>
      <c r="H329" s="15"/>
      <c r="I329" s="15"/>
      <c r="J329" s="15"/>
      <c r="K329" s="15"/>
      <c r="L329" s="28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</row>
    <row r="330" spans="3:49" x14ac:dyDescent="0.2">
      <c r="C330" s="15"/>
      <c r="D330" s="15"/>
      <c r="E330" s="15"/>
      <c r="F330" s="15"/>
      <c r="G330" s="15"/>
      <c r="H330" s="15"/>
      <c r="I330" s="15"/>
      <c r="J330" s="15"/>
      <c r="K330" s="15"/>
      <c r="L330" s="28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</row>
    <row r="331" spans="3:49" x14ac:dyDescent="0.2">
      <c r="C331" s="15"/>
      <c r="D331" s="15"/>
      <c r="E331" s="15"/>
      <c r="F331" s="15"/>
      <c r="G331" s="15"/>
      <c r="H331" s="15"/>
      <c r="I331" s="15"/>
      <c r="J331" s="15"/>
      <c r="K331" s="15"/>
      <c r="L331" s="28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</row>
    <row r="332" spans="3:49" x14ac:dyDescent="0.2">
      <c r="C332" s="15"/>
      <c r="D332" s="15"/>
      <c r="E332" s="15"/>
      <c r="F332" s="15"/>
      <c r="G332" s="15"/>
      <c r="H332" s="15"/>
      <c r="I332" s="15"/>
      <c r="J332" s="15"/>
      <c r="K332" s="15"/>
      <c r="L332" s="28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</row>
    <row r="333" spans="3:49" x14ac:dyDescent="0.2">
      <c r="C333" s="15"/>
      <c r="D333" s="15"/>
      <c r="E333" s="15"/>
      <c r="F333" s="15"/>
      <c r="G333" s="15"/>
      <c r="H333" s="15"/>
      <c r="I333" s="15"/>
      <c r="J333" s="15"/>
      <c r="K333" s="15"/>
      <c r="L333" s="28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</row>
    <row r="334" spans="3:49" x14ac:dyDescent="0.2">
      <c r="C334" s="15"/>
      <c r="D334" s="15"/>
      <c r="E334" s="15"/>
      <c r="F334" s="15"/>
      <c r="G334" s="15"/>
      <c r="H334" s="15"/>
      <c r="I334" s="15"/>
      <c r="J334" s="15"/>
      <c r="K334" s="15"/>
      <c r="L334" s="28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</row>
    <row r="335" spans="3:49" x14ac:dyDescent="0.2">
      <c r="C335" s="15"/>
      <c r="D335" s="15"/>
      <c r="E335" s="15"/>
      <c r="F335" s="15"/>
      <c r="G335" s="15"/>
      <c r="H335" s="15"/>
      <c r="I335" s="15"/>
      <c r="J335" s="15"/>
      <c r="K335" s="15"/>
      <c r="L335" s="28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</row>
    <row r="336" spans="3:49" x14ac:dyDescent="0.2">
      <c r="C336" s="15"/>
      <c r="D336" s="15"/>
      <c r="E336" s="15"/>
      <c r="F336" s="15"/>
      <c r="G336" s="15"/>
      <c r="H336" s="15"/>
      <c r="I336" s="15"/>
      <c r="J336" s="15"/>
      <c r="K336" s="15"/>
      <c r="L336" s="28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</row>
    <row r="337" spans="3:49" x14ac:dyDescent="0.2">
      <c r="C337" s="15"/>
      <c r="D337" s="15"/>
      <c r="E337" s="15"/>
      <c r="F337" s="15"/>
      <c r="G337" s="15"/>
      <c r="H337" s="15"/>
      <c r="I337" s="15"/>
      <c r="J337" s="15"/>
      <c r="K337" s="15"/>
      <c r="L337" s="28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</row>
    <row r="338" spans="3:49" x14ac:dyDescent="0.2">
      <c r="C338" s="15"/>
      <c r="D338" s="15"/>
      <c r="E338" s="15"/>
      <c r="F338" s="15"/>
      <c r="G338" s="15"/>
      <c r="H338" s="15"/>
      <c r="I338" s="15"/>
      <c r="J338" s="15"/>
      <c r="K338" s="15"/>
      <c r="L338" s="28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</row>
    <row r="339" spans="3:49" x14ac:dyDescent="0.2">
      <c r="C339" s="15"/>
      <c r="D339" s="15"/>
      <c r="E339" s="15"/>
      <c r="F339" s="15"/>
      <c r="G339" s="15"/>
      <c r="H339" s="15"/>
      <c r="I339" s="15"/>
      <c r="J339" s="15"/>
      <c r="K339" s="15"/>
      <c r="L339" s="28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</row>
    <row r="340" spans="3:49" x14ac:dyDescent="0.2">
      <c r="C340" s="15"/>
      <c r="D340" s="15"/>
      <c r="E340" s="15"/>
      <c r="F340" s="15"/>
      <c r="G340" s="15"/>
      <c r="H340" s="15"/>
      <c r="I340" s="15"/>
      <c r="J340" s="15"/>
      <c r="K340" s="15"/>
      <c r="L340" s="28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</row>
    <row r="341" spans="3:49" x14ac:dyDescent="0.2">
      <c r="C341" s="15"/>
      <c r="D341" s="15"/>
      <c r="E341" s="15"/>
      <c r="F341" s="15"/>
      <c r="G341" s="15"/>
      <c r="H341" s="15"/>
      <c r="I341" s="15"/>
      <c r="J341" s="15"/>
      <c r="K341" s="15"/>
      <c r="L341" s="28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</row>
    <row r="342" spans="3:49" x14ac:dyDescent="0.2">
      <c r="C342" s="15"/>
      <c r="D342" s="15"/>
      <c r="E342" s="15"/>
      <c r="F342" s="15"/>
      <c r="G342" s="15"/>
      <c r="H342" s="15"/>
      <c r="I342" s="15"/>
      <c r="J342" s="15"/>
      <c r="K342" s="15"/>
      <c r="L342" s="28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</row>
    <row r="343" spans="3:49" x14ac:dyDescent="0.2">
      <c r="C343" s="15"/>
      <c r="D343" s="15"/>
      <c r="E343" s="15"/>
      <c r="F343" s="15"/>
      <c r="G343" s="15"/>
      <c r="H343" s="15"/>
      <c r="I343" s="15"/>
      <c r="J343" s="15"/>
      <c r="K343" s="15"/>
      <c r="L343" s="28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</row>
    <row r="344" spans="3:49" x14ac:dyDescent="0.2">
      <c r="C344" s="15"/>
      <c r="D344" s="15"/>
      <c r="E344" s="15"/>
      <c r="F344" s="15"/>
      <c r="G344" s="15"/>
      <c r="H344" s="15"/>
      <c r="I344" s="15"/>
      <c r="J344" s="15"/>
      <c r="K344" s="15"/>
      <c r="L344" s="28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</row>
    <row r="345" spans="3:49" x14ac:dyDescent="0.2">
      <c r="C345" s="15"/>
      <c r="D345" s="15"/>
      <c r="E345" s="15"/>
      <c r="F345" s="15"/>
      <c r="G345" s="15"/>
      <c r="H345" s="15"/>
      <c r="I345" s="15"/>
      <c r="J345" s="15"/>
      <c r="K345" s="15"/>
      <c r="L345" s="28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</row>
    <row r="346" spans="3:49" x14ac:dyDescent="0.2">
      <c r="C346" s="15"/>
      <c r="D346" s="15"/>
      <c r="E346" s="15"/>
      <c r="F346" s="15"/>
      <c r="G346" s="15"/>
      <c r="H346" s="15"/>
      <c r="I346" s="15"/>
      <c r="J346" s="15"/>
      <c r="K346" s="15"/>
      <c r="L346" s="28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</row>
    <row r="347" spans="3:49" x14ac:dyDescent="0.2">
      <c r="C347" s="15"/>
      <c r="D347" s="15"/>
      <c r="E347" s="15"/>
      <c r="F347" s="15"/>
      <c r="G347" s="15"/>
      <c r="H347" s="15"/>
      <c r="I347" s="15"/>
      <c r="J347" s="15"/>
      <c r="K347" s="15"/>
      <c r="L347" s="28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</row>
    <row r="348" spans="3:49" x14ac:dyDescent="0.2">
      <c r="C348" s="15"/>
      <c r="D348" s="15"/>
      <c r="E348" s="15"/>
      <c r="F348" s="15"/>
      <c r="G348" s="15"/>
      <c r="H348" s="15"/>
      <c r="I348" s="15"/>
      <c r="J348" s="15"/>
      <c r="K348" s="15"/>
      <c r="L348" s="28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</row>
    <row r="349" spans="3:49" x14ac:dyDescent="0.2">
      <c r="C349" s="15"/>
      <c r="D349" s="15"/>
      <c r="E349" s="15"/>
      <c r="F349" s="15"/>
      <c r="G349" s="15"/>
      <c r="H349" s="15"/>
      <c r="I349" s="15"/>
      <c r="J349" s="15"/>
      <c r="K349" s="15"/>
      <c r="L349" s="28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</row>
    <row r="350" spans="3:49" x14ac:dyDescent="0.2">
      <c r="C350" s="15"/>
      <c r="D350" s="15"/>
      <c r="E350" s="15"/>
      <c r="F350" s="15"/>
      <c r="G350" s="15"/>
      <c r="H350" s="15"/>
      <c r="I350" s="15"/>
      <c r="J350" s="15"/>
      <c r="K350" s="15"/>
      <c r="L350" s="28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</row>
    <row r="351" spans="3:49" x14ac:dyDescent="0.2">
      <c r="C351" s="15"/>
      <c r="D351" s="15"/>
      <c r="E351" s="15"/>
      <c r="F351" s="15"/>
      <c r="G351" s="15"/>
      <c r="H351" s="15"/>
      <c r="I351" s="15"/>
      <c r="J351" s="15"/>
      <c r="K351" s="15"/>
      <c r="L351" s="28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</row>
    <row r="352" spans="3:49" x14ac:dyDescent="0.2">
      <c r="C352" s="15"/>
      <c r="D352" s="15"/>
      <c r="E352" s="15"/>
      <c r="F352" s="15"/>
      <c r="G352" s="15"/>
      <c r="H352" s="15"/>
      <c r="I352" s="15"/>
      <c r="J352" s="15"/>
      <c r="K352" s="15"/>
      <c r="L352" s="28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</row>
    <row r="353" spans="3:49" x14ac:dyDescent="0.2">
      <c r="C353" s="15"/>
      <c r="D353" s="15"/>
      <c r="E353" s="15"/>
      <c r="F353" s="15"/>
      <c r="G353" s="15"/>
      <c r="H353" s="15"/>
      <c r="I353" s="15"/>
      <c r="J353" s="15"/>
      <c r="K353" s="15"/>
      <c r="L353" s="28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</row>
    <row r="354" spans="3:49" x14ac:dyDescent="0.2">
      <c r="C354" s="15"/>
      <c r="D354" s="15"/>
      <c r="E354" s="15"/>
      <c r="F354" s="15"/>
      <c r="G354" s="15"/>
      <c r="H354" s="15"/>
      <c r="I354" s="15"/>
      <c r="J354" s="15"/>
      <c r="K354" s="15"/>
      <c r="L354" s="28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</row>
    <row r="355" spans="3:49" x14ac:dyDescent="0.2">
      <c r="C355" s="15"/>
      <c r="D355" s="15"/>
      <c r="E355" s="15"/>
      <c r="F355" s="15"/>
      <c r="G355" s="15"/>
      <c r="H355" s="15"/>
      <c r="I355" s="15"/>
      <c r="J355" s="15"/>
      <c r="K355" s="15"/>
      <c r="L355" s="28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</row>
    <row r="356" spans="3:49" x14ac:dyDescent="0.2">
      <c r="C356" s="15"/>
      <c r="D356" s="15"/>
      <c r="E356" s="15"/>
      <c r="F356" s="15"/>
      <c r="G356" s="15"/>
      <c r="H356" s="15"/>
      <c r="I356" s="15"/>
      <c r="J356" s="15"/>
      <c r="K356" s="15"/>
      <c r="L356" s="28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</row>
    <row r="357" spans="3:49" x14ac:dyDescent="0.2">
      <c r="C357" s="15"/>
      <c r="D357" s="15"/>
      <c r="E357" s="15"/>
      <c r="F357" s="15"/>
      <c r="G357" s="15"/>
      <c r="H357" s="15"/>
      <c r="I357" s="15"/>
      <c r="J357" s="15"/>
      <c r="K357" s="15"/>
      <c r="L357" s="28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</row>
    <row r="358" spans="3:49" x14ac:dyDescent="0.2">
      <c r="C358" s="15"/>
      <c r="D358" s="15"/>
      <c r="E358" s="15"/>
      <c r="F358" s="15"/>
      <c r="G358" s="15"/>
      <c r="H358" s="15"/>
      <c r="I358" s="15"/>
      <c r="J358" s="15"/>
      <c r="K358" s="15"/>
      <c r="L358" s="28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</row>
    <row r="359" spans="3:49" x14ac:dyDescent="0.2">
      <c r="C359" s="15"/>
      <c r="D359" s="15"/>
      <c r="E359" s="15"/>
      <c r="F359" s="15"/>
      <c r="G359" s="15"/>
      <c r="H359" s="15"/>
      <c r="I359" s="15"/>
      <c r="J359" s="15"/>
      <c r="K359" s="15"/>
      <c r="L359" s="28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</row>
    <row r="360" spans="3:49" x14ac:dyDescent="0.2">
      <c r="C360" s="15"/>
      <c r="D360" s="15"/>
      <c r="E360" s="15"/>
      <c r="F360" s="15"/>
      <c r="G360" s="15"/>
      <c r="H360" s="15"/>
      <c r="I360" s="15"/>
      <c r="J360" s="15"/>
      <c r="K360" s="15"/>
      <c r="L360" s="28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</row>
    <row r="361" spans="3:49" x14ac:dyDescent="0.2">
      <c r="C361" s="15"/>
      <c r="D361" s="15"/>
      <c r="E361" s="15"/>
      <c r="F361" s="15"/>
      <c r="G361" s="15"/>
      <c r="H361" s="15"/>
      <c r="I361" s="15"/>
      <c r="J361" s="15"/>
      <c r="K361" s="15"/>
      <c r="L361" s="28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</row>
    <row r="362" spans="3:49" x14ac:dyDescent="0.2">
      <c r="C362" s="15"/>
      <c r="D362" s="15"/>
      <c r="E362" s="15"/>
      <c r="F362" s="15"/>
      <c r="G362" s="15"/>
      <c r="H362" s="15"/>
      <c r="I362" s="15"/>
      <c r="J362" s="15"/>
      <c r="K362" s="15"/>
      <c r="L362" s="28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</row>
    <row r="363" spans="3:49" x14ac:dyDescent="0.2">
      <c r="C363" s="15"/>
      <c r="D363" s="15"/>
      <c r="E363" s="15"/>
      <c r="F363" s="15"/>
      <c r="G363" s="15"/>
      <c r="H363" s="15"/>
      <c r="I363" s="15"/>
      <c r="J363" s="15"/>
      <c r="K363" s="15"/>
      <c r="L363" s="28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</row>
    <row r="364" spans="3:49" x14ac:dyDescent="0.2">
      <c r="C364" s="15"/>
      <c r="D364" s="15"/>
      <c r="E364" s="15"/>
      <c r="F364" s="15"/>
      <c r="G364" s="15"/>
      <c r="H364" s="15"/>
      <c r="I364" s="15"/>
      <c r="J364" s="15"/>
      <c r="K364" s="15"/>
      <c r="L364" s="28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</row>
    <row r="365" spans="3:49" x14ac:dyDescent="0.2">
      <c r="C365" s="15"/>
      <c r="D365" s="15"/>
      <c r="E365" s="15"/>
      <c r="F365" s="15"/>
      <c r="G365" s="15"/>
      <c r="H365" s="15"/>
      <c r="I365" s="15"/>
      <c r="J365" s="15"/>
      <c r="K365" s="15"/>
      <c r="L365" s="28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</row>
    <row r="366" spans="3:49" x14ac:dyDescent="0.2">
      <c r="C366" s="15"/>
      <c r="D366" s="15"/>
      <c r="E366" s="15"/>
      <c r="F366" s="15"/>
      <c r="G366" s="15"/>
      <c r="H366" s="15"/>
      <c r="I366" s="15"/>
      <c r="J366" s="15"/>
      <c r="K366" s="15"/>
      <c r="L366" s="28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</row>
    <row r="367" spans="3:49" x14ac:dyDescent="0.2">
      <c r="C367" s="15"/>
      <c r="D367" s="15"/>
      <c r="E367" s="15"/>
      <c r="F367" s="15"/>
      <c r="G367" s="15"/>
      <c r="H367" s="15"/>
      <c r="I367" s="15"/>
      <c r="J367" s="15"/>
      <c r="K367" s="15"/>
      <c r="L367" s="28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</row>
    <row r="368" spans="3:49" x14ac:dyDescent="0.2">
      <c r="C368" s="15"/>
      <c r="D368" s="15"/>
      <c r="E368" s="15"/>
      <c r="F368" s="15"/>
      <c r="G368" s="15"/>
      <c r="H368" s="15"/>
      <c r="I368" s="15"/>
      <c r="J368" s="15"/>
      <c r="K368" s="15"/>
      <c r="L368" s="28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</row>
    <row r="369" spans="3:49" x14ac:dyDescent="0.2">
      <c r="C369" s="15"/>
      <c r="D369" s="15"/>
      <c r="E369" s="15"/>
      <c r="F369" s="15"/>
      <c r="G369" s="15"/>
      <c r="H369" s="15"/>
      <c r="I369" s="15"/>
      <c r="J369" s="15"/>
      <c r="K369" s="15"/>
      <c r="L369" s="28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</row>
    <row r="370" spans="3:49" x14ac:dyDescent="0.2">
      <c r="C370" s="15"/>
      <c r="D370" s="15"/>
      <c r="E370" s="15"/>
      <c r="F370" s="15"/>
      <c r="G370" s="15"/>
      <c r="H370" s="15"/>
      <c r="I370" s="15"/>
      <c r="J370" s="15"/>
      <c r="K370" s="15"/>
      <c r="L370" s="28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</row>
    <row r="371" spans="3:49" x14ac:dyDescent="0.2">
      <c r="C371" s="15"/>
      <c r="D371" s="15"/>
      <c r="E371" s="15"/>
      <c r="F371" s="15"/>
      <c r="G371" s="15"/>
      <c r="H371" s="15"/>
      <c r="I371" s="15"/>
      <c r="J371" s="15"/>
      <c r="K371" s="15"/>
      <c r="L371" s="28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</row>
    <row r="372" spans="3:49" x14ac:dyDescent="0.2">
      <c r="C372" s="15"/>
      <c r="D372" s="15"/>
      <c r="E372" s="15"/>
      <c r="F372" s="15"/>
      <c r="G372" s="15"/>
      <c r="H372" s="15"/>
      <c r="I372" s="15"/>
      <c r="J372" s="15"/>
      <c r="K372" s="15"/>
      <c r="L372" s="28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</row>
    <row r="373" spans="3:49" x14ac:dyDescent="0.2">
      <c r="C373" s="15"/>
      <c r="D373" s="15"/>
      <c r="E373" s="15"/>
      <c r="F373" s="15"/>
      <c r="G373" s="15"/>
      <c r="H373" s="15"/>
      <c r="I373" s="15"/>
      <c r="J373" s="15"/>
      <c r="K373" s="15"/>
      <c r="L373" s="28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</row>
    <row r="374" spans="3:49" x14ac:dyDescent="0.2">
      <c r="C374" s="15"/>
      <c r="D374" s="15"/>
      <c r="E374" s="15"/>
      <c r="F374" s="15"/>
      <c r="G374" s="15"/>
      <c r="H374" s="15"/>
      <c r="I374" s="15"/>
      <c r="J374" s="15"/>
      <c r="K374" s="15"/>
      <c r="L374" s="28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</row>
    <row r="375" spans="3:49" x14ac:dyDescent="0.2">
      <c r="C375" s="15"/>
      <c r="D375" s="15"/>
      <c r="E375" s="15"/>
      <c r="F375" s="15"/>
      <c r="G375" s="15"/>
      <c r="H375" s="15"/>
      <c r="I375" s="15"/>
      <c r="J375" s="15"/>
      <c r="K375" s="15"/>
      <c r="L375" s="28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</row>
    <row r="376" spans="3:49" x14ac:dyDescent="0.2">
      <c r="C376" s="15"/>
      <c r="D376" s="15"/>
      <c r="E376" s="15"/>
      <c r="F376" s="15"/>
      <c r="G376" s="15"/>
      <c r="H376" s="15"/>
      <c r="I376" s="15"/>
      <c r="J376" s="15"/>
      <c r="K376" s="15"/>
      <c r="L376" s="28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</row>
    <row r="377" spans="3:49" x14ac:dyDescent="0.2">
      <c r="C377" s="15"/>
      <c r="D377" s="15"/>
      <c r="E377" s="15"/>
      <c r="F377" s="15"/>
      <c r="G377" s="15"/>
      <c r="H377" s="15"/>
      <c r="I377" s="15"/>
      <c r="J377" s="15"/>
      <c r="K377" s="15"/>
      <c r="L377" s="28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</row>
    <row r="378" spans="3:49" x14ac:dyDescent="0.2">
      <c r="C378" s="15"/>
      <c r="D378" s="15"/>
      <c r="E378" s="15"/>
      <c r="F378" s="15"/>
      <c r="G378" s="15"/>
      <c r="H378" s="15"/>
      <c r="I378" s="15"/>
      <c r="J378" s="15"/>
      <c r="K378" s="15"/>
      <c r="L378" s="28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</row>
    <row r="379" spans="3:49" x14ac:dyDescent="0.2">
      <c r="C379" s="15"/>
      <c r="D379" s="15"/>
      <c r="E379" s="15"/>
      <c r="F379" s="15"/>
      <c r="G379" s="15"/>
      <c r="H379" s="15"/>
      <c r="I379" s="15"/>
      <c r="J379" s="15"/>
      <c r="K379" s="15"/>
      <c r="L379" s="28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</row>
    <row r="380" spans="3:49" x14ac:dyDescent="0.2">
      <c r="C380" s="15"/>
      <c r="D380" s="15"/>
      <c r="E380" s="15"/>
      <c r="F380" s="15"/>
      <c r="G380" s="15"/>
      <c r="H380" s="15"/>
      <c r="I380" s="15"/>
      <c r="J380" s="15"/>
      <c r="K380" s="15"/>
      <c r="L380" s="28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</row>
    <row r="381" spans="3:49" x14ac:dyDescent="0.2">
      <c r="C381" s="15"/>
      <c r="D381" s="15"/>
      <c r="E381" s="15"/>
      <c r="F381" s="15"/>
      <c r="G381" s="15"/>
      <c r="H381" s="15"/>
      <c r="I381" s="15"/>
      <c r="J381" s="15"/>
      <c r="K381" s="15"/>
      <c r="L381" s="28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</row>
    <row r="382" spans="3:49" x14ac:dyDescent="0.2">
      <c r="C382" s="15"/>
      <c r="D382" s="15"/>
      <c r="E382" s="15"/>
      <c r="F382" s="15"/>
      <c r="G382" s="15"/>
      <c r="H382" s="15"/>
      <c r="I382" s="15"/>
      <c r="J382" s="15"/>
      <c r="K382" s="15"/>
      <c r="L382" s="28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</row>
    <row r="383" spans="3:49" x14ac:dyDescent="0.2">
      <c r="C383" s="15"/>
      <c r="D383" s="15"/>
      <c r="E383" s="15"/>
      <c r="F383" s="15"/>
      <c r="G383" s="15"/>
      <c r="H383" s="15"/>
      <c r="I383" s="15"/>
      <c r="J383" s="15"/>
      <c r="K383" s="15"/>
      <c r="L383" s="28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</row>
    <row r="384" spans="3:49" x14ac:dyDescent="0.2">
      <c r="C384" s="15"/>
      <c r="D384" s="15"/>
      <c r="E384" s="15"/>
      <c r="F384" s="15"/>
      <c r="G384" s="15"/>
      <c r="H384" s="15"/>
      <c r="I384" s="15"/>
      <c r="J384" s="15"/>
      <c r="K384" s="15"/>
      <c r="L384" s="28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</row>
    <row r="385" spans="3:49" x14ac:dyDescent="0.2">
      <c r="C385" s="15"/>
      <c r="D385" s="15"/>
      <c r="E385" s="15"/>
      <c r="F385" s="15"/>
      <c r="G385" s="15"/>
      <c r="H385" s="15"/>
      <c r="I385" s="15"/>
      <c r="J385" s="15"/>
      <c r="K385" s="15"/>
      <c r="L385" s="28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</row>
    <row r="386" spans="3:49" x14ac:dyDescent="0.2">
      <c r="C386" s="15"/>
      <c r="D386" s="15"/>
      <c r="E386" s="15"/>
      <c r="F386" s="15"/>
      <c r="G386" s="15"/>
      <c r="H386" s="15"/>
      <c r="I386" s="15"/>
      <c r="J386" s="15"/>
      <c r="K386" s="15"/>
      <c r="L386" s="28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</row>
    <row r="387" spans="3:49" x14ac:dyDescent="0.2">
      <c r="C387" s="15"/>
      <c r="D387" s="15"/>
      <c r="E387" s="15"/>
      <c r="F387" s="15"/>
      <c r="G387" s="15"/>
      <c r="H387" s="15"/>
      <c r="I387" s="15"/>
      <c r="J387" s="15"/>
      <c r="K387" s="15"/>
      <c r="L387" s="28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</row>
    <row r="388" spans="3:49" x14ac:dyDescent="0.2">
      <c r="C388" s="15"/>
      <c r="D388" s="15"/>
      <c r="E388" s="15"/>
      <c r="F388" s="15"/>
      <c r="G388" s="15"/>
      <c r="H388" s="15"/>
      <c r="I388" s="15"/>
      <c r="J388" s="15"/>
      <c r="K388" s="15"/>
      <c r="L388" s="28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</row>
    <row r="389" spans="3:49" x14ac:dyDescent="0.2">
      <c r="C389" s="15"/>
      <c r="D389" s="15"/>
      <c r="E389" s="15"/>
      <c r="F389" s="15"/>
      <c r="G389" s="15"/>
      <c r="H389" s="15"/>
      <c r="I389" s="15"/>
      <c r="J389" s="15"/>
      <c r="K389" s="15"/>
      <c r="L389" s="28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</row>
    <row r="390" spans="3:49" x14ac:dyDescent="0.2">
      <c r="C390" s="15"/>
      <c r="D390" s="15"/>
      <c r="E390" s="15"/>
      <c r="F390" s="15"/>
      <c r="G390" s="15"/>
      <c r="H390" s="15"/>
      <c r="I390" s="15"/>
      <c r="J390" s="15"/>
      <c r="K390" s="15"/>
      <c r="L390" s="28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</row>
    <row r="391" spans="3:49" x14ac:dyDescent="0.2">
      <c r="C391" s="15"/>
      <c r="D391" s="15"/>
      <c r="E391" s="15"/>
      <c r="F391" s="15"/>
      <c r="G391" s="15"/>
      <c r="H391" s="15"/>
      <c r="I391" s="15"/>
      <c r="J391" s="15"/>
      <c r="K391" s="15"/>
      <c r="L391" s="28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</row>
    <row r="392" spans="3:49" x14ac:dyDescent="0.2">
      <c r="C392" s="15"/>
      <c r="D392" s="15"/>
      <c r="E392" s="15"/>
      <c r="F392" s="15"/>
      <c r="G392" s="15"/>
      <c r="H392" s="15"/>
      <c r="I392" s="15"/>
      <c r="J392" s="15"/>
      <c r="K392" s="15"/>
      <c r="L392" s="28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</row>
    <row r="393" spans="3:49" x14ac:dyDescent="0.2">
      <c r="C393" s="15"/>
      <c r="D393" s="15"/>
      <c r="E393" s="15"/>
      <c r="F393" s="15"/>
      <c r="G393" s="15"/>
      <c r="H393" s="15"/>
      <c r="I393" s="15"/>
      <c r="J393" s="15"/>
      <c r="K393" s="15"/>
      <c r="L393" s="28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</row>
    <row r="394" spans="3:49" x14ac:dyDescent="0.2">
      <c r="C394" s="15"/>
      <c r="D394" s="15"/>
      <c r="E394" s="15"/>
      <c r="F394" s="15"/>
      <c r="G394" s="15"/>
      <c r="H394" s="15"/>
      <c r="I394" s="15"/>
      <c r="J394" s="15"/>
      <c r="K394" s="15"/>
      <c r="L394" s="28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</row>
    <row r="395" spans="3:49" x14ac:dyDescent="0.2">
      <c r="C395" s="15"/>
      <c r="D395" s="15"/>
      <c r="E395" s="15"/>
      <c r="F395" s="15"/>
      <c r="G395" s="15"/>
      <c r="H395" s="15"/>
      <c r="I395" s="15"/>
      <c r="J395" s="15"/>
      <c r="K395" s="15"/>
      <c r="L395" s="28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</row>
    <row r="396" spans="3:49" x14ac:dyDescent="0.2">
      <c r="C396" s="15"/>
      <c r="D396" s="15"/>
      <c r="E396" s="15"/>
      <c r="F396" s="15"/>
      <c r="G396" s="15"/>
      <c r="H396" s="15"/>
      <c r="I396" s="15"/>
      <c r="J396" s="15"/>
      <c r="K396" s="15"/>
      <c r="L396" s="28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</row>
    <row r="397" spans="3:49" x14ac:dyDescent="0.2">
      <c r="C397" s="15"/>
      <c r="D397" s="15"/>
      <c r="E397" s="15"/>
      <c r="F397" s="15"/>
      <c r="G397" s="15"/>
      <c r="H397" s="15"/>
      <c r="I397" s="15"/>
      <c r="J397" s="15"/>
      <c r="K397" s="15"/>
      <c r="L397" s="28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</row>
    <row r="398" spans="3:49" x14ac:dyDescent="0.2">
      <c r="C398" s="15"/>
      <c r="D398" s="15"/>
      <c r="E398" s="15"/>
      <c r="F398" s="15"/>
      <c r="G398" s="15"/>
      <c r="H398" s="15"/>
      <c r="I398" s="15"/>
      <c r="J398" s="15"/>
      <c r="K398" s="15"/>
      <c r="L398" s="28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</row>
    <row r="399" spans="3:49" x14ac:dyDescent="0.2">
      <c r="C399" s="15"/>
      <c r="D399" s="15"/>
      <c r="E399" s="15"/>
      <c r="F399" s="15"/>
      <c r="G399" s="15"/>
      <c r="H399" s="15"/>
      <c r="I399" s="15"/>
      <c r="J399" s="15"/>
      <c r="K399" s="15"/>
      <c r="L399" s="28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</row>
    <row r="400" spans="3:49" x14ac:dyDescent="0.2">
      <c r="C400" s="15"/>
      <c r="D400" s="15"/>
      <c r="E400" s="15"/>
      <c r="F400" s="15"/>
      <c r="G400" s="15"/>
      <c r="H400" s="15"/>
      <c r="I400" s="15"/>
      <c r="J400" s="15"/>
      <c r="K400" s="15"/>
      <c r="L400" s="28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</row>
    <row r="401" spans="3:49" x14ac:dyDescent="0.2">
      <c r="C401" s="15"/>
      <c r="D401" s="15"/>
      <c r="E401" s="15"/>
      <c r="F401" s="15"/>
      <c r="G401" s="15"/>
      <c r="H401" s="15"/>
      <c r="I401" s="15"/>
      <c r="J401" s="15"/>
      <c r="K401" s="15"/>
      <c r="L401" s="28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</row>
    <row r="402" spans="3:49" x14ac:dyDescent="0.2">
      <c r="C402" s="15"/>
      <c r="D402" s="15"/>
      <c r="E402" s="15"/>
      <c r="F402" s="15"/>
      <c r="G402" s="15"/>
      <c r="H402" s="15"/>
      <c r="I402" s="15"/>
      <c r="J402" s="15"/>
      <c r="K402" s="15"/>
      <c r="L402" s="28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</row>
    <row r="403" spans="3:49" x14ac:dyDescent="0.2">
      <c r="C403" s="15"/>
      <c r="D403" s="15"/>
      <c r="E403" s="15"/>
      <c r="F403" s="15"/>
      <c r="G403" s="15"/>
      <c r="H403" s="15"/>
      <c r="I403" s="15"/>
      <c r="J403" s="15"/>
      <c r="K403" s="15"/>
      <c r="L403" s="28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</row>
    <row r="404" spans="3:49" x14ac:dyDescent="0.2">
      <c r="C404" s="15"/>
      <c r="D404" s="15"/>
      <c r="E404" s="15"/>
      <c r="F404" s="15"/>
      <c r="G404" s="15"/>
      <c r="H404" s="15"/>
      <c r="I404" s="15"/>
      <c r="J404" s="15"/>
      <c r="K404" s="15"/>
      <c r="L404" s="28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</row>
    <row r="405" spans="3:49" x14ac:dyDescent="0.2">
      <c r="C405" s="15"/>
      <c r="D405" s="15"/>
      <c r="E405" s="15"/>
      <c r="F405" s="15"/>
      <c r="G405" s="15"/>
      <c r="H405" s="15"/>
      <c r="I405" s="15"/>
      <c r="J405" s="15"/>
      <c r="K405" s="15"/>
      <c r="L405" s="28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</row>
    <row r="406" spans="3:49" x14ac:dyDescent="0.2">
      <c r="C406" s="15"/>
      <c r="D406" s="15"/>
      <c r="E406" s="15"/>
      <c r="F406" s="15"/>
      <c r="G406" s="15"/>
      <c r="H406" s="15"/>
      <c r="I406" s="15"/>
      <c r="J406" s="15"/>
      <c r="K406" s="15"/>
      <c r="L406" s="28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</row>
    <row r="407" spans="3:49" x14ac:dyDescent="0.2">
      <c r="C407" s="15"/>
      <c r="D407" s="15"/>
      <c r="E407" s="15"/>
      <c r="F407" s="15"/>
      <c r="G407" s="15"/>
      <c r="H407" s="15"/>
      <c r="I407" s="15"/>
      <c r="J407" s="15"/>
      <c r="K407" s="15"/>
      <c r="L407" s="28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</row>
    <row r="408" spans="3:49" x14ac:dyDescent="0.2">
      <c r="C408" s="15"/>
      <c r="D408" s="15"/>
      <c r="E408" s="15"/>
      <c r="F408" s="15"/>
      <c r="G408" s="15"/>
      <c r="H408" s="15"/>
      <c r="I408" s="15"/>
      <c r="J408" s="15"/>
      <c r="K408" s="15"/>
      <c r="L408" s="28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</row>
    <row r="409" spans="3:49" x14ac:dyDescent="0.2">
      <c r="C409" s="15"/>
      <c r="D409" s="15"/>
      <c r="E409" s="15"/>
      <c r="F409" s="15"/>
      <c r="G409" s="15"/>
      <c r="H409" s="15"/>
      <c r="I409" s="15"/>
      <c r="J409" s="15"/>
      <c r="K409" s="15"/>
      <c r="L409" s="28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</row>
    <row r="410" spans="3:49" x14ac:dyDescent="0.2">
      <c r="C410" s="15"/>
      <c r="D410" s="15"/>
      <c r="E410" s="15"/>
      <c r="F410" s="15"/>
      <c r="G410" s="15"/>
      <c r="H410" s="15"/>
      <c r="I410" s="15"/>
      <c r="J410" s="15"/>
      <c r="K410" s="15"/>
      <c r="L410" s="28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</row>
    <row r="411" spans="3:49" x14ac:dyDescent="0.2">
      <c r="C411" s="15"/>
      <c r="D411" s="15"/>
      <c r="E411" s="15"/>
      <c r="F411" s="15"/>
      <c r="G411" s="15"/>
      <c r="H411" s="15"/>
      <c r="I411" s="15"/>
      <c r="J411" s="15"/>
      <c r="K411" s="15"/>
      <c r="L411" s="28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</row>
    <row r="412" spans="3:49" x14ac:dyDescent="0.2">
      <c r="C412" s="15"/>
      <c r="D412" s="15"/>
      <c r="E412" s="15"/>
      <c r="F412" s="15"/>
      <c r="G412" s="15"/>
      <c r="H412" s="15"/>
      <c r="I412" s="15"/>
      <c r="J412" s="15"/>
      <c r="K412" s="15"/>
      <c r="L412" s="28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</row>
    <row r="413" spans="3:49" x14ac:dyDescent="0.2">
      <c r="C413" s="15"/>
      <c r="D413" s="15"/>
      <c r="E413" s="15"/>
      <c r="F413" s="15"/>
      <c r="G413" s="15"/>
      <c r="H413" s="15"/>
      <c r="I413" s="15"/>
      <c r="J413" s="15"/>
      <c r="K413" s="15"/>
      <c r="L413" s="28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</row>
    <row r="414" spans="3:49" x14ac:dyDescent="0.2">
      <c r="C414" s="15"/>
      <c r="D414" s="15"/>
      <c r="E414" s="15"/>
      <c r="F414" s="15"/>
      <c r="G414" s="15"/>
      <c r="H414" s="15"/>
      <c r="I414" s="15"/>
      <c r="J414" s="15"/>
      <c r="K414" s="15"/>
      <c r="L414" s="28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</row>
    <row r="415" spans="3:49" x14ac:dyDescent="0.2">
      <c r="C415" s="15"/>
      <c r="D415" s="15"/>
      <c r="E415" s="15"/>
      <c r="F415" s="15"/>
      <c r="G415" s="15"/>
      <c r="H415" s="15"/>
      <c r="I415" s="15"/>
      <c r="J415" s="15"/>
      <c r="K415" s="15"/>
      <c r="L415" s="28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</row>
    <row r="416" spans="3:49" x14ac:dyDescent="0.2">
      <c r="C416" s="15"/>
      <c r="D416" s="15"/>
      <c r="E416" s="15"/>
      <c r="F416" s="15"/>
      <c r="G416" s="15"/>
      <c r="H416" s="15"/>
      <c r="I416" s="15"/>
      <c r="J416" s="15"/>
      <c r="K416" s="15"/>
      <c r="L416" s="28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</row>
    <row r="417" spans="3:49" x14ac:dyDescent="0.2">
      <c r="C417" s="15"/>
      <c r="D417" s="15"/>
      <c r="E417" s="15"/>
      <c r="F417" s="15"/>
      <c r="G417" s="15"/>
      <c r="H417" s="15"/>
      <c r="I417" s="15"/>
      <c r="J417" s="15"/>
      <c r="K417" s="15"/>
      <c r="L417" s="28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</row>
    <row r="418" spans="3:49" x14ac:dyDescent="0.2">
      <c r="C418" s="15"/>
      <c r="D418" s="15"/>
      <c r="E418" s="15"/>
      <c r="F418" s="15"/>
      <c r="G418" s="15"/>
      <c r="H418" s="15"/>
      <c r="I418" s="15"/>
      <c r="J418" s="15"/>
      <c r="K418" s="15"/>
      <c r="L418" s="28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</row>
    <row r="419" spans="3:49" x14ac:dyDescent="0.2">
      <c r="C419" s="15"/>
      <c r="D419" s="15"/>
      <c r="E419" s="15"/>
      <c r="F419" s="15"/>
      <c r="G419" s="15"/>
      <c r="H419" s="15"/>
      <c r="I419" s="15"/>
      <c r="J419" s="15"/>
      <c r="K419" s="15"/>
      <c r="L419" s="28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</row>
    <row r="420" spans="3:49" x14ac:dyDescent="0.2">
      <c r="C420" s="15"/>
      <c r="D420" s="15"/>
      <c r="E420" s="15"/>
      <c r="F420" s="15"/>
      <c r="G420" s="15"/>
      <c r="H420" s="15"/>
      <c r="I420" s="15"/>
      <c r="J420" s="15"/>
      <c r="K420" s="15"/>
      <c r="L420" s="28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</row>
    <row r="421" spans="3:49" x14ac:dyDescent="0.2">
      <c r="C421" s="15"/>
      <c r="D421" s="15"/>
      <c r="E421" s="15"/>
      <c r="F421" s="15"/>
      <c r="G421" s="15"/>
      <c r="H421" s="15"/>
      <c r="I421" s="15"/>
      <c r="J421" s="15"/>
      <c r="K421" s="15"/>
      <c r="L421" s="28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</row>
    <row r="422" spans="3:49" x14ac:dyDescent="0.2">
      <c r="C422" s="15"/>
      <c r="D422" s="15"/>
      <c r="E422" s="15"/>
      <c r="F422" s="15"/>
      <c r="G422" s="15"/>
      <c r="H422" s="15"/>
      <c r="I422" s="15"/>
      <c r="J422" s="15"/>
      <c r="K422" s="15"/>
      <c r="L422" s="28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</row>
    <row r="423" spans="3:49" x14ac:dyDescent="0.2">
      <c r="C423" s="15"/>
      <c r="D423" s="15"/>
      <c r="E423" s="15"/>
      <c r="F423" s="15"/>
      <c r="G423" s="15"/>
      <c r="H423" s="15"/>
      <c r="I423" s="15"/>
      <c r="J423" s="15"/>
      <c r="K423" s="15"/>
      <c r="L423" s="28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</row>
    <row r="424" spans="3:49" x14ac:dyDescent="0.2">
      <c r="C424" s="15"/>
      <c r="D424" s="15"/>
      <c r="E424" s="15"/>
      <c r="F424" s="15"/>
      <c r="G424" s="15"/>
      <c r="H424" s="15"/>
      <c r="I424" s="15"/>
      <c r="J424" s="15"/>
      <c r="K424" s="15"/>
      <c r="L424" s="28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</row>
    <row r="425" spans="3:49" x14ac:dyDescent="0.2">
      <c r="C425" s="15"/>
      <c r="D425" s="15"/>
      <c r="E425" s="15"/>
      <c r="F425" s="15"/>
      <c r="G425" s="15"/>
      <c r="H425" s="15"/>
      <c r="I425" s="15"/>
      <c r="J425" s="15"/>
      <c r="K425" s="15"/>
      <c r="L425" s="28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</row>
    <row r="426" spans="3:49" x14ac:dyDescent="0.2">
      <c r="C426" s="15"/>
      <c r="D426" s="15"/>
      <c r="E426" s="15"/>
      <c r="F426" s="15"/>
      <c r="G426" s="15"/>
      <c r="H426" s="15"/>
      <c r="I426" s="15"/>
      <c r="J426" s="15"/>
      <c r="K426" s="15"/>
      <c r="L426" s="28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</row>
    <row r="427" spans="3:49" x14ac:dyDescent="0.2">
      <c r="C427" s="15"/>
      <c r="D427" s="15"/>
      <c r="E427" s="15"/>
      <c r="F427" s="15"/>
      <c r="G427" s="15"/>
      <c r="H427" s="15"/>
      <c r="I427" s="15"/>
      <c r="J427" s="15"/>
      <c r="K427" s="15"/>
      <c r="L427" s="28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</row>
    <row r="428" spans="3:49" x14ac:dyDescent="0.2">
      <c r="C428" s="15"/>
      <c r="D428" s="15"/>
      <c r="E428" s="15"/>
      <c r="F428" s="15"/>
      <c r="G428" s="15"/>
      <c r="H428" s="15"/>
      <c r="I428" s="15"/>
      <c r="J428" s="15"/>
      <c r="K428" s="15"/>
      <c r="L428" s="28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</row>
    <row r="429" spans="3:49" x14ac:dyDescent="0.2">
      <c r="C429" s="15"/>
      <c r="D429" s="15"/>
      <c r="E429" s="15"/>
      <c r="F429" s="15"/>
      <c r="G429" s="15"/>
      <c r="H429" s="15"/>
      <c r="I429" s="15"/>
      <c r="J429" s="15"/>
      <c r="K429" s="15"/>
      <c r="L429" s="28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</row>
    <row r="430" spans="3:49" x14ac:dyDescent="0.2">
      <c r="C430" s="15"/>
      <c r="D430" s="15"/>
      <c r="E430" s="15"/>
      <c r="F430" s="15"/>
      <c r="G430" s="15"/>
      <c r="H430" s="15"/>
      <c r="I430" s="15"/>
      <c r="J430" s="15"/>
      <c r="K430" s="15"/>
      <c r="L430" s="28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</row>
    <row r="431" spans="3:49" x14ac:dyDescent="0.2">
      <c r="C431" s="15"/>
      <c r="D431" s="15"/>
      <c r="E431" s="15"/>
      <c r="F431" s="15"/>
      <c r="G431" s="15"/>
      <c r="H431" s="15"/>
      <c r="I431" s="15"/>
      <c r="J431" s="15"/>
      <c r="K431" s="15"/>
      <c r="L431" s="28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</row>
    <row r="432" spans="3:49" x14ac:dyDescent="0.2">
      <c r="C432" s="15"/>
      <c r="D432" s="15"/>
      <c r="E432" s="15"/>
      <c r="F432" s="15"/>
      <c r="G432" s="15"/>
      <c r="H432" s="15"/>
      <c r="I432" s="15"/>
      <c r="J432" s="15"/>
      <c r="K432" s="15"/>
      <c r="L432" s="28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</row>
    <row r="433" spans="3:49" x14ac:dyDescent="0.2">
      <c r="C433" s="15"/>
      <c r="D433" s="15"/>
      <c r="E433" s="15"/>
      <c r="F433" s="15"/>
      <c r="G433" s="15"/>
      <c r="H433" s="15"/>
      <c r="I433" s="15"/>
      <c r="J433" s="15"/>
      <c r="K433" s="15"/>
      <c r="L433" s="28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</row>
    <row r="434" spans="3:49" x14ac:dyDescent="0.2">
      <c r="C434" s="15"/>
      <c r="D434" s="15"/>
      <c r="E434" s="15"/>
      <c r="F434" s="15"/>
      <c r="G434" s="15"/>
      <c r="H434" s="15"/>
      <c r="I434" s="15"/>
      <c r="J434" s="15"/>
      <c r="K434" s="15"/>
      <c r="L434" s="28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</row>
    <row r="435" spans="3:49" x14ac:dyDescent="0.2">
      <c r="C435" s="15"/>
      <c r="D435" s="15"/>
      <c r="E435" s="15"/>
      <c r="F435" s="15"/>
      <c r="G435" s="15"/>
      <c r="H435" s="15"/>
      <c r="I435" s="15"/>
      <c r="J435" s="15"/>
      <c r="K435" s="15"/>
      <c r="L435" s="28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</row>
    <row r="436" spans="3:49" x14ac:dyDescent="0.2">
      <c r="C436" s="15"/>
      <c r="D436" s="15"/>
      <c r="E436" s="15"/>
      <c r="F436" s="15"/>
      <c r="G436" s="15"/>
      <c r="H436" s="15"/>
      <c r="I436" s="15"/>
      <c r="J436" s="15"/>
      <c r="K436" s="15"/>
      <c r="L436" s="28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</row>
    <row r="437" spans="3:49" x14ac:dyDescent="0.2">
      <c r="C437" s="15"/>
      <c r="D437" s="15"/>
      <c r="E437" s="15"/>
      <c r="F437" s="15"/>
      <c r="G437" s="15"/>
      <c r="H437" s="15"/>
      <c r="I437" s="15"/>
      <c r="J437" s="15"/>
      <c r="K437" s="15"/>
      <c r="L437" s="28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</row>
    <row r="438" spans="3:49" x14ac:dyDescent="0.2">
      <c r="C438" s="15"/>
      <c r="D438" s="15"/>
      <c r="E438" s="15"/>
      <c r="F438" s="15"/>
      <c r="G438" s="15"/>
      <c r="H438" s="15"/>
      <c r="I438" s="15"/>
      <c r="J438" s="15"/>
      <c r="K438" s="15"/>
      <c r="L438" s="28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</row>
    <row r="439" spans="3:49" x14ac:dyDescent="0.2">
      <c r="C439" s="15"/>
      <c r="D439" s="15"/>
      <c r="E439" s="15"/>
      <c r="F439" s="15"/>
      <c r="G439" s="15"/>
      <c r="H439" s="15"/>
      <c r="I439" s="15"/>
      <c r="J439" s="15"/>
      <c r="K439" s="15"/>
      <c r="L439" s="28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</row>
    <row r="440" spans="3:49" x14ac:dyDescent="0.2">
      <c r="C440" s="15"/>
      <c r="D440" s="15"/>
      <c r="E440" s="15"/>
      <c r="F440" s="15"/>
      <c r="G440" s="15"/>
      <c r="H440" s="15"/>
      <c r="I440" s="15"/>
      <c r="J440" s="15"/>
      <c r="K440" s="15"/>
      <c r="L440" s="28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</row>
    <row r="441" spans="3:49" x14ac:dyDescent="0.2">
      <c r="C441" s="15"/>
      <c r="D441" s="15"/>
      <c r="E441" s="15"/>
      <c r="F441" s="15"/>
      <c r="G441" s="15"/>
      <c r="H441" s="15"/>
      <c r="I441" s="15"/>
      <c r="J441" s="15"/>
      <c r="K441" s="15"/>
      <c r="L441" s="28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</row>
    <row r="442" spans="3:49" x14ac:dyDescent="0.2">
      <c r="C442" s="15"/>
      <c r="D442" s="15"/>
      <c r="E442" s="15"/>
      <c r="F442" s="15"/>
      <c r="G442" s="15"/>
      <c r="H442" s="15"/>
      <c r="I442" s="15"/>
      <c r="J442" s="15"/>
      <c r="K442" s="15"/>
      <c r="L442" s="28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</row>
    <row r="443" spans="3:49" x14ac:dyDescent="0.2">
      <c r="C443" s="15"/>
      <c r="D443" s="15"/>
      <c r="E443" s="15"/>
      <c r="F443" s="15"/>
      <c r="G443" s="15"/>
      <c r="H443" s="15"/>
      <c r="I443" s="15"/>
      <c r="J443" s="15"/>
      <c r="K443" s="15"/>
      <c r="L443" s="28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</row>
    <row r="444" spans="3:49" x14ac:dyDescent="0.2">
      <c r="C444" s="15"/>
      <c r="D444" s="15"/>
      <c r="E444" s="15"/>
      <c r="F444" s="15"/>
      <c r="G444" s="15"/>
      <c r="H444" s="15"/>
      <c r="I444" s="15"/>
      <c r="J444" s="15"/>
      <c r="K444" s="15"/>
      <c r="L444" s="28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</row>
    <row r="445" spans="3:49" x14ac:dyDescent="0.2">
      <c r="C445" s="15"/>
      <c r="D445" s="15"/>
      <c r="E445" s="15"/>
      <c r="F445" s="15"/>
      <c r="G445" s="15"/>
      <c r="H445" s="15"/>
      <c r="I445" s="15"/>
      <c r="J445" s="15"/>
      <c r="K445" s="15"/>
      <c r="L445" s="28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</row>
    <row r="446" spans="3:49" x14ac:dyDescent="0.2">
      <c r="C446" s="15"/>
      <c r="D446" s="15"/>
      <c r="E446" s="15"/>
      <c r="F446" s="15"/>
      <c r="G446" s="15"/>
      <c r="H446" s="15"/>
      <c r="I446" s="15"/>
      <c r="J446" s="15"/>
      <c r="K446" s="15"/>
      <c r="L446" s="28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</row>
    <row r="447" spans="3:49" x14ac:dyDescent="0.2">
      <c r="C447" s="15"/>
      <c r="D447" s="15"/>
      <c r="E447" s="15"/>
      <c r="F447" s="15"/>
      <c r="G447" s="15"/>
      <c r="H447" s="15"/>
      <c r="I447" s="15"/>
      <c r="J447" s="15"/>
      <c r="K447" s="15"/>
      <c r="L447" s="28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</row>
    <row r="448" spans="3:49" x14ac:dyDescent="0.2">
      <c r="C448" s="15"/>
      <c r="D448" s="15"/>
      <c r="E448" s="15"/>
      <c r="F448" s="15"/>
      <c r="G448" s="15"/>
      <c r="H448" s="15"/>
      <c r="I448" s="15"/>
      <c r="J448" s="15"/>
      <c r="K448" s="15"/>
      <c r="L448" s="28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</row>
    <row r="449" spans="3:49" x14ac:dyDescent="0.2">
      <c r="C449" s="15"/>
      <c r="D449" s="15"/>
      <c r="E449" s="15"/>
      <c r="F449" s="15"/>
      <c r="G449" s="15"/>
      <c r="H449" s="15"/>
      <c r="I449" s="15"/>
      <c r="J449" s="15"/>
      <c r="K449" s="15"/>
      <c r="L449" s="28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</row>
    <row r="450" spans="3:49" x14ac:dyDescent="0.2">
      <c r="C450" s="15"/>
      <c r="D450" s="15"/>
      <c r="E450" s="15"/>
      <c r="F450" s="15"/>
      <c r="G450" s="15"/>
      <c r="H450" s="15"/>
      <c r="I450" s="15"/>
      <c r="J450" s="15"/>
      <c r="K450" s="15"/>
      <c r="L450" s="28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</row>
    <row r="451" spans="3:49" x14ac:dyDescent="0.2">
      <c r="C451" s="15"/>
      <c r="D451" s="15"/>
      <c r="E451" s="15"/>
      <c r="F451" s="15"/>
      <c r="G451" s="15"/>
      <c r="H451" s="15"/>
      <c r="I451" s="15"/>
      <c r="J451" s="15"/>
      <c r="K451" s="15"/>
      <c r="L451" s="28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</row>
    <row r="452" spans="3:49" x14ac:dyDescent="0.2">
      <c r="C452" s="15"/>
      <c r="D452" s="15"/>
      <c r="E452" s="15"/>
      <c r="F452" s="15"/>
      <c r="G452" s="15"/>
      <c r="H452" s="15"/>
      <c r="I452" s="15"/>
      <c r="J452" s="15"/>
      <c r="K452" s="15"/>
      <c r="L452" s="28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</row>
    <row r="453" spans="3:49" x14ac:dyDescent="0.2">
      <c r="C453" s="15"/>
      <c r="D453" s="15"/>
      <c r="E453" s="15"/>
      <c r="F453" s="15"/>
      <c r="G453" s="15"/>
      <c r="H453" s="15"/>
      <c r="I453" s="15"/>
      <c r="J453" s="15"/>
      <c r="K453" s="15"/>
      <c r="L453" s="28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</row>
    <row r="454" spans="3:49" x14ac:dyDescent="0.2">
      <c r="C454" s="15"/>
      <c r="D454" s="15"/>
      <c r="E454" s="15"/>
      <c r="F454" s="15"/>
      <c r="G454" s="15"/>
      <c r="H454" s="15"/>
      <c r="I454" s="15"/>
      <c r="J454" s="15"/>
      <c r="K454" s="15"/>
      <c r="L454" s="28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</row>
    <row r="455" spans="3:49" x14ac:dyDescent="0.2">
      <c r="C455" s="15"/>
      <c r="D455" s="15"/>
      <c r="E455" s="15"/>
      <c r="F455" s="15"/>
      <c r="G455" s="15"/>
      <c r="H455" s="15"/>
      <c r="I455" s="15"/>
      <c r="J455" s="15"/>
      <c r="K455" s="15"/>
      <c r="L455" s="28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</row>
    <row r="456" spans="3:49" x14ac:dyDescent="0.2">
      <c r="C456" s="15"/>
      <c r="D456" s="15"/>
      <c r="E456" s="15"/>
      <c r="F456" s="15"/>
      <c r="G456" s="15"/>
      <c r="H456" s="15"/>
      <c r="I456" s="15"/>
      <c r="J456" s="15"/>
      <c r="K456" s="15"/>
      <c r="L456" s="28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</row>
    <row r="457" spans="3:49" x14ac:dyDescent="0.2">
      <c r="C457" s="15"/>
      <c r="D457" s="15"/>
      <c r="E457" s="15"/>
      <c r="F457" s="15"/>
      <c r="G457" s="15"/>
      <c r="H457" s="15"/>
      <c r="I457" s="15"/>
      <c r="J457" s="15"/>
      <c r="K457" s="15"/>
      <c r="L457" s="28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</row>
    <row r="458" spans="3:49" x14ac:dyDescent="0.2">
      <c r="C458" s="15"/>
      <c r="D458" s="15"/>
      <c r="E458" s="15"/>
      <c r="F458" s="15"/>
      <c r="G458" s="15"/>
      <c r="H458" s="15"/>
      <c r="I458" s="15"/>
      <c r="J458" s="15"/>
      <c r="K458" s="15"/>
      <c r="L458" s="28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</row>
    <row r="459" spans="3:49" x14ac:dyDescent="0.2">
      <c r="C459" s="15"/>
      <c r="D459" s="15"/>
      <c r="E459" s="15"/>
      <c r="F459" s="15"/>
      <c r="G459" s="15"/>
      <c r="H459" s="15"/>
      <c r="I459" s="15"/>
      <c r="J459" s="15"/>
      <c r="K459" s="15"/>
      <c r="L459" s="28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</row>
    <row r="460" spans="3:49" x14ac:dyDescent="0.2">
      <c r="C460" s="15"/>
      <c r="D460" s="15"/>
      <c r="E460" s="15"/>
      <c r="F460" s="15"/>
      <c r="G460" s="15"/>
      <c r="H460" s="15"/>
      <c r="I460" s="15"/>
      <c r="J460" s="15"/>
      <c r="K460" s="15"/>
      <c r="L460" s="28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</row>
    <row r="461" spans="3:49" x14ac:dyDescent="0.2">
      <c r="C461" s="15"/>
      <c r="D461" s="15"/>
      <c r="E461" s="15"/>
      <c r="F461" s="15"/>
      <c r="G461" s="15"/>
      <c r="H461" s="15"/>
      <c r="I461" s="15"/>
      <c r="J461" s="15"/>
      <c r="K461" s="15"/>
      <c r="L461" s="28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</row>
    <row r="462" spans="3:49" x14ac:dyDescent="0.2">
      <c r="C462" s="15"/>
      <c r="D462" s="15"/>
      <c r="E462" s="15"/>
      <c r="F462" s="15"/>
      <c r="G462" s="15"/>
      <c r="H462" s="15"/>
      <c r="I462" s="15"/>
      <c r="J462" s="15"/>
      <c r="K462" s="15"/>
      <c r="L462" s="28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</row>
    <row r="463" spans="3:49" x14ac:dyDescent="0.2">
      <c r="C463" s="15"/>
      <c r="D463" s="15"/>
      <c r="E463" s="15"/>
      <c r="F463" s="15"/>
      <c r="G463" s="15"/>
      <c r="H463" s="15"/>
      <c r="I463" s="15"/>
      <c r="J463" s="15"/>
      <c r="K463" s="15"/>
      <c r="L463" s="28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</row>
    <row r="464" spans="3:49" x14ac:dyDescent="0.2">
      <c r="C464" s="15"/>
      <c r="D464" s="15"/>
      <c r="E464" s="15"/>
      <c r="F464" s="15"/>
      <c r="G464" s="15"/>
      <c r="H464" s="15"/>
      <c r="I464" s="15"/>
      <c r="J464" s="15"/>
      <c r="K464" s="15"/>
      <c r="L464" s="28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</row>
    <row r="465" spans="3:49" x14ac:dyDescent="0.2">
      <c r="C465" s="15"/>
      <c r="D465" s="15"/>
      <c r="E465" s="15"/>
      <c r="F465" s="15"/>
      <c r="G465" s="15"/>
      <c r="H465" s="15"/>
      <c r="I465" s="15"/>
      <c r="J465" s="15"/>
      <c r="K465" s="15"/>
      <c r="L465" s="28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</row>
    <row r="466" spans="3:49" x14ac:dyDescent="0.2">
      <c r="C466" s="15"/>
      <c r="D466" s="15"/>
      <c r="E466" s="15"/>
      <c r="F466" s="15"/>
      <c r="G466" s="15"/>
      <c r="H466" s="15"/>
      <c r="I466" s="15"/>
      <c r="J466" s="15"/>
      <c r="K466" s="15"/>
      <c r="L466" s="28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</row>
    <row r="467" spans="3:49" x14ac:dyDescent="0.2">
      <c r="C467" s="15"/>
      <c r="D467" s="15"/>
      <c r="E467" s="15"/>
      <c r="F467" s="15"/>
      <c r="G467" s="15"/>
      <c r="H467" s="15"/>
      <c r="I467" s="15"/>
      <c r="J467" s="15"/>
      <c r="K467" s="15"/>
      <c r="L467" s="28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</row>
    <row r="468" spans="3:49" x14ac:dyDescent="0.2">
      <c r="C468" s="15"/>
      <c r="D468" s="15"/>
      <c r="E468" s="15"/>
      <c r="F468" s="15"/>
      <c r="G468" s="15"/>
      <c r="H468" s="15"/>
      <c r="I468" s="15"/>
      <c r="J468" s="15"/>
      <c r="K468" s="15"/>
      <c r="L468" s="28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</row>
    <row r="469" spans="3:49" x14ac:dyDescent="0.2">
      <c r="C469" s="15"/>
      <c r="D469" s="15"/>
      <c r="E469" s="15"/>
      <c r="F469" s="15"/>
      <c r="G469" s="15"/>
      <c r="H469" s="15"/>
      <c r="I469" s="15"/>
      <c r="J469" s="15"/>
      <c r="K469" s="15"/>
      <c r="L469" s="28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</row>
    <row r="470" spans="3:49" x14ac:dyDescent="0.2">
      <c r="C470" s="15"/>
      <c r="D470" s="15"/>
      <c r="E470" s="15"/>
      <c r="F470" s="15"/>
      <c r="G470" s="15"/>
      <c r="H470" s="15"/>
      <c r="I470" s="15"/>
      <c r="J470" s="15"/>
      <c r="K470" s="15"/>
      <c r="L470" s="28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</row>
    <row r="471" spans="3:49" x14ac:dyDescent="0.2">
      <c r="C471" s="15"/>
      <c r="D471" s="15"/>
      <c r="E471" s="15"/>
      <c r="F471" s="15"/>
      <c r="G471" s="15"/>
      <c r="H471" s="15"/>
      <c r="I471" s="15"/>
      <c r="J471" s="15"/>
      <c r="K471" s="15"/>
      <c r="L471" s="28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</row>
    <row r="472" spans="3:49" x14ac:dyDescent="0.2">
      <c r="C472" s="15"/>
      <c r="D472" s="15"/>
      <c r="E472" s="15"/>
      <c r="F472" s="15"/>
      <c r="G472" s="15"/>
      <c r="H472" s="15"/>
      <c r="I472" s="15"/>
      <c r="J472" s="15"/>
      <c r="K472" s="15"/>
      <c r="L472" s="28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</row>
    <row r="473" spans="3:49" x14ac:dyDescent="0.2">
      <c r="C473" s="15"/>
      <c r="D473" s="15"/>
      <c r="E473" s="15"/>
      <c r="F473" s="15"/>
      <c r="G473" s="15"/>
      <c r="H473" s="15"/>
      <c r="I473" s="15"/>
      <c r="J473" s="15"/>
      <c r="K473" s="15"/>
      <c r="L473" s="28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</row>
    <row r="474" spans="3:49" x14ac:dyDescent="0.2">
      <c r="C474" s="15"/>
      <c r="D474" s="15"/>
      <c r="E474" s="15"/>
      <c r="F474" s="15"/>
      <c r="G474" s="15"/>
      <c r="H474" s="15"/>
      <c r="I474" s="15"/>
      <c r="J474" s="15"/>
      <c r="K474" s="15"/>
      <c r="L474" s="28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</row>
    <row r="475" spans="3:49" x14ac:dyDescent="0.2">
      <c r="C475" s="15"/>
      <c r="D475" s="15"/>
      <c r="E475" s="15"/>
      <c r="F475" s="15"/>
      <c r="G475" s="15"/>
      <c r="H475" s="15"/>
      <c r="I475" s="15"/>
      <c r="J475" s="15"/>
      <c r="K475" s="15"/>
      <c r="L475" s="28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</row>
    <row r="476" spans="3:49" x14ac:dyDescent="0.2">
      <c r="C476" s="15"/>
      <c r="D476" s="15"/>
      <c r="E476" s="15"/>
      <c r="F476" s="15"/>
      <c r="G476" s="15"/>
      <c r="H476" s="15"/>
      <c r="I476" s="15"/>
      <c r="J476" s="15"/>
      <c r="K476" s="15"/>
      <c r="L476" s="28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</row>
    <row r="477" spans="3:49" x14ac:dyDescent="0.2">
      <c r="C477" s="15"/>
      <c r="D477" s="15"/>
      <c r="E477" s="15"/>
      <c r="F477" s="15"/>
      <c r="G477" s="15"/>
      <c r="H477" s="15"/>
      <c r="I477" s="15"/>
      <c r="J477" s="15"/>
      <c r="K477" s="15"/>
      <c r="L477" s="28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</row>
    <row r="478" spans="3:49" x14ac:dyDescent="0.2">
      <c r="C478" s="15"/>
      <c r="D478" s="15"/>
      <c r="E478" s="15"/>
      <c r="F478" s="15"/>
      <c r="G478" s="15"/>
      <c r="H478" s="15"/>
      <c r="I478" s="15"/>
      <c r="J478" s="15"/>
      <c r="K478" s="15"/>
      <c r="L478" s="28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</row>
    <row r="479" spans="3:49" x14ac:dyDescent="0.2">
      <c r="C479" s="15"/>
      <c r="D479" s="15"/>
      <c r="E479" s="15"/>
      <c r="F479" s="15"/>
      <c r="G479" s="15"/>
      <c r="H479" s="15"/>
      <c r="I479" s="15"/>
      <c r="J479" s="15"/>
      <c r="K479" s="15"/>
      <c r="L479" s="28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</row>
    <row r="480" spans="3:49" x14ac:dyDescent="0.2">
      <c r="C480" s="15"/>
      <c r="D480" s="15"/>
      <c r="E480" s="15"/>
      <c r="F480" s="15"/>
      <c r="G480" s="15"/>
      <c r="H480" s="15"/>
      <c r="I480" s="15"/>
      <c r="J480" s="15"/>
      <c r="K480" s="15"/>
      <c r="L480" s="28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</row>
    <row r="481" spans="3:49" x14ac:dyDescent="0.2">
      <c r="C481" s="15"/>
      <c r="D481" s="15"/>
      <c r="E481" s="15"/>
      <c r="F481" s="15"/>
      <c r="G481" s="15"/>
      <c r="H481" s="15"/>
      <c r="I481" s="15"/>
      <c r="J481" s="15"/>
      <c r="K481" s="15"/>
      <c r="L481" s="28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</row>
    <row r="482" spans="3:49" x14ac:dyDescent="0.2">
      <c r="C482" s="15"/>
      <c r="D482" s="15"/>
      <c r="E482" s="15"/>
      <c r="F482" s="15"/>
      <c r="G482" s="15"/>
      <c r="H482" s="15"/>
      <c r="I482" s="15"/>
      <c r="J482" s="15"/>
      <c r="K482" s="15"/>
      <c r="L482" s="28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</row>
    <row r="483" spans="3:49" x14ac:dyDescent="0.2">
      <c r="C483" s="15"/>
      <c r="D483" s="15"/>
      <c r="E483" s="15"/>
      <c r="F483" s="15"/>
      <c r="G483" s="15"/>
      <c r="H483" s="15"/>
      <c r="I483" s="15"/>
      <c r="J483" s="15"/>
      <c r="K483" s="15"/>
      <c r="L483" s="28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</row>
    <row r="484" spans="3:49" x14ac:dyDescent="0.2">
      <c r="C484" s="15"/>
      <c r="D484" s="15"/>
      <c r="E484" s="15"/>
      <c r="F484" s="15"/>
      <c r="G484" s="15"/>
      <c r="H484" s="15"/>
      <c r="I484" s="15"/>
      <c r="J484" s="15"/>
      <c r="K484" s="15"/>
      <c r="L484" s="28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</row>
    <row r="485" spans="3:49" x14ac:dyDescent="0.2">
      <c r="C485" s="15"/>
      <c r="D485" s="15"/>
      <c r="E485" s="15"/>
      <c r="F485" s="15"/>
      <c r="G485" s="15"/>
      <c r="H485" s="15"/>
      <c r="I485" s="15"/>
      <c r="J485" s="15"/>
      <c r="K485" s="15"/>
      <c r="L485" s="28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</row>
    <row r="486" spans="3:49" x14ac:dyDescent="0.2">
      <c r="C486" s="15"/>
      <c r="D486" s="15"/>
      <c r="E486" s="15"/>
      <c r="F486" s="15"/>
      <c r="G486" s="15"/>
      <c r="H486" s="15"/>
      <c r="I486" s="15"/>
      <c r="J486" s="15"/>
      <c r="K486" s="15"/>
      <c r="L486" s="28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</row>
    <row r="487" spans="3:49" x14ac:dyDescent="0.2">
      <c r="C487" s="15"/>
      <c r="D487" s="15"/>
      <c r="E487" s="15"/>
      <c r="F487" s="15"/>
      <c r="G487" s="15"/>
      <c r="H487" s="15"/>
      <c r="I487" s="15"/>
      <c r="J487" s="15"/>
      <c r="K487" s="15"/>
      <c r="L487" s="28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</row>
    <row r="488" spans="3:49" x14ac:dyDescent="0.2">
      <c r="C488" s="15"/>
      <c r="D488" s="15"/>
      <c r="E488" s="15"/>
      <c r="F488" s="15"/>
      <c r="G488" s="15"/>
      <c r="H488" s="15"/>
      <c r="I488" s="15"/>
      <c r="J488" s="15"/>
      <c r="K488" s="15"/>
      <c r="L488" s="28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</row>
    <row r="489" spans="3:49" x14ac:dyDescent="0.2">
      <c r="C489" s="15"/>
      <c r="D489" s="15"/>
      <c r="E489" s="15"/>
      <c r="F489" s="15"/>
      <c r="G489" s="15"/>
      <c r="H489" s="15"/>
      <c r="I489" s="15"/>
      <c r="J489" s="15"/>
      <c r="K489" s="15"/>
      <c r="L489" s="28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</row>
    <row r="490" spans="3:49" x14ac:dyDescent="0.2">
      <c r="C490" s="15"/>
      <c r="D490" s="15"/>
      <c r="E490" s="15"/>
      <c r="F490" s="15"/>
      <c r="G490" s="15"/>
      <c r="H490" s="15"/>
      <c r="I490" s="15"/>
      <c r="J490" s="15"/>
      <c r="K490" s="15"/>
      <c r="L490" s="28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</row>
    <row r="491" spans="3:49" x14ac:dyDescent="0.2">
      <c r="C491" s="15"/>
      <c r="D491" s="15"/>
      <c r="E491" s="15"/>
      <c r="F491" s="15"/>
      <c r="G491" s="15"/>
      <c r="H491" s="15"/>
      <c r="I491" s="15"/>
      <c r="J491" s="15"/>
      <c r="K491" s="15"/>
      <c r="L491" s="28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</row>
    <row r="492" spans="3:49" x14ac:dyDescent="0.2">
      <c r="C492" s="15"/>
      <c r="D492" s="15"/>
      <c r="E492" s="15"/>
      <c r="F492" s="15"/>
      <c r="G492" s="15"/>
      <c r="H492" s="15"/>
      <c r="I492" s="15"/>
      <c r="J492" s="15"/>
      <c r="K492" s="15"/>
      <c r="L492" s="28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</row>
    <row r="493" spans="3:49" x14ac:dyDescent="0.2">
      <c r="C493" s="15"/>
      <c r="D493" s="15"/>
      <c r="E493" s="15"/>
      <c r="F493" s="15"/>
      <c r="G493" s="15"/>
      <c r="H493" s="15"/>
      <c r="I493" s="15"/>
      <c r="J493" s="15"/>
      <c r="K493" s="15"/>
      <c r="L493" s="28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</row>
    <row r="494" spans="3:49" x14ac:dyDescent="0.2">
      <c r="C494" s="15"/>
      <c r="D494" s="15"/>
      <c r="E494" s="15"/>
      <c r="F494" s="15"/>
      <c r="G494" s="15"/>
      <c r="H494" s="15"/>
      <c r="I494" s="15"/>
      <c r="J494" s="15"/>
      <c r="K494" s="15"/>
      <c r="L494" s="28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</row>
    <row r="495" spans="3:49" x14ac:dyDescent="0.2">
      <c r="C495" s="15"/>
      <c r="D495" s="15"/>
      <c r="E495" s="15"/>
      <c r="F495" s="15"/>
      <c r="G495" s="15"/>
      <c r="H495" s="15"/>
      <c r="I495" s="15"/>
      <c r="J495" s="15"/>
      <c r="K495" s="15"/>
      <c r="L495" s="28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</row>
    <row r="496" spans="3:49" x14ac:dyDescent="0.2">
      <c r="C496" s="15"/>
      <c r="D496" s="15"/>
      <c r="E496" s="15"/>
      <c r="F496" s="15"/>
      <c r="G496" s="15"/>
      <c r="H496" s="15"/>
      <c r="I496" s="15"/>
      <c r="J496" s="15"/>
      <c r="K496" s="15"/>
      <c r="L496" s="28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</row>
    <row r="497" spans="3:49" x14ac:dyDescent="0.2">
      <c r="C497" s="15"/>
      <c r="D497" s="15"/>
      <c r="E497" s="15"/>
      <c r="F497" s="15"/>
      <c r="G497" s="15"/>
      <c r="H497" s="15"/>
      <c r="I497" s="15"/>
      <c r="J497" s="15"/>
      <c r="K497" s="15"/>
      <c r="L497" s="28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</row>
    <row r="498" spans="3:49" x14ac:dyDescent="0.2">
      <c r="C498" s="15"/>
      <c r="D498" s="15"/>
      <c r="E498" s="15"/>
      <c r="F498" s="15"/>
      <c r="G498" s="15"/>
      <c r="H498" s="15"/>
      <c r="I498" s="15"/>
      <c r="J498" s="15"/>
      <c r="K498" s="15"/>
      <c r="L498" s="28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</row>
    <row r="499" spans="3:49" x14ac:dyDescent="0.2">
      <c r="C499" s="15"/>
      <c r="D499" s="15"/>
      <c r="E499" s="15"/>
      <c r="F499" s="15"/>
      <c r="G499" s="15"/>
      <c r="H499" s="15"/>
      <c r="I499" s="15"/>
      <c r="J499" s="15"/>
      <c r="K499" s="15"/>
      <c r="L499" s="28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</row>
    <row r="500" spans="3:49" x14ac:dyDescent="0.2">
      <c r="C500" s="15"/>
      <c r="D500" s="15"/>
      <c r="E500" s="15"/>
      <c r="F500" s="15"/>
      <c r="G500" s="15"/>
      <c r="H500" s="15"/>
      <c r="I500" s="15"/>
      <c r="J500" s="15"/>
      <c r="K500" s="15"/>
      <c r="L500" s="28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</row>
    <row r="501" spans="3:49" x14ac:dyDescent="0.2">
      <c r="C501" s="15"/>
      <c r="D501" s="15"/>
      <c r="E501" s="15"/>
      <c r="F501" s="15"/>
      <c r="G501" s="15"/>
      <c r="H501" s="15"/>
      <c r="I501" s="15"/>
      <c r="J501" s="15"/>
      <c r="K501" s="15"/>
      <c r="L501" s="28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</row>
    <row r="502" spans="3:49" x14ac:dyDescent="0.2">
      <c r="C502" s="15"/>
      <c r="D502" s="15"/>
      <c r="E502" s="15"/>
      <c r="F502" s="15"/>
      <c r="G502" s="15"/>
      <c r="H502" s="15"/>
      <c r="I502" s="15"/>
      <c r="J502" s="15"/>
      <c r="K502" s="15"/>
      <c r="L502" s="28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</row>
    <row r="503" spans="3:49" x14ac:dyDescent="0.2">
      <c r="C503" s="15"/>
      <c r="D503" s="15"/>
      <c r="E503" s="15"/>
      <c r="F503" s="15"/>
      <c r="G503" s="15"/>
      <c r="H503" s="15"/>
      <c r="I503" s="15"/>
      <c r="J503" s="15"/>
      <c r="K503" s="15"/>
      <c r="L503" s="28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</row>
    <row r="504" spans="3:49" x14ac:dyDescent="0.2">
      <c r="C504" s="15"/>
      <c r="D504" s="15"/>
      <c r="E504" s="15"/>
      <c r="F504" s="15"/>
      <c r="G504" s="15"/>
      <c r="H504" s="15"/>
      <c r="I504" s="15"/>
      <c r="J504" s="15"/>
      <c r="K504" s="15"/>
      <c r="L504" s="28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</row>
    <row r="505" spans="3:49" x14ac:dyDescent="0.2">
      <c r="C505" s="15"/>
      <c r="D505" s="15"/>
      <c r="E505" s="15"/>
      <c r="F505" s="15"/>
      <c r="G505" s="15"/>
      <c r="H505" s="15"/>
      <c r="I505" s="15"/>
      <c r="J505" s="15"/>
      <c r="K505" s="15"/>
      <c r="L505" s="28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</row>
    <row r="506" spans="3:49" x14ac:dyDescent="0.2">
      <c r="C506" s="15"/>
      <c r="D506" s="15"/>
      <c r="E506" s="15"/>
      <c r="F506" s="15"/>
      <c r="G506" s="15"/>
      <c r="H506" s="15"/>
      <c r="I506" s="15"/>
      <c r="J506" s="15"/>
      <c r="K506" s="15"/>
      <c r="L506" s="28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</row>
    <row r="507" spans="3:49" x14ac:dyDescent="0.2">
      <c r="C507" s="15"/>
      <c r="D507" s="15"/>
      <c r="E507" s="15"/>
      <c r="F507" s="15"/>
      <c r="G507" s="15"/>
      <c r="H507" s="15"/>
      <c r="I507" s="15"/>
      <c r="J507" s="15"/>
      <c r="K507" s="15"/>
      <c r="L507" s="28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</row>
    <row r="508" spans="3:49" x14ac:dyDescent="0.2">
      <c r="C508" s="15"/>
      <c r="D508" s="15"/>
      <c r="E508" s="15"/>
      <c r="F508" s="15"/>
      <c r="G508" s="15"/>
      <c r="H508" s="15"/>
      <c r="I508" s="15"/>
      <c r="J508" s="15"/>
      <c r="K508" s="15"/>
      <c r="L508" s="28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</row>
    <row r="509" spans="3:49" x14ac:dyDescent="0.2">
      <c r="C509" s="15"/>
      <c r="D509" s="15"/>
      <c r="E509" s="15"/>
      <c r="F509" s="15"/>
      <c r="G509" s="15"/>
      <c r="H509" s="15"/>
      <c r="I509" s="15"/>
      <c r="J509" s="15"/>
      <c r="K509" s="15"/>
      <c r="L509" s="28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</row>
    <row r="510" spans="3:49" x14ac:dyDescent="0.2">
      <c r="C510" s="15"/>
      <c r="D510" s="15"/>
      <c r="E510" s="15"/>
      <c r="F510" s="15"/>
      <c r="G510" s="15"/>
      <c r="H510" s="15"/>
      <c r="I510" s="15"/>
      <c r="J510" s="15"/>
      <c r="K510" s="15"/>
      <c r="L510" s="28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</row>
    <row r="511" spans="3:49" x14ac:dyDescent="0.2">
      <c r="C511" s="15"/>
      <c r="D511" s="15"/>
      <c r="E511" s="15"/>
      <c r="F511" s="15"/>
      <c r="G511" s="15"/>
      <c r="H511" s="15"/>
      <c r="I511" s="15"/>
      <c r="J511" s="15"/>
      <c r="K511" s="15"/>
      <c r="L511" s="28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</row>
    <row r="512" spans="3:49" x14ac:dyDescent="0.2">
      <c r="C512" s="15"/>
      <c r="D512" s="15"/>
      <c r="E512" s="15"/>
      <c r="F512" s="15"/>
      <c r="G512" s="15"/>
      <c r="H512" s="15"/>
      <c r="I512" s="15"/>
      <c r="J512" s="15"/>
      <c r="K512" s="15"/>
      <c r="L512" s="28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</row>
    <row r="513" spans="3:49" x14ac:dyDescent="0.2">
      <c r="C513" s="15"/>
      <c r="D513" s="15"/>
      <c r="E513" s="15"/>
      <c r="F513" s="15"/>
      <c r="G513" s="15"/>
      <c r="H513" s="15"/>
      <c r="I513" s="15"/>
      <c r="J513" s="15"/>
      <c r="K513" s="15"/>
      <c r="L513" s="28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</row>
    <row r="514" spans="3:49" x14ac:dyDescent="0.2">
      <c r="C514" s="15"/>
      <c r="D514" s="15"/>
      <c r="E514" s="15"/>
      <c r="F514" s="15"/>
      <c r="G514" s="15"/>
      <c r="H514" s="15"/>
      <c r="I514" s="15"/>
      <c r="J514" s="15"/>
      <c r="K514" s="15"/>
      <c r="L514" s="28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  <c r="AG514" s="15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</row>
    <row r="515" spans="3:49" x14ac:dyDescent="0.2">
      <c r="C515" s="15"/>
      <c r="D515" s="15"/>
      <c r="E515" s="15"/>
      <c r="F515" s="15"/>
      <c r="G515" s="15"/>
      <c r="H515" s="15"/>
      <c r="I515" s="15"/>
      <c r="J515" s="15"/>
      <c r="K515" s="15"/>
      <c r="L515" s="28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  <c r="AG515" s="15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</row>
    <row r="516" spans="3:49" x14ac:dyDescent="0.2">
      <c r="C516" s="15"/>
      <c r="D516" s="15"/>
      <c r="E516" s="15"/>
      <c r="F516" s="15"/>
      <c r="G516" s="15"/>
      <c r="H516" s="15"/>
      <c r="I516" s="15"/>
      <c r="J516" s="15"/>
      <c r="K516" s="15"/>
      <c r="L516" s="28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  <c r="AG516" s="15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</row>
    <row r="517" spans="3:49" x14ac:dyDescent="0.2">
      <c r="C517" s="15"/>
      <c r="D517" s="15"/>
      <c r="E517" s="15"/>
      <c r="F517" s="15"/>
      <c r="G517" s="15"/>
      <c r="H517" s="15"/>
      <c r="I517" s="15"/>
      <c r="J517" s="15"/>
      <c r="K517" s="15"/>
      <c r="L517" s="28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</row>
    <row r="518" spans="3:49" x14ac:dyDescent="0.2">
      <c r="C518" s="15"/>
      <c r="D518" s="15"/>
      <c r="E518" s="15"/>
      <c r="F518" s="15"/>
      <c r="G518" s="15"/>
      <c r="H518" s="15"/>
      <c r="I518" s="15"/>
      <c r="J518" s="15"/>
      <c r="K518" s="15"/>
      <c r="L518" s="28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  <c r="AG518" s="15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</row>
    <row r="519" spans="3:49" x14ac:dyDescent="0.2">
      <c r="C519" s="15"/>
      <c r="D519" s="15"/>
      <c r="E519" s="15"/>
      <c r="F519" s="15"/>
      <c r="G519" s="15"/>
      <c r="H519" s="15"/>
      <c r="I519" s="15"/>
      <c r="J519" s="15"/>
      <c r="K519" s="15"/>
      <c r="L519" s="28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</row>
    <row r="520" spans="3:49" x14ac:dyDescent="0.2">
      <c r="C520" s="15"/>
      <c r="D520" s="15"/>
      <c r="E520" s="15"/>
      <c r="F520" s="15"/>
      <c r="G520" s="15"/>
      <c r="H520" s="15"/>
      <c r="I520" s="15"/>
      <c r="J520" s="15"/>
      <c r="K520" s="15"/>
      <c r="L520" s="28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</row>
    <row r="521" spans="3:49" x14ac:dyDescent="0.2">
      <c r="C521" s="15"/>
      <c r="D521" s="15"/>
      <c r="E521" s="15"/>
      <c r="F521" s="15"/>
      <c r="G521" s="15"/>
      <c r="H521" s="15"/>
      <c r="I521" s="15"/>
      <c r="J521" s="15"/>
      <c r="K521" s="15"/>
      <c r="L521" s="28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</row>
    <row r="522" spans="3:49" x14ac:dyDescent="0.2">
      <c r="C522" s="15"/>
      <c r="D522" s="15"/>
      <c r="E522" s="15"/>
      <c r="F522" s="15"/>
      <c r="G522" s="15"/>
      <c r="H522" s="15"/>
      <c r="I522" s="15"/>
      <c r="J522" s="15"/>
      <c r="K522" s="15"/>
      <c r="L522" s="28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  <c r="AG522" s="15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</row>
    <row r="523" spans="3:49" x14ac:dyDescent="0.2">
      <c r="C523" s="15"/>
      <c r="D523" s="15"/>
      <c r="E523" s="15"/>
      <c r="F523" s="15"/>
      <c r="G523" s="15"/>
      <c r="H523" s="15"/>
      <c r="I523" s="15"/>
      <c r="J523" s="15"/>
      <c r="K523" s="15"/>
      <c r="L523" s="28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</row>
    <row r="524" spans="3:49" x14ac:dyDescent="0.2">
      <c r="C524" s="15"/>
      <c r="D524" s="15"/>
      <c r="E524" s="15"/>
      <c r="F524" s="15"/>
      <c r="G524" s="15"/>
      <c r="H524" s="15"/>
      <c r="I524" s="15"/>
      <c r="J524" s="15"/>
      <c r="K524" s="15"/>
      <c r="L524" s="28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  <c r="AG524" s="15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</row>
    <row r="525" spans="3:49" x14ac:dyDescent="0.2">
      <c r="C525" s="15"/>
      <c r="D525" s="15"/>
      <c r="E525" s="15"/>
      <c r="F525" s="15"/>
      <c r="G525" s="15"/>
      <c r="H525" s="15"/>
      <c r="I525" s="15"/>
      <c r="J525" s="15"/>
      <c r="K525" s="15"/>
      <c r="L525" s="28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</row>
    <row r="526" spans="3:49" x14ac:dyDescent="0.2">
      <c r="C526" s="15"/>
      <c r="D526" s="15"/>
      <c r="E526" s="15"/>
      <c r="F526" s="15"/>
      <c r="G526" s="15"/>
      <c r="H526" s="15"/>
      <c r="I526" s="15"/>
      <c r="J526" s="15"/>
      <c r="K526" s="15"/>
      <c r="L526" s="28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  <c r="AG526" s="15"/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</row>
    <row r="527" spans="3:49" x14ac:dyDescent="0.2">
      <c r="C527" s="15"/>
      <c r="D527" s="15"/>
      <c r="E527" s="15"/>
      <c r="F527" s="15"/>
      <c r="G527" s="15"/>
      <c r="H527" s="15"/>
      <c r="I527" s="15"/>
      <c r="J527" s="15"/>
      <c r="K527" s="15"/>
      <c r="L527" s="28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  <c r="AG527" s="15"/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</row>
    <row r="528" spans="3:49" x14ac:dyDescent="0.2">
      <c r="C528" s="15"/>
      <c r="D528" s="15"/>
      <c r="E528" s="15"/>
      <c r="F528" s="15"/>
      <c r="G528" s="15"/>
      <c r="H528" s="15"/>
      <c r="I528" s="15"/>
      <c r="J528" s="15"/>
      <c r="K528" s="15"/>
      <c r="L528" s="28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  <c r="AG528" s="15"/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</row>
    <row r="529" spans="3:49" x14ac:dyDescent="0.2">
      <c r="C529" s="15"/>
      <c r="D529" s="15"/>
      <c r="E529" s="15"/>
      <c r="F529" s="15"/>
      <c r="G529" s="15"/>
      <c r="H529" s="15"/>
      <c r="I529" s="15"/>
      <c r="J529" s="15"/>
      <c r="K529" s="15"/>
      <c r="L529" s="28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  <c r="AG529" s="15"/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</row>
    <row r="530" spans="3:49" x14ac:dyDescent="0.2">
      <c r="C530" s="15"/>
      <c r="D530" s="15"/>
      <c r="E530" s="15"/>
      <c r="F530" s="15"/>
      <c r="G530" s="15"/>
      <c r="H530" s="15"/>
      <c r="I530" s="15"/>
      <c r="J530" s="15"/>
      <c r="K530" s="15"/>
      <c r="L530" s="28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  <c r="AG530" s="15"/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</row>
    <row r="531" spans="3:49" x14ac:dyDescent="0.2">
      <c r="C531" s="15"/>
      <c r="D531" s="15"/>
      <c r="E531" s="15"/>
      <c r="F531" s="15"/>
      <c r="G531" s="15"/>
      <c r="H531" s="15"/>
      <c r="I531" s="15"/>
      <c r="J531" s="15"/>
      <c r="K531" s="15"/>
      <c r="L531" s="28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  <c r="AG531" s="15"/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</row>
    <row r="532" spans="3:49" x14ac:dyDescent="0.2">
      <c r="C532" s="15"/>
      <c r="D532" s="15"/>
      <c r="E532" s="15"/>
      <c r="F532" s="15"/>
      <c r="G532" s="15"/>
      <c r="H532" s="15"/>
      <c r="I532" s="15"/>
      <c r="J532" s="15"/>
      <c r="K532" s="15"/>
      <c r="L532" s="28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  <c r="AG532" s="15"/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</row>
    <row r="533" spans="3:49" x14ac:dyDescent="0.2">
      <c r="C533" s="15"/>
      <c r="D533" s="15"/>
      <c r="E533" s="15"/>
      <c r="F533" s="15"/>
      <c r="G533" s="15"/>
      <c r="H533" s="15"/>
      <c r="I533" s="15"/>
      <c r="J533" s="15"/>
      <c r="K533" s="15"/>
      <c r="L533" s="28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  <c r="AG533" s="15"/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</row>
    <row r="534" spans="3:49" x14ac:dyDescent="0.2">
      <c r="C534" s="15"/>
      <c r="D534" s="15"/>
      <c r="E534" s="15"/>
      <c r="F534" s="15"/>
      <c r="G534" s="15"/>
      <c r="H534" s="15"/>
      <c r="I534" s="15"/>
      <c r="J534" s="15"/>
      <c r="K534" s="15"/>
      <c r="L534" s="28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  <c r="AG534" s="15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</row>
    <row r="535" spans="3:49" x14ac:dyDescent="0.2">
      <c r="C535" s="15"/>
      <c r="D535" s="15"/>
      <c r="E535" s="15"/>
      <c r="F535" s="15"/>
      <c r="G535" s="15"/>
      <c r="H535" s="15"/>
      <c r="I535" s="15"/>
      <c r="J535" s="15"/>
      <c r="K535" s="15"/>
      <c r="L535" s="28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  <c r="AG535" s="15"/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</row>
    <row r="536" spans="3:49" x14ac:dyDescent="0.2">
      <c r="C536" s="15"/>
      <c r="D536" s="15"/>
      <c r="E536" s="15"/>
      <c r="F536" s="15"/>
      <c r="G536" s="15"/>
      <c r="H536" s="15"/>
      <c r="I536" s="15"/>
      <c r="J536" s="15"/>
      <c r="K536" s="15"/>
      <c r="L536" s="28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  <c r="AG536" s="15"/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</row>
    <row r="537" spans="3:49" x14ac:dyDescent="0.2">
      <c r="C537" s="15"/>
      <c r="D537" s="15"/>
      <c r="E537" s="15"/>
      <c r="F537" s="15"/>
      <c r="G537" s="15"/>
      <c r="H537" s="15"/>
      <c r="I537" s="15"/>
      <c r="J537" s="15"/>
      <c r="K537" s="15"/>
      <c r="L537" s="28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  <c r="AG537" s="15"/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</row>
    <row r="538" spans="3:49" x14ac:dyDescent="0.2">
      <c r="C538" s="15"/>
      <c r="D538" s="15"/>
      <c r="E538" s="15"/>
      <c r="F538" s="15"/>
      <c r="G538" s="15"/>
      <c r="H538" s="15"/>
      <c r="I538" s="15"/>
      <c r="J538" s="15"/>
      <c r="K538" s="15"/>
      <c r="L538" s="28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  <c r="AG538" s="15"/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</row>
    <row r="539" spans="3:49" x14ac:dyDescent="0.2">
      <c r="C539" s="15"/>
      <c r="D539" s="15"/>
      <c r="E539" s="15"/>
      <c r="F539" s="15"/>
      <c r="G539" s="15"/>
      <c r="H539" s="15"/>
      <c r="I539" s="15"/>
      <c r="J539" s="15"/>
      <c r="K539" s="15"/>
      <c r="L539" s="28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  <c r="AG539" s="15"/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</row>
    <row r="540" spans="3:49" x14ac:dyDescent="0.2">
      <c r="C540" s="15"/>
      <c r="D540" s="15"/>
      <c r="E540" s="15"/>
      <c r="F540" s="15"/>
      <c r="G540" s="15"/>
      <c r="H540" s="15"/>
      <c r="I540" s="15"/>
      <c r="J540" s="15"/>
      <c r="K540" s="15"/>
      <c r="L540" s="28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  <c r="AG540" s="15"/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</row>
    <row r="541" spans="3:49" x14ac:dyDescent="0.2">
      <c r="C541" s="15"/>
      <c r="D541" s="15"/>
      <c r="E541" s="15"/>
      <c r="F541" s="15"/>
      <c r="G541" s="15"/>
      <c r="H541" s="15"/>
      <c r="I541" s="15"/>
      <c r="J541" s="15"/>
      <c r="K541" s="15"/>
      <c r="L541" s="28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  <c r="AG541" s="15"/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</row>
    <row r="542" spans="3:49" x14ac:dyDescent="0.2">
      <c r="C542" s="15"/>
      <c r="D542" s="15"/>
      <c r="E542" s="15"/>
      <c r="F542" s="15"/>
      <c r="G542" s="15"/>
      <c r="H542" s="15"/>
      <c r="I542" s="15"/>
      <c r="J542" s="15"/>
      <c r="K542" s="15"/>
      <c r="L542" s="28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  <c r="AG542" s="15"/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</row>
    <row r="543" spans="3:49" x14ac:dyDescent="0.2">
      <c r="C543" s="15"/>
      <c r="D543" s="15"/>
      <c r="E543" s="15"/>
      <c r="F543" s="15"/>
      <c r="G543" s="15"/>
      <c r="H543" s="15"/>
      <c r="I543" s="15"/>
      <c r="J543" s="15"/>
      <c r="K543" s="15"/>
      <c r="L543" s="28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  <c r="AG543" s="15"/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</row>
    <row r="544" spans="3:49" x14ac:dyDescent="0.2">
      <c r="C544" s="15"/>
      <c r="D544" s="15"/>
      <c r="E544" s="15"/>
      <c r="F544" s="15"/>
      <c r="G544" s="15"/>
      <c r="H544" s="15"/>
      <c r="I544" s="15"/>
      <c r="J544" s="15"/>
      <c r="K544" s="15"/>
      <c r="L544" s="28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  <c r="AG544" s="15"/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</row>
    <row r="545" spans="3:49" x14ac:dyDescent="0.2">
      <c r="C545" s="15"/>
      <c r="D545" s="15"/>
      <c r="E545" s="15"/>
      <c r="F545" s="15"/>
      <c r="G545" s="15"/>
      <c r="H545" s="15"/>
      <c r="I545" s="15"/>
      <c r="J545" s="15"/>
      <c r="K545" s="15"/>
      <c r="L545" s="28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  <c r="AG545" s="15"/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</row>
    <row r="546" spans="3:49" x14ac:dyDescent="0.2">
      <c r="C546" s="15"/>
      <c r="D546" s="15"/>
      <c r="E546" s="15"/>
      <c r="F546" s="15"/>
      <c r="G546" s="15"/>
      <c r="H546" s="15"/>
      <c r="I546" s="15"/>
      <c r="J546" s="15"/>
      <c r="K546" s="15"/>
      <c r="L546" s="28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  <c r="AG546" s="15"/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</row>
    <row r="547" spans="3:49" x14ac:dyDescent="0.2">
      <c r="C547" s="15"/>
      <c r="D547" s="15"/>
      <c r="E547" s="15"/>
      <c r="F547" s="15"/>
      <c r="G547" s="15"/>
      <c r="H547" s="15"/>
      <c r="I547" s="15"/>
      <c r="J547" s="15"/>
      <c r="K547" s="15"/>
      <c r="L547" s="28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  <c r="AG547" s="15"/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</row>
    <row r="548" spans="3:49" x14ac:dyDescent="0.2">
      <c r="C548" s="15"/>
      <c r="D548" s="15"/>
      <c r="E548" s="15"/>
      <c r="F548" s="15"/>
      <c r="G548" s="15"/>
      <c r="H548" s="15"/>
      <c r="I548" s="15"/>
      <c r="J548" s="15"/>
      <c r="K548" s="15"/>
      <c r="L548" s="28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  <c r="AG548" s="15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</row>
    <row r="549" spans="3:49" x14ac:dyDescent="0.2">
      <c r="C549" s="15"/>
      <c r="D549" s="15"/>
      <c r="E549" s="15"/>
      <c r="F549" s="15"/>
      <c r="G549" s="15"/>
      <c r="H549" s="15"/>
      <c r="I549" s="15"/>
      <c r="J549" s="15"/>
      <c r="K549" s="15"/>
      <c r="L549" s="28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  <c r="AG549" s="15"/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</row>
    <row r="550" spans="3:49" x14ac:dyDescent="0.2">
      <c r="C550" s="15"/>
      <c r="D550" s="15"/>
      <c r="E550" s="15"/>
      <c r="F550" s="15"/>
      <c r="G550" s="15"/>
      <c r="H550" s="15"/>
      <c r="I550" s="15"/>
      <c r="J550" s="15"/>
      <c r="K550" s="15"/>
      <c r="L550" s="28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  <c r="AG550" s="15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</row>
    <row r="551" spans="3:49" x14ac:dyDescent="0.2">
      <c r="C551" s="15"/>
      <c r="D551" s="15"/>
      <c r="E551" s="15"/>
      <c r="F551" s="15"/>
      <c r="G551" s="15"/>
      <c r="H551" s="15"/>
      <c r="I551" s="15"/>
      <c r="J551" s="15"/>
      <c r="K551" s="15"/>
      <c r="L551" s="28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  <c r="AG551" s="15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</row>
    <row r="552" spans="3:49" x14ac:dyDescent="0.2">
      <c r="C552" s="15"/>
      <c r="D552" s="15"/>
      <c r="E552" s="15"/>
      <c r="F552" s="15"/>
      <c r="G552" s="15"/>
      <c r="H552" s="15"/>
      <c r="I552" s="15"/>
      <c r="J552" s="15"/>
      <c r="K552" s="15"/>
      <c r="L552" s="28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  <c r="AG552" s="15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</row>
    <row r="553" spans="3:49" x14ac:dyDescent="0.2">
      <c r="C553" s="15"/>
      <c r="D553" s="15"/>
      <c r="E553" s="15"/>
      <c r="F553" s="15"/>
      <c r="G553" s="15"/>
      <c r="H553" s="15"/>
      <c r="I553" s="15"/>
      <c r="J553" s="15"/>
      <c r="K553" s="15"/>
      <c r="L553" s="28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  <c r="AG553" s="15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</row>
    <row r="554" spans="3:49" x14ac:dyDescent="0.2">
      <c r="C554" s="15"/>
      <c r="D554" s="15"/>
      <c r="E554" s="15"/>
      <c r="F554" s="15"/>
      <c r="G554" s="15"/>
      <c r="H554" s="15"/>
      <c r="I554" s="15"/>
      <c r="J554" s="15"/>
      <c r="K554" s="15"/>
      <c r="L554" s="28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  <c r="AG554" s="15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</row>
    <row r="555" spans="3:49" x14ac:dyDescent="0.2">
      <c r="C555" s="15"/>
      <c r="D555" s="15"/>
      <c r="E555" s="15"/>
      <c r="F555" s="15"/>
      <c r="G555" s="15"/>
      <c r="H555" s="15"/>
      <c r="I555" s="15"/>
      <c r="J555" s="15"/>
      <c r="K555" s="15"/>
      <c r="L555" s="28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  <c r="AG555" s="15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</row>
    <row r="556" spans="3:49" x14ac:dyDescent="0.2">
      <c r="C556" s="15"/>
      <c r="D556" s="15"/>
      <c r="E556" s="15"/>
      <c r="F556" s="15"/>
      <c r="G556" s="15"/>
      <c r="H556" s="15"/>
      <c r="I556" s="15"/>
      <c r="J556" s="15"/>
      <c r="K556" s="15"/>
      <c r="L556" s="28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  <c r="AG556" s="15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</row>
    <row r="557" spans="3:49" x14ac:dyDescent="0.2">
      <c r="C557" s="15"/>
      <c r="D557" s="15"/>
      <c r="E557" s="15"/>
      <c r="F557" s="15"/>
      <c r="G557" s="15"/>
      <c r="H557" s="15"/>
      <c r="I557" s="15"/>
      <c r="J557" s="15"/>
      <c r="K557" s="15"/>
      <c r="L557" s="28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  <c r="AG557" s="15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</row>
    <row r="558" spans="3:49" x14ac:dyDescent="0.2">
      <c r="C558" s="15"/>
      <c r="D558" s="15"/>
      <c r="E558" s="15"/>
      <c r="F558" s="15"/>
      <c r="G558" s="15"/>
      <c r="H558" s="15"/>
      <c r="I558" s="15"/>
      <c r="J558" s="15"/>
      <c r="K558" s="15"/>
      <c r="L558" s="28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  <c r="AG558" s="15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</row>
    <row r="559" spans="3:49" x14ac:dyDescent="0.2">
      <c r="C559" s="15"/>
      <c r="D559" s="15"/>
      <c r="E559" s="15"/>
      <c r="F559" s="15"/>
      <c r="G559" s="15"/>
      <c r="H559" s="15"/>
      <c r="I559" s="15"/>
      <c r="J559" s="15"/>
      <c r="K559" s="15"/>
      <c r="L559" s="28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</row>
    <row r="560" spans="3:49" x14ac:dyDescent="0.2">
      <c r="C560" s="15"/>
      <c r="D560" s="15"/>
      <c r="E560" s="15"/>
      <c r="F560" s="15"/>
      <c r="G560" s="15"/>
      <c r="H560" s="15"/>
      <c r="I560" s="15"/>
      <c r="J560" s="15"/>
      <c r="K560" s="15"/>
      <c r="L560" s="28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</row>
    <row r="561" spans="3:49" x14ac:dyDescent="0.2">
      <c r="C561" s="15"/>
      <c r="D561" s="15"/>
      <c r="E561" s="15"/>
      <c r="F561" s="15"/>
      <c r="G561" s="15"/>
      <c r="H561" s="15"/>
      <c r="I561" s="15"/>
      <c r="J561" s="15"/>
      <c r="K561" s="15"/>
      <c r="L561" s="28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  <c r="AG561" s="15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</row>
    <row r="562" spans="3:49" x14ac:dyDescent="0.2">
      <c r="C562" s="15"/>
      <c r="D562" s="15"/>
      <c r="E562" s="15"/>
      <c r="F562" s="15"/>
      <c r="G562" s="15"/>
      <c r="H562" s="15"/>
      <c r="I562" s="15"/>
      <c r="J562" s="15"/>
      <c r="K562" s="15"/>
      <c r="L562" s="28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</row>
    <row r="563" spans="3:49" x14ac:dyDescent="0.2">
      <c r="C563" s="15"/>
      <c r="D563" s="15"/>
      <c r="E563" s="15"/>
      <c r="F563" s="15"/>
      <c r="G563" s="15"/>
      <c r="H563" s="15"/>
      <c r="I563" s="15"/>
      <c r="J563" s="15"/>
      <c r="K563" s="15"/>
      <c r="L563" s="28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</row>
    <row r="564" spans="3:49" x14ac:dyDescent="0.2">
      <c r="C564" s="15"/>
      <c r="D564" s="15"/>
      <c r="E564" s="15"/>
      <c r="F564" s="15"/>
      <c r="G564" s="15"/>
      <c r="H564" s="15"/>
      <c r="I564" s="15"/>
      <c r="J564" s="15"/>
      <c r="K564" s="15"/>
      <c r="L564" s="28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</row>
    <row r="565" spans="3:49" x14ac:dyDescent="0.2">
      <c r="C565" s="15"/>
      <c r="D565" s="15"/>
      <c r="E565" s="15"/>
      <c r="F565" s="15"/>
      <c r="G565" s="15"/>
      <c r="H565" s="15"/>
      <c r="I565" s="15"/>
      <c r="J565" s="15"/>
      <c r="K565" s="15"/>
      <c r="L565" s="28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</row>
    <row r="566" spans="3:49" x14ac:dyDescent="0.2">
      <c r="C566" s="15"/>
      <c r="D566" s="15"/>
      <c r="E566" s="15"/>
      <c r="F566" s="15"/>
      <c r="G566" s="15"/>
      <c r="H566" s="15"/>
      <c r="I566" s="15"/>
      <c r="J566" s="15"/>
      <c r="K566" s="15"/>
      <c r="L566" s="28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</row>
    <row r="567" spans="3:49" x14ac:dyDescent="0.2">
      <c r="C567" s="15"/>
      <c r="D567" s="15"/>
      <c r="E567" s="15"/>
      <c r="F567" s="15"/>
      <c r="G567" s="15"/>
      <c r="H567" s="15"/>
      <c r="I567" s="15"/>
      <c r="J567" s="15"/>
      <c r="K567" s="15"/>
      <c r="L567" s="28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</row>
    <row r="568" spans="3:49" x14ac:dyDescent="0.2">
      <c r="C568" s="15"/>
      <c r="D568" s="15"/>
      <c r="E568" s="15"/>
      <c r="F568" s="15"/>
      <c r="G568" s="15"/>
      <c r="H568" s="15"/>
      <c r="I568" s="15"/>
      <c r="J568" s="15"/>
      <c r="K568" s="15"/>
      <c r="L568" s="28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</row>
    <row r="569" spans="3:49" x14ac:dyDescent="0.2">
      <c r="C569" s="15"/>
      <c r="D569" s="15"/>
      <c r="E569" s="15"/>
      <c r="F569" s="15"/>
      <c r="G569" s="15"/>
      <c r="H569" s="15"/>
      <c r="I569" s="15"/>
      <c r="J569" s="15"/>
      <c r="K569" s="15"/>
      <c r="L569" s="28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</row>
    <row r="570" spans="3:49" x14ac:dyDescent="0.2">
      <c r="C570" s="15"/>
      <c r="D570" s="15"/>
      <c r="E570" s="15"/>
      <c r="F570" s="15"/>
      <c r="G570" s="15"/>
      <c r="H570" s="15"/>
      <c r="I570" s="15"/>
      <c r="J570" s="15"/>
      <c r="K570" s="15"/>
      <c r="L570" s="28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</row>
    <row r="571" spans="3:49" x14ac:dyDescent="0.2">
      <c r="C571" s="15"/>
      <c r="D571" s="15"/>
      <c r="E571" s="15"/>
      <c r="F571" s="15"/>
      <c r="G571" s="15"/>
      <c r="H571" s="15"/>
      <c r="I571" s="15"/>
      <c r="J571" s="15"/>
      <c r="K571" s="15"/>
      <c r="L571" s="28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</row>
    <row r="572" spans="3:49" x14ac:dyDescent="0.2">
      <c r="C572" s="15"/>
      <c r="D572" s="15"/>
      <c r="E572" s="15"/>
      <c r="F572" s="15"/>
      <c r="G572" s="15"/>
      <c r="H572" s="15"/>
      <c r="I572" s="15"/>
      <c r="J572" s="15"/>
      <c r="K572" s="15"/>
      <c r="L572" s="28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</row>
    <row r="573" spans="3:49" x14ac:dyDescent="0.2">
      <c r="C573" s="15"/>
      <c r="D573" s="15"/>
      <c r="E573" s="15"/>
      <c r="F573" s="15"/>
      <c r="G573" s="15"/>
      <c r="H573" s="15"/>
      <c r="I573" s="15"/>
      <c r="J573" s="15"/>
      <c r="K573" s="15"/>
      <c r="L573" s="28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</row>
    <row r="574" spans="3:49" x14ac:dyDescent="0.2">
      <c r="C574" s="15"/>
      <c r="D574" s="15"/>
      <c r="E574" s="15"/>
      <c r="F574" s="15"/>
      <c r="G574" s="15"/>
      <c r="H574" s="15"/>
      <c r="I574" s="15"/>
      <c r="J574" s="15"/>
      <c r="K574" s="15"/>
      <c r="L574" s="28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</row>
    <row r="575" spans="3:49" x14ac:dyDescent="0.2">
      <c r="C575" s="15"/>
      <c r="D575" s="15"/>
      <c r="E575" s="15"/>
      <c r="F575" s="15"/>
      <c r="G575" s="15"/>
      <c r="H575" s="15"/>
      <c r="I575" s="15"/>
      <c r="J575" s="15"/>
      <c r="K575" s="15"/>
      <c r="L575" s="28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</row>
    <row r="576" spans="3:49" x14ac:dyDescent="0.2">
      <c r="C576" s="15"/>
      <c r="D576" s="15"/>
      <c r="E576" s="15"/>
      <c r="F576" s="15"/>
      <c r="G576" s="15"/>
      <c r="H576" s="15"/>
      <c r="I576" s="15"/>
      <c r="J576" s="15"/>
      <c r="K576" s="15"/>
      <c r="L576" s="28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</row>
    <row r="577" spans="3:49" x14ac:dyDescent="0.2">
      <c r="C577" s="15"/>
      <c r="D577" s="15"/>
      <c r="E577" s="15"/>
      <c r="F577" s="15"/>
      <c r="G577" s="15"/>
      <c r="H577" s="15"/>
      <c r="I577" s="15"/>
      <c r="J577" s="15"/>
      <c r="K577" s="15"/>
      <c r="L577" s="28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</row>
    <row r="578" spans="3:49" x14ac:dyDescent="0.2">
      <c r="C578" s="15"/>
      <c r="D578" s="15"/>
      <c r="E578" s="15"/>
      <c r="F578" s="15"/>
      <c r="G578" s="15"/>
      <c r="H578" s="15"/>
      <c r="I578" s="15"/>
      <c r="J578" s="15"/>
      <c r="K578" s="15"/>
      <c r="L578" s="28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  <c r="AG578" s="15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</row>
    <row r="579" spans="3:49" x14ac:dyDescent="0.2">
      <c r="C579" s="15"/>
      <c r="D579" s="15"/>
      <c r="E579" s="15"/>
      <c r="F579" s="15"/>
      <c r="G579" s="15"/>
      <c r="H579" s="15"/>
      <c r="I579" s="15"/>
      <c r="J579" s="15"/>
      <c r="K579" s="15"/>
      <c r="L579" s="28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  <c r="AG579" s="15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</row>
    <row r="580" spans="3:49" x14ac:dyDescent="0.2">
      <c r="C580" s="15"/>
      <c r="D580" s="15"/>
      <c r="E580" s="15"/>
      <c r="F580" s="15"/>
      <c r="G580" s="15"/>
      <c r="H580" s="15"/>
      <c r="I580" s="15"/>
      <c r="J580" s="15"/>
      <c r="K580" s="15"/>
      <c r="L580" s="28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  <c r="AG580" s="15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</row>
    <row r="581" spans="3:49" x14ac:dyDescent="0.2">
      <c r="C581" s="15"/>
      <c r="D581" s="15"/>
      <c r="E581" s="15"/>
      <c r="F581" s="15"/>
      <c r="G581" s="15"/>
      <c r="H581" s="15"/>
      <c r="I581" s="15"/>
      <c r="J581" s="15"/>
      <c r="K581" s="15"/>
      <c r="L581" s="28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  <c r="AG581" s="15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</row>
    <row r="582" spans="3:49" x14ac:dyDescent="0.2">
      <c r="C582" s="15"/>
      <c r="D582" s="15"/>
      <c r="E582" s="15"/>
      <c r="F582" s="15"/>
      <c r="G582" s="15"/>
      <c r="H582" s="15"/>
      <c r="I582" s="15"/>
      <c r="J582" s="15"/>
      <c r="K582" s="15"/>
      <c r="L582" s="28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  <c r="AG582" s="15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</row>
    <row r="583" spans="3:49" x14ac:dyDescent="0.2">
      <c r="C583" s="15"/>
      <c r="D583" s="15"/>
      <c r="E583" s="15"/>
      <c r="F583" s="15"/>
      <c r="G583" s="15"/>
      <c r="H583" s="15"/>
      <c r="I583" s="15"/>
      <c r="J583" s="15"/>
      <c r="K583" s="15"/>
      <c r="L583" s="28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  <c r="AG583" s="15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</row>
    <row r="584" spans="3:49" x14ac:dyDescent="0.2">
      <c r="C584" s="15"/>
      <c r="D584" s="15"/>
      <c r="E584" s="15"/>
      <c r="F584" s="15"/>
      <c r="G584" s="15"/>
      <c r="H584" s="15"/>
      <c r="I584" s="15"/>
      <c r="J584" s="15"/>
      <c r="K584" s="15"/>
      <c r="L584" s="28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  <c r="AG584" s="15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</row>
    <row r="585" spans="3:49" x14ac:dyDescent="0.2">
      <c r="C585" s="15"/>
      <c r="D585" s="15"/>
      <c r="E585" s="15"/>
      <c r="F585" s="15"/>
      <c r="G585" s="15"/>
      <c r="H585" s="15"/>
      <c r="I585" s="15"/>
      <c r="J585" s="15"/>
      <c r="K585" s="15"/>
      <c r="L585" s="28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  <c r="AG585" s="15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</row>
    <row r="586" spans="3:49" x14ac:dyDescent="0.2">
      <c r="C586" s="15"/>
      <c r="D586" s="15"/>
      <c r="E586" s="15"/>
      <c r="F586" s="15"/>
      <c r="G586" s="15"/>
      <c r="H586" s="15"/>
      <c r="I586" s="15"/>
      <c r="J586" s="15"/>
      <c r="K586" s="15"/>
      <c r="L586" s="28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</row>
    <row r="587" spans="3:49" x14ac:dyDescent="0.2">
      <c r="C587" s="15"/>
      <c r="D587" s="15"/>
      <c r="E587" s="15"/>
      <c r="F587" s="15"/>
      <c r="G587" s="15"/>
      <c r="H587" s="15"/>
      <c r="I587" s="15"/>
      <c r="J587" s="15"/>
      <c r="K587" s="15"/>
      <c r="L587" s="28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  <c r="AG587" s="15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</row>
    <row r="588" spans="3:49" x14ac:dyDescent="0.2">
      <c r="C588" s="15"/>
      <c r="D588" s="15"/>
      <c r="E588" s="15"/>
      <c r="F588" s="15"/>
      <c r="G588" s="15"/>
      <c r="H588" s="15"/>
      <c r="I588" s="15"/>
      <c r="J588" s="15"/>
      <c r="K588" s="15"/>
      <c r="L588" s="28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  <c r="AG588" s="15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</row>
    <row r="589" spans="3:49" x14ac:dyDescent="0.2">
      <c r="C589" s="15"/>
      <c r="D589" s="15"/>
      <c r="E589" s="15"/>
      <c r="F589" s="15"/>
      <c r="G589" s="15"/>
      <c r="H589" s="15"/>
      <c r="I589" s="15"/>
      <c r="J589" s="15"/>
      <c r="K589" s="15"/>
      <c r="L589" s="28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  <c r="AG589" s="15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</row>
    <row r="590" spans="3:49" x14ac:dyDescent="0.2">
      <c r="C590" s="15"/>
      <c r="D590" s="15"/>
      <c r="E590" s="15"/>
      <c r="F590" s="15"/>
      <c r="G590" s="15"/>
      <c r="H590" s="15"/>
      <c r="I590" s="15"/>
      <c r="J590" s="15"/>
      <c r="K590" s="15"/>
      <c r="L590" s="28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  <c r="AG590" s="15"/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</row>
    <row r="591" spans="3:49" x14ac:dyDescent="0.2">
      <c r="C591" s="15"/>
      <c r="D591" s="15"/>
      <c r="E591" s="15"/>
      <c r="F591" s="15"/>
      <c r="G591" s="15"/>
      <c r="H591" s="15"/>
      <c r="I591" s="15"/>
      <c r="J591" s="15"/>
      <c r="K591" s="15"/>
      <c r="L591" s="28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  <c r="AG591" s="15"/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</row>
    <row r="592" spans="3:49" x14ac:dyDescent="0.2">
      <c r="C592" s="15"/>
      <c r="D592" s="15"/>
      <c r="E592" s="15"/>
      <c r="F592" s="15"/>
      <c r="G592" s="15"/>
      <c r="H592" s="15"/>
      <c r="I592" s="15"/>
      <c r="J592" s="15"/>
      <c r="K592" s="15"/>
      <c r="L592" s="28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  <c r="AG592" s="15"/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</row>
    <row r="593" spans="3:49" x14ac:dyDescent="0.2">
      <c r="C593" s="15"/>
      <c r="D593" s="15"/>
      <c r="E593" s="15"/>
      <c r="F593" s="15"/>
      <c r="G593" s="15"/>
      <c r="H593" s="15"/>
      <c r="I593" s="15"/>
      <c r="J593" s="15"/>
      <c r="K593" s="15"/>
      <c r="L593" s="28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  <c r="AG593" s="15"/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</row>
    <row r="594" spans="3:49" x14ac:dyDescent="0.2">
      <c r="C594" s="15"/>
      <c r="D594" s="15"/>
      <c r="E594" s="15"/>
      <c r="F594" s="15"/>
      <c r="G594" s="15"/>
      <c r="H594" s="15"/>
      <c r="I594" s="15"/>
      <c r="J594" s="15"/>
      <c r="K594" s="15"/>
      <c r="L594" s="28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  <c r="AG594" s="15"/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</row>
    <row r="595" spans="3:49" x14ac:dyDescent="0.2">
      <c r="C595" s="15"/>
      <c r="D595" s="15"/>
      <c r="E595" s="15"/>
      <c r="F595" s="15"/>
      <c r="G595" s="15"/>
      <c r="H595" s="15"/>
      <c r="I595" s="15"/>
      <c r="J595" s="15"/>
      <c r="K595" s="15"/>
      <c r="L595" s="28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  <c r="AG595" s="15"/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</row>
    <row r="596" spans="3:49" x14ac:dyDescent="0.2">
      <c r="C596" s="15"/>
      <c r="D596" s="15"/>
      <c r="E596" s="15"/>
      <c r="F596" s="15"/>
      <c r="G596" s="15"/>
      <c r="H596" s="15"/>
      <c r="I596" s="15"/>
      <c r="J596" s="15"/>
      <c r="K596" s="15"/>
      <c r="L596" s="28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  <c r="AG596" s="15"/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</row>
    <row r="597" spans="3:49" x14ac:dyDescent="0.2">
      <c r="C597" s="15"/>
      <c r="D597" s="15"/>
      <c r="E597" s="15"/>
      <c r="F597" s="15"/>
      <c r="G597" s="15"/>
      <c r="H597" s="15"/>
      <c r="I597" s="15"/>
      <c r="J597" s="15"/>
      <c r="K597" s="15"/>
      <c r="L597" s="28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  <c r="AG597" s="15"/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</row>
    <row r="598" spans="3:49" x14ac:dyDescent="0.2">
      <c r="C598" s="15"/>
      <c r="D598" s="15"/>
      <c r="E598" s="15"/>
      <c r="F598" s="15"/>
      <c r="G598" s="15"/>
      <c r="H598" s="15"/>
      <c r="I598" s="15"/>
      <c r="J598" s="15"/>
      <c r="K598" s="15"/>
      <c r="L598" s="28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  <c r="AG598" s="15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</row>
    <row r="599" spans="3:49" x14ac:dyDescent="0.2">
      <c r="C599" s="15"/>
      <c r="D599" s="15"/>
      <c r="E599" s="15"/>
      <c r="F599" s="15"/>
      <c r="G599" s="15"/>
      <c r="H599" s="15"/>
      <c r="I599" s="15"/>
      <c r="J599" s="15"/>
      <c r="K599" s="15"/>
      <c r="L599" s="28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  <c r="AG599" s="15"/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</row>
    <row r="600" spans="3:49" x14ac:dyDescent="0.2">
      <c r="C600" s="15"/>
      <c r="D600" s="15"/>
      <c r="E600" s="15"/>
      <c r="F600" s="15"/>
      <c r="G600" s="15"/>
      <c r="H600" s="15"/>
      <c r="I600" s="15"/>
      <c r="J600" s="15"/>
      <c r="K600" s="15"/>
      <c r="L600" s="28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  <c r="AG600" s="15"/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</row>
    <row r="601" spans="3:49" x14ac:dyDescent="0.2">
      <c r="C601" s="15"/>
      <c r="D601" s="15"/>
      <c r="E601" s="15"/>
      <c r="F601" s="15"/>
      <c r="G601" s="15"/>
      <c r="H601" s="15"/>
      <c r="I601" s="15"/>
      <c r="J601" s="15"/>
      <c r="K601" s="15"/>
      <c r="L601" s="28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  <c r="AG601" s="15"/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</row>
    <row r="602" spans="3:49" x14ac:dyDescent="0.2">
      <c r="C602" s="15"/>
      <c r="D602" s="15"/>
      <c r="E602" s="15"/>
      <c r="F602" s="15"/>
      <c r="G602" s="15"/>
      <c r="H602" s="15"/>
      <c r="I602" s="15"/>
      <c r="J602" s="15"/>
      <c r="K602" s="15"/>
      <c r="L602" s="28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</row>
    <row r="603" spans="3:49" x14ac:dyDescent="0.2">
      <c r="C603" s="15"/>
      <c r="D603" s="15"/>
      <c r="E603" s="15"/>
      <c r="F603" s="15"/>
      <c r="G603" s="15"/>
      <c r="H603" s="15"/>
      <c r="I603" s="15"/>
      <c r="J603" s="15"/>
      <c r="K603" s="15"/>
      <c r="L603" s="28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</row>
    <row r="604" spans="3:49" x14ac:dyDescent="0.2">
      <c r="C604" s="15"/>
      <c r="D604" s="15"/>
      <c r="E604" s="15"/>
      <c r="F604" s="15"/>
      <c r="G604" s="15"/>
      <c r="H604" s="15"/>
      <c r="I604" s="15"/>
      <c r="J604" s="15"/>
      <c r="K604" s="15"/>
      <c r="L604" s="28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</row>
    <row r="605" spans="3:49" x14ac:dyDescent="0.2">
      <c r="C605" s="15"/>
      <c r="D605" s="15"/>
      <c r="E605" s="15"/>
      <c r="F605" s="15"/>
      <c r="G605" s="15"/>
      <c r="H605" s="15"/>
      <c r="I605" s="15"/>
      <c r="J605" s="15"/>
      <c r="K605" s="15"/>
      <c r="L605" s="28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</row>
    <row r="606" spans="3:49" x14ac:dyDescent="0.2">
      <c r="C606" s="15"/>
      <c r="D606" s="15"/>
      <c r="E606" s="15"/>
      <c r="F606" s="15"/>
      <c r="G606" s="15"/>
      <c r="H606" s="15"/>
      <c r="I606" s="15"/>
      <c r="J606" s="15"/>
      <c r="K606" s="15"/>
      <c r="L606" s="28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</row>
    <row r="607" spans="3:49" x14ac:dyDescent="0.2">
      <c r="C607" s="15"/>
      <c r="D607" s="15"/>
      <c r="E607" s="15"/>
      <c r="F607" s="15"/>
      <c r="G607" s="15"/>
      <c r="H607" s="15"/>
      <c r="I607" s="15"/>
      <c r="J607" s="15"/>
      <c r="K607" s="15"/>
      <c r="L607" s="28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  <c r="AG607" s="15"/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</row>
    <row r="608" spans="3:49" x14ac:dyDescent="0.2">
      <c r="C608" s="15"/>
      <c r="D608" s="15"/>
      <c r="E608" s="15"/>
      <c r="F608" s="15"/>
      <c r="G608" s="15"/>
      <c r="H608" s="15"/>
      <c r="I608" s="15"/>
      <c r="J608" s="15"/>
      <c r="K608" s="15"/>
      <c r="L608" s="28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</row>
    <row r="609" spans="3:49" x14ac:dyDescent="0.2">
      <c r="C609" s="15"/>
      <c r="D609" s="15"/>
      <c r="E609" s="15"/>
      <c r="F609" s="15"/>
      <c r="G609" s="15"/>
      <c r="H609" s="15"/>
      <c r="I609" s="15"/>
      <c r="J609" s="15"/>
      <c r="K609" s="15"/>
      <c r="L609" s="28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</row>
    <row r="610" spans="3:49" x14ac:dyDescent="0.2">
      <c r="C610" s="15"/>
      <c r="D610" s="15"/>
      <c r="E610" s="15"/>
      <c r="F610" s="15"/>
      <c r="G610" s="15"/>
      <c r="H610" s="15"/>
      <c r="I610" s="15"/>
      <c r="J610" s="15"/>
      <c r="K610" s="15"/>
      <c r="L610" s="28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</row>
    <row r="611" spans="3:49" x14ac:dyDescent="0.2">
      <c r="C611" s="15"/>
      <c r="D611" s="15"/>
      <c r="E611" s="15"/>
      <c r="F611" s="15"/>
      <c r="G611" s="15"/>
      <c r="H611" s="15"/>
      <c r="I611" s="15"/>
      <c r="J611" s="15"/>
      <c r="K611" s="15"/>
      <c r="L611" s="28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</row>
    <row r="612" spans="3:49" x14ac:dyDescent="0.2">
      <c r="C612" s="15"/>
      <c r="D612" s="15"/>
      <c r="E612" s="15"/>
      <c r="F612" s="15"/>
      <c r="G612" s="15"/>
      <c r="H612" s="15"/>
      <c r="I612" s="15"/>
      <c r="J612" s="15"/>
      <c r="K612" s="15"/>
      <c r="L612" s="28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  <c r="AG612" s="15"/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</row>
    <row r="613" spans="3:49" x14ac:dyDescent="0.2">
      <c r="C613" s="15"/>
      <c r="D613" s="15"/>
      <c r="E613" s="15"/>
      <c r="F613" s="15"/>
      <c r="G613" s="15"/>
      <c r="H613" s="15"/>
      <c r="I613" s="15"/>
      <c r="J613" s="15"/>
      <c r="K613" s="15"/>
      <c r="L613" s="28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</row>
    <row r="614" spans="3:49" x14ac:dyDescent="0.2">
      <c r="C614" s="15"/>
      <c r="D614" s="15"/>
      <c r="E614" s="15"/>
      <c r="F614" s="15"/>
      <c r="G614" s="15"/>
      <c r="H614" s="15"/>
      <c r="I614" s="15"/>
      <c r="J614" s="15"/>
      <c r="K614" s="15"/>
      <c r="L614" s="28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</row>
    <row r="615" spans="3:49" x14ac:dyDescent="0.2">
      <c r="C615" s="15"/>
      <c r="D615" s="15"/>
      <c r="E615" s="15"/>
      <c r="F615" s="15"/>
      <c r="G615" s="15"/>
      <c r="H615" s="15"/>
      <c r="I615" s="15"/>
      <c r="J615" s="15"/>
      <c r="K615" s="15"/>
      <c r="L615" s="28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</row>
    <row r="616" spans="3:49" x14ac:dyDescent="0.2">
      <c r="C616" s="15"/>
      <c r="D616" s="15"/>
      <c r="E616" s="15"/>
      <c r="F616" s="15"/>
      <c r="G616" s="15"/>
      <c r="H616" s="15"/>
      <c r="I616" s="15"/>
      <c r="J616" s="15"/>
      <c r="K616" s="15"/>
      <c r="L616" s="28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</row>
    <row r="617" spans="3:49" x14ac:dyDescent="0.2">
      <c r="C617" s="15"/>
      <c r="D617" s="15"/>
      <c r="E617" s="15"/>
      <c r="F617" s="15"/>
      <c r="G617" s="15"/>
      <c r="H617" s="15"/>
      <c r="I617" s="15"/>
      <c r="J617" s="15"/>
      <c r="K617" s="15"/>
      <c r="L617" s="28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</row>
    <row r="618" spans="3:49" x14ac:dyDescent="0.2">
      <c r="C618" s="15"/>
      <c r="D618" s="15"/>
      <c r="E618" s="15"/>
      <c r="F618" s="15"/>
      <c r="G618" s="15"/>
      <c r="H618" s="15"/>
      <c r="I618" s="15"/>
      <c r="J618" s="15"/>
      <c r="K618" s="15"/>
      <c r="L618" s="28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</row>
    <row r="619" spans="3:49" x14ac:dyDescent="0.2">
      <c r="C619" s="15"/>
      <c r="D619" s="15"/>
      <c r="E619" s="15"/>
      <c r="F619" s="15"/>
      <c r="G619" s="15"/>
      <c r="H619" s="15"/>
      <c r="I619" s="15"/>
      <c r="J619" s="15"/>
      <c r="K619" s="15"/>
      <c r="L619" s="28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</row>
    <row r="620" spans="3:49" x14ac:dyDescent="0.2">
      <c r="C620" s="15"/>
      <c r="D620" s="15"/>
      <c r="E620" s="15"/>
      <c r="F620" s="15"/>
      <c r="G620" s="15"/>
      <c r="H620" s="15"/>
      <c r="I620" s="15"/>
      <c r="J620" s="15"/>
      <c r="K620" s="15"/>
      <c r="L620" s="28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  <c r="AG620" s="15"/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</row>
    <row r="621" spans="3:49" x14ac:dyDescent="0.2">
      <c r="C621" s="15"/>
      <c r="D621" s="15"/>
      <c r="E621" s="15"/>
      <c r="F621" s="15"/>
      <c r="G621" s="15"/>
      <c r="H621" s="15"/>
      <c r="I621" s="15"/>
      <c r="J621" s="15"/>
      <c r="K621" s="15"/>
      <c r="L621" s="28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  <c r="AG621" s="15"/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</row>
    <row r="622" spans="3:49" x14ac:dyDescent="0.2">
      <c r="C622" s="15"/>
      <c r="D622" s="15"/>
      <c r="E622" s="15"/>
      <c r="F622" s="15"/>
      <c r="G622" s="15"/>
      <c r="H622" s="15"/>
      <c r="I622" s="15"/>
      <c r="J622" s="15"/>
      <c r="K622" s="15"/>
      <c r="L622" s="28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  <c r="AG622" s="15"/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</row>
    <row r="623" spans="3:49" x14ac:dyDescent="0.2">
      <c r="C623" s="15"/>
      <c r="D623" s="15"/>
      <c r="E623" s="15"/>
      <c r="F623" s="15"/>
      <c r="G623" s="15"/>
      <c r="H623" s="15"/>
      <c r="I623" s="15"/>
      <c r="J623" s="15"/>
      <c r="K623" s="15"/>
      <c r="L623" s="28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  <c r="AG623" s="15"/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</row>
    <row r="624" spans="3:49" x14ac:dyDescent="0.2">
      <c r="C624" s="15"/>
      <c r="D624" s="15"/>
      <c r="E624" s="15"/>
      <c r="F624" s="15"/>
      <c r="G624" s="15"/>
      <c r="H624" s="15"/>
      <c r="I624" s="15"/>
      <c r="J624" s="15"/>
      <c r="K624" s="15"/>
      <c r="L624" s="28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  <c r="AG624" s="15"/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</row>
    <row r="625" spans="3:49" x14ac:dyDescent="0.2">
      <c r="C625" s="15"/>
      <c r="D625" s="15"/>
      <c r="E625" s="15"/>
      <c r="F625" s="15"/>
      <c r="G625" s="15"/>
      <c r="H625" s="15"/>
      <c r="I625" s="15"/>
      <c r="J625" s="15"/>
      <c r="K625" s="15"/>
      <c r="L625" s="28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  <c r="AG625" s="15"/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</row>
    <row r="626" spans="3:49" x14ac:dyDescent="0.2">
      <c r="C626" s="15"/>
      <c r="D626" s="15"/>
      <c r="E626" s="15"/>
      <c r="F626" s="15"/>
      <c r="G626" s="15"/>
      <c r="H626" s="15"/>
      <c r="I626" s="15"/>
      <c r="J626" s="15"/>
      <c r="K626" s="15"/>
      <c r="L626" s="28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</row>
    <row r="627" spans="3:49" x14ac:dyDescent="0.2">
      <c r="C627" s="15"/>
      <c r="D627" s="15"/>
      <c r="E627" s="15"/>
      <c r="F627" s="15"/>
      <c r="G627" s="15"/>
      <c r="H627" s="15"/>
      <c r="I627" s="15"/>
      <c r="J627" s="15"/>
      <c r="K627" s="15"/>
      <c r="L627" s="28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  <c r="AG627" s="15"/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</row>
    <row r="628" spans="3:49" x14ac:dyDescent="0.2">
      <c r="C628" s="15"/>
      <c r="D628" s="15"/>
      <c r="E628" s="15"/>
      <c r="F628" s="15"/>
      <c r="G628" s="15"/>
      <c r="H628" s="15"/>
      <c r="I628" s="15"/>
      <c r="J628" s="15"/>
      <c r="K628" s="15"/>
      <c r="L628" s="28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  <c r="AG628" s="15"/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</row>
    <row r="629" spans="3:49" x14ac:dyDescent="0.2">
      <c r="C629" s="15"/>
      <c r="D629" s="15"/>
      <c r="E629" s="15"/>
      <c r="F629" s="15"/>
      <c r="G629" s="15"/>
      <c r="H629" s="15"/>
      <c r="I629" s="15"/>
      <c r="J629" s="15"/>
      <c r="K629" s="15"/>
      <c r="L629" s="28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  <c r="AG629" s="15"/>
      <c r="AH629" s="15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  <c r="AS629" s="15"/>
      <c r="AT629" s="15"/>
      <c r="AU629" s="15"/>
      <c r="AV629" s="15"/>
      <c r="AW629" s="15"/>
    </row>
    <row r="630" spans="3:49" x14ac:dyDescent="0.2">
      <c r="C630" s="15"/>
      <c r="D630" s="15"/>
      <c r="E630" s="15"/>
      <c r="F630" s="15"/>
      <c r="G630" s="15"/>
      <c r="H630" s="15"/>
      <c r="I630" s="15"/>
      <c r="J630" s="15"/>
      <c r="K630" s="15"/>
      <c r="L630" s="28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  <c r="AG630" s="15"/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</row>
    <row r="631" spans="3:49" x14ac:dyDescent="0.2">
      <c r="C631" s="15"/>
      <c r="D631" s="15"/>
      <c r="E631" s="15"/>
      <c r="F631" s="15"/>
      <c r="G631" s="15"/>
      <c r="H631" s="15"/>
      <c r="I631" s="15"/>
      <c r="J631" s="15"/>
      <c r="K631" s="15"/>
      <c r="L631" s="28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  <c r="AG631" s="15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</row>
    <row r="632" spans="3:49" x14ac:dyDescent="0.2">
      <c r="C632" s="15"/>
      <c r="D632" s="15"/>
      <c r="E632" s="15"/>
      <c r="F632" s="15"/>
      <c r="G632" s="15"/>
      <c r="H632" s="15"/>
      <c r="I632" s="15"/>
      <c r="J632" s="15"/>
      <c r="K632" s="15"/>
      <c r="L632" s="28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  <c r="AG632" s="15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</row>
    <row r="633" spans="3:49" x14ac:dyDescent="0.2">
      <c r="C633" s="15"/>
      <c r="D633" s="15"/>
      <c r="E633" s="15"/>
      <c r="F633" s="15"/>
      <c r="G633" s="15"/>
      <c r="H633" s="15"/>
      <c r="I633" s="15"/>
      <c r="J633" s="15"/>
      <c r="K633" s="15"/>
      <c r="L633" s="28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  <c r="AG633" s="15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</row>
    <row r="634" spans="3:49" x14ac:dyDescent="0.2">
      <c r="C634" s="15"/>
      <c r="D634" s="15"/>
      <c r="E634" s="15"/>
      <c r="F634" s="15"/>
      <c r="G634" s="15"/>
      <c r="H634" s="15"/>
      <c r="I634" s="15"/>
      <c r="J634" s="15"/>
      <c r="K634" s="15"/>
      <c r="L634" s="28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  <c r="AG634" s="15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</row>
    <row r="635" spans="3:49" x14ac:dyDescent="0.2">
      <c r="C635" s="15"/>
      <c r="D635" s="15"/>
      <c r="E635" s="15"/>
      <c r="F635" s="15"/>
      <c r="G635" s="15"/>
      <c r="H635" s="15"/>
      <c r="I635" s="15"/>
      <c r="J635" s="15"/>
      <c r="K635" s="15"/>
      <c r="L635" s="28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  <c r="AG635" s="15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</row>
    <row r="636" spans="3:49" x14ac:dyDescent="0.2">
      <c r="C636" s="15"/>
      <c r="D636" s="15"/>
      <c r="E636" s="15"/>
      <c r="F636" s="15"/>
      <c r="G636" s="15"/>
      <c r="H636" s="15"/>
      <c r="I636" s="15"/>
      <c r="J636" s="15"/>
      <c r="K636" s="15"/>
      <c r="L636" s="28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  <c r="AG636" s="15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</row>
    <row r="637" spans="3:49" x14ac:dyDescent="0.2">
      <c r="C637" s="15"/>
      <c r="D637" s="15"/>
      <c r="E637" s="15"/>
      <c r="F637" s="15"/>
      <c r="G637" s="15"/>
      <c r="H637" s="15"/>
      <c r="I637" s="15"/>
      <c r="J637" s="15"/>
      <c r="K637" s="15"/>
      <c r="L637" s="28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  <c r="AG637" s="15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</row>
    <row r="638" spans="3:49" x14ac:dyDescent="0.2">
      <c r="C638" s="15"/>
      <c r="D638" s="15"/>
      <c r="E638" s="15"/>
      <c r="F638" s="15"/>
      <c r="G638" s="15"/>
      <c r="H638" s="15"/>
      <c r="I638" s="15"/>
      <c r="J638" s="15"/>
      <c r="K638" s="15"/>
      <c r="L638" s="28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  <c r="AG638" s="15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</row>
    <row r="639" spans="3:49" x14ac:dyDescent="0.2">
      <c r="C639" s="15"/>
      <c r="D639" s="15"/>
      <c r="E639" s="15"/>
      <c r="F639" s="15"/>
      <c r="G639" s="15"/>
      <c r="H639" s="15"/>
      <c r="I639" s="15"/>
      <c r="J639" s="15"/>
      <c r="K639" s="15"/>
      <c r="L639" s="28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  <c r="AG639" s="15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</row>
    <row r="640" spans="3:49" x14ac:dyDescent="0.2">
      <c r="C640" s="15"/>
      <c r="D640" s="15"/>
      <c r="E640" s="15"/>
      <c r="F640" s="15"/>
      <c r="G640" s="15"/>
      <c r="H640" s="15"/>
      <c r="I640" s="15"/>
      <c r="J640" s="15"/>
      <c r="K640" s="15"/>
      <c r="L640" s="28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</row>
    <row r="641" spans="3:49" x14ac:dyDescent="0.2">
      <c r="C641" s="15"/>
      <c r="D641" s="15"/>
      <c r="E641" s="15"/>
      <c r="F641" s="15"/>
      <c r="G641" s="15"/>
      <c r="H641" s="15"/>
      <c r="I641" s="15"/>
      <c r="J641" s="15"/>
      <c r="K641" s="15"/>
      <c r="L641" s="28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</row>
    <row r="642" spans="3:49" x14ac:dyDescent="0.2">
      <c r="C642" s="15"/>
      <c r="D642" s="15"/>
      <c r="E642" s="15"/>
      <c r="F642" s="15"/>
      <c r="G642" s="15"/>
      <c r="H642" s="15"/>
      <c r="I642" s="15"/>
      <c r="J642" s="15"/>
      <c r="K642" s="15"/>
      <c r="L642" s="28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</row>
    <row r="643" spans="3:49" x14ac:dyDescent="0.2">
      <c r="C643" s="15"/>
      <c r="D643" s="15"/>
      <c r="E643" s="15"/>
      <c r="F643" s="15"/>
      <c r="G643" s="15"/>
      <c r="H643" s="15"/>
      <c r="I643" s="15"/>
      <c r="J643" s="15"/>
      <c r="K643" s="15"/>
      <c r="L643" s="28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</row>
    <row r="644" spans="3:49" x14ac:dyDescent="0.2">
      <c r="C644" s="15"/>
      <c r="D644" s="15"/>
      <c r="E644" s="15"/>
      <c r="F644" s="15"/>
      <c r="G644" s="15"/>
      <c r="H644" s="15"/>
      <c r="I644" s="15"/>
      <c r="J644" s="15"/>
      <c r="K644" s="15"/>
      <c r="L644" s="28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</row>
    <row r="645" spans="3:49" x14ac:dyDescent="0.2">
      <c r="C645" s="15"/>
      <c r="D645" s="15"/>
      <c r="E645" s="15"/>
      <c r="F645" s="15"/>
      <c r="G645" s="15"/>
      <c r="H645" s="15"/>
      <c r="I645" s="15"/>
      <c r="J645" s="15"/>
      <c r="K645" s="15"/>
      <c r="L645" s="28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</row>
    <row r="646" spans="3:49" x14ac:dyDescent="0.2">
      <c r="C646" s="15"/>
      <c r="D646" s="15"/>
      <c r="E646" s="15"/>
      <c r="F646" s="15"/>
      <c r="G646" s="15"/>
      <c r="H646" s="15"/>
      <c r="I646" s="15"/>
      <c r="J646" s="15"/>
      <c r="K646" s="15"/>
      <c r="L646" s="28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</row>
    <row r="647" spans="3:49" x14ac:dyDescent="0.2">
      <c r="C647" s="15"/>
      <c r="D647" s="15"/>
      <c r="E647" s="15"/>
      <c r="F647" s="15"/>
      <c r="G647" s="15"/>
      <c r="H647" s="15"/>
      <c r="I647" s="15"/>
      <c r="J647" s="15"/>
      <c r="K647" s="15"/>
      <c r="L647" s="28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</row>
    <row r="648" spans="3:49" x14ac:dyDescent="0.2">
      <c r="C648" s="15"/>
      <c r="D648" s="15"/>
      <c r="E648" s="15"/>
      <c r="F648" s="15"/>
      <c r="G648" s="15"/>
      <c r="H648" s="15"/>
      <c r="I648" s="15"/>
      <c r="J648" s="15"/>
      <c r="K648" s="15"/>
      <c r="L648" s="28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</row>
    <row r="649" spans="3:49" x14ac:dyDescent="0.2">
      <c r="C649" s="15"/>
      <c r="D649" s="15"/>
      <c r="E649" s="15"/>
      <c r="F649" s="15"/>
      <c r="G649" s="15"/>
      <c r="H649" s="15"/>
      <c r="I649" s="15"/>
      <c r="J649" s="15"/>
      <c r="K649" s="15"/>
      <c r="L649" s="28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</row>
    <row r="650" spans="3:49" x14ac:dyDescent="0.2">
      <c r="C650" s="15"/>
      <c r="D650" s="15"/>
      <c r="E650" s="15"/>
      <c r="F650" s="15"/>
      <c r="G650" s="15"/>
      <c r="H650" s="15"/>
      <c r="I650" s="15"/>
      <c r="J650" s="15"/>
      <c r="K650" s="15"/>
      <c r="L650" s="28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</row>
    <row r="651" spans="3:49" x14ac:dyDescent="0.2">
      <c r="C651" s="15"/>
      <c r="D651" s="15"/>
      <c r="E651" s="15"/>
      <c r="F651" s="15"/>
      <c r="G651" s="15"/>
      <c r="H651" s="15"/>
      <c r="I651" s="15"/>
      <c r="J651" s="15"/>
      <c r="K651" s="15"/>
      <c r="L651" s="28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</row>
    <row r="652" spans="3:49" x14ac:dyDescent="0.2">
      <c r="C652" s="15"/>
      <c r="D652" s="15"/>
      <c r="E652" s="15"/>
      <c r="F652" s="15"/>
      <c r="G652" s="15"/>
      <c r="H652" s="15"/>
      <c r="I652" s="15"/>
      <c r="J652" s="15"/>
      <c r="K652" s="15"/>
      <c r="L652" s="28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  <c r="AG652" s="15"/>
      <c r="AH652" s="15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  <c r="AS652" s="15"/>
      <c r="AT652" s="15"/>
      <c r="AU652" s="15"/>
      <c r="AV652" s="15"/>
      <c r="AW652" s="15"/>
    </row>
    <row r="653" spans="3:49" x14ac:dyDescent="0.2">
      <c r="C653" s="15"/>
      <c r="D653" s="15"/>
      <c r="E653" s="15"/>
      <c r="F653" s="15"/>
      <c r="G653" s="15"/>
      <c r="H653" s="15"/>
      <c r="I653" s="15"/>
      <c r="J653" s="15"/>
      <c r="K653" s="15"/>
      <c r="L653" s="28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  <c r="AG653" s="15"/>
      <c r="AH653" s="15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  <c r="AS653" s="15"/>
      <c r="AT653" s="15"/>
      <c r="AU653" s="15"/>
      <c r="AV653" s="15"/>
      <c r="AW653" s="15"/>
    </row>
    <row r="654" spans="3:49" x14ac:dyDescent="0.2">
      <c r="C654" s="15"/>
      <c r="D654" s="15"/>
      <c r="E654" s="15"/>
      <c r="F654" s="15"/>
      <c r="G654" s="15"/>
      <c r="H654" s="15"/>
      <c r="I654" s="15"/>
      <c r="J654" s="15"/>
      <c r="K654" s="15"/>
      <c r="L654" s="28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  <c r="AG654" s="15"/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  <c r="AS654" s="15"/>
      <c r="AT654" s="15"/>
      <c r="AU654" s="15"/>
      <c r="AV654" s="15"/>
      <c r="AW654" s="15"/>
    </row>
    <row r="655" spans="3:49" x14ac:dyDescent="0.2">
      <c r="C655" s="15"/>
      <c r="D655" s="15"/>
      <c r="E655" s="15"/>
      <c r="F655" s="15"/>
      <c r="G655" s="15"/>
      <c r="H655" s="15"/>
      <c r="I655" s="15"/>
      <c r="J655" s="15"/>
      <c r="K655" s="15"/>
      <c r="L655" s="28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  <c r="AG655" s="15"/>
      <c r="AH655" s="15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  <c r="AS655" s="15"/>
      <c r="AT655" s="15"/>
      <c r="AU655" s="15"/>
      <c r="AV655" s="15"/>
      <c r="AW655" s="15"/>
    </row>
    <row r="656" spans="3:49" x14ac:dyDescent="0.2">
      <c r="C656" s="15"/>
      <c r="D656" s="15"/>
      <c r="E656" s="15"/>
      <c r="F656" s="15"/>
      <c r="G656" s="15"/>
      <c r="H656" s="15"/>
      <c r="I656" s="15"/>
      <c r="J656" s="15"/>
      <c r="K656" s="15"/>
      <c r="L656" s="28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  <c r="AG656" s="15"/>
      <c r="AH656" s="15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  <c r="AS656" s="15"/>
      <c r="AT656" s="15"/>
      <c r="AU656" s="15"/>
      <c r="AV656" s="15"/>
      <c r="AW656" s="15"/>
    </row>
    <row r="657" spans="3:49" x14ac:dyDescent="0.2">
      <c r="C657" s="15"/>
      <c r="D657" s="15"/>
      <c r="E657" s="15"/>
      <c r="F657" s="15"/>
      <c r="G657" s="15"/>
      <c r="H657" s="15"/>
      <c r="I657" s="15"/>
      <c r="J657" s="15"/>
      <c r="K657" s="15"/>
      <c r="L657" s="28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  <c r="AG657" s="15"/>
      <c r="AH657" s="15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  <c r="AS657" s="15"/>
      <c r="AT657" s="15"/>
      <c r="AU657" s="15"/>
      <c r="AV657" s="15"/>
      <c r="AW657" s="15"/>
    </row>
    <row r="658" spans="3:49" x14ac:dyDescent="0.2">
      <c r="C658" s="15"/>
      <c r="D658" s="15"/>
      <c r="E658" s="15"/>
      <c r="F658" s="15"/>
      <c r="G658" s="15"/>
      <c r="H658" s="15"/>
      <c r="I658" s="15"/>
      <c r="J658" s="15"/>
      <c r="K658" s="15"/>
      <c r="L658" s="28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  <c r="AG658" s="15"/>
      <c r="AH658" s="15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  <c r="AS658" s="15"/>
      <c r="AT658" s="15"/>
      <c r="AU658" s="15"/>
      <c r="AV658" s="15"/>
      <c r="AW658" s="15"/>
    </row>
    <row r="659" spans="3:49" x14ac:dyDescent="0.2">
      <c r="C659" s="15"/>
      <c r="D659" s="15"/>
      <c r="E659" s="15"/>
      <c r="F659" s="15"/>
      <c r="G659" s="15"/>
      <c r="H659" s="15"/>
      <c r="I659" s="15"/>
      <c r="J659" s="15"/>
      <c r="K659" s="15"/>
      <c r="L659" s="28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  <c r="AG659" s="15"/>
      <c r="AH659" s="15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  <c r="AS659" s="15"/>
      <c r="AT659" s="15"/>
      <c r="AU659" s="15"/>
      <c r="AV659" s="15"/>
      <c r="AW659" s="15"/>
    </row>
    <row r="660" spans="3:49" x14ac:dyDescent="0.2">
      <c r="C660" s="15"/>
      <c r="D660" s="15"/>
      <c r="E660" s="15"/>
      <c r="F660" s="15"/>
      <c r="G660" s="15"/>
      <c r="H660" s="15"/>
      <c r="I660" s="15"/>
      <c r="J660" s="15"/>
      <c r="K660" s="15"/>
      <c r="L660" s="28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  <c r="AG660" s="15"/>
      <c r="AH660" s="15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  <c r="AS660" s="15"/>
      <c r="AT660" s="15"/>
      <c r="AU660" s="15"/>
      <c r="AV660" s="15"/>
      <c r="AW660" s="15"/>
    </row>
    <row r="661" spans="3:49" x14ac:dyDescent="0.2">
      <c r="C661" s="15"/>
      <c r="D661" s="15"/>
      <c r="E661" s="15"/>
      <c r="F661" s="15"/>
      <c r="G661" s="15"/>
      <c r="H661" s="15"/>
      <c r="I661" s="15"/>
      <c r="J661" s="15"/>
      <c r="K661" s="15"/>
      <c r="L661" s="28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  <c r="AG661" s="15"/>
      <c r="AH661" s="15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  <c r="AS661" s="15"/>
      <c r="AT661" s="15"/>
      <c r="AU661" s="15"/>
      <c r="AV661" s="15"/>
      <c r="AW661" s="15"/>
    </row>
    <row r="662" spans="3:49" x14ac:dyDescent="0.2">
      <c r="C662" s="15"/>
      <c r="D662" s="15"/>
      <c r="E662" s="15"/>
      <c r="F662" s="15"/>
      <c r="G662" s="15"/>
      <c r="H662" s="15"/>
      <c r="I662" s="15"/>
      <c r="J662" s="15"/>
      <c r="K662" s="15"/>
      <c r="L662" s="28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  <c r="AG662" s="15"/>
      <c r="AH662" s="15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  <c r="AS662" s="15"/>
      <c r="AT662" s="15"/>
      <c r="AU662" s="15"/>
      <c r="AV662" s="15"/>
      <c r="AW662" s="15"/>
    </row>
    <row r="663" spans="3:49" x14ac:dyDescent="0.2">
      <c r="C663" s="15"/>
      <c r="D663" s="15"/>
      <c r="E663" s="15"/>
      <c r="F663" s="15"/>
      <c r="G663" s="15"/>
      <c r="H663" s="15"/>
      <c r="I663" s="15"/>
      <c r="J663" s="15"/>
      <c r="K663" s="15"/>
      <c r="L663" s="28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  <c r="AG663" s="15"/>
      <c r="AH663" s="15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  <c r="AS663" s="15"/>
      <c r="AT663" s="15"/>
      <c r="AU663" s="15"/>
      <c r="AV663" s="15"/>
      <c r="AW663" s="15"/>
    </row>
    <row r="664" spans="3:49" x14ac:dyDescent="0.2">
      <c r="C664" s="15"/>
      <c r="D664" s="15"/>
      <c r="E664" s="15"/>
      <c r="F664" s="15"/>
      <c r="G664" s="15"/>
      <c r="H664" s="15"/>
      <c r="I664" s="15"/>
      <c r="J664" s="15"/>
      <c r="K664" s="15"/>
      <c r="L664" s="28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  <c r="AG664" s="15"/>
      <c r="AH664" s="15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  <c r="AS664" s="15"/>
      <c r="AT664" s="15"/>
      <c r="AU664" s="15"/>
      <c r="AV664" s="15"/>
      <c r="AW664" s="15"/>
    </row>
    <row r="665" spans="3:49" x14ac:dyDescent="0.2">
      <c r="C665" s="15"/>
      <c r="D665" s="15"/>
      <c r="E665" s="15"/>
      <c r="F665" s="15"/>
      <c r="G665" s="15"/>
      <c r="H665" s="15"/>
      <c r="I665" s="15"/>
      <c r="J665" s="15"/>
      <c r="K665" s="15"/>
      <c r="L665" s="28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  <c r="AG665" s="15"/>
      <c r="AH665" s="15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  <c r="AS665" s="15"/>
      <c r="AT665" s="15"/>
      <c r="AU665" s="15"/>
      <c r="AV665" s="15"/>
      <c r="AW665" s="15"/>
    </row>
    <row r="666" spans="3:49" x14ac:dyDescent="0.2">
      <c r="C666" s="15"/>
      <c r="D666" s="15"/>
      <c r="E666" s="15"/>
      <c r="F666" s="15"/>
      <c r="G666" s="15"/>
      <c r="H666" s="15"/>
      <c r="I666" s="15"/>
      <c r="J666" s="15"/>
      <c r="K666" s="15"/>
      <c r="L666" s="28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  <c r="AG666" s="15"/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  <c r="AS666" s="15"/>
      <c r="AT666" s="15"/>
      <c r="AU666" s="15"/>
      <c r="AV666" s="15"/>
      <c r="AW666" s="15"/>
    </row>
    <row r="667" spans="3:49" x14ac:dyDescent="0.2">
      <c r="C667" s="15"/>
      <c r="D667" s="15"/>
      <c r="E667" s="15"/>
      <c r="F667" s="15"/>
      <c r="G667" s="15"/>
      <c r="H667" s="15"/>
      <c r="I667" s="15"/>
      <c r="J667" s="15"/>
      <c r="K667" s="15"/>
      <c r="L667" s="28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  <c r="AG667" s="15"/>
      <c r="AH667" s="15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  <c r="AS667" s="15"/>
      <c r="AT667" s="15"/>
      <c r="AU667" s="15"/>
      <c r="AV667" s="15"/>
      <c r="AW667" s="15"/>
    </row>
    <row r="668" spans="3:49" x14ac:dyDescent="0.2">
      <c r="C668" s="15"/>
      <c r="D668" s="15"/>
      <c r="E668" s="15"/>
      <c r="F668" s="15"/>
      <c r="G668" s="15"/>
      <c r="H668" s="15"/>
      <c r="I668" s="15"/>
      <c r="J668" s="15"/>
      <c r="K668" s="15"/>
      <c r="L668" s="28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  <c r="AG668" s="15"/>
      <c r="AH668" s="15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  <c r="AS668" s="15"/>
      <c r="AT668" s="15"/>
      <c r="AU668" s="15"/>
      <c r="AV668" s="15"/>
      <c r="AW668" s="15"/>
    </row>
    <row r="669" spans="3:49" x14ac:dyDescent="0.2">
      <c r="C669" s="15"/>
      <c r="D669" s="15"/>
      <c r="E669" s="15"/>
      <c r="F669" s="15"/>
      <c r="G669" s="15"/>
      <c r="H669" s="15"/>
      <c r="I669" s="15"/>
      <c r="J669" s="15"/>
      <c r="K669" s="15"/>
      <c r="L669" s="28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  <c r="AG669" s="15"/>
      <c r="AH669" s="15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  <c r="AS669" s="15"/>
      <c r="AT669" s="15"/>
      <c r="AU669" s="15"/>
      <c r="AV669" s="15"/>
      <c r="AW669" s="15"/>
    </row>
    <row r="670" spans="3:49" x14ac:dyDescent="0.2">
      <c r="C670" s="15"/>
      <c r="D670" s="15"/>
      <c r="E670" s="15"/>
      <c r="F670" s="15"/>
      <c r="G670" s="15"/>
      <c r="H670" s="15"/>
      <c r="I670" s="15"/>
      <c r="J670" s="15"/>
      <c r="K670" s="15"/>
      <c r="L670" s="28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  <c r="AG670" s="15"/>
      <c r="AH670" s="15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  <c r="AS670" s="15"/>
      <c r="AT670" s="15"/>
      <c r="AU670" s="15"/>
      <c r="AV670" s="15"/>
      <c r="AW670" s="15"/>
    </row>
    <row r="671" spans="3:49" x14ac:dyDescent="0.2">
      <c r="C671" s="15"/>
      <c r="D671" s="15"/>
      <c r="E671" s="15"/>
      <c r="F671" s="15"/>
      <c r="G671" s="15"/>
      <c r="H671" s="15"/>
      <c r="I671" s="15"/>
      <c r="J671" s="15"/>
      <c r="K671" s="15"/>
      <c r="L671" s="28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  <c r="AG671" s="15"/>
      <c r="AH671" s="15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  <c r="AS671" s="15"/>
      <c r="AT671" s="15"/>
      <c r="AU671" s="15"/>
      <c r="AV671" s="15"/>
      <c r="AW671" s="15"/>
    </row>
    <row r="672" spans="3:49" x14ac:dyDescent="0.2">
      <c r="C672" s="15"/>
      <c r="D672" s="15"/>
      <c r="E672" s="15"/>
      <c r="F672" s="15"/>
      <c r="G672" s="15"/>
      <c r="H672" s="15"/>
      <c r="I672" s="15"/>
      <c r="J672" s="15"/>
      <c r="K672" s="15"/>
      <c r="L672" s="28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  <c r="AG672" s="15"/>
      <c r="AH672" s="15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  <c r="AS672" s="15"/>
      <c r="AT672" s="15"/>
      <c r="AU672" s="15"/>
      <c r="AV672" s="15"/>
      <c r="AW672" s="15"/>
    </row>
    <row r="673" spans="3:49" x14ac:dyDescent="0.2">
      <c r="C673" s="15"/>
      <c r="D673" s="15"/>
      <c r="E673" s="15"/>
      <c r="F673" s="15"/>
      <c r="G673" s="15"/>
      <c r="H673" s="15"/>
      <c r="I673" s="15"/>
      <c r="J673" s="15"/>
      <c r="K673" s="15"/>
      <c r="L673" s="28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  <c r="AG673" s="15"/>
      <c r="AH673" s="15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  <c r="AS673" s="15"/>
      <c r="AT673" s="15"/>
      <c r="AU673" s="15"/>
      <c r="AV673" s="15"/>
      <c r="AW673" s="15"/>
    </row>
    <row r="674" spans="3:49" x14ac:dyDescent="0.2">
      <c r="C674" s="15"/>
      <c r="D674" s="15"/>
      <c r="E674" s="15"/>
      <c r="F674" s="15"/>
      <c r="G674" s="15"/>
      <c r="H674" s="15"/>
      <c r="I674" s="15"/>
      <c r="J674" s="15"/>
      <c r="K674" s="15"/>
      <c r="L674" s="28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  <c r="AG674" s="15"/>
      <c r="AH674" s="15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  <c r="AS674" s="15"/>
      <c r="AT674" s="15"/>
      <c r="AU674" s="15"/>
      <c r="AV674" s="15"/>
      <c r="AW674" s="15"/>
    </row>
    <row r="675" spans="3:49" x14ac:dyDescent="0.2">
      <c r="C675" s="15"/>
      <c r="D675" s="15"/>
      <c r="E675" s="15"/>
      <c r="F675" s="15"/>
      <c r="G675" s="15"/>
      <c r="H675" s="15"/>
      <c r="I675" s="15"/>
      <c r="J675" s="15"/>
      <c r="K675" s="15"/>
      <c r="L675" s="28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  <c r="AG675" s="15"/>
      <c r="AH675" s="15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  <c r="AS675" s="15"/>
      <c r="AT675" s="15"/>
      <c r="AU675" s="15"/>
      <c r="AV675" s="15"/>
      <c r="AW675" s="15"/>
    </row>
    <row r="676" spans="3:49" x14ac:dyDescent="0.2">
      <c r="C676" s="15"/>
      <c r="D676" s="15"/>
      <c r="E676" s="15"/>
      <c r="F676" s="15"/>
      <c r="G676" s="15"/>
      <c r="H676" s="15"/>
      <c r="I676" s="15"/>
      <c r="J676" s="15"/>
      <c r="K676" s="15"/>
      <c r="L676" s="28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  <c r="AG676" s="15"/>
      <c r="AH676" s="15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  <c r="AS676" s="15"/>
      <c r="AT676" s="15"/>
      <c r="AU676" s="15"/>
      <c r="AV676" s="15"/>
      <c r="AW676" s="15"/>
    </row>
    <row r="677" spans="3:49" x14ac:dyDescent="0.2">
      <c r="C677" s="15"/>
      <c r="D677" s="15"/>
      <c r="E677" s="15"/>
      <c r="F677" s="15"/>
      <c r="G677" s="15"/>
      <c r="H677" s="15"/>
      <c r="I677" s="15"/>
      <c r="J677" s="15"/>
      <c r="K677" s="15"/>
      <c r="L677" s="28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  <c r="AG677" s="15"/>
      <c r="AH677" s="15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  <c r="AS677" s="15"/>
      <c r="AT677" s="15"/>
      <c r="AU677" s="15"/>
      <c r="AV677" s="15"/>
      <c r="AW677" s="15"/>
    </row>
    <row r="678" spans="3:49" x14ac:dyDescent="0.2">
      <c r="C678" s="15"/>
      <c r="D678" s="15"/>
      <c r="E678" s="15"/>
      <c r="F678" s="15"/>
      <c r="G678" s="15"/>
      <c r="H678" s="15"/>
      <c r="I678" s="15"/>
      <c r="J678" s="15"/>
      <c r="K678" s="15"/>
      <c r="L678" s="28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  <c r="AG678" s="15"/>
      <c r="AH678" s="15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  <c r="AS678" s="15"/>
      <c r="AT678" s="15"/>
      <c r="AU678" s="15"/>
      <c r="AV678" s="15"/>
      <c r="AW678" s="15"/>
    </row>
    <row r="679" spans="3:49" x14ac:dyDescent="0.2">
      <c r="C679" s="15"/>
      <c r="D679" s="15"/>
      <c r="E679" s="15"/>
      <c r="F679" s="15"/>
      <c r="G679" s="15"/>
      <c r="H679" s="15"/>
      <c r="I679" s="15"/>
      <c r="J679" s="15"/>
      <c r="K679" s="15"/>
      <c r="L679" s="28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  <c r="AG679" s="15"/>
      <c r="AH679" s="15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  <c r="AS679" s="15"/>
      <c r="AT679" s="15"/>
      <c r="AU679" s="15"/>
      <c r="AV679" s="15"/>
      <c r="AW679" s="15"/>
    </row>
    <row r="680" spans="3:49" x14ac:dyDescent="0.2">
      <c r="C680" s="15"/>
      <c r="D680" s="15"/>
      <c r="E680" s="15"/>
      <c r="F680" s="15"/>
      <c r="G680" s="15"/>
      <c r="H680" s="15"/>
      <c r="I680" s="15"/>
      <c r="J680" s="15"/>
      <c r="K680" s="15"/>
      <c r="L680" s="28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  <c r="AG680" s="15"/>
      <c r="AH680" s="15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  <c r="AS680" s="15"/>
      <c r="AT680" s="15"/>
      <c r="AU680" s="15"/>
      <c r="AV680" s="15"/>
      <c r="AW680" s="15"/>
    </row>
    <row r="681" spans="3:49" x14ac:dyDescent="0.2">
      <c r="C681" s="15"/>
      <c r="D681" s="15"/>
      <c r="E681" s="15"/>
      <c r="F681" s="15"/>
      <c r="G681" s="15"/>
      <c r="H681" s="15"/>
      <c r="I681" s="15"/>
      <c r="J681" s="15"/>
      <c r="K681" s="15"/>
      <c r="L681" s="28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  <c r="AG681" s="15"/>
      <c r="AH681" s="15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  <c r="AS681" s="15"/>
      <c r="AT681" s="15"/>
      <c r="AU681" s="15"/>
      <c r="AV681" s="15"/>
      <c r="AW681" s="15"/>
    </row>
    <row r="682" spans="3:49" x14ac:dyDescent="0.2">
      <c r="C682" s="15"/>
      <c r="D682" s="15"/>
      <c r="E682" s="15"/>
      <c r="F682" s="15"/>
      <c r="G682" s="15"/>
      <c r="H682" s="15"/>
      <c r="I682" s="15"/>
      <c r="J682" s="15"/>
      <c r="K682" s="15"/>
      <c r="L682" s="28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  <c r="AG682" s="15"/>
      <c r="AH682" s="15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  <c r="AS682" s="15"/>
      <c r="AT682" s="15"/>
      <c r="AU682" s="15"/>
      <c r="AV682" s="15"/>
      <c r="AW682" s="15"/>
    </row>
    <row r="683" spans="3:49" x14ac:dyDescent="0.2">
      <c r="C683" s="15"/>
      <c r="D683" s="15"/>
      <c r="E683" s="15"/>
      <c r="F683" s="15"/>
      <c r="G683" s="15"/>
      <c r="H683" s="15"/>
      <c r="I683" s="15"/>
      <c r="J683" s="15"/>
      <c r="K683" s="15"/>
      <c r="L683" s="28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  <c r="AG683" s="15"/>
      <c r="AH683" s="15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  <c r="AS683" s="15"/>
      <c r="AT683" s="15"/>
      <c r="AU683" s="15"/>
      <c r="AV683" s="15"/>
      <c r="AW683" s="15"/>
    </row>
    <row r="684" spans="3:49" x14ac:dyDescent="0.2">
      <c r="C684" s="15"/>
      <c r="D684" s="15"/>
      <c r="E684" s="15"/>
      <c r="F684" s="15"/>
      <c r="G684" s="15"/>
      <c r="H684" s="15"/>
      <c r="I684" s="15"/>
      <c r="J684" s="15"/>
      <c r="K684" s="15"/>
      <c r="L684" s="28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  <c r="AG684" s="15"/>
      <c r="AH684" s="15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  <c r="AS684" s="15"/>
      <c r="AT684" s="15"/>
      <c r="AU684" s="15"/>
      <c r="AV684" s="15"/>
      <c r="AW684" s="15"/>
    </row>
    <row r="685" spans="3:49" x14ac:dyDescent="0.2">
      <c r="C685" s="15"/>
      <c r="D685" s="15"/>
      <c r="E685" s="15"/>
      <c r="F685" s="15"/>
      <c r="G685" s="15"/>
      <c r="H685" s="15"/>
      <c r="I685" s="15"/>
      <c r="J685" s="15"/>
      <c r="K685" s="15"/>
      <c r="L685" s="28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  <c r="AG685" s="15"/>
      <c r="AH685" s="15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  <c r="AS685" s="15"/>
      <c r="AT685" s="15"/>
      <c r="AU685" s="15"/>
      <c r="AV685" s="15"/>
      <c r="AW685" s="15"/>
    </row>
    <row r="686" spans="3:49" x14ac:dyDescent="0.2">
      <c r="C686" s="15"/>
      <c r="D686" s="15"/>
      <c r="E686" s="15"/>
      <c r="F686" s="15"/>
      <c r="G686" s="15"/>
      <c r="H686" s="15"/>
      <c r="I686" s="15"/>
      <c r="J686" s="15"/>
      <c r="K686" s="15"/>
      <c r="L686" s="28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  <c r="AG686" s="15"/>
      <c r="AH686" s="15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  <c r="AS686" s="15"/>
      <c r="AT686" s="15"/>
      <c r="AU686" s="15"/>
      <c r="AV686" s="15"/>
      <c r="AW686" s="15"/>
    </row>
    <row r="687" spans="3:49" x14ac:dyDescent="0.2">
      <c r="C687" s="15"/>
      <c r="D687" s="15"/>
      <c r="E687" s="15"/>
      <c r="F687" s="15"/>
      <c r="G687" s="15"/>
      <c r="H687" s="15"/>
      <c r="I687" s="15"/>
      <c r="J687" s="15"/>
      <c r="K687" s="15"/>
      <c r="L687" s="28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  <c r="AG687" s="15"/>
      <c r="AH687" s="15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  <c r="AS687" s="15"/>
      <c r="AT687" s="15"/>
      <c r="AU687" s="15"/>
      <c r="AV687" s="15"/>
      <c r="AW687" s="15"/>
    </row>
    <row r="688" spans="3:49" x14ac:dyDescent="0.2">
      <c r="C688" s="15"/>
      <c r="D688" s="15"/>
      <c r="E688" s="15"/>
      <c r="F688" s="15"/>
      <c r="G688" s="15"/>
      <c r="H688" s="15"/>
      <c r="I688" s="15"/>
      <c r="J688" s="15"/>
      <c r="K688" s="15"/>
      <c r="L688" s="28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  <c r="AG688" s="15"/>
      <c r="AH688" s="15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  <c r="AS688" s="15"/>
      <c r="AT688" s="15"/>
      <c r="AU688" s="15"/>
      <c r="AV688" s="15"/>
      <c r="AW688" s="15"/>
    </row>
    <row r="689" spans="3:49" x14ac:dyDescent="0.2">
      <c r="C689" s="15"/>
      <c r="D689" s="15"/>
      <c r="E689" s="15"/>
      <c r="F689" s="15"/>
      <c r="G689" s="15"/>
      <c r="H689" s="15"/>
      <c r="I689" s="15"/>
      <c r="J689" s="15"/>
      <c r="K689" s="15"/>
      <c r="L689" s="28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  <c r="AG689" s="15"/>
      <c r="AH689" s="15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  <c r="AS689" s="15"/>
      <c r="AT689" s="15"/>
      <c r="AU689" s="15"/>
      <c r="AV689" s="15"/>
      <c r="AW689" s="15"/>
    </row>
    <row r="690" spans="3:49" x14ac:dyDescent="0.2">
      <c r="C690" s="15"/>
      <c r="D690" s="15"/>
      <c r="E690" s="15"/>
      <c r="F690" s="15"/>
      <c r="G690" s="15"/>
      <c r="H690" s="15"/>
      <c r="I690" s="15"/>
      <c r="J690" s="15"/>
      <c r="K690" s="15"/>
      <c r="L690" s="28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  <c r="AG690" s="15"/>
      <c r="AH690" s="15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  <c r="AS690" s="15"/>
      <c r="AT690" s="15"/>
      <c r="AU690" s="15"/>
      <c r="AV690" s="15"/>
      <c r="AW690" s="15"/>
    </row>
    <row r="691" spans="3:49" x14ac:dyDescent="0.2">
      <c r="C691" s="15"/>
      <c r="D691" s="15"/>
      <c r="E691" s="15"/>
      <c r="F691" s="15"/>
      <c r="G691" s="15"/>
      <c r="H691" s="15"/>
      <c r="I691" s="15"/>
      <c r="J691" s="15"/>
      <c r="K691" s="15"/>
      <c r="L691" s="28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  <c r="AG691" s="15"/>
      <c r="AH691" s="15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  <c r="AS691" s="15"/>
      <c r="AT691" s="15"/>
      <c r="AU691" s="15"/>
      <c r="AV691" s="15"/>
      <c r="AW691" s="15"/>
    </row>
    <row r="692" spans="3:49" x14ac:dyDescent="0.2">
      <c r="C692" s="15"/>
      <c r="D692" s="15"/>
      <c r="E692" s="15"/>
      <c r="F692" s="15"/>
      <c r="G692" s="15"/>
      <c r="H692" s="15"/>
      <c r="I692" s="15"/>
      <c r="J692" s="15"/>
      <c r="K692" s="15"/>
      <c r="L692" s="28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  <c r="AG692" s="15"/>
      <c r="AH692" s="15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  <c r="AS692" s="15"/>
      <c r="AT692" s="15"/>
      <c r="AU692" s="15"/>
      <c r="AV692" s="15"/>
      <c r="AW692" s="15"/>
    </row>
    <row r="693" spans="3:49" x14ac:dyDescent="0.2">
      <c r="C693" s="15"/>
      <c r="D693" s="15"/>
      <c r="E693" s="15"/>
      <c r="F693" s="15"/>
      <c r="G693" s="15"/>
      <c r="H693" s="15"/>
      <c r="I693" s="15"/>
      <c r="J693" s="15"/>
      <c r="K693" s="15"/>
      <c r="L693" s="28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  <c r="AG693" s="15"/>
      <c r="AH693" s="15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  <c r="AS693" s="15"/>
      <c r="AT693" s="15"/>
      <c r="AU693" s="15"/>
      <c r="AV693" s="15"/>
      <c r="AW693" s="15"/>
    </row>
    <row r="694" spans="3:49" x14ac:dyDescent="0.2">
      <c r="C694" s="15"/>
      <c r="D694" s="15"/>
      <c r="E694" s="15"/>
      <c r="F694" s="15"/>
      <c r="G694" s="15"/>
      <c r="H694" s="15"/>
      <c r="I694" s="15"/>
      <c r="J694" s="15"/>
      <c r="K694" s="15"/>
      <c r="L694" s="28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</row>
    <row r="695" spans="3:49" x14ac:dyDescent="0.2">
      <c r="C695" s="15"/>
      <c r="D695" s="15"/>
      <c r="E695" s="15"/>
      <c r="F695" s="15"/>
      <c r="G695" s="15"/>
      <c r="H695" s="15"/>
      <c r="I695" s="15"/>
      <c r="J695" s="15"/>
      <c r="K695" s="15"/>
      <c r="L695" s="28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  <c r="AG695" s="15"/>
      <c r="AH695" s="15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</row>
    <row r="696" spans="3:49" x14ac:dyDescent="0.2">
      <c r="C696" s="15"/>
      <c r="D696" s="15"/>
      <c r="E696" s="15"/>
      <c r="F696" s="15"/>
      <c r="G696" s="15"/>
      <c r="H696" s="15"/>
      <c r="I696" s="15"/>
      <c r="J696" s="15"/>
      <c r="K696" s="15"/>
      <c r="L696" s="28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</row>
    <row r="697" spans="3:49" x14ac:dyDescent="0.2">
      <c r="C697" s="15"/>
      <c r="D697" s="15"/>
      <c r="E697" s="15"/>
      <c r="F697" s="15"/>
      <c r="G697" s="15"/>
      <c r="H697" s="15"/>
      <c r="I697" s="15"/>
      <c r="J697" s="15"/>
      <c r="K697" s="15"/>
      <c r="L697" s="28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</row>
    <row r="698" spans="3:49" x14ac:dyDescent="0.2">
      <c r="C698" s="15"/>
      <c r="D698" s="15"/>
      <c r="E698" s="15"/>
      <c r="F698" s="15"/>
      <c r="G698" s="15"/>
      <c r="H698" s="15"/>
      <c r="I698" s="15"/>
      <c r="J698" s="15"/>
      <c r="K698" s="15"/>
      <c r="L698" s="28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  <c r="AG698" s="15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</row>
    <row r="699" spans="3:49" x14ac:dyDescent="0.2">
      <c r="C699" s="15"/>
      <c r="D699" s="15"/>
      <c r="E699" s="15"/>
      <c r="F699" s="15"/>
      <c r="G699" s="15"/>
      <c r="H699" s="15"/>
      <c r="I699" s="15"/>
      <c r="J699" s="15"/>
      <c r="K699" s="15"/>
      <c r="L699" s="28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  <c r="AG699" s="15"/>
      <c r="AH699" s="15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  <c r="AS699" s="15"/>
      <c r="AT699" s="15"/>
      <c r="AU699" s="15"/>
      <c r="AV699" s="15"/>
      <c r="AW699" s="15"/>
    </row>
    <row r="700" spans="3:49" x14ac:dyDescent="0.2">
      <c r="C700" s="15"/>
      <c r="D700" s="15"/>
      <c r="E700" s="15"/>
      <c r="F700" s="15"/>
      <c r="G700" s="15"/>
      <c r="H700" s="15"/>
      <c r="I700" s="15"/>
      <c r="J700" s="15"/>
      <c r="K700" s="15"/>
      <c r="L700" s="28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  <c r="AG700" s="15"/>
      <c r="AH700" s="15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  <c r="AS700" s="15"/>
      <c r="AT700" s="15"/>
      <c r="AU700" s="15"/>
      <c r="AV700" s="15"/>
      <c r="AW700" s="15"/>
    </row>
    <row r="701" spans="3:49" x14ac:dyDescent="0.2">
      <c r="C701" s="15"/>
      <c r="D701" s="15"/>
      <c r="E701" s="15"/>
      <c r="F701" s="15"/>
      <c r="G701" s="15"/>
      <c r="H701" s="15"/>
      <c r="I701" s="15"/>
      <c r="J701" s="15"/>
      <c r="K701" s="15"/>
      <c r="L701" s="28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  <c r="AG701" s="15"/>
      <c r="AH701" s="15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  <c r="AS701" s="15"/>
      <c r="AT701" s="15"/>
      <c r="AU701" s="15"/>
      <c r="AV701" s="15"/>
      <c r="AW701" s="15"/>
    </row>
    <row r="702" spans="3:49" x14ac:dyDescent="0.2">
      <c r="C702" s="15"/>
      <c r="D702" s="15"/>
      <c r="E702" s="15"/>
      <c r="F702" s="15"/>
      <c r="G702" s="15"/>
      <c r="H702" s="15"/>
      <c r="I702" s="15"/>
      <c r="J702" s="15"/>
      <c r="K702" s="15"/>
      <c r="L702" s="28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  <c r="AG702" s="15"/>
      <c r="AH702" s="15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  <c r="AS702" s="15"/>
      <c r="AT702" s="15"/>
      <c r="AU702" s="15"/>
      <c r="AV702" s="15"/>
      <c r="AW702" s="15"/>
    </row>
    <row r="703" spans="3:49" x14ac:dyDescent="0.2">
      <c r="C703" s="15"/>
      <c r="D703" s="15"/>
      <c r="E703" s="15"/>
      <c r="F703" s="15"/>
      <c r="G703" s="15"/>
      <c r="H703" s="15"/>
      <c r="I703" s="15"/>
      <c r="J703" s="15"/>
      <c r="K703" s="15"/>
      <c r="L703" s="28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  <c r="AG703" s="15"/>
      <c r="AH703" s="15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  <c r="AS703" s="15"/>
      <c r="AT703" s="15"/>
      <c r="AU703" s="15"/>
      <c r="AV703" s="15"/>
      <c r="AW703" s="15"/>
    </row>
    <row r="704" spans="3:49" x14ac:dyDescent="0.2">
      <c r="C704" s="15"/>
      <c r="D704" s="15"/>
      <c r="E704" s="15"/>
      <c r="F704" s="15"/>
      <c r="G704" s="15"/>
      <c r="H704" s="15"/>
      <c r="I704" s="15"/>
      <c r="J704" s="15"/>
      <c r="K704" s="15"/>
      <c r="L704" s="28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  <c r="AG704" s="15"/>
      <c r="AH704" s="15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  <c r="AS704" s="15"/>
      <c r="AT704" s="15"/>
      <c r="AU704" s="15"/>
      <c r="AV704" s="15"/>
      <c r="AW704" s="15"/>
    </row>
    <row r="705" spans="3:49" x14ac:dyDescent="0.2">
      <c r="C705" s="15"/>
      <c r="D705" s="15"/>
      <c r="E705" s="15"/>
      <c r="F705" s="15"/>
      <c r="G705" s="15"/>
      <c r="H705" s="15"/>
      <c r="I705" s="15"/>
      <c r="J705" s="15"/>
      <c r="K705" s="15"/>
      <c r="L705" s="28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  <c r="AG705" s="15"/>
      <c r="AH705" s="15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  <c r="AS705" s="15"/>
      <c r="AT705" s="15"/>
      <c r="AU705" s="15"/>
      <c r="AV705" s="15"/>
      <c r="AW705" s="15"/>
    </row>
    <row r="706" spans="3:49" x14ac:dyDescent="0.2">
      <c r="C706" s="15"/>
      <c r="D706" s="15"/>
      <c r="E706" s="15"/>
      <c r="F706" s="15"/>
      <c r="G706" s="15"/>
      <c r="H706" s="15"/>
      <c r="I706" s="15"/>
      <c r="J706" s="15"/>
      <c r="K706" s="15"/>
      <c r="L706" s="28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  <c r="AG706" s="15"/>
      <c r="AH706" s="15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  <c r="AS706" s="15"/>
      <c r="AT706" s="15"/>
      <c r="AU706" s="15"/>
      <c r="AV706" s="15"/>
      <c r="AW706" s="15"/>
    </row>
    <row r="707" spans="3:49" x14ac:dyDescent="0.2">
      <c r="C707" s="15"/>
      <c r="D707" s="15"/>
      <c r="E707" s="15"/>
      <c r="F707" s="15"/>
      <c r="G707" s="15"/>
      <c r="H707" s="15"/>
      <c r="I707" s="15"/>
      <c r="J707" s="15"/>
      <c r="K707" s="15"/>
      <c r="L707" s="28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  <c r="AG707" s="15"/>
      <c r="AH707" s="15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  <c r="AS707" s="15"/>
      <c r="AT707" s="15"/>
      <c r="AU707" s="15"/>
      <c r="AV707" s="15"/>
      <c r="AW707" s="15"/>
    </row>
    <row r="708" spans="3:49" x14ac:dyDescent="0.2">
      <c r="C708" s="15"/>
      <c r="D708" s="15"/>
      <c r="E708" s="15"/>
      <c r="F708" s="15"/>
      <c r="G708" s="15"/>
      <c r="H708" s="15"/>
      <c r="I708" s="15"/>
      <c r="J708" s="15"/>
      <c r="K708" s="15"/>
      <c r="L708" s="28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  <c r="AG708" s="15"/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  <c r="AS708" s="15"/>
      <c r="AT708" s="15"/>
      <c r="AU708" s="15"/>
      <c r="AV708" s="15"/>
      <c r="AW708" s="15"/>
    </row>
    <row r="709" spans="3:49" x14ac:dyDescent="0.2">
      <c r="C709" s="15"/>
      <c r="D709" s="15"/>
      <c r="E709" s="15"/>
      <c r="F709" s="15"/>
      <c r="G709" s="15"/>
      <c r="H709" s="15"/>
      <c r="I709" s="15"/>
      <c r="J709" s="15"/>
      <c r="K709" s="15"/>
      <c r="L709" s="28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  <c r="AG709" s="15"/>
      <c r="AH709" s="15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  <c r="AS709" s="15"/>
      <c r="AT709" s="15"/>
      <c r="AU709" s="15"/>
      <c r="AV709" s="15"/>
      <c r="AW709" s="15"/>
    </row>
    <row r="710" spans="3:49" x14ac:dyDescent="0.2">
      <c r="C710" s="15"/>
      <c r="D710" s="15"/>
      <c r="E710" s="15"/>
      <c r="F710" s="15"/>
      <c r="G710" s="15"/>
      <c r="H710" s="15"/>
      <c r="I710" s="15"/>
      <c r="J710" s="15"/>
      <c r="K710" s="15"/>
      <c r="L710" s="28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  <c r="AG710" s="15"/>
      <c r="AH710" s="15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  <c r="AS710" s="15"/>
      <c r="AT710" s="15"/>
      <c r="AU710" s="15"/>
      <c r="AV710" s="15"/>
      <c r="AW710" s="15"/>
    </row>
    <row r="711" spans="3:49" x14ac:dyDescent="0.2">
      <c r="C711" s="15"/>
      <c r="D711" s="15"/>
      <c r="E711" s="15"/>
      <c r="F711" s="15"/>
      <c r="G711" s="15"/>
      <c r="H711" s="15"/>
      <c r="I711" s="15"/>
      <c r="J711" s="15"/>
      <c r="K711" s="15"/>
      <c r="L711" s="28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  <c r="AG711" s="15"/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  <c r="AS711" s="15"/>
      <c r="AT711" s="15"/>
      <c r="AU711" s="15"/>
      <c r="AV711" s="15"/>
      <c r="AW711" s="15"/>
    </row>
    <row r="712" spans="3:49" x14ac:dyDescent="0.2">
      <c r="C712" s="15"/>
      <c r="D712" s="15"/>
      <c r="E712" s="15"/>
      <c r="F712" s="15"/>
      <c r="G712" s="15"/>
      <c r="H712" s="15"/>
      <c r="I712" s="15"/>
      <c r="J712" s="15"/>
      <c r="K712" s="15"/>
      <c r="L712" s="28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  <c r="AG712" s="15"/>
      <c r="AH712" s="15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  <c r="AS712" s="15"/>
      <c r="AT712" s="15"/>
      <c r="AU712" s="15"/>
      <c r="AV712" s="15"/>
      <c r="AW712" s="15"/>
    </row>
    <row r="713" spans="3:49" x14ac:dyDescent="0.2">
      <c r="C713" s="15"/>
      <c r="D713" s="15"/>
      <c r="E713" s="15"/>
      <c r="F713" s="15"/>
      <c r="G713" s="15"/>
      <c r="H713" s="15"/>
      <c r="I713" s="15"/>
      <c r="J713" s="15"/>
      <c r="K713" s="15"/>
      <c r="L713" s="28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</row>
    <row r="714" spans="3:49" x14ac:dyDescent="0.2">
      <c r="C714" s="15"/>
      <c r="D714" s="15"/>
      <c r="E714" s="15"/>
      <c r="F714" s="15"/>
      <c r="G714" s="15"/>
      <c r="H714" s="15"/>
      <c r="I714" s="15"/>
      <c r="J714" s="15"/>
      <c r="K714" s="15"/>
      <c r="L714" s="28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  <c r="AG714" s="15"/>
      <c r="AH714" s="15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  <c r="AS714" s="15"/>
      <c r="AT714" s="15"/>
      <c r="AU714" s="15"/>
      <c r="AV714" s="15"/>
      <c r="AW714" s="15"/>
    </row>
    <row r="715" spans="3:49" x14ac:dyDescent="0.2">
      <c r="C715" s="15"/>
      <c r="D715" s="15"/>
      <c r="E715" s="15"/>
      <c r="F715" s="15"/>
      <c r="G715" s="15"/>
      <c r="H715" s="15"/>
      <c r="I715" s="15"/>
      <c r="J715" s="15"/>
      <c r="K715" s="15"/>
      <c r="L715" s="28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  <c r="AG715" s="15"/>
      <c r="AH715" s="15"/>
      <c r="AI715" s="15"/>
      <c r="AJ715" s="15"/>
      <c r="AK715" s="15"/>
      <c r="AL715" s="15"/>
      <c r="AM715" s="15"/>
      <c r="AN715" s="15"/>
      <c r="AO715" s="15"/>
      <c r="AP715" s="15"/>
      <c r="AQ715" s="15"/>
      <c r="AR715" s="15"/>
      <c r="AS715" s="15"/>
      <c r="AT715" s="15"/>
      <c r="AU715" s="15"/>
      <c r="AV715" s="15"/>
      <c r="AW715" s="15"/>
    </row>
    <row r="716" spans="3:49" x14ac:dyDescent="0.2">
      <c r="C716" s="15"/>
      <c r="D716" s="15"/>
      <c r="E716" s="15"/>
      <c r="F716" s="15"/>
      <c r="G716" s="15"/>
      <c r="H716" s="15"/>
      <c r="I716" s="15"/>
      <c r="J716" s="15"/>
      <c r="K716" s="15"/>
      <c r="L716" s="28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  <c r="AG716" s="15"/>
      <c r="AH716" s="15"/>
      <c r="AI716" s="15"/>
      <c r="AJ716" s="15"/>
      <c r="AK716" s="15"/>
      <c r="AL716" s="15"/>
      <c r="AM716" s="15"/>
      <c r="AN716" s="15"/>
      <c r="AO716" s="15"/>
      <c r="AP716" s="15"/>
      <c r="AQ716" s="15"/>
      <c r="AR716" s="15"/>
      <c r="AS716" s="15"/>
      <c r="AT716" s="15"/>
      <c r="AU716" s="15"/>
      <c r="AV716" s="15"/>
      <c r="AW716" s="15"/>
    </row>
    <row r="717" spans="3:49" x14ac:dyDescent="0.2">
      <c r="C717" s="15"/>
      <c r="D717" s="15"/>
      <c r="E717" s="15"/>
      <c r="F717" s="15"/>
      <c r="G717" s="15"/>
      <c r="H717" s="15"/>
      <c r="I717" s="15"/>
      <c r="J717" s="15"/>
      <c r="K717" s="15"/>
      <c r="L717" s="28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  <c r="AG717" s="15"/>
      <c r="AH717" s="15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  <c r="AS717" s="15"/>
      <c r="AT717" s="15"/>
      <c r="AU717" s="15"/>
      <c r="AV717" s="15"/>
      <c r="AW717" s="15"/>
    </row>
    <row r="718" spans="3:49" x14ac:dyDescent="0.2">
      <c r="C718" s="15"/>
      <c r="D718" s="15"/>
      <c r="E718" s="15"/>
      <c r="F718" s="15"/>
      <c r="G718" s="15"/>
      <c r="H718" s="15"/>
      <c r="I718" s="15"/>
      <c r="J718" s="15"/>
      <c r="K718" s="15"/>
      <c r="L718" s="28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  <c r="AG718" s="15"/>
      <c r="AH718" s="15"/>
      <c r="AI718" s="15"/>
      <c r="AJ718" s="15"/>
      <c r="AK718" s="15"/>
      <c r="AL718" s="15"/>
      <c r="AM718" s="15"/>
      <c r="AN718" s="15"/>
      <c r="AO718" s="15"/>
      <c r="AP718" s="15"/>
      <c r="AQ718" s="15"/>
      <c r="AR718" s="15"/>
      <c r="AS718" s="15"/>
      <c r="AT718" s="15"/>
      <c r="AU718" s="15"/>
      <c r="AV718" s="15"/>
      <c r="AW718" s="15"/>
    </row>
    <row r="719" spans="3:49" x14ac:dyDescent="0.2">
      <c r="C719" s="15"/>
      <c r="D719" s="15"/>
      <c r="E719" s="15"/>
      <c r="F719" s="15"/>
      <c r="G719" s="15"/>
      <c r="H719" s="15"/>
      <c r="I719" s="15"/>
      <c r="J719" s="15"/>
      <c r="K719" s="15"/>
      <c r="L719" s="28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  <c r="AG719" s="15"/>
      <c r="AH719" s="15"/>
      <c r="AI719" s="15"/>
      <c r="AJ719" s="15"/>
      <c r="AK719" s="15"/>
      <c r="AL719" s="15"/>
      <c r="AM719" s="15"/>
      <c r="AN719" s="15"/>
      <c r="AO719" s="15"/>
      <c r="AP719" s="15"/>
      <c r="AQ719" s="15"/>
      <c r="AR719" s="15"/>
      <c r="AS719" s="15"/>
      <c r="AT719" s="15"/>
      <c r="AU719" s="15"/>
      <c r="AV719" s="15"/>
      <c r="AW719" s="15"/>
    </row>
    <row r="720" spans="3:49" x14ac:dyDescent="0.2">
      <c r="C720" s="15"/>
      <c r="D720" s="15"/>
      <c r="E720" s="15"/>
      <c r="F720" s="15"/>
      <c r="G720" s="15"/>
      <c r="H720" s="15"/>
      <c r="I720" s="15"/>
      <c r="J720" s="15"/>
      <c r="K720" s="15"/>
      <c r="L720" s="28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  <c r="AG720" s="15"/>
      <c r="AH720" s="15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  <c r="AS720" s="15"/>
      <c r="AT720" s="15"/>
      <c r="AU720" s="15"/>
      <c r="AV720" s="15"/>
      <c r="AW720" s="15"/>
    </row>
    <row r="721" spans="3:49" x14ac:dyDescent="0.2">
      <c r="C721" s="15"/>
      <c r="D721" s="15"/>
      <c r="E721" s="15"/>
      <c r="F721" s="15"/>
      <c r="G721" s="15"/>
      <c r="H721" s="15"/>
      <c r="I721" s="15"/>
      <c r="J721" s="15"/>
      <c r="K721" s="15"/>
      <c r="L721" s="28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  <c r="AG721" s="15"/>
      <c r="AH721" s="15"/>
      <c r="AI721" s="15"/>
      <c r="AJ721" s="15"/>
      <c r="AK721" s="15"/>
      <c r="AL721" s="15"/>
      <c r="AM721" s="15"/>
      <c r="AN721" s="15"/>
      <c r="AO721" s="15"/>
      <c r="AP721" s="15"/>
      <c r="AQ721" s="15"/>
      <c r="AR721" s="15"/>
      <c r="AS721" s="15"/>
      <c r="AT721" s="15"/>
      <c r="AU721" s="15"/>
      <c r="AV721" s="15"/>
      <c r="AW721" s="15"/>
    </row>
    <row r="722" spans="3:49" x14ac:dyDescent="0.2">
      <c r="C722" s="15"/>
      <c r="D722" s="15"/>
      <c r="E722" s="15"/>
      <c r="F722" s="15"/>
      <c r="G722" s="15"/>
      <c r="H722" s="15"/>
      <c r="I722" s="15"/>
      <c r="J722" s="15"/>
      <c r="K722" s="15"/>
      <c r="L722" s="28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  <c r="AG722" s="15"/>
      <c r="AH722" s="15"/>
      <c r="AI722" s="15"/>
      <c r="AJ722" s="15"/>
      <c r="AK722" s="15"/>
      <c r="AL722" s="15"/>
      <c r="AM722" s="15"/>
      <c r="AN722" s="15"/>
      <c r="AO722" s="15"/>
      <c r="AP722" s="15"/>
      <c r="AQ722" s="15"/>
      <c r="AR722" s="15"/>
      <c r="AS722" s="15"/>
      <c r="AT722" s="15"/>
      <c r="AU722" s="15"/>
      <c r="AV722" s="15"/>
      <c r="AW722" s="15"/>
    </row>
    <row r="723" spans="3:49" x14ac:dyDescent="0.2">
      <c r="C723" s="15"/>
      <c r="D723" s="15"/>
      <c r="E723" s="15"/>
      <c r="F723" s="15"/>
      <c r="G723" s="15"/>
      <c r="H723" s="15"/>
      <c r="I723" s="15"/>
      <c r="J723" s="15"/>
      <c r="K723" s="15"/>
      <c r="L723" s="28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  <c r="AG723" s="15"/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  <c r="AS723" s="15"/>
      <c r="AT723" s="15"/>
      <c r="AU723" s="15"/>
      <c r="AV723" s="15"/>
      <c r="AW723" s="15"/>
    </row>
    <row r="724" spans="3:49" x14ac:dyDescent="0.2">
      <c r="C724" s="15"/>
      <c r="D724" s="15"/>
      <c r="E724" s="15"/>
      <c r="F724" s="15"/>
      <c r="G724" s="15"/>
      <c r="H724" s="15"/>
      <c r="I724" s="15"/>
      <c r="J724" s="15"/>
      <c r="K724" s="15"/>
      <c r="L724" s="28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  <c r="AG724" s="15"/>
      <c r="AH724" s="15"/>
      <c r="AI724" s="15"/>
      <c r="AJ724" s="15"/>
      <c r="AK724" s="15"/>
      <c r="AL724" s="15"/>
      <c r="AM724" s="15"/>
      <c r="AN724" s="15"/>
      <c r="AO724" s="15"/>
      <c r="AP724" s="15"/>
      <c r="AQ724" s="15"/>
      <c r="AR724" s="15"/>
      <c r="AS724" s="15"/>
      <c r="AT724" s="15"/>
      <c r="AU724" s="15"/>
      <c r="AV724" s="15"/>
      <c r="AW724" s="15"/>
    </row>
    <row r="725" spans="3:49" x14ac:dyDescent="0.2">
      <c r="C725" s="15"/>
      <c r="D725" s="15"/>
      <c r="E725" s="15"/>
      <c r="F725" s="15"/>
      <c r="G725" s="15"/>
      <c r="H725" s="15"/>
      <c r="I725" s="15"/>
      <c r="J725" s="15"/>
      <c r="K725" s="15"/>
      <c r="L725" s="28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  <c r="AG725" s="15"/>
      <c r="AH725" s="15"/>
      <c r="AI725" s="15"/>
      <c r="AJ725" s="15"/>
      <c r="AK725" s="15"/>
      <c r="AL725" s="15"/>
      <c r="AM725" s="15"/>
      <c r="AN725" s="15"/>
      <c r="AO725" s="15"/>
      <c r="AP725" s="15"/>
      <c r="AQ725" s="15"/>
      <c r="AR725" s="15"/>
      <c r="AS725" s="15"/>
      <c r="AT725" s="15"/>
      <c r="AU725" s="15"/>
      <c r="AV725" s="15"/>
      <c r="AW725" s="15"/>
    </row>
    <row r="726" spans="3:49" x14ac:dyDescent="0.2">
      <c r="C726" s="15"/>
      <c r="D726" s="15"/>
      <c r="E726" s="15"/>
      <c r="F726" s="15"/>
      <c r="G726" s="15"/>
      <c r="H726" s="15"/>
      <c r="I726" s="15"/>
      <c r="J726" s="15"/>
      <c r="K726" s="15"/>
      <c r="L726" s="28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  <c r="AG726" s="15"/>
      <c r="AH726" s="15"/>
      <c r="AI726" s="15"/>
      <c r="AJ726" s="15"/>
      <c r="AK726" s="15"/>
      <c r="AL726" s="15"/>
      <c r="AM726" s="15"/>
      <c r="AN726" s="15"/>
      <c r="AO726" s="15"/>
      <c r="AP726" s="15"/>
      <c r="AQ726" s="15"/>
      <c r="AR726" s="15"/>
      <c r="AS726" s="15"/>
      <c r="AT726" s="15"/>
      <c r="AU726" s="15"/>
      <c r="AV726" s="15"/>
      <c r="AW726" s="15"/>
    </row>
    <row r="727" spans="3:49" x14ac:dyDescent="0.2">
      <c r="C727" s="15"/>
      <c r="D727" s="15"/>
      <c r="E727" s="15"/>
      <c r="F727" s="15"/>
      <c r="G727" s="15"/>
      <c r="H727" s="15"/>
      <c r="I727" s="15"/>
      <c r="J727" s="15"/>
      <c r="K727" s="15"/>
      <c r="L727" s="28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  <c r="AG727" s="15"/>
      <c r="AH727" s="15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  <c r="AS727" s="15"/>
      <c r="AT727" s="15"/>
      <c r="AU727" s="15"/>
      <c r="AV727" s="15"/>
      <c r="AW727" s="15"/>
    </row>
    <row r="728" spans="3:49" x14ac:dyDescent="0.2">
      <c r="C728" s="15"/>
      <c r="D728" s="15"/>
      <c r="E728" s="15"/>
      <c r="F728" s="15"/>
      <c r="G728" s="15"/>
      <c r="H728" s="15"/>
      <c r="I728" s="15"/>
      <c r="J728" s="15"/>
      <c r="K728" s="15"/>
      <c r="L728" s="28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  <c r="AG728" s="15"/>
      <c r="AH728" s="15"/>
      <c r="AI728" s="15"/>
      <c r="AJ728" s="15"/>
      <c r="AK728" s="15"/>
      <c r="AL728" s="15"/>
      <c r="AM728" s="15"/>
      <c r="AN728" s="15"/>
      <c r="AO728" s="15"/>
      <c r="AP728" s="15"/>
      <c r="AQ728" s="15"/>
      <c r="AR728" s="15"/>
      <c r="AS728" s="15"/>
      <c r="AT728" s="15"/>
      <c r="AU728" s="15"/>
      <c r="AV728" s="15"/>
      <c r="AW728" s="15"/>
    </row>
    <row r="729" spans="3:49" x14ac:dyDescent="0.2">
      <c r="C729" s="15"/>
      <c r="D729" s="15"/>
      <c r="E729" s="15"/>
      <c r="F729" s="15"/>
      <c r="G729" s="15"/>
      <c r="H729" s="15"/>
      <c r="I729" s="15"/>
      <c r="J729" s="15"/>
      <c r="K729" s="15"/>
      <c r="L729" s="28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  <c r="AG729" s="15"/>
      <c r="AH729" s="15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  <c r="AS729" s="15"/>
      <c r="AT729" s="15"/>
      <c r="AU729" s="15"/>
      <c r="AV729" s="15"/>
      <c r="AW729" s="15"/>
    </row>
    <row r="730" spans="3:49" x14ac:dyDescent="0.2">
      <c r="C730" s="15"/>
      <c r="D730" s="15"/>
      <c r="E730" s="15"/>
      <c r="F730" s="15"/>
      <c r="G730" s="15"/>
      <c r="H730" s="15"/>
      <c r="I730" s="15"/>
      <c r="J730" s="15"/>
      <c r="K730" s="15"/>
      <c r="L730" s="28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  <c r="AG730" s="15"/>
      <c r="AH730" s="15"/>
      <c r="AI730" s="15"/>
      <c r="AJ730" s="15"/>
      <c r="AK730" s="15"/>
      <c r="AL730" s="15"/>
      <c r="AM730" s="15"/>
      <c r="AN730" s="15"/>
      <c r="AO730" s="15"/>
      <c r="AP730" s="15"/>
      <c r="AQ730" s="15"/>
      <c r="AR730" s="15"/>
      <c r="AS730" s="15"/>
      <c r="AT730" s="15"/>
      <c r="AU730" s="15"/>
      <c r="AV730" s="15"/>
      <c r="AW730" s="15"/>
    </row>
    <row r="731" spans="3:49" x14ac:dyDescent="0.2">
      <c r="C731" s="15"/>
      <c r="D731" s="15"/>
      <c r="E731" s="15"/>
      <c r="F731" s="15"/>
      <c r="G731" s="15"/>
      <c r="H731" s="15"/>
      <c r="I731" s="15"/>
      <c r="J731" s="15"/>
      <c r="K731" s="15"/>
      <c r="L731" s="28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  <c r="AG731" s="15"/>
      <c r="AH731" s="15"/>
      <c r="AI731" s="15"/>
      <c r="AJ731" s="15"/>
      <c r="AK731" s="15"/>
      <c r="AL731" s="15"/>
      <c r="AM731" s="15"/>
      <c r="AN731" s="15"/>
      <c r="AO731" s="15"/>
      <c r="AP731" s="15"/>
      <c r="AQ731" s="15"/>
      <c r="AR731" s="15"/>
      <c r="AS731" s="15"/>
      <c r="AT731" s="15"/>
      <c r="AU731" s="15"/>
      <c r="AV731" s="15"/>
      <c r="AW731" s="15"/>
    </row>
    <row r="732" spans="3:49" x14ac:dyDescent="0.2">
      <c r="C732" s="15"/>
      <c r="D732" s="15"/>
      <c r="E732" s="15"/>
      <c r="F732" s="15"/>
      <c r="G732" s="15"/>
      <c r="H732" s="15"/>
      <c r="I732" s="15"/>
      <c r="J732" s="15"/>
      <c r="K732" s="15"/>
      <c r="L732" s="28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  <c r="AG732" s="15"/>
      <c r="AH732" s="15"/>
      <c r="AI732" s="15"/>
      <c r="AJ732" s="15"/>
      <c r="AK732" s="15"/>
      <c r="AL732" s="15"/>
      <c r="AM732" s="15"/>
      <c r="AN732" s="15"/>
      <c r="AO732" s="15"/>
      <c r="AP732" s="15"/>
      <c r="AQ732" s="15"/>
      <c r="AR732" s="15"/>
      <c r="AS732" s="15"/>
      <c r="AT732" s="15"/>
      <c r="AU732" s="15"/>
      <c r="AV732" s="15"/>
      <c r="AW732" s="15"/>
    </row>
    <row r="733" spans="3:49" x14ac:dyDescent="0.2">
      <c r="C733" s="15"/>
      <c r="D733" s="15"/>
      <c r="E733" s="15"/>
      <c r="F733" s="15"/>
      <c r="G733" s="15"/>
      <c r="H733" s="15"/>
      <c r="I733" s="15"/>
      <c r="J733" s="15"/>
      <c r="K733" s="15"/>
      <c r="L733" s="28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  <c r="AG733" s="15"/>
      <c r="AH733" s="15"/>
      <c r="AI733" s="15"/>
      <c r="AJ733" s="15"/>
      <c r="AK733" s="15"/>
      <c r="AL733" s="15"/>
      <c r="AM733" s="15"/>
      <c r="AN733" s="15"/>
      <c r="AO733" s="15"/>
      <c r="AP733" s="15"/>
      <c r="AQ733" s="15"/>
      <c r="AR733" s="15"/>
      <c r="AS733" s="15"/>
      <c r="AT733" s="15"/>
      <c r="AU733" s="15"/>
      <c r="AV733" s="15"/>
      <c r="AW733" s="15"/>
    </row>
    <row r="734" spans="3:49" x14ac:dyDescent="0.2">
      <c r="C734" s="15"/>
      <c r="D734" s="15"/>
      <c r="E734" s="15"/>
      <c r="F734" s="15"/>
      <c r="G734" s="15"/>
      <c r="H734" s="15"/>
      <c r="I734" s="15"/>
      <c r="J734" s="15"/>
      <c r="K734" s="15"/>
      <c r="L734" s="28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  <c r="AG734" s="15"/>
      <c r="AH734" s="15"/>
      <c r="AI734" s="15"/>
      <c r="AJ734" s="15"/>
      <c r="AK734" s="15"/>
      <c r="AL734" s="15"/>
      <c r="AM734" s="15"/>
      <c r="AN734" s="15"/>
      <c r="AO734" s="15"/>
      <c r="AP734" s="15"/>
      <c r="AQ734" s="15"/>
      <c r="AR734" s="15"/>
      <c r="AS734" s="15"/>
      <c r="AT734" s="15"/>
      <c r="AU734" s="15"/>
      <c r="AV734" s="15"/>
      <c r="AW734" s="15"/>
    </row>
    <row r="735" spans="3:49" x14ac:dyDescent="0.2">
      <c r="C735" s="15"/>
      <c r="D735" s="15"/>
      <c r="E735" s="15"/>
      <c r="F735" s="15"/>
      <c r="G735" s="15"/>
      <c r="H735" s="15"/>
      <c r="I735" s="15"/>
      <c r="J735" s="15"/>
      <c r="K735" s="15"/>
      <c r="L735" s="28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  <c r="AG735" s="15"/>
      <c r="AH735" s="15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  <c r="AS735" s="15"/>
      <c r="AT735" s="15"/>
      <c r="AU735" s="15"/>
      <c r="AV735" s="15"/>
      <c r="AW735" s="15"/>
    </row>
    <row r="736" spans="3:49" x14ac:dyDescent="0.2">
      <c r="C736" s="15"/>
      <c r="D736" s="15"/>
      <c r="E736" s="15"/>
      <c r="F736" s="15"/>
      <c r="G736" s="15"/>
      <c r="H736" s="15"/>
      <c r="I736" s="15"/>
      <c r="J736" s="15"/>
      <c r="K736" s="15"/>
      <c r="L736" s="28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  <c r="AG736" s="15"/>
      <c r="AH736" s="15"/>
      <c r="AI736" s="15"/>
      <c r="AJ736" s="15"/>
      <c r="AK736" s="15"/>
      <c r="AL736" s="15"/>
      <c r="AM736" s="15"/>
      <c r="AN736" s="15"/>
      <c r="AO736" s="15"/>
      <c r="AP736" s="15"/>
      <c r="AQ736" s="15"/>
      <c r="AR736" s="15"/>
      <c r="AS736" s="15"/>
      <c r="AT736" s="15"/>
      <c r="AU736" s="15"/>
      <c r="AV736" s="15"/>
      <c r="AW736" s="15"/>
    </row>
    <row r="737" spans="3:49" x14ac:dyDescent="0.2">
      <c r="C737" s="15"/>
      <c r="D737" s="15"/>
      <c r="E737" s="15"/>
      <c r="F737" s="15"/>
      <c r="G737" s="15"/>
      <c r="H737" s="15"/>
      <c r="I737" s="15"/>
      <c r="J737" s="15"/>
      <c r="K737" s="15"/>
      <c r="L737" s="28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  <c r="AG737" s="15"/>
      <c r="AH737" s="15"/>
      <c r="AI737" s="15"/>
      <c r="AJ737" s="15"/>
      <c r="AK737" s="15"/>
      <c r="AL737" s="15"/>
      <c r="AM737" s="15"/>
      <c r="AN737" s="15"/>
      <c r="AO737" s="15"/>
      <c r="AP737" s="15"/>
      <c r="AQ737" s="15"/>
      <c r="AR737" s="15"/>
      <c r="AS737" s="15"/>
      <c r="AT737" s="15"/>
      <c r="AU737" s="15"/>
      <c r="AV737" s="15"/>
      <c r="AW737" s="15"/>
    </row>
    <row r="738" spans="3:49" x14ac:dyDescent="0.2">
      <c r="C738" s="15"/>
      <c r="D738" s="15"/>
      <c r="E738" s="15"/>
      <c r="F738" s="15"/>
      <c r="G738" s="15"/>
      <c r="H738" s="15"/>
      <c r="I738" s="15"/>
      <c r="J738" s="15"/>
      <c r="K738" s="15"/>
      <c r="L738" s="28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  <c r="AG738" s="15"/>
      <c r="AH738" s="15"/>
      <c r="AI738" s="15"/>
      <c r="AJ738" s="15"/>
      <c r="AK738" s="15"/>
      <c r="AL738" s="15"/>
      <c r="AM738" s="15"/>
      <c r="AN738" s="15"/>
      <c r="AO738" s="15"/>
      <c r="AP738" s="15"/>
      <c r="AQ738" s="15"/>
      <c r="AR738" s="15"/>
      <c r="AS738" s="15"/>
      <c r="AT738" s="15"/>
      <c r="AU738" s="15"/>
      <c r="AV738" s="15"/>
      <c r="AW738" s="15"/>
    </row>
    <row r="739" spans="3:49" x14ac:dyDescent="0.2">
      <c r="C739" s="15"/>
      <c r="D739" s="15"/>
      <c r="E739" s="15"/>
      <c r="F739" s="15"/>
      <c r="G739" s="15"/>
      <c r="H739" s="15"/>
      <c r="I739" s="15"/>
      <c r="J739" s="15"/>
      <c r="K739" s="15"/>
      <c r="L739" s="28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  <c r="AG739" s="15"/>
      <c r="AH739" s="15"/>
      <c r="AI739" s="15"/>
      <c r="AJ739" s="15"/>
      <c r="AK739" s="15"/>
      <c r="AL739" s="15"/>
      <c r="AM739" s="15"/>
      <c r="AN739" s="15"/>
      <c r="AO739" s="15"/>
      <c r="AP739" s="15"/>
      <c r="AQ739" s="15"/>
      <c r="AR739" s="15"/>
      <c r="AS739" s="15"/>
      <c r="AT739" s="15"/>
      <c r="AU739" s="15"/>
      <c r="AV739" s="15"/>
      <c r="AW739" s="15"/>
    </row>
    <row r="740" spans="3:49" x14ac:dyDescent="0.2">
      <c r="C740" s="15"/>
      <c r="D740" s="15"/>
      <c r="E740" s="15"/>
      <c r="F740" s="15"/>
      <c r="G740" s="15"/>
      <c r="H740" s="15"/>
      <c r="I740" s="15"/>
      <c r="J740" s="15"/>
      <c r="K740" s="15"/>
      <c r="L740" s="28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  <c r="AG740" s="15"/>
      <c r="AH740" s="15"/>
      <c r="AI740" s="15"/>
      <c r="AJ740" s="15"/>
      <c r="AK740" s="15"/>
      <c r="AL740" s="15"/>
      <c r="AM740" s="15"/>
      <c r="AN740" s="15"/>
      <c r="AO740" s="15"/>
      <c r="AP740" s="15"/>
      <c r="AQ740" s="15"/>
      <c r="AR740" s="15"/>
      <c r="AS740" s="15"/>
      <c r="AT740" s="15"/>
      <c r="AU740" s="15"/>
      <c r="AV740" s="15"/>
      <c r="AW740" s="15"/>
    </row>
    <row r="741" spans="3:49" x14ac:dyDescent="0.2">
      <c r="C741" s="15"/>
      <c r="D741" s="15"/>
      <c r="E741" s="15"/>
      <c r="F741" s="15"/>
      <c r="G741" s="15"/>
      <c r="H741" s="15"/>
      <c r="I741" s="15"/>
      <c r="J741" s="15"/>
      <c r="K741" s="15"/>
      <c r="L741" s="28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  <c r="AG741" s="15"/>
      <c r="AH741" s="15"/>
      <c r="AI741" s="15"/>
      <c r="AJ741" s="15"/>
      <c r="AK741" s="15"/>
      <c r="AL741" s="15"/>
      <c r="AM741" s="15"/>
      <c r="AN741" s="15"/>
      <c r="AO741" s="15"/>
      <c r="AP741" s="15"/>
      <c r="AQ741" s="15"/>
      <c r="AR741" s="15"/>
      <c r="AS741" s="15"/>
      <c r="AT741" s="15"/>
      <c r="AU741" s="15"/>
      <c r="AV741" s="15"/>
      <c r="AW741" s="15"/>
    </row>
    <row r="742" spans="3:49" x14ac:dyDescent="0.2">
      <c r="C742" s="15"/>
      <c r="D742" s="15"/>
      <c r="E742" s="15"/>
      <c r="F742" s="15"/>
      <c r="G742" s="15"/>
      <c r="H742" s="15"/>
      <c r="I742" s="15"/>
      <c r="J742" s="15"/>
      <c r="K742" s="15"/>
      <c r="L742" s="28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  <c r="AG742" s="15"/>
      <c r="AH742" s="15"/>
      <c r="AI742" s="15"/>
      <c r="AJ742" s="15"/>
      <c r="AK742" s="15"/>
      <c r="AL742" s="15"/>
      <c r="AM742" s="15"/>
      <c r="AN742" s="15"/>
      <c r="AO742" s="15"/>
      <c r="AP742" s="15"/>
      <c r="AQ742" s="15"/>
      <c r="AR742" s="15"/>
      <c r="AS742" s="15"/>
      <c r="AT742" s="15"/>
      <c r="AU742" s="15"/>
      <c r="AV742" s="15"/>
      <c r="AW742" s="15"/>
    </row>
    <row r="743" spans="3:49" x14ac:dyDescent="0.2">
      <c r="C743" s="15"/>
      <c r="D743" s="15"/>
      <c r="E743" s="15"/>
      <c r="F743" s="15"/>
      <c r="G743" s="15"/>
      <c r="H743" s="15"/>
      <c r="I743" s="15"/>
      <c r="J743" s="15"/>
      <c r="K743" s="15"/>
      <c r="L743" s="28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  <c r="AG743" s="15"/>
      <c r="AH743" s="15"/>
      <c r="AI743" s="15"/>
      <c r="AJ743" s="15"/>
      <c r="AK743" s="15"/>
      <c r="AL743" s="15"/>
      <c r="AM743" s="15"/>
      <c r="AN743" s="15"/>
      <c r="AO743" s="15"/>
      <c r="AP743" s="15"/>
      <c r="AQ743" s="15"/>
      <c r="AR743" s="15"/>
      <c r="AS743" s="15"/>
      <c r="AT743" s="15"/>
      <c r="AU743" s="15"/>
      <c r="AV743" s="15"/>
      <c r="AW743" s="15"/>
    </row>
    <row r="744" spans="3:49" x14ac:dyDescent="0.2">
      <c r="C744" s="15"/>
      <c r="D744" s="15"/>
      <c r="E744" s="15"/>
      <c r="F744" s="15"/>
      <c r="G744" s="15"/>
      <c r="H744" s="15"/>
      <c r="I744" s="15"/>
      <c r="J744" s="15"/>
      <c r="K744" s="15"/>
      <c r="L744" s="28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  <c r="AG744" s="15"/>
      <c r="AH744" s="15"/>
      <c r="AI744" s="15"/>
      <c r="AJ744" s="15"/>
      <c r="AK744" s="15"/>
      <c r="AL744" s="15"/>
      <c r="AM744" s="15"/>
      <c r="AN744" s="15"/>
      <c r="AO744" s="15"/>
      <c r="AP744" s="15"/>
      <c r="AQ744" s="15"/>
      <c r="AR744" s="15"/>
      <c r="AS744" s="15"/>
      <c r="AT744" s="15"/>
      <c r="AU744" s="15"/>
      <c r="AV744" s="15"/>
      <c r="AW744" s="15"/>
    </row>
    <row r="745" spans="3:49" x14ac:dyDescent="0.2">
      <c r="C745" s="15"/>
      <c r="D745" s="15"/>
      <c r="E745" s="15"/>
      <c r="F745" s="15"/>
      <c r="G745" s="15"/>
      <c r="H745" s="15"/>
      <c r="I745" s="15"/>
      <c r="J745" s="15"/>
      <c r="K745" s="15"/>
      <c r="L745" s="28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  <c r="AG745" s="15"/>
      <c r="AH745" s="15"/>
      <c r="AI745" s="15"/>
      <c r="AJ745" s="15"/>
      <c r="AK745" s="15"/>
      <c r="AL745" s="15"/>
      <c r="AM745" s="15"/>
      <c r="AN745" s="15"/>
      <c r="AO745" s="15"/>
      <c r="AP745" s="15"/>
      <c r="AQ745" s="15"/>
      <c r="AR745" s="15"/>
      <c r="AS745" s="15"/>
      <c r="AT745" s="15"/>
      <c r="AU745" s="15"/>
      <c r="AV745" s="15"/>
      <c r="AW745" s="15"/>
    </row>
    <row r="746" spans="3:49" x14ac:dyDescent="0.2">
      <c r="C746" s="15"/>
      <c r="D746" s="15"/>
      <c r="E746" s="15"/>
      <c r="F746" s="15"/>
      <c r="G746" s="15"/>
      <c r="H746" s="15"/>
      <c r="I746" s="15"/>
      <c r="J746" s="15"/>
      <c r="K746" s="15"/>
      <c r="L746" s="28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  <c r="AG746" s="15"/>
      <c r="AH746" s="15"/>
      <c r="AI746" s="15"/>
      <c r="AJ746" s="15"/>
      <c r="AK746" s="15"/>
      <c r="AL746" s="15"/>
      <c r="AM746" s="15"/>
      <c r="AN746" s="15"/>
      <c r="AO746" s="15"/>
      <c r="AP746" s="15"/>
      <c r="AQ746" s="15"/>
      <c r="AR746" s="15"/>
      <c r="AS746" s="15"/>
      <c r="AT746" s="15"/>
      <c r="AU746" s="15"/>
      <c r="AV746" s="15"/>
      <c r="AW746" s="15"/>
    </row>
    <row r="747" spans="3:49" x14ac:dyDescent="0.2">
      <c r="C747" s="15"/>
      <c r="D747" s="15"/>
      <c r="E747" s="15"/>
      <c r="F747" s="15"/>
      <c r="G747" s="15"/>
      <c r="H747" s="15"/>
      <c r="I747" s="15"/>
      <c r="J747" s="15"/>
      <c r="K747" s="15"/>
      <c r="L747" s="28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  <c r="AG747" s="15"/>
      <c r="AH747" s="15"/>
      <c r="AI747" s="15"/>
      <c r="AJ747" s="15"/>
      <c r="AK747" s="15"/>
      <c r="AL747" s="15"/>
      <c r="AM747" s="15"/>
      <c r="AN747" s="15"/>
      <c r="AO747" s="15"/>
      <c r="AP747" s="15"/>
      <c r="AQ747" s="15"/>
      <c r="AR747" s="15"/>
      <c r="AS747" s="15"/>
      <c r="AT747" s="15"/>
      <c r="AU747" s="15"/>
      <c r="AV747" s="15"/>
      <c r="AW747" s="15"/>
    </row>
    <row r="748" spans="3:49" x14ac:dyDescent="0.2">
      <c r="C748" s="15"/>
      <c r="D748" s="15"/>
      <c r="E748" s="15"/>
      <c r="F748" s="15"/>
      <c r="G748" s="15"/>
      <c r="H748" s="15"/>
      <c r="I748" s="15"/>
      <c r="J748" s="15"/>
      <c r="K748" s="15"/>
      <c r="L748" s="28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  <c r="AG748" s="15"/>
      <c r="AH748" s="15"/>
      <c r="AI748" s="15"/>
      <c r="AJ748" s="15"/>
      <c r="AK748" s="15"/>
      <c r="AL748" s="15"/>
      <c r="AM748" s="15"/>
      <c r="AN748" s="15"/>
      <c r="AO748" s="15"/>
      <c r="AP748" s="15"/>
      <c r="AQ748" s="15"/>
      <c r="AR748" s="15"/>
      <c r="AS748" s="15"/>
      <c r="AT748" s="15"/>
      <c r="AU748" s="15"/>
      <c r="AV748" s="15"/>
      <c r="AW748" s="15"/>
    </row>
    <row r="749" spans="3:49" x14ac:dyDescent="0.2">
      <c r="C749" s="15"/>
      <c r="D749" s="15"/>
      <c r="E749" s="15"/>
      <c r="F749" s="15"/>
      <c r="G749" s="15"/>
      <c r="H749" s="15"/>
      <c r="I749" s="15"/>
      <c r="J749" s="15"/>
      <c r="K749" s="15"/>
      <c r="L749" s="28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  <c r="AG749" s="15"/>
      <c r="AH749" s="15"/>
      <c r="AI749" s="15"/>
      <c r="AJ749" s="15"/>
      <c r="AK749" s="15"/>
      <c r="AL749" s="15"/>
      <c r="AM749" s="15"/>
      <c r="AN749" s="15"/>
      <c r="AO749" s="15"/>
      <c r="AP749" s="15"/>
      <c r="AQ749" s="15"/>
      <c r="AR749" s="15"/>
      <c r="AS749" s="15"/>
      <c r="AT749" s="15"/>
      <c r="AU749" s="15"/>
      <c r="AV749" s="15"/>
      <c r="AW749" s="15"/>
    </row>
    <row r="750" spans="3:49" x14ac:dyDescent="0.2">
      <c r="C750" s="15"/>
      <c r="D750" s="15"/>
      <c r="E750" s="15"/>
      <c r="F750" s="15"/>
      <c r="G750" s="15"/>
      <c r="H750" s="15"/>
      <c r="I750" s="15"/>
      <c r="J750" s="15"/>
      <c r="K750" s="15"/>
      <c r="L750" s="28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  <c r="AG750" s="15"/>
      <c r="AH750" s="15"/>
      <c r="AI750" s="15"/>
      <c r="AJ750" s="15"/>
      <c r="AK750" s="15"/>
      <c r="AL750" s="15"/>
      <c r="AM750" s="15"/>
      <c r="AN750" s="15"/>
      <c r="AO750" s="15"/>
      <c r="AP750" s="15"/>
      <c r="AQ750" s="15"/>
      <c r="AR750" s="15"/>
      <c r="AS750" s="15"/>
      <c r="AT750" s="15"/>
      <c r="AU750" s="15"/>
      <c r="AV750" s="15"/>
      <c r="AW750" s="15"/>
    </row>
    <row r="751" spans="3:49" x14ac:dyDescent="0.2">
      <c r="C751" s="15"/>
      <c r="D751" s="15"/>
      <c r="E751" s="15"/>
      <c r="F751" s="15"/>
      <c r="G751" s="15"/>
      <c r="H751" s="15"/>
      <c r="I751" s="15"/>
      <c r="J751" s="15"/>
      <c r="K751" s="15"/>
      <c r="L751" s="28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  <c r="AG751" s="15"/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  <c r="AS751" s="15"/>
      <c r="AT751" s="15"/>
      <c r="AU751" s="15"/>
      <c r="AV751" s="15"/>
      <c r="AW751" s="15"/>
    </row>
    <row r="752" spans="3:49" x14ac:dyDescent="0.2">
      <c r="C752" s="15"/>
      <c r="D752" s="15"/>
      <c r="E752" s="15"/>
      <c r="F752" s="15"/>
      <c r="G752" s="15"/>
      <c r="H752" s="15"/>
      <c r="I752" s="15"/>
      <c r="J752" s="15"/>
      <c r="K752" s="15"/>
      <c r="L752" s="28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  <c r="AG752" s="15"/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  <c r="AS752" s="15"/>
      <c r="AT752" s="15"/>
      <c r="AU752" s="15"/>
      <c r="AV752" s="15"/>
      <c r="AW752" s="15"/>
    </row>
    <row r="753" spans="3:49" x14ac:dyDescent="0.2">
      <c r="C753" s="15"/>
      <c r="D753" s="15"/>
      <c r="E753" s="15"/>
      <c r="F753" s="15"/>
      <c r="G753" s="15"/>
      <c r="H753" s="15"/>
      <c r="I753" s="15"/>
      <c r="J753" s="15"/>
      <c r="K753" s="15"/>
      <c r="L753" s="28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  <c r="AG753" s="15"/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  <c r="AS753" s="15"/>
      <c r="AT753" s="15"/>
      <c r="AU753" s="15"/>
      <c r="AV753" s="15"/>
      <c r="AW753" s="15"/>
    </row>
    <row r="754" spans="3:49" x14ac:dyDescent="0.2">
      <c r="C754" s="15"/>
      <c r="D754" s="15"/>
      <c r="E754" s="15"/>
      <c r="F754" s="15"/>
      <c r="G754" s="15"/>
      <c r="H754" s="15"/>
      <c r="I754" s="15"/>
      <c r="J754" s="15"/>
      <c r="K754" s="15"/>
      <c r="L754" s="28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  <c r="AG754" s="15"/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  <c r="AS754" s="15"/>
      <c r="AT754" s="15"/>
      <c r="AU754" s="15"/>
      <c r="AV754" s="15"/>
      <c r="AW754" s="15"/>
    </row>
    <row r="755" spans="3:49" x14ac:dyDescent="0.2">
      <c r="C755" s="15"/>
      <c r="D755" s="15"/>
      <c r="E755" s="15"/>
      <c r="F755" s="15"/>
      <c r="G755" s="15"/>
      <c r="H755" s="15"/>
      <c r="I755" s="15"/>
      <c r="J755" s="15"/>
      <c r="K755" s="15"/>
      <c r="L755" s="28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  <c r="AG755" s="15"/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  <c r="AS755" s="15"/>
      <c r="AT755" s="15"/>
      <c r="AU755" s="15"/>
      <c r="AV755" s="15"/>
      <c r="AW755" s="15"/>
    </row>
    <row r="756" spans="3:49" x14ac:dyDescent="0.2">
      <c r="C756" s="15"/>
      <c r="D756" s="15"/>
      <c r="E756" s="15"/>
      <c r="F756" s="15"/>
      <c r="G756" s="15"/>
      <c r="H756" s="15"/>
      <c r="I756" s="15"/>
      <c r="J756" s="15"/>
      <c r="K756" s="15"/>
      <c r="L756" s="28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  <c r="AG756" s="15"/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  <c r="AS756" s="15"/>
      <c r="AT756" s="15"/>
      <c r="AU756" s="15"/>
      <c r="AV756" s="15"/>
      <c r="AW756" s="15"/>
    </row>
    <row r="757" spans="3:49" x14ac:dyDescent="0.2">
      <c r="C757" s="15"/>
      <c r="D757" s="15"/>
      <c r="E757" s="15"/>
      <c r="F757" s="15"/>
      <c r="G757" s="15"/>
      <c r="H757" s="15"/>
      <c r="I757" s="15"/>
      <c r="J757" s="15"/>
      <c r="K757" s="15"/>
      <c r="L757" s="28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  <c r="AG757" s="15"/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  <c r="AS757" s="15"/>
      <c r="AT757" s="15"/>
      <c r="AU757" s="15"/>
      <c r="AV757" s="15"/>
      <c r="AW757" s="15"/>
    </row>
    <row r="758" spans="3:49" x14ac:dyDescent="0.2">
      <c r="C758" s="15"/>
      <c r="D758" s="15"/>
      <c r="E758" s="15"/>
      <c r="F758" s="15"/>
      <c r="G758" s="15"/>
      <c r="H758" s="15"/>
      <c r="I758" s="15"/>
      <c r="J758" s="15"/>
      <c r="K758" s="15"/>
      <c r="L758" s="28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  <c r="AG758" s="15"/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  <c r="AS758" s="15"/>
      <c r="AT758" s="15"/>
      <c r="AU758" s="15"/>
      <c r="AV758" s="15"/>
      <c r="AW758" s="15"/>
    </row>
    <row r="759" spans="3:49" x14ac:dyDescent="0.2">
      <c r="C759" s="15"/>
      <c r="D759" s="15"/>
      <c r="E759" s="15"/>
      <c r="F759" s="15"/>
      <c r="G759" s="15"/>
      <c r="H759" s="15"/>
      <c r="I759" s="15"/>
      <c r="J759" s="15"/>
      <c r="K759" s="15"/>
      <c r="L759" s="28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  <c r="AG759" s="15"/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  <c r="AS759" s="15"/>
      <c r="AT759" s="15"/>
      <c r="AU759" s="15"/>
      <c r="AV759" s="15"/>
      <c r="AW759" s="15"/>
    </row>
    <row r="760" spans="3:49" x14ac:dyDescent="0.2">
      <c r="C760" s="15"/>
      <c r="D760" s="15"/>
      <c r="E760" s="15"/>
      <c r="F760" s="15"/>
      <c r="G760" s="15"/>
      <c r="H760" s="15"/>
      <c r="I760" s="15"/>
      <c r="J760" s="15"/>
      <c r="K760" s="15"/>
      <c r="L760" s="28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  <c r="AG760" s="15"/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  <c r="AS760" s="15"/>
      <c r="AT760" s="15"/>
      <c r="AU760" s="15"/>
      <c r="AV760" s="15"/>
      <c r="AW760" s="15"/>
    </row>
    <row r="761" spans="3:49" x14ac:dyDescent="0.2">
      <c r="C761" s="15"/>
      <c r="D761" s="15"/>
      <c r="E761" s="15"/>
      <c r="F761" s="15"/>
      <c r="G761" s="15"/>
      <c r="H761" s="15"/>
      <c r="I761" s="15"/>
      <c r="J761" s="15"/>
      <c r="K761" s="15"/>
      <c r="L761" s="28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  <c r="AG761" s="15"/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  <c r="AS761" s="15"/>
      <c r="AT761" s="15"/>
      <c r="AU761" s="15"/>
      <c r="AV761" s="15"/>
      <c r="AW761" s="15"/>
    </row>
    <row r="762" spans="3:49" x14ac:dyDescent="0.2">
      <c r="C762" s="15"/>
      <c r="D762" s="15"/>
      <c r="E762" s="15"/>
      <c r="F762" s="15"/>
      <c r="G762" s="15"/>
      <c r="H762" s="15"/>
      <c r="I762" s="15"/>
      <c r="J762" s="15"/>
      <c r="K762" s="15"/>
      <c r="L762" s="28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  <c r="AG762" s="15"/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  <c r="AS762" s="15"/>
      <c r="AT762" s="15"/>
      <c r="AU762" s="15"/>
      <c r="AV762" s="15"/>
      <c r="AW762" s="15"/>
    </row>
    <row r="763" spans="3:49" x14ac:dyDescent="0.2">
      <c r="C763" s="15"/>
      <c r="D763" s="15"/>
      <c r="E763" s="15"/>
      <c r="F763" s="15"/>
      <c r="G763" s="15"/>
      <c r="H763" s="15"/>
      <c r="I763" s="15"/>
      <c r="J763" s="15"/>
      <c r="K763" s="15"/>
      <c r="L763" s="28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  <c r="AG763" s="15"/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  <c r="AS763" s="15"/>
      <c r="AT763" s="15"/>
      <c r="AU763" s="15"/>
      <c r="AV763" s="15"/>
      <c r="AW763" s="15"/>
    </row>
    <row r="764" spans="3:49" x14ac:dyDescent="0.2">
      <c r="C764" s="15"/>
      <c r="D764" s="15"/>
      <c r="E764" s="15"/>
      <c r="F764" s="15"/>
      <c r="G764" s="15"/>
      <c r="H764" s="15"/>
      <c r="I764" s="15"/>
      <c r="J764" s="15"/>
      <c r="K764" s="15"/>
      <c r="L764" s="28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  <c r="AG764" s="15"/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  <c r="AS764" s="15"/>
      <c r="AT764" s="15"/>
      <c r="AU764" s="15"/>
      <c r="AV764" s="15"/>
      <c r="AW764" s="15"/>
    </row>
    <row r="765" spans="3:49" x14ac:dyDescent="0.2">
      <c r="C765" s="15"/>
      <c r="D765" s="15"/>
      <c r="E765" s="15"/>
      <c r="F765" s="15"/>
      <c r="G765" s="15"/>
      <c r="H765" s="15"/>
      <c r="I765" s="15"/>
      <c r="J765" s="15"/>
      <c r="K765" s="15"/>
      <c r="L765" s="28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  <c r="AG765" s="15"/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  <c r="AS765" s="15"/>
      <c r="AT765" s="15"/>
      <c r="AU765" s="15"/>
      <c r="AV765" s="15"/>
      <c r="AW765" s="15"/>
    </row>
    <row r="766" spans="3:49" x14ac:dyDescent="0.2">
      <c r="C766" s="15"/>
      <c r="D766" s="15"/>
      <c r="E766" s="15"/>
      <c r="F766" s="15"/>
      <c r="G766" s="15"/>
      <c r="H766" s="15"/>
      <c r="I766" s="15"/>
      <c r="J766" s="15"/>
      <c r="K766" s="15"/>
      <c r="L766" s="28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  <c r="AG766" s="15"/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  <c r="AS766" s="15"/>
      <c r="AT766" s="15"/>
      <c r="AU766" s="15"/>
      <c r="AV766" s="15"/>
      <c r="AW766" s="15"/>
    </row>
    <row r="767" spans="3:49" x14ac:dyDescent="0.2">
      <c r="C767" s="15"/>
      <c r="D767" s="15"/>
      <c r="E767" s="15"/>
      <c r="F767" s="15"/>
      <c r="G767" s="15"/>
      <c r="H767" s="15"/>
      <c r="I767" s="15"/>
      <c r="J767" s="15"/>
      <c r="K767" s="15"/>
      <c r="L767" s="28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  <c r="AG767" s="15"/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  <c r="AS767" s="15"/>
      <c r="AT767" s="15"/>
      <c r="AU767" s="15"/>
      <c r="AV767" s="15"/>
      <c r="AW767" s="15"/>
    </row>
    <row r="768" spans="3:49" x14ac:dyDescent="0.2">
      <c r="C768" s="15"/>
      <c r="D768" s="15"/>
      <c r="E768" s="15"/>
      <c r="F768" s="15"/>
      <c r="G768" s="15"/>
      <c r="H768" s="15"/>
      <c r="I768" s="15"/>
      <c r="J768" s="15"/>
      <c r="K768" s="15"/>
      <c r="L768" s="28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  <c r="AG768" s="15"/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  <c r="AS768" s="15"/>
      <c r="AT768" s="15"/>
      <c r="AU768" s="15"/>
      <c r="AV768" s="15"/>
      <c r="AW768" s="15"/>
    </row>
    <row r="769" spans="3:49" x14ac:dyDescent="0.2">
      <c r="C769" s="15"/>
      <c r="D769" s="15"/>
      <c r="E769" s="15"/>
      <c r="F769" s="15"/>
      <c r="G769" s="15"/>
      <c r="H769" s="15"/>
      <c r="I769" s="15"/>
      <c r="J769" s="15"/>
      <c r="K769" s="15"/>
      <c r="L769" s="28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  <c r="AG769" s="15"/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  <c r="AS769" s="15"/>
      <c r="AT769" s="15"/>
      <c r="AU769" s="15"/>
      <c r="AV769" s="15"/>
      <c r="AW769" s="15"/>
    </row>
    <row r="770" spans="3:49" x14ac:dyDescent="0.2">
      <c r="C770" s="15"/>
      <c r="D770" s="15"/>
      <c r="E770" s="15"/>
      <c r="F770" s="15"/>
      <c r="G770" s="15"/>
      <c r="H770" s="15"/>
      <c r="I770" s="15"/>
      <c r="J770" s="15"/>
      <c r="K770" s="15"/>
      <c r="L770" s="28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  <c r="AG770" s="15"/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  <c r="AS770" s="15"/>
      <c r="AT770" s="15"/>
      <c r="AU770" s="15"/>
      <c r="AV770" s="15"/>
      <c r="AW770" s="15"/>
    </row>
    <row r="771" spans="3:49" x14ac:dyDescent="0.2">
      <c r="C771" s="15"/>
      <c r="D771" s="15"/>
      <c r="E771" s="15"/>
      <c r="F771" s="15"/>
      <c r="G771" s="15"/>
      <c r="H771" s="15"/>
      <c r="I771" s="15"/>
      <c r="J771" s="15"/>
      <c r="K771" s="15"/>
      <c r="L771" s="28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  <c r="AG771" s="15"/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  <c r="AS771" s="15"/>
      <c r="AT771" s="15"/>
      <c r="AU771" s="15"/>
      <c r="AV771" s="15"/>
      <c r="AW771" s="15"/>
    </row>
    <row r="772" spans="3:49" x14ac:dyDescent="0.2">
      <c r="C772" s="15"/>
      <c r="D772" s="15"/>
      <c r="E772" s="15"/>
      <c r="F772" s="15"/>
      <c r="G772" s="15"/>
      <c r="H772" s="15"/>
      <c r="I772" s="15"/>
      <c r="J772" s="15"/>
      <c r="K772" s="15"/>
      <c r="L772" s="28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  <c r="AG772" s="15"/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  <c r="AS772" s="15"/>
      <c r="AT772" s="15"/>
      <c r="AU772" s="15"/>
      <c r="AV772" s="15"/>
      <c r="AW772" s="15"/>
    </row>
    <row r="773" spans="3:49" x14ac:dyDescent="0.2">
      <c r="C773" s="15"/>
      <c r="D773" s="15"/>
      <c r="E773" s="15"/>
      <c r="F773" s="15"/>
      <c r="G773" s="15"/>
      <c r="H773" s="15"/>
      <c r="I773" s="15"/>
      <c r="J773" s="15"/>
      <c r="K773" s="15"/>
      <c r="L773" s="28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  <c r="AG773" s="15"/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  <c r="AS773" s="15"/>
      <c r="AT773" s="15"/>
      <c r="AU773" s="15"/>
      <c r="AV773" s="15"/>
      <c r="AW773" s="15"/>
    </row>
    <row r="774" spans="3:49" x14ac:dyDescent="0.2">
      <c r="C774" s="15"/>
      <c r="D774" s="15"/>
      <c r="E774" s="15"/>
      <c r="F774" s="15"/>
      <c r="G774" s="15"/>
      <c r="H774" s="15"/>
      <c r="I774" s="15"/>
      <c r="J774" s="15"/>
      <c r="K774" s="15"/>
      <c r="L774" s="28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  <c r="AG774" s="15"/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  <c r="AS774" s="15"/>
      <c r="AT774" s="15"/>
      <c r="AU774" s="15"/>
      <c r="AV774" s="15"/>
      <c r="AW774" s="15"/>
    </row>
    <row r="775" spans="3:49" x14ac:dyDescent="0.2">
      <c r="C775" s="15"/>
      <c r="D775" s="15"/>
      <c r="E775" s="15"/>
      <c r="F775" s="15"/>
      <c r="G775" s="15"/>
      <c r="H775" s="15"/>
      <c r="I775" s="15"/>
      <c r="J775" s="15"/>
      <c r="K775" s="15"/>
      <c r="L775" s="28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  <c r="AG775" s="15"/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  <c r="AS775" s="15"/>
      <c r="AT775" s="15"/>
      <c r="AU775" s="15"/>
      <c r="AV775" s="15"/>
      <c r="AW775" s="15"/>
    </row>
    <row r="776" spans="3:49" x14ac:dyDescent="0.2">
      <c r="C776" s="15"/>
      <c r="D776" s="15"/>
      <c r="E776" s="15"/>
      <c r="F776" s="15"/>
      <c r="G776" s="15"/>
      <c r="H776" s="15"/>
      <c r="I776" s="15"/>
      <c r="J776" s="15"/>
      <c r="K776" s="15"/>
      <c r="L776" s="28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  <c r="AG776" s="15"/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  <c r="AS776" s="15"/>
      <c r="AT776" s="15"/>
      <c r="AU776" s="15"/>
      <c r="AV776" s="15"/>
      <c r="AW776" s="15"/>
    </row>
    <row r="777" spans="3:49" x14ac:dyDescent="0.2">
      <c r="C777" s="15"/>
      <c r="D777" s="15"/>
      <c r="E777" s="15"/>
      <c r="F777" s="15"/>
      <c r="G777" s="15"/>
      <c r="H777" s="15"/>
      <c r="I777" s="15"/>
      <c r="J777" s="15"/>
      <c r="K777" s="15"/>
      <c r="L777" s="28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  <c r="AG777" s="15"/>
      <c r="AH777" s="15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  <c r="AS777" s="15"/>
      <c r="AT777" s="15"/>
      <c r="AU777" s="15"/>
      <c r="AV777" s="15"/>
      <c r="AW777" s="15"/>
    </row>
    <row r="778" spans="3:49" x14ac:dyDescent="0.2">
      <c r="C778" s="15"/>
      <c r="D778" s="15"/>
      <c r="E778" s="15"/>
      <c r="F778" s="15"/>
      <c r="G778" s="15"/>
      <c r="H778" s="15"/>
      <c r="I778" s="15"/>
      <c r="J778" s="15"/>
      <c r="K778" s="15"/>
      <c r="L778" s="28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  <c r="AG778" s="15"/>
      <c r="AH778" s="15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  <c r="AS778" s="15"/>
      <c r="AT778" s="15"/>
      <c r="AU778" s="15"/>
      <c r="AV778" s="15"/>
      <c r="AW778" s="15"/>
    </row>
    <row r="779" spans="3:49" x14ac:dyDescent="0.2">
      <c r="C779" s="15"/>
      <c r="D779" s="15"/>
      <c r="E779" s="15"/>
      <c r="F779" s="15"/>
      <c r="G779" s="15"/>
      <c r="H779" s="15"/>
      <c r="I779" s="15"/>
      <c r="J779" s="15"/>
      <c r="K779" s="15"/>
      <c r="L779" s="28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  <c r="AG779" s="15"/>
      <c r="AH779" s="15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  <c r="AS779" s="15"/>
      <c r="AT779" s="15"/>
      <c r="AU779" s="15"/>
      <c r="AV779" s="15"/>
      <c r="AW779" s="15"/>
    </row>
    <row r="780" spans="3:49" x14ac:dyDescent="0.2">
      <c r="C780" s="15"/>
      <c r="D780" s="15"/>
      <c r="E780" s="15"/>
      <c r="F780" s="15"/>
      <c r="G780" s="15"/>
      <c r="H780" s="15"/>
      <c r="I780" s="15"/>
      <c r="J780" s="15"/>
      <c r="K780" s="15"/>
      <c r="L780" s="28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  <c r="AG780" s="15"/>
      <c r="AH780" s="15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  <c r="AS780" s="15"/>
      <c r="AT780" s="15"/>
      <c r="AU780" s="15"/>
      <c r="AV780" s="15"/>
      <c r="AW780" s="15"/>
    </row>
    <row r="781" spans="3:49" x14ac:dyDescent="0.2">
      <c r="C781" s="15"/>
      <c r="D781" s="15"/>
      <c r="E781" s="15"/>
      <c r="F781" s="15"/>
      <c r="G781" s="15"/>
      <c r="H781" s="15"/>
      <c r="I781" s="15"/>
      <c r="J781" s="15"/>
      <c r="K781" s="15"/>
      <c r="L781" s="28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  <c r="AG781" s="15"/>
      <c r="AH781" s="15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  <c r="AS781" s="15"/>
      <c r="AT781" s="15"/>
      <c r="AU781" s="15"/>
      <c r="AV781" s="15"/>
      <c r="AW781" s="15"/>
    </row>
    <row r="782" spans="3:49" x14ac:dyDescent="0.2">
      <c r="C782" s="15"/>
      <c r="D782" s="15"/>
      <c r="E782" s="15"/>
      <c r="F782" s="15"/>
      <c r="G782" s="15"/>
      <c r="H782" s="15"/>
      <c r="I782" s="15"/>
      <c r="J782" s="15"/>
      <c r="K782" s="15"/>
      <c r="L782" s="28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  <c r="AG782" s="15"/>
      <c r="AH782" s="15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  <c r="AS782" s="15"/>
      <c r="AT782" s="15"/>
      <c r="AU782" s="15"/>
      <c r="AV782" s="15"/>
      <c r="AW782" s="15"/>
    </row>
    <row r="783" spans="3:49" x14ac:dyDescent="0.2">
      <c r="C783" s="15"/>
      <c r="D783" s="15"/>
      <c r="E783" s="15"/>
      <c r="F783" s="15"/>
      <c r="G783" s="15"/>
      <c r="H783" s="15"/>
      <c r="I783" s="15"/>
      <c r="J783" s="15"/>
      <c r="K783" s="15"/>
      <c r="L783" s="28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  <c r="AG783" s="15"/>
      <c r="AH783" s="15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  <c r="AS783" s="15"/>
      <c r="AT783" s="15"/>
      <c r="AU783" s="15"/>
      <c r="AV783" s="15"/>
      <c r="AW783" s="15"/>
    </row>
    <row r="784" spans="3:49" x14ac:dyDescent="0.2">
      <c r="C784" s="15"/>
      <c r="D784" s="15"/>
      <c r="E784" s="15"/>
      <c r="F784" s="15"/>
      <c r="G784" s="15"/>
      <c r="H784" s="15"/>
      <c r="I784" s="15"/>
      <c r="J784" s="15"/>
      <c r="K784" s="15"/>
      <c r="L784" s="28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  <c r="AG784" s="15"/>
      <c r="AH784" s="15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  <c r="AS784" s="15"/>
      <c r="AT784" s="15"/>
      <c r="AU784" s="15"/>
      <c r="AV784" s="15"/>
      <c r="AW784" s="15"/>
    </row>
    <row r="785" spans="3:49" x14ac:dyDescent="0.2">
      <c r="C785" s="15"/>
      <c r="D785" s="15"/>
      <c r="E785" s="15"/>
      <c r="F785" s="15"/>
      <c r="G785" s="15"/>
      <c r="H785" s="15"/>
      <c r="I785" s="15"/>
      <c r="J785" s="15"/>
      <c r="K785" s="15"/>
      <c r="L785" s="28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  <c r="AG785" s="15"/>
      <c r="AH785" s="15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  <c r="AS785" s="15"/>
      <c r="AT785" s="15"/>
      <c r="AU785" s="15"/>
      <c r="AV785" s="15"/>
      <c r="AW785" s="15"/>
    </row>
    <row r="786" spans="3:49" x14ac:dyDescent="0.2">
      <c r="C786" s="15"/>
      <c r="D786" s="15"/>
      <c r="E786" s="15"/>
      <c r="F786" s="15"/>
      <c r="G786" s="15"/>
      <c r="H786" s="15"/>
      <c r="I786" s="15"/>
      <c r="J786" s="15"/>
      <c r="K786" s="15"/>
      <c r="L786" s="28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  <c r="AG786" s="15"/>
      <c r="AH786" s="15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  <c r="AS786" s="15"/>
      <c r="AT786" s="15"/>
      <c r="AU786" s="15"/>
      <c r="AV786" s="15"/>
      <c r="AW786" s="15"/>
    </row>
    <row r="787" spans="3:49" x14ac:dyDescent="0.2">
      <c r="C787" s="15"/>
      <c r="D787" s="15"/>
      <c r="E787" s="15"/>
      <c r="F787" s="15"/>
      <c r="G787" s="15"/>
      <c r="H787" s="15"/>
      <c r="I787" s="15"/>
      <c r="J787" s="15"/>
      <c r="K787" s="15"/>
      <c r="L787" s="28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  <c r="AG787" s="15"/>
      <c r="AH787" s="15"/>
      <c r="AI787" s="15"/>
      <c r="AJ787" s="15"/>
      <c r="AK787" s="15"/>
      <c r="AL787" s="15"/>
      <c r="AM787" s="15"/>
      <c r="AN787" s="15"/>
      <c r="AO787" s="15"/>
      <c r="AP787" s="15"/>
      <c r="AQ787" s="15"/>
      <c r="AR787" s="15"/>
      <c r="AS787" s="15"/>
      <c r="AT787" s="15"/>
      <c r="AU787" s="15"/>
      <c r="AV787" s="15"/>
      <c r="AW787" s="15"/>
    </row>
    <row r="788" spans="3:49" x14ac:dyDescent="0.2">
      <c r="C788" s="15"/>
      <c r="D788" s="15"/>
      <c r="E788" s="15"/>
      <c r="F788" s="15"/>
      <c r="G788" s="15"/>
      <c r="H788" s="15"/>
      <c r="I788" s="15"/>
      <c r="J788" s="15"/>
      <c r="K788" s="15"/>
      <c r="L788" s="28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  <c r="AG788" s="15"/>
      <c r="AH788" s="15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  <c r="AS788" s="15"/>
      <c r="AT788" s="15"/>
      <c r="AU788" s="15"/>
      <c r="AV788" s="15"/>
      <c r="AW788" s="15"/>
    </row>
    <row r="789" spans="3:49" x14ac:dyDescent="0.2">
      <c r="C789" s="15"/>
      <c r="D789" s="15"/>
      <c r="E789" s="15"/>
      <c r="F789" s="15"/>
      <c r="G789" s="15"/>
      <c r="H789" s="15"/>
      <c r="I789" s="15"/>
      <c r="J789" s="15"/>
      <c r="K789" s="15"/>
      <c r="L789" s="28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  <c r="AG789" s="15"/>
      <c r="AH789" s="15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  <c r="AS789" s="15"/>
      <c r="AT789" s="15"/>
      <c r="AU789" s="15"/>
      <c r="AV789" s="15"/>
      <c r="AW789" s="15"/>
    </row>
    <row r="790" spans="3:49" x14ac:dyDescent="0.2">
      <c r="C790" s="15"/>
      <c r="D790" s="15"/>
      <c r="E790" s="15"/>
      <c r="F790" s="15"/>
      <c r="G790" s="15"/>
      <c r="H790" s="15"/>
      <c r="I790" s="15"/>
      <c r="J790" s="15"/>
      <c r="K790" s="15"/>
      <c r="L790" s="28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  <c r="AG790" s="15"/>
      <c r="AH790" s="15"/>
      <c r="AI790" s="15"/>
      <c r="AJ790" s="15"/>
      <c r="AK790" s="15"/>
      <c r="AL790" s="15"/>
      <c r="AM790" s="15"/>
      <c r="AN790" s="15"/>
      <c r="AO790" s="15"/>
      <c r="AP790" s="15"/>
      <c r="AQ790" s="15"/>
      <c r="AR790" s="15"/>
      <c r="AS790" s="15"/>
      <c r="AT790" s="15"/>
      <c r="AU790" s="15"/>
      <c r="AV790" s="15"/>
      <c r="AW790" s="15"/>
    </row>
    <row r="791" spans="3:49" x14ac:dyDescent="0.2">
      <c r="C791" s="15"/>
      <c r="D791" s="15"/>
      <c r="E791" s="15"/>
      <c r="F791" s="15"/>
      <c r="G791" s="15"/>
      <c r="H791" s="15"/>
      <c r="I791" s="15"/>
      <c r="J791" s="15"/>
      <c r="K791" s="15"/>
      <c r="L791" s="28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  <c r="AG791" s="15"/>
      <c r="AH791" s="15"/>
      <c r="AI791" s="15"/>
      <c r="AJ791" s="15"/>
      <c r="AK791" s="15"/>
      <c r="AL791" s="15"/>
      <c r="AM791" s="15"/>
      <c r="AN791" s="15"/>
      <c r="AO791" s="15"/>
      <c r="AP791" s="15"/>
      <c r="AQ791" s="15"/>
      <c r="AR791" s="15"/>
      <c r="AS791" s="15"/>
      <c r="AT791" s="15"/>
      <c r="AU791" s="15"/>
      <c r="AV791" s="15"/>
      <c r="AW791" s="15"/>
    </row>
    <row r="792" spans="3:49" x14ac:dyDescent="0.2">
      <c r="C792" s="15"/>
      <c r="D792" s="15"/>
      <c r="E792" s="15"/>
      <c r="F792" s="15"/>
      <c r="G792" s="15"/>
      <c r="H792" s="15"/>
      <c r="I792" s="15"/>
      <c r="J792" s="15"/>
      <c r="K792" s="15"/>
      <c r="L792" s="28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  <c r="AG792" s="15"/>
      <c r="AH792" s="15"/>
      <c r="AI792" s="15"/>
      <c r="AJ792" s="15"/>
      <c r="AK792" s="15"/>
      <c r="AL792" s="15"/>
      <c r="AM792" s="15"/>
      <c r="AN792" s="15"/>
      <c r="AO792" s="15"/>
      <c r="AP792" s="15"/>
      <c r="AQ792" s="15"/>
      <c r="AR792" s="15"/>
      <c r="AS792" s="15"/>
      <c r="AT792" s="15"/>
      <c r="AU792" s="15"/>
      <c r="AV792" s="15"/>
      <c r="AW792" s="15"/>
    </row>
    <row r="793" spans="3:49" x14ac:dyDescent="0.2">
      <c r="C793" s="15"/>
      <c r="D793" s="15"/>
      <c r="E793" s="15"/>
      <c r="F793" s="15"/>
      <c r="G793" s="15"/>
      <c r="H793" s="15"/>
      <c r="I793" s="15"/>
      <c r="J793" s="15"/>
      <c r="K793" s="15"/>
      <c r="L793" s="28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  <c r="AG793" s="15"/>
      <c r="AH793" s="15"/>
      <c r="AI793" s="15"/>
      <c r="AJ793" s="15"/>
      <c r="AK793" s="15"/>
      <c r="AL793" s="15"/>
      <c r="AM793" s="15"/>
      <c r="AN793" s="15"/>
      <c r="AO793" s="15"/>
      <c r="AP793" s="15"/>
      <c r="AQ793" s="15"/>
      <c r="AR793" s="15"/>
      <c r="AS793" s="15"/>
      <c r="AT793" s="15"/>
      <c r="AU793" s="15"/>
      <c r="AV793" s="15"/>
      <c r="AW793" s="15"/>
    </row>
    <row r="794" spans="3:49" x14ac:dyDescent="0.2">
      <c r="C794" s="15"/>
      <c r="D794" s="15"/>
      <c r="E794" s="15"/>
      <c r="F794" s="15"/>
      <c r="G794" s="15"/>
      <c r="H794" s="15"/>
      <c r="I794" s="15"/>
      <c r="J794" s="15"/>
      <c r="K794" s="15"/>
      <c r="L794" s="28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  <c r="AG794" s="15"/>
      <c r="AH794" s="15"/>
      <c r="AI794" s="15"/>
      <c r="AJ794" s="15"/>
      <c r="AK794" s="15"/>
      <c r="AL794" s="15"/>
      <c r="AM794" s="15"/>
      <c r="AN794" s="15"/>
      <c r="AO794" s="15"/>
      <c r="AP794" s="15"/>
      <c r="AQ794" s="15"/>
      <c r="AR794" s="15"/>
      <c r="AS794" s="15"/>
      <c r="AT794" s="15"/>
      <c r="AU794" s="15"/>
      <c r="AV794" s="15"/>
      <c r="AW794" s="15"/>
    </row>
    <row r="795" spans="3:49" x14ac:dyDescent="0.2">
      <c r="C795" s="15"/>
      <c r="D795" s="15"/>
      <c r="E795" s="15"/>
      <c r="F795" s="15"/>
      <c r="G795" s="15"/>
      <c r="H795" s="15"/>
      <c r="I795" s="15"/>
      <c r="J795" s="15"/>
      <c r="K795" s="15"/>
      <c r="L795" s="28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  <c r="AG795" s="15"/>
      <c r="AH795" s="15"/>
      <c r="AI795" s="15"/>
      <c r="AJ795" s="15"/>
      <c r="AK795" s="15"/>
      <c r="AL795" s="15"/>
      <c r="AM795" s="15"/>
      <c r="AN795" s="15"/>
      <c r="AO795" s="15"/>
      <c r="AP795" s="15"/>
      <c r="AQ795" s="15"/>
      <c r="AR795" s="15"/>
      <c r="AS795" s="15"/>
      <c r="AT795" s="15"/>
      <c r="AU795" s="15"/>
      <c r="AV795" s="15"/>
      <c r="AW795" s="15"/>
    </row>
    <row r="796" spans="3:49" x14ac:dyDescent="0.2">
      <c r="C796" s="15"/>
      <c r="D796" s="15"/>
      <c r="E796" s="15"/>
      <c r="F796" s="15"/>
      <c r="G796" s="15"/>
      <c r="H796" s="15"/>
      <c r="I796" s="15"/>
      <c r="J796" s="15"/>
      <c r="K796" s="15"/>
      <c r="L796" s="28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  <c r="AG796" s="15"/>
      <c r="AH796" s="15"/>
      <c r="AI796" s="15"/>
      <c r="AJ796" s="15"/>
      <c r="AK796" s="15"/>
      <c r="AL796" s="15"/>
      <c r="AM796" s="15"/>
      <c r="AN796" s="15"/>
      <c r="AO796" s="15"/>
      <c r="AP796" s="15"/>
      <c r="AQ796" s="15"/>
      <c r="AR796" s="15"/>
      <c r="AS796" s="15"/>
      <c r="AT796" s="15"/>
      <c r="AU796" s="15"/>
      <c r="AV796" s="15"/>
      <c r="AW796" s="15"/>
    </row>
    <row r="797" spans="3:49" x14ac:dyDescent="0.2">
      <c r="C797" s="15"/>
      <c r="D797" s="15"/>
      <c r="E797" s="15"/>
      <c r="F797" s="15"/>
      <c r="G797" s="15"/>
      <c r="H797" s="15"/>
      <c r="I797" s="15"/>
      <c r="J797" s="15"/>
      <c r="K797" s="15"/>
      <c r="L797" s="28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  <c r="AG797" s="15"/>
      <c r="AH797" s="15"/>
      <c r="AI797" s="15"/>
      <c r="AJ797" s="15"/>
      <c r="AK797" s="15"/>
      <c r="AL797" s="15"/>
      <c r="AM797" s="15"/>
      <c r="AN797" s="15"/>
      <c r="AO797" s="15"/>
      <c r="AP797" s="15"/>
      <c r="AQ797" s="15"/>
      <c r="AR797" s="15"/>
      <c r="AS797" s="15"/>
      <c r="AT797" s="15"/>
      <c r="AU797" s="15"/>
      <c r="AV797" s="15"/>
      <c r="AW797" s="15"/>
    </row>
    <row r="798" spans="3:49" x14ac:dyDescent="0.2">
      <c r="C798" s="15"/>
      <c r="D798" s="15"/>
      <c r="E798" s="15"/>
      <c r="F798" s="15"/>
      <c r="G798" s="15"/>
      <c r="H798" s="15"/>
      <c r="I798" s="15"/>
      <c r="J798" s="15"/>
      <c r="K798" s="15"/>
      <c r="L798" s="28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  <c r="AG798" s="15"/>
      <c r="AH798" s="15"/>
      <c r="AI798" s="15"/>
      <c r="AJ798" s="15"/>
      <c r="AK798" s="15"/>
      <c r="AL798" s="15"/>
      <c r="AM798" s="15"/>
      <c r="AN798" s="15"/>
      <c r="AO798" s="15"/>
      <c r="AP798" s="15"/>
      <c r="AQ798" s="15"/>
      <c r="AR798" s="15"/>
      <c r="AS798" s="15"/>
      <c r="AT798" s="15"/>
      <c r="AU798" s="15"/>
      <c r="AV798" s="15"/>
      <c r="AW798" s="15"/>
    </row>
    <row r="799" spans="3:49" x14ac:dyDescent="0.2">
      <c r="C799" s="15"/>
      <c r="D799" s="15"/>
      <c r="E799" s="15"/>
      <c r="F799" s="15"/>
      <c r="G799" s="15"/>
      <c r="H799" s="15"/>
      <c r="I799" s="15"/>
      <c r="J799" s="15"/>
      <c r="K799" s="15"/>
      <c r="L799" s="28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  <c r="AG799" s="15"/>
      <c r="AH799" s="15"/>
      <c r="AI799" s="15"/>
      <c r="AJ799" s="15"/>
      <c r="AK799" s="15"/>
      <c r="AL799" s="15"/>
      <c r="AM799" s="15"/>
      <c r="AN799" s="15"/>
      <c r="AO799" s="15"/>
      <c r="AP799" s="15"/>
      <c r="AQ799" s="15"/>
      <c r="AR799" s="15"/>
      <c r="AS799" s="15"/>
      <c r="AT799" s="15"/>
      <c r="AU799" s="15"/>
      <c r="AV799" s="15"/>
      <c r="AW799" s="15"/>
    </row>
    <row r="800" spans="3:49" x14ac:dyDescent="0.2">
      <c r="C800" s="15"/>
      <c r="D800" s="15"/>
      <c r="E800" s="15"/>
      <c r="F800" s="15"/>
      <c r="G800" s="15"/>
      <c r="H800" s="15"/>
      <c r="I800" s="15"/>
      <c r="J800" s="15"/>
      <c r="K800" s="15"/>
      <c r="L800" s="28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  <c r="AG800" s="15"/>
      <c r="AH800" s="15"/>
      <c r="AI800" s="15"/>
      <c r="AJ800" s="15"/>
      <c r="AK800" s="15"/>
      <c r="AL800" s="15"/>
      <c r="AM800" s="15"/>
      <c r="AN800" s="15"/>
      <c r="AO800" s="15"/>
      <c r="AP800" s="15"/>
      <c r="AQ800" s="15"/>
      <c r="AR800" s="15"/>
      <c r="AS800" s="15"/>
      <c r="AT800" s="15"/>
      <c r="AU800" s="15"/>
      <c r="AV800" s="15"/>
      <c r="AW800" s="15"/>
    </row>
    <row r="801" spans="3:49" x14ac:dyDescent="0.2">
      <c r="C801" s="15"/>
      <c r="D801" s="15"/>
      <c r="E801" s="15"/>
      <c r="F801" s="15"/>
      <c r="G801" s="15"/>
      <c r="H801" s="15"/>
      <c r="I801" s="15"/>
      <c r="J801" s="15"/>
      <c r="K801" s="15"/>
      <c r="L801" s="28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  <c r="AG801" s="15"/>
      <c r="AH801" s="15"/>
      <c r="AI801" s="15"/>
      <c r="AJ801" s="15"/>
      <c r="AK801" s="15"/>
      <c r="AL801" s="15"/>
      <c r="AM801" s="15"/>
      <c r="AN801" s="15"/>
      <c r="AO801" s="15"/>
      <c r="AP801" s="15"/>
      <c r="AQ801" s="15"/>
      <c r="AR801" s="15"/>
      <c r="AS801" s="15"/>
      <c r="AT801" s="15"/>
      <c r="AU801" s="15"/>
      <c r="AV801" s="15"/>
      <c r="AW801" s="15"/>
    </row>
    <row r="802" spans="3:49" x14ac:dyDescent="0.2">
      <c r="C802" s="15"/>
      <c r="D802" s="15"/>
      <c r="E802" s="15"/>
      <c r="F802" s="15"/>
      <c r="G802" s="15"/>
      <c r="H802" s="15"/>
      <c r="I802" s="15"/>
      <c r="J802" s="15"/>
      <c r="K802" s="15"/>
      <c r="L802" s="28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  <c r="AG802" s="15"/>
      <c r="AH802" s="15"/>
      <c r="AI802" s="15"/>
      <c r="AJ802" s="15"/>
      <c r="AK802" s="15"/>
      <c r="AL802" s="15"/>
      <c r="AM802" s="15"/>
      <c r="AN802" s="15"/>
      <c r="AO802" s="15"/>
      <c r="AP802" s="15"/>
      <c r="AQ802" s="15"/>
      <c r="AR802" s="15"/>
      <c r="AS802" s="15"/>
      <c r="AT802" s="15"/>
      <c r="AU802" s="15"/>
      <c r="AV802" s="15"/>
      <c r="AW802" s="15"/>
    </row>
    <row r="803" spans="3:49" x14ac:dyDescent="0.2">
      <c r="C803" s="15"/>
      <c r="D803" s="15"/>
      <c r="E803" s="15"/>
      <c r="F803" s="15"/>
      <c r="G803" s="15"/>
      <c r="H803" s="15"/>
      <c r="I803" s="15"/>
      <c r="J803" s="15"/>
      <c r="K803" s="15"/>
      <c r="L803" s="28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  <c r="AG803" s="15"/>
      <c r="AH803" s="15"/>
      <c r="AI803" s="15"/>
      <c r="AJ803" s="15"/>
      <c r="AK803" s="15"/>
      <c r="AL803" s="15"/>
      <c r="AM803" s="15"/>
      <c r="AN803" s="15"/>
      <c r="AO803" s="15"/>
      <c r="AP803" s="15"/>
      <c r="AQ803" s="15"/>
      <c r="AR803" s="15"/>
      <c r="AS803" s="15"/>
      <c r="AT803" s="15"/>
      <c r="AU803" s="15"/>
      <c r="AV803" s="15"/>
      <c r="AW803" s="15"/>
    </row>
    <row r="804" spans="3:49" x14ac:dyDescent="0.2">
      <c r="C804" s="15"/>
      <c r="D804" s="15"/>
      <c r="E804" s="15"/>
      <c r="F804" s="15"/>
      <c r="G804" s="15"/>
      <c r="H804" s="15"/>
      <c r="I804" s="15"/>
      <c r="J804" s="15"/>
      <c r="K804" s="15"/>
      <c r="L804" s="28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  <c r="AG804" s="15"/>
      <c r="AH804" s="15"/>
      <c r="AI804" s="15"/>
      <c r="AJ804" s="15"/>
      <c r="AK804" s="15"/>
      <c r="AL804" s="15"/>
      <c r="AM804" s="15"/>
      <c r="AN804" s="15"/>
      <c r="AO804" s="15"/>
      <c r="AP804" s="15"/>
      <c r="AQ804" s="15"/>
      <c r="AR804" s="15"/>
      <c r="AS804" s="15"/>
      <c r="AT804" s="15"/>
      <c r="AU804" s="15"/>
      <c r="AV804" s="15"/>
      <c r="AW804" s="15"/>
    </row>
    <row r="805" spans="3:49" x14ac:dyDescent="0.2">
      <c r="C805" s="15"/>
      <c r="D805" s="15"/>
      <c r="E805" s="15"/>
      <c r="F805" s="15"/>
      <c r="G805" s="15"/>
      <c r="H805" s="15"/>
      <c r="I805" s="15"/>
      <c r="J805" s="15"/>
      <c r="K805" s="15"/>
      <c r="L805" s="28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  <c r="AG805" s="15"/>
      <c r="AH805" s="15"/>
      <c r="AI805" s="15"/>
      <c r="AJ805" s="15"/>
      <c r="AK805" s="15"/>
      <c r="AL805" s="15"/>
      <c r="AM805" s="15"/>
      <c r="AN805" s="15"/>
      <c r="AO805" s="15"/>
      <c r="AP805" s="15"/>
      <c r="AQ805" s="15"/>
      <c r="AR805" s="15"/>
      <c r="AS805" s="15"/>
      <c r="AT805" s="15"/>
      <c r="AU805" s="15"/>
      <c r="AV805" s="15"/>
      <c r="AW805" s="15"/>
    </row>
    <row r="806" spans="3:49" x14ac:dyDescent="0.2">
      <c r="C806" s="15"/>
      <c r="D806" s="15"/>
      <c r="E806" s="15"/>
      <c r="F806" s="15"/>
      <c r="G806" s="15"/>
      <c r="H806" s="15"/>
      <c r="I806" s="15"/>
      <c r="J806" s="15"/>
      <c r="K806" s="15"/>
      <c r="L806" s="28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  <c r="AG806" s="15"/>
      <c r="AH806" s="15"/>
      <c r="AI806" s="15"/>
      <c r="AJ806" s="15"/>
      <c r="AK806" s="15"/>
      <c r="AL806" s="15"/>
      <c r="AM806" s="15"/>
      <c r="AN806" s="15"/>
      <c r="AO806" s="15"/>
      <c r="AP806" s="15"/>
      <c r="AQ806" s="15"/>
      <c r="AR806" s="15"/>
      <c r="AS806" s="15"/>
      <c r="AT806" s="15"/>
      <c r="AU806" s="15"/>
      <c r="AV806" s="15"/>
      <c r="AW806" s="15"/>
    </row>
    <row r="807" spans="3:49" x14ac:dyDescent="0.2">
      <c r="C807" s="15"/>
      <c r="D807" s="15"/>
      <c r="E807" s="15"/>
      <c r="F807" s="15"/>
      <c r="G807" s="15"/>
      <c r="H807" s="15"/>
      <c r="I807" s="15"/>
      <c r="J807" s="15"/>
      <c r="K807" s="15"/>
      <c r="L807" s="28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  <c r="AG807" s="15"/>
      <c r="AH807" s="15"/>
      <c r="AI807" s="15"/>
      <c r="AJ807" s="15"/>
      <c r="AK807" s="15"/>
      <c r="AL807" s="15"/>
      <c r="AM807" s="15"/>
      <c r="AN807" s="15"/>
      <c r="AO807" s="15"/>
      <c r="AP807" s="15"/>
      <c r="AQ807" s="15"/>
      <c r="AR807" s="15"/>
      <c r="AS807" s="15"/>
      <c r="AT807" s="15"/>
      <c r="AU807" s="15"/>
      <c r="AV807" s="15"/>
      <c r="AW807" s="15"/>
    </row>
    <row r="808" spans="3:49" x14ac:dyDescent="0.2">
      <c r="C808" s="15"/>
      <c r="D808" s="15"/>
      <c r="E808" s="15"/>
      <c r="F808" s="15"/>
      <c r="G808" s="15"/>
      <c r="H808" s="15"/>
      <c r="I808" s="15"/>
      <c r="J808" s="15"/>
      <c r="K808" s="15"/>
      <c r="L808" s="28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  <c r="AG808" s="15"/>
      <c r="AH808" s="15"/>
      <c r="AI808" s="15"/>
      <c r="AJ808" s="15"/>
      <c r="AK808" s="15"/>
      <c r="AL808" s="15"/>
      <c r="AM808" s="15"/>
      <c r="AN808" s="15"/>
      <c r="AO808" s="15"/>
      <c r="AP808" s="15"/>
      <c r="AQ808" s="15"/>
      <c r="AR808" s="15"/>
      <c r="AS808" s="15"/>
      <c r="AT808" s="15"/>
      <c r="AU808" s="15"/>
      <c r="AV808" s="15"/>
      <c r="AW808" s="15"/>
    </row>
    <row r="809" spans="3:49" x14ac:dyDescent="0.2">
      <c r="C809" s="15"/>
      <c r="D809" s="15"/>
      <c r="E809" s="15"/>
      <c r="F809" s="15"/>
      <c r="G809" s="15"/>
      <c r="H809" s="15"/>
      <c r="I809" s="15"/>
      <c r="J809" s="15"/>
      <c r="K809" s="15"/>
      <c r="L809" s="28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  <c r="AG809" s="15"/>
      <c r="AH809" s="15"/>
      <c r="AI809" s="15"/>
      <c r="AJ809" s="15"/>
      <c r="AK809" s="15"/>
      <c r="AL809" s="15"/>
      <c r="AM809" s="15"/>
      <c r="AN809" s="15"/>
      <c r="AO809" s="15"/>
      <c r="AP809" s="15"/>
      <c r="AQ809" s="15"/>
      <c r="AR809" s="15"/>
      <c r="AS809" s="15"/>
      <c r="AT809" s="15"/>
      <c r="AU809" s="15"/>
      <c r="AV809" s="15"/>
      <c r="AW809" s="15"/>
    </row>
    <row r="810" spans="3:49" x14ac:dyDescent="0.2">
      <c r="C810" s="15"/>
      <c r="D810" s="15"/>
      <c r="E810" s="15"/>
      <c r="F810" s="15"/>
      <c r="G810" s="15"/>
      <c r="H810" s="15"/>
      <c r="I810" s="15"/>
      <c r="J810" s="15"/>
      <c r="K810" s="15"/>
      <c r="L810" s="28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  <c r="AG810" s="15"/>
      <c r="AH810" s="15"/>
      <c r="AI810" s="15"/>
      <c r="AJ810" s="15"/>
      <c r="AK810" s="15"/>
      <c r="AL810" s="15"/>
      <c r="AM810" s="15"/>
      <c r="AN810" s="15"/>
      <c r="AO810" s="15"/>
      <c r="AP810" s="15"/>
      <c r="AQ810" s="15"/>
      <c r="AR810" s="15"/>
      <c r="AS810" s="15"/>
      <c r="AT810" s="15"/>
      <c r="AU810" s="15"/>
      <c r="AV810" s="15"/>
      <c r="AW810" s="15"/>
    </row>
    <row r="811" spans="3:49" x14ac:dyDescent="0.2">
      <c r="C811" s="15"/>
      <c r="D811" s="15"/>
      <c r="E811" s="15"/>
      <c r="F811" s="15"/>
      <c r="G811" s="15"/>
      <c r="H811" s="15"/>
      <c r="I811" s="15"/>
      <c r="J811" s="15"/>
      <c r="K811" s="15"/>
      <c r="L811" s="28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  <c r="AG811" s="15"/>
      <c r="AH811" s="15"/>
      <c r="AI811" s="15"/>
      <c r="AJ811" s="15"/>
      <c r="AK811" s="15"/>
      <c r="AL811" s="15"/>
      <c r="AM811" s="15"/>
      <c r="AN811" s="15"/>
      <c r="AO811" s="15"/>
      <c r="AP811" s="15"/>
      <c r="AQ811" s="15"/>
      <c r="AR811" s="15"/>
      <c r="AS811" s="15"/>
      <c r="AT811" s="15"/>
      <c r="AU811" s="15"/>
      <c r="AV811" s="15"/>
      <c r="AW811" s="15"/>
    </row>
    <row r="812" spans="3:49" x14ac:dyDescent="0.2">
      <c r="C812" s="15"/>
      <c r="D812" s="15"/>
      <c r="E812" s="15"/>
      <c r="F812" s="15"/>
      <c r="G812" s="15"/>
      <c r="H812" s="15"/>
      <c r="I812" s="15"/>
      <c r="J812" s="15"/>
      <c r="K812" s="15"/>
      <c r="L812" s="28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  <c r="AG812" s="15"/>
      <c r="AH812" s="15"/>
      <c r="AI812" s="15"/>
      <c r="AJ812" s="15"/>
      <c r="AK812" s="15"/>
      <c r="AL812" s="15"/>
      <c r="AM812" s="15"/>
      <c r="AN812" s="15"/>
      <c r="AO812" s="15"/>
      <c r="AP812" s="15"/>
      <c r="AQ812" s="15"/>
      <c r="AR812" s="15"/>
      <c r="AS812" s="15"/>
      <c r="AT812" s="15"/>
      <c r="AU812" s="15"/>
      <c r="AV812" s="15"/>
      <c r="AW812" s="15"/>
    </row>
    <row r="813" spans="3:49" x14ac:dyDescent="0.2">
      <c r="C813" s="15"/>
      <c r="D813" s="15"/>
      <c r="E813" s="15"/>
      <c r="F813" s="15"/>
      <c r="G813" s="15"/>
      <c r="H813" s="15"/>
      <c r="I813" s="15"/>
      <c r="J813" s="15"/>
      <c r="K813" s="15"/>
      <c r="L813" s="28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  <c r="AG813" s="15"/>
      <c r="AH813" s="15"/>
      <c r="AI813" s="15"/>
      <c r="AJ813" s="15"/>
      <c r="AK813" s="15"/>
      <c r="AL813" s="15"/>
      <c r="AM813" s="15"/>
      <c r="AN813" s="15"/>
      <c r="AO813" s="15"/>
      <c r="AP813" s="15"/>
      <c r="AQ813" s="15"/>
      <c r="AR813" s="15"/>
      <c r="AS813" s="15"/>
      <c r="AT813" s="15"/>
      <c r="AU813" s="15"/>
      <c r="AV813" s="15"/>
      <c r="AW813" s="15"/>
    </row>
    <row r="814" spans="3:49" x14ac:dyDescent="0.2">
      <c r="C814" s="15"/>
      <c r="D814" s="15"/>
      <c r="E814" s="15"/>
      <c r="F814" s="15"/>
      <c r="G814" s="15"/>
      <c r="H814" s="15"/>
      <c r="I814" s="15"/>
      <c r="J814" s="15"/>
      <c r="K814" s="15"/>
      <c r="L814" s="28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  <c r="AG814" s="15"/>
      <c r="AH814" s="15"/>
      <c r="AI814" s="15"/>
      <c r="AJ814" s="15"/>
      <c r="AK814" s="15"/>
      <c r="AL814" s="15"/>
      <c r="AM814" s="15"/>
      <c r="AN814" s="15"/>
      <c r="AO814" s="15"/>
      <c r="AP814" s="15"/>
      <c r="AQ814" s="15"/>
      <c r="AR814" s="15"/>
      <c r="AS814" s="15"/>
      <c r="AT814" s="15"/>
      <c r="AU814" s="15"/>
      <c r="AV814" s="15"/>
      <c r="AW814" s="15"/>
    </row>
    <row r="815" spans="3:49" x14ac:dyDescent="0.2">
      <c r="C815" s="15"/>
      <c r="D815" s="15"/>
      <c r="E815" s="15"/>
      <c r="F815" s="15"/>
      <c r="G815" s="15"/>
      <c r="H815" s="15"/>
      <c r="I815" s="15"/>
      <c r="J815" s="15"/>
      <c r="K815" s="15"/>
      <c r="L815" s="28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  <c r="AG815" s="15"/>
      <c r="AH815" s="15"/>
      <c r="AI815" s="15"/>
      <c r="AJ815" s="15"/>
      <c r="AK815" s="15"/>
      <c r="AL815" s="15"/>
      <c r="AM815" s="15"/>
      <c r="AN815" s="15"/>
      <c r="AO815" s="15"/>
      <c r="AP815" s="15"/>
      <c r="AQ815" s="15"/>
      <c r="AR815" s="15"/>
      <c r="AS815" s="15"/>
      <c r="AT815" s="15"/>
      <c r="AU815" s="15"/>
      <c r="AV815" s="15"/>
      <c r="AW815" s="15"/>
    </row>
    <row r="816" spans="3:49" x14ac:dyDescent="0.2">
      <c r="C816" s="15"/>
      <c r="D816" s="15"/>
      <c r="E816" s="15"/>
      <c r="F816" s="15"/>
      <c r="G816" s="15"/>
      <c r="H816" s="15"/>
      <c r="I816" s="15"/>
      <c r="J816" s="15"/>
      <c r="K816" s="15"/>
      <c r="L816" s="28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  <c r="AG816" s="15"/>
      <c r="AH816" s="15"/>
      <c r="AI816" s="15"/>
      <c r="AJ816" s="15"/>
      <c r="AK816" s="15"/>
      <c r="AL816" s="15"/>
      <c r="AM816" s="15"/>
      <c r="AN816" s="15"/>
      <c r="AO816" s="15"/>
      <c r="AP816" s="15"/>
      <c r="AQ816" s="15"/>
      <c r="AR816" s="15"/>
      <c r="AS816" s="15"/>
      <c r="AT816" s="15"/>
      <c r="AU816" s="15"/>
      <c r="AV816" s="15"/>
      <c r="AW816" s="15"/>
    </row>
    <row r="817" spans="3:49" x14ac:dyDescent="0.2">
      <c r="C817" s="15"/>
      <c r="D817" s="15"/>
      <c r="E817" s="15"/>
      <c r="F817" s="15"/>
      <c r="G817" s="15"/>
      <c r="H817" s="15"/>
      <c r="I817" s="15"/>
      <c r="J817" s="15"/>
      <c r="K817" s="15"/>
      <c r="L817" s="28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  <c r="AG817" s="15"/>
      <c r="AH817" s="15"/>
      <c r="AI817" s="15"/>
      <c r="AJ817" s="15"/>
      <c r="AK817" s="15"/>
      <c r="AL817" s="15"/>
      <c r="AM817" s="15"/>
      <c r="AN817" s="15"/>
      <c r="AO817" s="15"/>
      <c r="AP817" s="15"/>
      <c r="AQ817" s="15"/>
      <c r="AR817" s="15"/>
      <c r="AS817" s="15"/>
      <c r="AT817" s="15"/>
      <c r="AU817" s="15"/>
      <c r="AV817" s="15"/>
      <c r="AW817" s="15"/>
    </row>
    <row r="818" spans="3:49" x14ac:dyDescent="0.2">
      <c r="C818" s="15"/>
      <c r="D818" s="15"/>
      <c r="E818" s="15"/>
      <c r="F818" s="15"/>
      <c r="G818" s="15"/>
      <c r="H818" s="15"/>
      <c r="I818" s="15"/>
      <c r="J818" s="15"/>
      <c r="K818" s="15"/>
      <c r="L818" s="28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  <c r="AG818" s="15"/>
      <c r="AH818" s="15"/>
      <c r="AI818" s="15"/>
      <c r="AJ818" s="15"/>
      <c r="AK818" s="15"/>
      <c r="AL818" s="15"/>
      <c r="AM818" s="15"/>
      <c r="AN818" s="15"/>
      <c r="AO818" s="15"/>
      <c r="AP818" s="15"/>
      <c r="AQ818" s="15"/>
      <c r="AR818" s="15"/>
      <c r="AS818" s="15"/>
      <c r="AT818" s="15"/>
      <c r="AU818" s="15"/>
      <c r="AV818" s="15"/>
      <c r="AW818" s="15"/>
    </row>
    <row r="819" spans="3:49" x14ac:dyDescent="0.2">
      <c r="C819" s="15"/>
      <c r="D819" s="15"/>
      <c r="E819" s="15"/>
      <c r="F819" s="15"/>
      <c r="G819" s="15"/>
      <c r="H819" s="15"/>
      <c r="I819" s="15"/>
      <c r="J819" s="15"/>
      <c r="K819" s="15"/>
      <c r="L819" s="28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  <c r="AG819" s="15"/>
      <c r="AH819" s="15"/>
      <c r="AI819" s="15"/>
      <c r="AJ819" s="15"/>
      <c r="AK819" s="15"/>
      <c r="AL819" s="15"/>
      <c r="AM819" s="15"/>
      <c r="AN819" s="15"/>
      <c r="AO819" s="15"/>
      <c r="AP819" s="15"/>
      <c r="AQ819" s="15"/>
      <c r="AR819" s="15"/>
      <c r="AS819" s="15"/>
      <c r="AT819" s="15"/>
      <c r="AU819" s="15"/>
      <c r="AV819" s="15"/>
      <c r="AW819" s="15"/>
    </row>
    <row r="820" spans="3:49" x14ac:dyDescent="0.2">
      <c r="C820" s="15"/>
      <c r="D820" s="15"/>
      <c r="E820" s="15"/>
      <c r="F820" s="15"/>
      <c r="G820" s="15"/>
      <c r="H820" s="15"/>
      <c r="I820" s="15"/>
      <c r="J820" s="15"/>
      <c r="K820" s="15"/>
      <c r="L820" s="28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  <c r="AG820" s="15"/>
      <c r="AH820" s="15"/>
      <c r="AI820" s="15"/>
      <c r="AJ820" s="15"/>
      <c r="AK820" s="15"/>
      <c r="AL820" s="15"/>
      <c r="AM820" s="15"/>
      <c r="AN820" s="15"/>
      <c r="AO820" s="15"/>
      <c r="AP820" s="15"/>
      <c r="AQ820" s="15"/>
      <c r="AR820" s="15"/>
      <c r="AS820" s="15"/>
      <c r="AT820" s="15"/>
      <c r="AU820" s="15"/>
      <c r="AV820" s="15"/>
      <c r="AW820" s="15"/>
    </row>
    <row r="821" spans="3:49" x14ac:dyDescent="0.2">
      <c r="C821" s="15"/>
      <c r="D821" s="15"/>
      <c r="E821" s="15"/>
      <c r="F821" s="15"/>
      <c r="G821" s="15"/>
      <c r="H821" s="15"/>
      <c r="I821" s="15"/>
      <c r="J821" s="15"/>
      <c r="K821" s="15"/>
      <c r="L821" s="28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  <c r="AG821" s="15"/>
      <c r="AH821" s="15"/>
      <c r="AI821" s="15"/>
      <c r="AJ821" s="15"/>
      <c r="AK821" s="15"/>
      <c r="AL821" s="15"/>
      <c r="AM821" s="15"/>
      <c r="AN821" s="15"/>
      <c r="AO821" s="15"/>
      <c r="AP821" s="15"/>
      <c r="AQ821" s="15"/>
      <c r="AR821" s="15"/>
      <c r="AS821" s="15"/>
      <c r="AT821" s="15"/>
      <c r="AU821" s="15"/>
      <c r="AV821" s="15"/>
      <c r="AW821" s="15"/>
    </row>
    <row r="822" spans="3:49" x14ac:dyDescent="0.2">
      <c r="C822" s="15"/>
      <c r="D822" s="15"/>
      <c r="E822" s="15"/>
      <c r="F822" s="15"/>
      <c r="G822" s="15"/>
      <c r="H822" s="15"/>
      <c r="I822" s="15"/>
      <c r="J822" s="15"/>
      <c r="K822" s="15"/>
      <c r="L822" s="28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  <c r="AG822" s="15"/>
      <c r="AH822" s="15"/>
      <c r="AI822" s="15"/>
      <c r="AJ822" s="15"/>
      <c r="AK822" s="15"/>
      <c r="AL822" s="15"/>
      <c r="AM822" s="15"/>
      <c r="AN822" s="15"/>
      <c r="AO822" s="15"/>
      <c r="AP822" s="15"/>
      <c r="AQ822" s="15"/>
      <c r="AR822" s="15"/>
      <c r="AS822" s="15"/>
      <c r="AT822" s="15"/>
      <c r="AU822" s="15"/>
      <c r="AV822" s="15"/>
      <c r="AW822" s="15"/>
    </row>
    <row r="823" spans="3:49" x14ac:dyDescent="0.2">
      <c r="C823" s="15"/>
      <c r="D823" s="15"/>
      <c r="E823" s="15"/>
      <c r="F823" s="15"/>
      <c r="G823" s="15"/>
      <c r="H823" s="15"/>
      <c r="I823" s="15"/>
      <c r="J823" s="15"/>
      <c r="K823" s="15"/>
      <c r="L823" s="28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  <c r="AG823" s="15"/>
      <c r="AH823" s="15"/>
      <c r="AI823" s="15"/>
      <c r="AJ823" s="15"/>
      <c r="AK823" s="15"/>
      <c r="AL823" s="15"/>
      <c r="AM823" s="15"/>
      <c r="AN823" s="15"/>
      <c r="AO823" s="15"/>
      <c r="AP823" s="15"/>
      <c r="AQ823" s="15"/>
      <c r="AR823" s="15"/>
      <c r="AS823" s="15"/>
      <c r="AT823" s="15"/>
      <c r="AU823" s="15"/>
      <c r="AV823" s="15"/>
      <c r="AW823" s="15"/>
    </row>
    <row r="824" spans="3:49" x14ac:dyDescent="0.2">
      <c r="C824" s="15"/>
      <c r="D824" s="15"/>
      <c r="E824" s="15"/>
      <c r="F824" s="15"/>
      <c r="G824" s="15"/>
      <c r="H824" s="15"/>
      <c r="I824" s="15"/>
      <c r="J824" s="15"/>
      <c r="K824" s="15"/>
      <c r="L824" s="28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  <c r="AG824" s="15"/>
      <c r="AH824" s="15"/>
      <c r="AI824" s="15"/>
      <c r="AJ824" s="15"/>
      <c r="AK824" s="15"/>
      <c r="AL824" s="15"/>
      <c r="AM824" s="15"/>
      <c r="AN824" s="15"/>
      <c r="AO824" s="15"/>
      <c r="AP824" s="15"/>
      <c r="AQ824" s="15"/>
      <c r="AR824" s="15"/>
      <c r="AS824" s="15"/>
      <c r="AT824" s="15"/>
      <c r="AU824" s="15"/>
      <c r="AV824" s="15"/>
      <c r="AW824" s="15"/>
    </row>
    <row r="825" spans="3:49" x14ac:dyDescent="0.2">
      <c r="C825" s="15"/>
      <c r="D825" s="15"/>
      <c r="E825" s="15"/>
      <c r="F825" s="15"/>
      <c r="G825" s="15"/>
      <c r="H825" s="15"/>
      <c r="I825" s="15"/>
      <c r="J825" s="15"/>
      <c r="K825" s="15"/>
      <c r="L825" s="28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  <c r="AG825" s="15"/>
      <c r="AH825" s="15"/>
      <c r="AI825" s="15"/>
      <c r="AJ825" s="15"/>
      <c r="AK825" s="15"/>
      <c r="AL825" s="15"/>
      <c r="AM825" s="15"/>
      <c r="AN825" s="15"/>
      <c r="AO825" s="15"/>
      <c r="AP825" s="15"/>
      <c r="AQ825" s="15"/>
      <c r="AR825" s="15"/>
      <c r="AS825" s="15"/>
      <c r="AT825" s="15"/>
      <c r="AU825" s="15"/>
      <c r="AV825" s="15"/>
      <c r="AW825" s="15"/>
    </row>
    <row r="826" spans="3:49" x14ac:dyDescent="0.2">
      <c r="C826" s="15"/>
      <c r="D826" s="15"/>
      <c r="E826" s="15"/>
      <c r="F826" s="15"/>
      <c r="G826" s="15"/>
      <c r="H826" s="15"/>
      <c r="I826" s="15"/>
      <c r="J826" s="15"/>
      <c r="K826" s="15"/>
      <c r="L826" s="28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  <c r="AG826" s="15"/>
      <c r="AH826" s="15"/>
      <c r="AI826" s="15"/>
      <c r="AJ826" s="15"/>
      <c r="AK826" s="15"/>
      <c r="AL826" s="15"/>
      <c r="AM826" s="15"/>
      <c r="AN826" s="15"/>
      <c r="AO826" s="15"/>
      <c r="AP826" s="15"/>
      <c r="AQ826" s="15"/>
      <c r="AR826" s="15"/>
      <c r="AS826" s="15"/>
      <c r="AT826" s="15"/>
      <c r="AU826" s="15"/>
      <c r="AV826" s="15"/>
      <c r="AW826" s="15"/>
    </row>
    <row r="827" spans="3:49" x14ac:dyDescent="0.2">
      <c r="C827" s="15"/>
      <c r="D827" s="15"/>
      <c r="E827" s="15"/>
      <c r="F827" s="15"/>
      <c r="G827" s="15"/>
      <c r="H827" s="15"/>
      <c r="I827" s="15"/>
      <c r="J827" s="15"/>
      <c r="K827" s="15"/>
      <c r="L827" s="28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  <c r="AG827" s="15"/>
      <c r="AH827" s="15"/>
      <c r="AI827" s="15"/>
      <c r="AJ827" s="15"/>
      <c r="AK827" s="15"/>
      <c r="AL827" s="15"/>
      <c r="AM827" s="15"/>
      <c r="AN827" s="15"/>
      <c r="AO827" s="15"/>
      <c r="AP827" s="15"/>
      <c r="AQ827" s="15"/>
      <c r="AR827" s="15"/>
      <c r="AS827" s="15"/>
      <c r="AT827" s="15"/>
      <c r="AU827" s="15"/>
      <c r="AV827" s="15"/>
      <c r="AW827" s="15"/>
    </row>
    <row r="828" spans="3:49" x14ac:dyDescent="0.2">
      <c r="C828" s="15"/>
      <c r="D828" s="15"/>
      <c r="E828" s="15"/>
      <c r="F828" s="15"/>
      <c r="G828" s="15"/>
      <c r="H828" s="15"/>
      <c r="I828" s="15"/>
      <c r="J828" s="15"/>
      <c r="K828" s="15"/>
      <c r="L828" s="28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  <c r="AG828" s="15"/>
      <c r="AH828" s="15"/>
      <c r="AI828" s="15"/>
      <c r="AJ828" s="15"/>
      <c r="AK828" s="15"/>
      <c r="AL828" s="15"/>
      <c r="AM828" s="15"/>
      <c r="AN828" s="15"/>
      <c r="AO828" s="15"/>
      <c r="AP828" s="15"/>
      <c r="AQ828" s="15"/>
      <c r="AR828" s="15"/>
      <c r="AS828" s="15"/>
      <c r="AT828" s="15"/>
      <c r="AU828" s="15"/>
      <c r="AV828" s="15"/>
      <c r="AW828" s="15"/>
    </row>
    <row r="829" spans="3:49" x14ac:dyDescent="0.2">
      <c r="C829" s="15"/>
      <c r="D829" s="15"/>
      <c r="E829" s="15"/>
      <c r="F829" s="15"/>
      <c r="G829" s="15"/>
      <c r="H829" s="15"/>
      <c r="I829" s="15"/>
      <c r="J829" s="15"/>
      <c r="K829" s="15"/>
      <c r="L829" s="28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  <c r="AG829" s="15"/>
      <c r="AH829" s="15"/>
      <c r="AI829" s="15"/>
      <c r="AJ829" s="15"/>
      <c r="AK829" s="15"/>
      <c r="AL829" s="15"/>
      <c r="AM829" s="15"/>
      <c r="AN829" s="15"/>
      <c r="AO829" s="15"/>
      <c r="AP829" s="15"/>
      <c r="AQ829" s="15"/>
      <c r="AR829" s="15"/>
      <c r="AS829" s="15"/>
      <c r="AT829" s="15"/>
      <c r="AU829" s="15"/>
      <c r="AV829" s="15"/>
      <c r="AW829" s="15"/>
    </row>
    <row r="830" spans="3:49" x14ac:dyDescent="0.2">
      <c r="C830" s="15"/>
      <c r="D830" s="15"/>
      <c r="E830" s="15"/>
      <c r="F830" s="15"/>
      <c r="G830" s="15"/>
      <c r="H830" s="15"/>
      <c r="I830" s="15"/>
      <c r="J830" s="15"/>
      <c r="K830" s="15"/>
      <c r="L830" s="28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  <c r="AG830" s="15"/>
      <c r="AH830" s="15"/>
      <c r="AI830" s="15"/>
      <c r="AJ830" s="15"/>
      <c r="AK830" s="15"/>
      <c r="AL830" s="15"/>
      <c r="AM830" s="15"/>
      <c r="AN830" s="15"/>
      <c r="AO830" s="15"/>
      <c r="AP830" s="15"/>
      <c r="AQ830" s="15"/>
      <c r="AR830" s="15"/>
      <c r="AS830" s="15"/>
      <c r="AT830" s="15"/>
      <c r="AU830" s="15"/>
      <c r="AV830" s="15"/>
      <c r="AW830" s="15"/>
    </row>
    <row r="831" spans="3:49" x14ac:dyDescent="0.2">
      <c r="C831" s="15"/>
      <c r="D831" s="15"/>
      <c r="E831" s="15"/>
      <c r="F831" s="15"/>
      <c r="G831" s="15"/>
      <c r="H831" s="15"/>
      <c r="I831" s="15"/>
      <c r="J831" s="15"/>
      <c r="K831" s="15"/>
      <c r="L831" s="28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  <c r="AG831" s="15"/>
      <c r="AH831" s="15"/>
      <c r="AI831" s="15"/>
      <c r="AJ831" s="15"/>
      <c r="AK831" s="15"/>
      <c r="AL831" s="15"/>
      <c r="AM831" s="15"/>
      <c r="AN831" s="15"/>
      <c r="AO831" s="15"/>
      <c r="AP831" s="15"/>
      <c r="AQ831" s="15"/>
      <c r="AR831" s="15"/>
      <c r="AS831" s="15"/>
      <c r="AT831" s="15"/>
      <c r="AU831" s="15"/>
      <c r="AV831" s="15"/>
      <c r="AW831" s="15"/>
    </row>
    <row r="832" spans="3:49" x14ac:dyDescent="0.2">
      <c r="C832" s="15"/>
      <c r="D832" s="15"/>
      <c r="E832" s="15"/>
      <c r="F832" s="15"/>
      <c r="G832" s="15"/>
      <c r="H832" s="15"/>
      <c r="I832" s="15"/>
      <c r="J832" s="15"/>
      <c r="K832" s="15"/>
      <c r="L832" s="28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  <c r="AG832" s="15"/>
      <c r="AH832" s="15"/>
      <c r="AI832" s="15"/>
      <c r="AJ832" s="15"/>
      <c r="AK832" s="15"/>
      <c r="AL832" s="15"/>
      <c r="AM832" s="15"/>
      <c r="AN832" s="15"/>
      <c r="AO832" s="15"/>
      <c r="AP832" s="15"/>
      <c r="AQ832" s="15"/>
      <c r="AR832" s="15"/>
      <c r="AS832" s="15"/>
      <c r="AT832" s="15"/>
      <c r="AU832" s="15"/>
      <c r="AV832" s="15"/>
      <c r="AW832" s="15"/>
    </row>
    <row r="833" spans="3:49" x14ac:dyDescent="0.2">
      <c r="C833" s="15"/>
      <c r="D833" s="15"/>
      <c r="E833" s="15"/>
      <c r="F833" s="15"/>
      <c r="G833" s="15"/>
      <c r="H833" s="15"/>
      <c r="I833" s="15"/>
      <c r="J833" s="15"/>
      <c r="K833" s="15"/>
      <c r="L833" s="28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  <c r="AG833" s="15"/>
      <c r="AH833" s="15"/>
      <c r="AI833" s="15"/>
      <c r="AJ833" s="15"/>
      <c r="AK833" s="15"/>
      <c r="AL833" s="15"/>
      <c r="AM833" s="15"/>
      <c r="AN833" s="15"/>
      <c r="AO833" s="15"/>
      <c r="AP833" s="15"/>
      <c r="AQ833" s="15"/>
      <c r="AR833" s="15"/>
      <c r="AS833" s="15"/>
      <c r="AT833" s="15"/>
      <c r="AU833" s="15"/>
      <c r="AV833" s="15"/>
      <c r="AW833" s="15"/>
    </row>
    <row r="834" spans="3:49" x14ac:dyDescent="0.2">
      <c r="C834" s="15"/>
      <c r="D834" s="15"/>
      <c r="E834" s="15"/>
      <c r="F834" s="15"/>
      <c r="G834" s="15"/>
      <c r="H834" s="15"/>
      <c r="I834" s="15"/>
      <c r="J834" s="15"/>
      <c r="K834" s="15"/>
      <c r="L834" s="28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  <c r="AG834" s="15"/>
      <c r="AH834" s="15"/>
      <c r="AI834" s="15"/>
      <c r="AJ834" s="15"/>
      <c r="AK834" s="15"/>
      <c r="AL834" s="15"/>
      <c r="AM834" s="15"/>
      <c r="AN834" s="15"/>
      <c r="AO834" s="15"/>
      <c r="AP834" s="15"/>
      <c r="AQ834" s="15"/>
      <c r="AR834" s="15"/>
      <c r="AS834" s="15"/>
      <c r="AT834" s="15"/>
      <c r="AU834" s="15"/>
      <c r="AV834" s="15"/>
      <c r="AW834" s="15"/>
    </row>
    <row r="835" spans="3:49" x14ac:dyDescent="0.2">
      <c r="C835" s="15"/>
      <c r="D835" s="15"/>
      <c r="E835" s="15"/>
      <c r="F835" s="15"/>
      <c r="G835" s="15"/>
      <c r="H835" s="15"/>
      <c r="I835" s="15"/>
      <c r="J835" s="15"/>
      <c r="K835" s="15"/>
      <c r="L835" s="28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  <c r="AG835" s="15"/>
      <c r="AH835" s="15"/>
      <c r="AI835" s="15"/>
      <c r="AJ835" s="15"/>
      <c r="AK835" s="15"/>
      <c r="AL835" s="15"/>
      <c r="AM835" s="15"/>
      <c r="AN835" s="15"/>
      <c r="AO835" s="15"/>
      <c r="AP835" s="15"/>
      <c r="AQ835" s="15"/>
      <c r="AR835" s="15"/>
      <c r="AS835" s="15"/>
      <c r="AT835" s="15"/>
      <c r="AU835" s="15"/>
      <c r="AV835" s="15"/>
      <c r="AW835" s="15"/>
    </row>
    <row r="836" spans="3:49" x14ac:dyDescent="0.2">
      <c r="C836" s="15"/>
      <c r="D836" s="15"/>
      <c r="E836" s="15"/>
      <c r="F836" s="15"/>
      <c r="G836" s="15"/>
      <c r="H836" s="15"/>
      <c r="I836" s="15"/>
      <c r="J836" s="15"/>
      <c r="K836" s="15"/>
      <c r="L836" s="28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  <c r="AG836" s="15"/>
      <c r="AH836" s="15"/>
      <c r="AI836" s="15"/>
      <c r="AJ836" s="15"/>
      <c r="AK836" s="15"/>
      <c r="AL836" s="15"/>
      <c r="AM836" s="15"/>
      <c r="AN836" s="15"/>
      <c r="AO836" s="15"/>
      <c r="AP836" s="15"/>
      <c r="AQ836" s="15"/>
      <c r="AR836" s="15"/>
      <c r="AS836" s="15"/>
      <c r="AT836" s="15"/>
      <c r="AU836" s="15"/>
      <c r="AV836" s="15"/>
      <c r="AW836" s="15"/>
    </row>
    <row r="837" spans="3:49" x14ac:dyDescent="0.2">
      <c r="C837" s="15"/>
      <c r="D837" s="15"/>
      <c r="E837" s="15"/>
      <c r="F837" s="15"/>
      <c r="G837" s="15"/>
      <c r="H837" s="15"/>
      <c r="I837" s="15"/>
      <c r="J837" s="15"/>
      <c r="K837" s="15"/>
      <c r="L837" s="28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  <c r="AG837" s="15"/>
      <c r="AH837" s="15"/>
      <c r="AI837" s="15"/>
      <c r="AJ837" s="15"/>
      <c r="AK837" s="15"/>
      <c r="AL837" s="15"/>
      <c r="AM837" s="15"/>
      <c r="AN837" s="15"/>
      <c r="AO837" s="15"/>
      <c r="AP837" s="15"/>
      <c r="AQ837" s="15"/>
      <c r="AR837" s="15"/>
      <c r="AS837" s="15"/>
      <c r="AT837" s="15"/>
      <c r="AU837" s="15"/>
      <c r="AV837" s="15"/>
      <c r="AW837" s="15"/>
    </row>
    <row r="838" spans="3:49" x14ac:dyDescent="0.2">
      <c r="C838" s="15"/>
      <c r="D838" s="15"/>
      <c r="E838" s="15"/>
      <c r="F838" s="15"/>
      <c r="G838" s="15"/>
      <c r="H838" s="15"/>
      <c r="I838" s="15"/>
      <c r="J838" s="15"/>
      <c r="K838" s="15"/>
      <c r="L838" s="28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  <c r="AG838" s="15"/>
      <c r="AH838" s="15"/>
      <c r="AI838" s="15"/>
      <c r="AJ838" s="15"/>
      <c r="AK838" s="15"/>
      <c r="AL838" s="15"/>
      <c r="AM838" s="15"/>
      <c r="AN838" s="15"/>
      <c r="AO838" s="15"/>
      <c r="AP838" s="15"/>
      <c r="AQ838" s="15"/>
      <c r="AR838" s="15"/>
      <c r="AS838" s="15"/>
      <c r="AT838" s="15"/>
      <c r="AU838" s="15"/>
      <c r="AV838" s="15"/>
      <c r="AW838" s="15"/>
    </row>
    <row r="839" spans="3:49" x14ac:dyDescent="0.2">
      <c r="C839" s="15"/>
      <c r="D839" s="15"/>
      <c r="E839" s="15"/>
      <c r="F839" s="15"/>
      <c r="G839" s="15"/>
      <c r="H839" s="15"/>
      <c r="I839" s="15"/>
      <c r="J839" s="15"/>
      <c r="K839" s="15"/>
      <c r="L839" s="28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  <c r="AG839" s="15"/>
      <c r="AH839" s="15"/>
      <c r="AI839" s="15"/>
      <c r="AJ839" s="15"/>
      <c r="AK839" s="15"/>
      <c r="AL839" s="15"/>
      <c r="AM839" s="15"/>
      <c r="AN839" s="15"/>
      <c r="AO839" s="15"/>
      <c r="AP839" s="15"/>
      <c r="AQ839" s="15"/>
      <c r="AR839" s="15"/>
      <c r="AS839" s="15"/>
      <c r="AT839" s="15"/>
      <c r="AU839" s="15"/>
      <c r="AV839" s="15"/>
      <c r="AW839" s="15"/>
    </row>
    <row r="840" spans="3:49" x14ac:dyDescent="0.2">
      <c r="C840" s="15"/>
      <c r="D840" s="15"/>
      <c r="E840" s="15"/>
      <c r="F840" s="15"/>
      <c r="G840" s="15"/>
      <c r="H840" s="15"/>
      <c r="I840" s="15"/>
      <c r="J840" s="15"/>
      <c r="K840" s="15"/>
      <c r="L840" s="28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  <c r="AG840" s="15"/>
      <c r="AH840" s="15"/>
      <c r="AI840" s="15"/>
      <c r="AJ840" s="15"/>
      <c r="AK840" s="15"/>
      <c r="AL840" s="15"/>
      <c r="AM840" s="15"/>
      <c r="AN840" s="15"/>
      <c r="AO840" s="15"/>
      <c r="AP840" s="15"/>
      <c r="AQ840" s="15"/>
      <c r="AR840" s="15"/>
      <c r="AS840" s="15"/>
      <c r="AT840" s="15"/>
      <c r="AU840" s="15"/>
      <c r="AV840" s="15"/>
      <c r="AW840" s="15"/>
    </row>
    <row r="841" spans="3:49" x14ac:dyDescent="0.2">
      <c r="C841" s="15"/>
      <c r="D841" s="15"/>
      <c r="E841" s="15"/>
      <c r="F841" s="15"/>
      <c r="G841" s="15"/>
      <c r="H841" s="15"/>
      <c r="I841" s="15"/>
      <c r="J841" s="15"/>
      <c r="K841" s="15"/>
      <c r="L841" s="28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  <c r="AG841" s="15"/>
      <c r="AH841" s="15"/>
      <c r="AI841" s="15"/>
      <c r="AJ841" s="15"/>
      <c r="AK841" s="15"/>
      <c r="AL841" s="15"/>
      <c r="AM841" s="15"/>
      <c r="AN841" s="15"/>
      <c r="AO841" s="15"/>
      <c r="AP841" s="15"/>
      <c r="AQ841" s="15"/>
      <c r="AR841" s="15"/>
      <c r="AS841" s="15"/>
      <c r="AT841" s="15"/>
      <c r="AU841" s="15"/>
      <c r="AV841" s="15"/>
      <c r="AW841" s="15"/>
    </row>
    <row r="842" spans="3:49" x14ac:dyDescent="0.2">
      <c r="C842" s="15"/>
      <c r="D842" s="15"/>
      <c r="E842" s="15"/>
      <c r="F842" s="15"/>
      <c r="G842" s="15"/>
      <c r="H842" s="15"/>
      <c r="I842" s="15"/>
      <c r="J842" s="15"/>
      <c r="K842" s="15"/>
      <c r="L842" s="28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  <c r="AG842" s="15"/>
      <c r="AH842" s="15"/>
      <c r="AI842" s="15"/>
      <c r="AJ842" s="15"/>
      <c r="AK842" s="15"/>
      <c r="AL842" s="15"/>
      <c r="AM842" s="15"/>
      <c r="AN842" s="15"/>
      <c r="AO842" s="15"/>
      <c r="AP842" s="15"/>
      <c r="AQ842" s="15"/>
      <c r="AR842" s="15"/>
      <c r="AS842" s="15"/>
      <c r="AT842" s="15"/>
      <c r="AU842" s="15"/>
      <c r="AV842" s="15"/>
      <c r="AW842" s="15"/>
    </row>
    <row r="843" spans="3:49" x14ac:dyDescent="0.2">
      <c r="C843" s="15"/>
      <c r="D843" s="15"/>
      <c r="E843" s="15"/>
      <c r="F843" s="15"/>
      <c r="G843" s="15"/>
      <c r="H843" s="15"/>
      <c r="I843" s="15"/>
      <c r="J843" s="15"/>
      <c r="K843" s="15"/>
      <c r="L843" s="28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  <c r="AG843" s="15"/>
      <c r="AH843" s="15"/>
      <c r="AI843" s="15"/>
      <c r="AJ843" s="15"/>
      <c r="AK843" s="15"/>
      <c r="AL843" s="15"/>
      <c r="AM843" s="15"/>
      <c r="AN843" s="15"/>
      <c r="AO843" s="15"/>
      <c r="AP843" s="15"/>
      <c r="AQ843" s="15"/>
      <c r="AR843" s="15"/>
      <c r="AS843" s="15"/>
      <c r="AT843" s="15"/>
      <c r="AU843" s="15"/>
      <c r="AV843" s="15"/>
      <c r="AW843" s="15"/>
    </row>
    <row r="844" spans="3:49" x14ac:dyDescent="0.2">
      <c r="C844" s="15"/>
      <c r="D844" s="15"/>
      <c r="E844" s="15"/>
      <c r="F844" s="15"/>
      <c r="G844" s="15"/>
      <c r="H844" s="15"/>
      <c r="I844" s="15"/>
      <c r="J844" s="15"/>
      <c r="K844" s="15"/>
      <c r="L844" s="28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  <c r="AG844" s="15"/>
      <c r="AH844" s="15"/>
      <c r="AI844" s="15"/>
      <c r="AJ844" s="15"/>
      <c r="AK844" s="15"/>
      <c r="AL844" s="15"/>
      <c r="AM844" s="15"/>
      <c r="AN844" s="15"/>
      <c r="AO844" s="15"/>
      <c r="AP844" s="15"/>
      <c r="AQ844" s="15"/>
      <c r="AR844" s="15"/>
      <c r="AS844" s="15"/>
      <c r="AT844" s="15"/>
      <c r="AU844" s="15"/>
      <c r="AV844" s="15"/>
      <c r="AW844" s="15"/>
    </row>
    <row r="845" spans="3:49" x14ac:dyDescent="0.2">
      <c r="C845" s="15"/>
      <c r="D845" s="15"/>
      <c r="E845" s="15"/>
      <c r="F845" s="15"/>
      <c r="G845" s="15"/>
      <c r="H845" s="15"/>
      <c r="I845" s="15"/>
      <c r="J845" s="15"/>
      <c r="K845" s="15"/>
      <c r="L845" s="28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  <c r="AG845" s="15"/>
      <c r="AH845" s="15"/>
      <c r="AI845" s="15"/>
      <c r="AJ845" s="15"/>
      <c r="AK845" s="15"/>
      <c r="AL845" s="15"/>
      <c r="AM845" s="15"/>
      <c r="AN845" s="15"/>
      <c r="AO845" s="15"/>
      <c r="AP845" s="15"/>
      <c r="AQ845" s="15"/>
      <c r="AR845" s="15"/>
      <c r="AS845" s="15"/>
      <c r="AT845" s="15"/>
      <c r="AU845" s="15"/>
      <c r="AV845" s="15"/>
      <c r="AW845" s="15"/>
    </row>
    <row r="846" spans="3:49" x14ac:dyDescent="0.2">
      <c r="C846" s="15"/>
      <c r="D846" s="15"/>
      <c r="E846" s="15"/>
      <c r="F846" s="15"/>
      <c r="G846" s="15"/>
      <c r="H846" s="15"/>
      <c r="I846" s="15"/>
      <c r="J846" s="15"/>
      <c r="K846" s="15"/>
      <c r="L846" s="28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  <c r="AG846" s="15"/>
      <c r="AH846" s="15"/>
      <c r="AI846" s="15"/>
      <c r="AJ846" s="15"/>
      <c r="AK846" s="15"/>
      <c r="AL846" s="15"/>
      <c r="AM846" s="15"/>
      <c r="AN846" s="15"/>
      <c r="AO846" s="15"/>
      <c r="AP846" s="15"/>
      <c r="AQ846" s="15"/>
      <c r="AR846" s="15"/>
      <c r="AS846" s="15"/>
      <c r="AT846" s="15"/>
      <c r="AU846" s="15"/>
      <c r="AV846" s="15"/>
      <c r="AW846" s="15"/>
    </row>
    <row r="847" spans="3:49" x14ac:dyDescent="0.2">
      <c r="C847" s="15"/>
      <c r="D847" s="15"/>
      <c r="E847" s="15"/>
      <c r="F847" s="15"/>
      <c r="G847" s="15"/>
      <c r="H847" s="15"/>
      <c r="I847" s="15"/>
      <c r="J847" s="15"/>
      <c r="K847" s="15"/>
      <c r="L847" s="28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  <c r="AG847" s="15"/>
      <c r="AH847" s="15"/>
      <c r="AI847" s="15"/>
      <c r="AJ847" s="15"/>
      <c r="AK847" s="15"/>
      <c r="AL847" s="15"/>
      <c r="AM847" s="15"/>
      <c r="AN847" s="15"/>
      <c r="AO847" s="15"/>
      <c r="AP847" s="15"/>
      <c r="AQ847" s="15"/>
      <c r="AR847" s="15"/>
      <c r="AS847" s="15"/>
      <c r="AT847" s="15"/>
      <c r="AU847" s="15"/>
      <c r="AV847" s="15"/>
      <c r="AW847" s="15"/>
    </row>
    <row r="848" spans="3:49" x14ac:dyDescent="0.2">
      <c r="C848" s="15"/>
      <c r="D848" s="15"/>
      <c r="E848" s="15"/>
      <c r="F848" s="15"/>
      <c r="G848" s="15"/>
      <c r="H848" s="15"/>
      <c r="I848" s="15"/>
      <c r="J848" s="15"/>
      <c r="K848" s="15"/>
      <c r="L848" s="28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  <c r="AG848" s="15"/>
      <c r="AH848" s="15"/>
      <c r="AI848" s="15"/>
      <c r="AJ848" s="15"/>
      <c r="AK848" s="15"/>
      <c r="AL848" s="15"/>
      <c r="AM848" s="15"/>
      <c r="AN848" s="15"/>
      <c r="AO848" s="15"/>
      <c r="AP848" s="15"/>
      <c r="AQ848" s="15"/>
      <c r="AR848" s="15"/>
      <c r="AS848" s="15"/>
      <c r="AT848" s="15"/>
      <c r="AU848" s="15"/>
      <c r="AV848" s="15"/>
      <c r="AW848" s="15"/>
    </row>
    <row r="849" spans="3:49" x14ac:dyDescent="0.2">
      <c r="C849" s="15"/>
      <c r="D849" s="15"/>
      <c r="E849" s="15"/>
      <c r="F849" s="15"/>
      <c r="G849" s="15"/>
      <c r="H849" s="15"/>
      <c r="I849" s="15"/>
      <c r="J849" s="15"/>
      <c r="K849" s="15"/>
      <c r="L849" s="28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  <c r="AG849" s="15"/>
      <c r="AH849" s="15"/>
      <c r="AI849" s="15"/>
      <c r="AJ849" s="15"/>
      <c r="AK849" s="15"/>
      <c r="AL849" s="15"/>
      <c r="AM849" s="15"/>
      <c r="AN849" s="15"/>
      <c r="AO849" s="15"/>
      <c r="AP849" s="15"/>
      <c r="AQ849" s="15"/>
      <c r="AR849" s="15"/>
      <c r="AS849" s="15"/>
      <c r="AT849" s="15"/>
      <c r="AU849" s="15"/>
      <c r="AV849" s="15"/>
      <c r="AW849" s="15"/>
    </row>
    <row r="850" spans="3:49" x14ac:dyDescent="0.2">
      <c r="C850" s="15"/>
      <c r="D850" s="15"/>
      <c r="E850" s="15"/>
      <c r="F850" s="15"/>
      <c r="G850" s="15"/>
      <c r="H850" s="15"/>
      <c r="I850" s="15"/>
      <c r="J850" s="15"/>
      <c r="K850" s="15"/>
      <c r="L850" s="28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  <c r="AG850" s="15"/>
      <c r="AH850" s="15"/>
      <c r="AI850" s="15"/>
      <c r="AJ850" s="15"/>
      <c r="AK850" s="15"/>
      <c r="AL850" s="15"/>
      <c r="AM850" s="15"/>
      <c r="AN850" s="15"/>
      <c r="AO850" s="15"/>
      <c r="AP850" s="15"/>
      <c r="AQ850" s="15"/>
      <c r="AR850" s="15"/>
      <c r="AS850" s="15"/>
      <c r="AT850" s="15"/>
      <c r="AU850" s="15"/>
      <c r="AV850" s="15"/>
      <c r="AW850" s="15"/>
    </row>
    <row r="851" spans="3:49" x14ac:dyDescent="0.2">
      <c r="C851" s="15"/>
      <c r="D851" s="15"/>
      <c r="E851" s="15"/>
      <c r="F851" s="15"/>
      <c r="G851" s="15"/>
      <c r="H851" s="15"/>
      <c r="I851" s="15"/>
      <c r="J851" s="15"/>
      <c r="K851" s="15"/>
      <c r="L851" s="28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  <c r="AG851" s="15"/>
      <c r="AH851" s="15"/>
      <c r="AI851" s="15"/>
      <c r="AJ851" s="15"/>
      <c r="AK851" s="15"/>
      <c r="AL851" s="15"/>
      <c r="AM851" s="15"/>
      <c r="AN851" s="15"/>
      <c r="AO851" s="15"/>
      <c r="AP851" s="15"/>
      <c r="AQ851" s="15"/>
      <c r="AR851" s="15"/>
      <c r="AS851" s="15"/>
      <c r="AT851" s="15"/>
      <c r="AU851" s="15"/>
      <c r="AV851" s="15"/>
      <c r="AW851" s="15"/>
    </row>
    <row r="852" spans="3:49" x14ac:dyDescent="0.2">
      <c r="C852" s="15"/>
      <c r="D852" s="15"/>
      <c r="E852" s="15"/>
      <c r="F852" s="15"/>
      <c r="G852" s="15"/>
      <c r="H852" s="15"/>
      <c r="I852" s="15"/>
      <c r="J852" s="15"/>
      <c r="K852" s="15"/>
      <c r="L852" s="28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  <c r="AG852" s="15"/>
      <c r="AH852" s="15"/>
      <c r="AI852" s="15"/>
      <c r="AJ852" s="15"/>
      <c r="AK852" s="15"/>
      <c r="AL852" s="15"/>
      <c r="AM852" s="15"/>
      <c r="AN852" s="15"/>
      <c r="AO852" s="15"/>
      <c r="AP852" s="15"/>
      <c r="AQ852" s="15"/>
      <c r="AR852" s="15"/>
      <c r="AS852" s="15"/>
      <c r="AT852" s="15"/>
      <c r="AU852" s="15"/>
      <c r="AV852" s="15"/>
      <c r="AW852" s="15"/>
    </row>
    <row r="853" spans="3:49" x14ac:dyDescent="0.2">
      <c r="C853" s="15"/>
      <c r="D853" s="15"/>
      <c r="E853" s="15"/>
      <c r="F853" s="15"/>
      <c r="G853" s="15"/>
      <c r="H853" s="15"/>
      <c r="I853" s="15"/>
      <c r="J853" s="15"/>
      <c r="K853" s="15"/>
      <c r="L853" s="28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  <c r="AG853" s="15"/>
      <c r="AH853" s="15"/>
      <c r="AI853" s="15"/>
      <c r="AJ853" s="15"/>
      <c r="AK853" s="15"/>
      <c r="AL853" s="15"/>
      <c r="AM853" s="15"/>
      <c r="AN853" s="15"/>
      <c r="AO853" s="15"/>
      <c r="AP853" s="15"/>
      <c r="AQ853" s="15"/>
      <c r="AR853" s="15"/>
      <c r="AS853" s="15"/>
      <c r="AT853" s="15"/>
      <c r="AU853" s="15"/>
      <c r="AV853" s="15"/>
      <c r="AW853" s="15"/>
    </row>
    <row r="854" spans="3:49" x14ac:dyDescent="0.2">
      <c r="C854" s="15"/>
      <c r="D854" s="15"/>
      <c r="E854" s="15"/>
      <c r="F854" s="15"/>
      <c r="G854" s="15"/>
      <c r="H854" s="15"/>
      <c r="I854" s="15"/>
      <c r="J854" s="15"/>
      <c r="K854" s="15"/>
      <c r="L854" s="28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  <c r="AG854" s="15"/>
      <c r="AH854" s="15"/>
      <c r="AI854" s="15"/>
      <c r="AJ854" s="15"/>
      <c r="AK854" s="15"/>
      <c r="AL854" s="15"/>
      <c r="AM854" s="15"/>
      <c r="AN854" s="15"/>
      <c r="AO854" s="15"/>
      <c r="AP854" s="15"/>
      <c r="AQ854" s="15"/>
      <c r="AR854" s="15"/>
      <c r="AS854" s="15"/>
      <c r="AT854" s="15"/>
      <c r="AU854" s="15"/>
      <c r="AV854" s="15"/>
      <c r="AW854" s="15"/>
    </row>
    <row r="855" spans="3:49" x14ac:dyDescent="0.2">
      <c r="C855" s="15"/>
      <c r="D855" s="15"/>
      <c r="E855" s="15"/>
      <c r="F855" s="15"/>
      <c r="G855" s="15"/>
      <c r="H855" s="15"/>
      <c r="I855" s="15"/>
      <c r="J855" s="15"/>
      <c r="K855" s="15"/>
      <c r="L855" s="28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  <c r="AG855" s="15"/>
      <c r="AH855" s="15"/>
      <c r="AI855" s="15"/>
      <c r="AJ855" s="15"/>
      <c r="AK855" s="15"/>
      <c r="AL855" s="15"/>
      <c r="AM855" s="15"/>
      <c r="AN855" s="15"/>
      <c r="AO855" s="15"/>
      <c r="AP855" s="15"/>
      <c r="AQ855" s="15"/>
      <c r="AR855" s="15"/>
      <c r="AS855" s="15"/>
      <c r="AT855" s="15"/>
      <c r="AU855" s="15"/>
      <c r="AV855" s="15"/>
      <c r="AW855" s="15"/>
    </row>
    <row r="856" spans="3:49" x14ac:dyDescent="0.2">
      <c r="C856" s="15"/>
      <c r="D856" s="15"/>
      <c r="E856" s="15"/>
      <c r="F856" s="15"/>
      <c r="G856" s="15"/>
      <c r="H856" s="15"/>
      <c r="I856" s="15"/>
      <c r="J856" s="15"/>
      <c r="K856" s="15"/>
      <c r="L856" s="28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  <c r="AG856" s="15"/>
      <c r="AH856" s="15"/>
      <c r="AI856" s="15"/>
      <c r="AJ856" s="15"/>
      <c r="AK856" s="15"/>
      <c r="AL856" s="15"/>
      <c r="AM856" s="15"/>
      <c r="AN856" s="15"/>
      <c r="AO856" s="15"/>
      <c r="AP856" s="15"/>
      <c r="AQ856" s="15"/>
      <c r="AR856" s="15"/>
      <c r="AS856" s="15"/>
      <c r="AT856" s="15"/>
      <c r="AU856" s="15"/>
      <c r="AV856" s="15"/>
      <c r="AW856" s="15"/>
    </row>
    <row r="857" spans="3:49" x14ac:dyDescent="0.2">
      <c r="C857" s="15"/>
      <c r="D857" s="15"/>
      <c r="E857" s="15"/>
      <c r="F857" s="15"/>
      <c r="G857" s="15"/>
      <c r="H857" s="15"/>
      <c r="I857" s="15"/>
      <c r="J857" s="15"/>
      <c r="K857" s="15"/>
      <c r="L857" s="28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  <c r="AG857" s="15"/>
      <c r="AH857" s="15"/>
      <c r="AI857" s="15"/>
      <c r="AJ857" s="15"/>
      <c r="AK857" s="15"/>
      <c r="AL857" s="15"/>
      <c r="AM857" s="15"/>
      <c r="AN857" s="15"/>
      <c r="AO857" s="15"/>
      <c r="AP857" s="15"/>
      <c r="AQ857" s="15"/>
      <c r="AR857" s="15"/>
      <c r="AS857" s="15"/>
      <c r="AT857" s="15"/>
      <c r="AU857" s="15"/>
      <c r="AV857" s="15"/>
      <c r="AW857" s="15"/>
    </row>
    <row r="858" spans="3:49" x14ac:dyDescent="0.2">
      <c r="C858" s="15"/>
      <c r="D858" s="15"/>
      <c r="E858" s="15"/>
      <c r="F858" s="15"/>
      <c r="G858" s="15"/>
      <c r="H858" s="15"/>
      <c r="I858" s="15"/>
      <c r="J858" s="15"/>
      <c r="K858" s="15"/>
      <c r="L858" s="28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  <c r="AG858" s="15"/>
      <c r="AH858" s="15"/>
      <c r="AI858" s="15"/>
      <c r="AJ858" s="15"/>
      <c r="AK858" s="15"/>
      <c r="AL858" s="15"/>
      <c r="AM858" s="15"/>
      <c r="AN858" s="15"/>
      <c r="AO858" s="15"/>
      <c r="AP858" s="15"/>
      <c r="AQ858" s="15"/>
      <c r="AR858" s="15"/>
      <c r="AS858" s="15"/>
      <c r="AT858" s="15"/>
      <c r="AU858" s="15"/>
      <c r="AV858" s="15"/>
      <c r="AW858" s="15"/>
    </row>
    <row r="859" spans="3:49" x14ac:dyDescent="0.2">
      <c r="C859" s="15"/>
      <c r="D859" s="15"/>
      <c r="E859" s="15"/>
      <c r="F859" s="15"/>
      <c r="G859" s="15"/>
      <c r="H859" s="15"/>
      <c r="I859" s="15"/>
      <c r="J859" s="15"/>
      <c r="K859" s="15"/>
      <c r="L859" s="28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  <c r="AG859" s="15"/>
      <c r="AH859" s="15"/>
      <c r="AI859" s="15"/>
      <c r="AJ859" s="15"/>
      <c r="AK859" s="15"/>
      <c r="AL859" s="15"/>
      <c r="AM859" s="15"/>
      <c r="AN859" s="15"/>
      <c r="AO859" s="15"/>
      <c r="AP859" s="15"/>
      <c r="AQ859" s="15"/>
      <c r="AR859" s="15"/>
      <c r="AS859" s="15"/>
      <c r="AT859" s="15"/>
      <c r="AU859" s="15"/>
      <c r="AV859" s="15"/>
      <c r="AW859" s="15"/>
    </row>
    <row r="860" spans="3:49" x14ac:dyDescent="0.2">
      <c r="C860" s="15"/>
      <c r="D860" s="15"/>
      <c r="E860" s="15"/>
      <c r="F860" s="15"/>
      <c r="G860" s="15"/>
      <c r="H860" s="15"/>
      <c r="I860" s="15"/>
      <c r="J860" s="15"/>
      <c r="K860" s="15"/>
      <c r="L860" s="28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  <c r="AG860" s="15"/>
      <c r="AH860" s="15"/>
      <c r="AI860" s="15"/>
      <c r="AJ860" s="15"/>
      <c r="AK860" s="15"/>
      <c r="AL860" s="15"/>
      <c r="AM860" s="15"/>
      <c r="AN860" s="15"/>
      <c r="AO860" s="15"/>
      <c r="AP860" s="15"/>
      <c r="AQ860" s="15"/>
      <c r="AR860" s="15"/>
      <c r="AS860" s="15"/>
      <c r="AT860" s="15"/>
      <c r="AU860" s="15"/>
      <c r="AV860" s="15"/>
      <c r="AW860" s="15"/>
    </row>
    <row r="861" spans="3:49" x14ac:dyDescent="0.2">
      <c r="C861" s="15"/>
      <c r="D861" s="15"/>
      <c r="E861" s="15"/>
      <c r="F861" s="15"/>
      <c r="G861" s="15"/>
      <c r="H861" s="15"/>
      <c r="I861" s="15"/>
      <c r="J861" s="15"/>
      <c r="K861" s="15"/>
      <c r="L861" s="28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  <c r="AG861" s="15"/>
      <c r="AH861" s="15"/>
      <c r="AI861" s="15"/>
      <c r="AJ861" s="15"/>
      <c r="AK861" s="15"/>
      <c r="AL861" s="15"/>
      <c r="AM861" s="15"/>
      <c r="AN861" s="15"/>
      <c r="AO861" s="15"/>
      <c r="AP861" s="15"/>
      <c r="AQ861" s="15"/>
      <c r="AR861" s="15"/>
      <c r="AS861" s="15"/>
      <c r="AT861" s="15"/>
      <c r="AU861" s="15"/>
      <c r="AV861" s="15"/>
      <c r="AW861" s="15"/>
    </row>
    <row r="862" spans="3:49" x14ac:dyDescent="0.2">
      <c r="C862" s="15"/>
      <c r="D862" s="15"/>
      <c r="E862" s="15"/>
      <c r="F862" s="15"/>
      <c r="G862" s="15"/>
      <c r="H862" s="15"/>
      <c r="I862" s="15"/>
      <c r="J862" s="15"/>
      <c r="K862" s="15"/>
      <c r="L862" s="28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  <c r="AG862" s="15"/>
      <c r="AH862" s="15"/>
      <c r="AI862" s="15"/>
      <c r="AJ862" s="15"/>
      <c r="AK862" s="15"/>
      <c r="AL862" s="15"/>
      <c r="AM862" s="15"/>
      <c r="AN862" s="15"/>
      <c r="AO862" s="15"/>
      <c r="AP862" s="15"/>
      <c r="AQ862" s="15"/>
      <c r="AR862" s="15"/>
      <c r="AS862" s="15"/>
      <c r="AT862" s="15"/>
      <c r="AU862" s="15"/>
      <c r="AV862" s="15"/>
      <c r="AW862" s="15"/>
    </row>
    <row r="863" spans="3:49" x14ac:dyDescent="0.2">
      <c r="C863" s="15"/>
      <c r="D863" s="15"/>
      <c r="E863" s="15"/>
      <c r="F863" s="15"/>
      <c r="G863" s="15"/>
      <c r="H863" s="15"/>
      <c r="I863" s="15"/>
      <c r="J863" s="15"/>
      <c r="K863" s="15"/>
      <c r="L863" s="28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  <c r="AG863" s="15"/>
      <c r="AH863" s="15"/>
      <c r="AI863" s="15"/>
      <c r="AJ863" s="15"/>
      <c r="AK863" s="15"/>
      <c r="AL863" s="15"/>
      <c r="AM863" s="15"/>
      <c r="AN863" s="15"/>
      <c r="AO863" s="15"/>
      <c r="AP863" s="15"/>
      <c r="AQ863" s="15"/>
      <c r="AR863" s="15"/>
      <c r="AS863" s="15"/>
      <c r="AT863" s="15"/>
      <c r="AU863" s="15"/>
      <c r="AV863" s="15"/>
      <c r="AW863" s="15"/>
    </row>
    <row r="864" spans="3:49" x14ac:dyDescent="0.2">
      <c r="C864" s="15"/>
      <c r="D864" s="15"/>
      <c r="E864" s="15"/>
      <c r="F864" s="15"/>
      <c r="G864" s="15"/>
      <c r="H864" s="15"/>
      <c r="I864" s="15"/>
      <c r="J864" s="15"/>
      <c r="K864" s="15"/>
      <c r="L864" s="28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  <c r="AG864" s="15"/>
      <c r="AH864" s="15"/>
      <c r="AI864" s="15"/>
      <c r="AJ864" s="15"/>
      <c r="AK864" s="15"/>
      <c r="AL864" s="15"/>
      <c r="AM864" s="15"/>
      <c r="AN864" s="15"/>
      <c r="AO864" s="15"/>
      <c r="AP864" s="15"/>
      <c r="AQ864" s="15"/>
      <c r="AR864" s="15"/>
      <c r="AS864" s="15"/>
      <c r="AT864" s="15"/>
      <c r="AU864" s="15"/>
      <c r="AV864" s="15"/>
      <c r="AW864" s="15"/>
    </row>
    <row r="865" spans="3:49" x14ac:dyDescent="0.2">
      <c r="C865" s="15"/>
      <c r="D865" s="15"/>
      <c r="E865" s="15"/>
      <c r="F865" s="15"/>
      <c r="G865" s="15"/>
      <c r="H865" s="15"/>
      <c r="I865" s="15"/>
      <c r="J865" s="15"/>
      <c r="K865" s="15"/>
      <c r="L865" s="28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  <c r="AG865" s="15"/>
      <c r="AH865" s="15"/>
      <c r="AI865" s="15"/>
      <c r="AJ865" s="15"/>
      <c r="AK865" s="15"/>
      <c r="AL865" s="15"/>
      <c r="AM865" s="15"/>
      <c r="AN865" s="15"/>
      <c r="AO865" s="15"/>
      <c r="AP865" s="15"/>
      <c r="AQ865" s="15"/>
      <c r="AR865" s="15"/>
      <c r="AS865" s="15"/>
      <c r="AT865" s="15"/>
      <c r="AU865" s="15"/>
      <c r="AV865" s="15"/>
      <c r="AW865" s="15"/>
    </row>
    <row r="866" spans="3:49" x14ac:dyDescent="0.2">
      <c r="C866" s="15"/>
      <c r="D866" s="15"/>
      <c r="E866" s="15"/>
      <c r="F866" s="15"/>
      <c r="G866" s="15"/>
      <c r="H866" s="15"/>
      <c r="I866" s="15"/>
      <c r="J866" s="15"/>
      <c r="K866" s="15"/>
      <c r="L866" s="28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  <c r="AG866" s="15"/>
      <c r="AH866" s="15"/>
      <c r="AI866" s="15"/>
      <c r="AJ866" s="15"/>
      <c r="AK866" s="15"/>
      <c r="AL866" s="15"/>
      <c r="AM866" s="15"/>
      <c r="AN866" s="15"/>
      <c r="AO866" s="15"/>
      <c r="AP866" s="15"/>
      <c r="AQ866" s="15"/>
      <c r="AR866" s="15"/>
      <c r="AS866" s="15"/>
      <c r="AT866" s="15"/>
      <c r="AU866" s="15"/>
      <c r="AV866" s="15"/>
      <c r="AW866" s="15"/>
    </row>
    <row r="867" spans="3:49" x14ac:dyDescent="0.2">
      <c r="C867" s="15"/>
      <c r="D867" s="15"/>
      <c r="E867" s="15"/>
      <c r="F867" s="15"/>
      <c r="G867" s="15"/>
      <c r="H867" s="15"/>
      <c r="I867" s="15"/>
      <c r="J867" s="15"/>
      <c r="K867" s="15"/>
      <c r="L867" s="28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  <c r="AG867" s="15"/>
      <c r="AH867" s="15"/>
      <c r="AI867" s="15"/>
      <c r="AJ867" s="15"/>
      <c r="AK867" s="15"/>
      <c r="AL867" s="15"/>
      <c r="AM867" s="15"/>
      <c r="AN867" s="15"/>
      <c r="AO867" s="15"/>
      <c r="AP867" s="15"/>
      <c r="AQ867" s="15"/>
      <c r="AR867" s="15"/>
      <c r="AS867" s="15"/>
      <c r="AT867" s="15"/>
      <c r="AU867" s="15"/>
      <c r="AV867" s="15"/>
      <c r="AW867" s="15"/>
    </row>
    <row r="868" spans="3:49" x14ac:dyDescent="0.2">
      <c r="C868" s="15"/>
      <c r="D868" s="15"/>
      <c r="E868" s="15"/>
      <c r="F868" s="15"/>
      <c r="G868" s="15"/>
      <c r="H868" s="15"/>
      <c r="I868" s="15"/>
      <c r="J868" s="15"/>
      <c r="K868" s="15"/>
      <c r="L868" s="28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  <c r="AG868" s="15"/>
      <c r="AH868" s="15"/>
      <c r="AI868" s="15"/>
      <c r="AJ868" s="15"/>
      <c r="AK868" s="15"/>
      <c r="AL868" s="15"/>
      <c r="AM868" s="15"/>
      <c r="AN868" s="15"/>
      <c r="AO868" s="15"/>
      <c r="AP868" s="15"/>
      <c r="AQ868" s="15"/>
      <c r="AR868" s="15"/>
      <c r="AS868" s="15"/>
      <c r="AT868" s="15"/>
      <c r="AU868" s="15"/>
      <c r="AV868" s="15"/>
      <c r="AW868" s="15"/>
    </row>
    <row r="869" spans="3:49" x14ac:dyDescent="0.2">
      <c r="C869" s="15"/>
      <c r="D869" s="15"/>
      <c r="E869" s="15"/>
      <c r="F869" s="15"/>
      <c r="G869" s="15"/>
      <c r="H869" s="15"/>
      <c r="I869" s="15"/>
      <c r="J869" s="15"/>
      <c r="K869" s="15"/>
      <c r="L869" s="28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  <c r="AG869" s="15"/>
      <c r="AH869" s="15"/>
      <c r="AI869" s="15"/>
      <c r="AJ869" s="15"/>
      <c r="AK869" s="15"/>
      <c r="AL869" s="15"/>
      <c r="AM869" s="15"/>
      <c r="AN869" s="15"/>
      <c r="AO869" s="15"/>
      <c r="AP869" s="15"/>
      <c r="AQ869" s="15"/>
      <c r="AR869" s="15"/>
      <c r="AS869" s="15"/>
      <c r="AT869" s="15"/>
      <c r="AU869" s="15"/>
      <c r="AV869" s="15"/>
      <c r="AW869" s="15"/>
    </row>
    <row r="870" spans="3:49" x14ac:dyDescent="0.2">
      <c r="C870" s="15"/>
      <c r="D870" s="15"/>
      <c r="E870" s="15"/>
      <c r="F870" s="15"/>
      <c r="G870" s="15"/>
      <c r="H870" s="15"/>
      <c r="I870" s="15"/>
      <c r="J870" s="15"/>
      <c r="K870" s="15"/>
      <c r="L870" s="28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  <c r="AG870" s="15"/>
      <c r="AH870" s="15"/>
      <c r="AI870" s="15"/>
      <c r="AJ870" s="15"/>
      <c r="AK870" s="15"/>
      <c r="AL870" s="15"/>
      <c r="AM870" s="15"/>
      <c r="AN870" s="15"/>
      <c r="AO870" s="15"/>
      <c r="AP870" s="15"/>
      <c r="AQ870" s="15"/>
      <c r="AR870" s="15"/>
      <c r="AS870" s="15"/>
      <c r="AT870" s="15"/>
      <c r="AU870" s="15"/>
      <c r="AV870" s="15"/>
      <c r="AW870" s="15"/>
    </row>
    <row r="871" spans="3:49" x14ac:dyDescent="0.2">
      <c r="C871" s="15"/>
      <c r="D871" s="15"/>
      <c r="E871" s="15"/>
      <c r="F871" s="15"/>
      <c r="G871" s="15"/>
      <c r="H871" s="15"/>
      <c r="I871" s="15"/>
      <c r="J871" s="15"/>
      <c r="K871" s="15"/>
      <c r="L871" s="28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  <c r="AG871" s="15"/>
      <c r="AH871" s="15"/>
      <c r="AI871" s="15"/>
      <c r="AJ871" s="15"/>
      <c r="AK871" s="15"/>
      <c r="AL871" s="15"/>
      <c r="AM871" s="15"/>
      <c r="AN871" s="15"/>
      <c r="AO871" s="15"/>
      <c r="AP871" s="15"/>
      <c r="AQ871" s="15"/>
      <c r="AR871" s="15"/>
      <c r="AS871" s="15"/>
      <c r="AT871" s="15"/>
      <c r="AU871" s="15"/>
      <c r="AV871" s="15"/>
      <c r="AW871" s="15"/>
    </row>
    <row r="872" spans="3:49" x14ac:dyDescent="0.2">
      <c r="C872" s="15"/>
      <c r="D872" s="15"/>
      <c r="E872" s="15"/>
      <c r="F872" s="15"/>
      <c r="G872" s="15"/>
      <c r="H872" s="15"/>
      <c r="I872" s="15"/>
      <c r="J872" s="15"/>
      <c r="K872" s="15"/>
      <c r="L872" s="28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  <c r="AG872" s="15"/>
      <c r="AH872" s="15"/>
      <c r="AI872" s="15"/>
      <c r="AJ872" s="15"/>
      <c r="AK872" s="15"/>
      <c r="AL872" s="15"/>
      <c r="AM872" s="15"/>
      <c r="AN872" s="15"/>
      <c r="AO872" s="15"/>
      <c r="AP872" s="15"/>
      <c r="AQ872" s="15"/>
      <c r="AR872" s="15"/>
      <c r="AS872" s="15"/>
      <c r="AT872" s="15"/>
      <c r="AU872" s="15"/>
      <c r="AV872" s="15"/>
      <c r="AW872" s="15"/>
    </row>
    <row r="873" spans="3:49" x14ac:dyDescent="0.2">
      <c r="C873" s="15"/>
      <c r="D873" s="15"/>
      <c r="E873" s="15"/>
      <c r="F873" s="15"/>
      <c r="G873" s="15"/>
      <c r="H873" s="15"/>
      <c r="I873" s="15"/>
      <c r="J873" s="15"/>
      <c r="K873" s="15"/>
      <c r="L873" s="28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  <c r="AG873" s="15"/>
      <c r="AH873" s="15"/>
      <c r="AI873" s="15"/>
      <c r="AJ873" s="15"/>
      <c r="AK873" s="15"/>
      <c r="AL873" s="15"/>
      <c r="AM873" s="15"/>
      <c r="AN873" s="15"/>
      <c r="AO873" s="15"/>
      <c r="AP873" s="15"/>
      <c r="AQ873" s="15"/>
      <c r="AR873" s="15"/>
      <c r="AS873" s="15"/>
      <c r="AT873" s="15"/>
      <c r="AU873" s="15"/>
      <c r="AV873" s="15"/>
      <c r="AW873" s="15"/>
    </row>
    <row r="874" spans="3:49" x14ac:dyDescent="0.2">
      <c r="C874" s="15"/>
      <c r="D874" s="15"/>
      <c r="E874" s="15"/>
      <c r="F874" s="15"/>
      <c r="G874" s="15"/>
      <c r="H874" s="15"/>
      <c r="I874" s="15"/>
      <c r="J874" s="15"/>
      <c r="K874" s="15"/>
      <c r="L874" s="28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  <c r="AG874" s="15"/>
      <c r="AH874" s="15"/>
      <c r="AI874" s="15"/>
      <c r="AJ874" s="15"/>
      <c r="AK874" s="15"/>
      <c r="AL874" s="15"/>
      <c r="AM874" s="15"/>
      <c r="AN874" s="15"/>
      <c r="AO874" s="15"/>
      <c r="AP874" s="15"/>
      <c r="AQ874" s="15"/>
      <c r="AR874" s="15"/>
      <c r="AS874" s="15"/>
      <c r="AT874" s="15"/>
      <c r="AU874" s="15"/>
      <c r="AV874" s="15"/>
      <c r="AW874" s="15"/>
    </row>
    <row r="875" spans="3:49" x14ac:dyDescent="0.2">
      <c r="C875" s="15"/>
      <c r="D875" s="15"/>
      <c r="E875" s="15"/>
      <c r="F875" s="15"/>
      <c r="G875" s="15"/>
      <c r="H875" s="15"/>
      <c r="I875" s="15"/>
      <c r="J875" s="15"/>
      <c r="K875" s="15"/>
      <c r="L875" s="28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  <c r="AG875" s="15"/>
      <c r="AH875" s="15"/>
      <c r="AI875" s="15"/>
      <c r="AJ875" s="15"/>
      <c r="AK875" s="15"/>
      <c r="AL875" s="15"/>
      <c r="AM875" s="15"/>
      <c r="AN875" s="15"/>
      <c r="AO875" s="15"/>
      <c r="AP875" s="15"/>
      <c r="AQ875" s="15"/>
      <c r="AR875" s="15"/>
      <c r="AS875" s="15"/>
      <c r="AT875" s="15"/>
      <c r="AU875" s="15"/>
      <c r="AV875" s="15"/>
      <c r="AW875" s="15"/>
    </row>
    <row r="876" spans="3:49" x14ac:dyDescent="0.2">
      <c r="C876" s="15"/>
      <c r="D876" s="15"/>
      <c r="E876" s="15"/>
      <c r="F876" s="15"/>
      <c r="G876" s="15"/>
      <c r="H876" s="15"/>
      <c r="I876" s="15"/>
      <c r="J876" s="15"/>
      <c r="K876" s="15"/>
      <c r="L876" s="28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  <c r="AG876" s="15"/>
      <c r="AH876" s="15"/>
      <c r="AI876" s="15"/>
      <c r="AJ876" s="15"/>
      <c r="AK876" s="15"/>
      <c r="AL876" s="15"/>
      <c r="AM876" s="15"/>
      <c r="AN876" s="15"/>
      <c r="AO876" s="15"/>
      <c r="AP876" s="15"/>
      <c r="AQ876" s="15"/>
      <c r="AR876" s="15"/>
      <c r="AS876" s="15"/>
      <c r="AT876" s="15"/>
      <c r="AU876" s="15"/>
      <c r="AV876" s="15"/>
      <c r="AW876" s="15"/>
    </row>
    <row r="877" spans="3:49" x14ac:dyDescent="0.2">
      <c r="C877" s="15"/>
      <c r="D877" s="15"/>
      <c r="E877" s="15"/>
      <c r="F877" s="15"/>
      <c r="G877" s="15"/>
      <c r="H877" s="15"/>
      <c r="I877" s="15"/>
      <c r="J877" s="15"/>
      <c r="K877" s="15"/>
      <c r="L877" s="28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  <c r="AG877" s="15"/>
      <c r="AH877" s="15"/>
      <c r="AI877" s="15"/>
      <c r="AJ877" s="15"/>
      <c r="AK877" s="15"/>
      <c r="AL877" s="15"/>
      <c r="AM877" s="15"/>
      <c r="AN877" s="15"/>
      <c r="AO877" s="15"/>
      <c r="AP877" s="15"/>
      <c r="AQ877" s="15"/>
      <c r="AR877" s="15"/>
      <c r="AS877" s="15"/>
      <c r="AT877" s="15"/>
      <c r="AU877" s="15"/>
      <c r="AV877" s="15"/>
      <c r="AW877" s="15"/>
    </row>
    <row r="878" spans="3:49" x14ac:dyDescent="0.2">
      <c r="C878" s="15"/>
      <c r="D878" s="15"/>
      <c r="E878" s="15"/>
      <c r="F878" s="15"/>
      <c r="G878" s="15"/>
      <c r="H878" s="15"/>
      <c r="I878" s="15"/>
      <c r="J878" s="15"/>
      <c r="K878" s="15"/>
      <c r="L878" s="28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  <c r="AG878" s="15"/>
      <c r="AH878" s="15"/>
      <c r="AI878" s="15"/>
      <c r="AJ878" s="15"/>
      <c r="AK878" s="15"/>
      <c r="AL878" s="15"/>
      <c r="AM878" s="15"/>
      <c r="AN878" s="15"/>
      <c r="AO878" s="15"/>
      <c r="AP878" s="15"/>
      <c r="AQ878" s="15"/>
      <c r="AR878" s="15"/>
      <c r="AS878" s="15"/>
      <c r="AT878" s="15"/>
      <c r="AU878" s="15"/>
      <c r="AV878" s="15"/>
      <c r="AW878" s="15"/>
    </row>
    <row r="879" spans="3:49" x14ac:dyDescent="0.2">
      <c r="C879" s="15"/>
      <c r="D879" s="15"/>
      <c r="E879" s="15"/>
      <c r="F879" s="15"/>
      <c r="G879" s="15"/>
      <c r="H879" s="15"/>
      <c r="I879" s="15"/>
      <c r="J879" s="15"/>
      <c r="K879" s="15"/>
      <c r="L879" s="28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  <c r="AG879" s="15"/>
      <c r="AH879" s="15"/>
      <c r="AI879" s="15"/>
      <c r="AJ879" s="15"/>
      <c r="AK879" s="15"/>
      <c r="AL879" s="15"/>
      <c r="AM879" s="15"/>
      <c r="AN879" s="15"/>
      <c r="AO879" s="15"/>
      <c r="AP879" s="15"/>
      <c r="AQ879" s="15"/>
      <c r="AR879" s="15"/>
      <c r="AS879" s="15"/>
      <c r="AT879" s="15"/>
      <c r="AU879" s="15"/>
      <c r="AV879" s="15"/>
      <c r="AW879" s="15"/>
    </row>
    <row r="880" spans="3:49" x14ac:dyDescent="0.2">
      <c r="C880" s="15"/>
      <c r="D880" s="15"/>
      <c r="E880" s="15"/>
      <c r="F880" s="15"/>
      <c r="G880" s="15"/>
      <c r="H880" s="15"/>
      <c r="I880" s="15"/>
      <c r="J880" s="15"/>
      <c r="K880" s="15"/>
      <c r="L880" s="28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  <c r="AG880" s="15"/>
      <c r="AH880" s="15"/>
      <c r="AI880" s="15"/>
      <c r="AJ880" s="15"/>
      <c r="AK880" s="15"/>
      <c r="AL880" s="15"/>
      <c r="AM880" s="15"/>
      <c r="AN880" s="15"/>
      <c r="AO880" s="15"/>
      <c r="AP880" s="15"/>
      <c r="AQ880" s="15"/>
      <c r="AR880" s="15"/>
      <c r="AS880" s="15"/>
      <c r="AT880" s="15"/>
      <c r="AU880" s="15"/>
      <c r="AV880" s="15"/>
      <c r="AW880" s="15"/>
    </row>
    <row r="881" spans="3:49" x14ac:dyDescent="0.2">
      <c r="C881" s="15"/>
      <c r="D881" s="15"/>
      <c r="E881" s="15"/>
      <c r="F881" s="15"/>
      <c r="G881" s="15"/>
      <c r="H881" s="15"/>
      <c r="I881" s="15"/>
      <c r="J881" s="15"/>
      <c r="K881" s="15"/>
      <c r="L881" s="28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  <c r="AG881" s="15"/>
      <c r="AH881" s="15"/>
      <c r="AI881" s="15"/>
      <c r="AJ881" s="15"/>
      <c r="AK881" s="15"/>
      <c r="AL881" s="15"/>
      <c r="AM881" s="15"/>
      <c r="AN881" s="15"/>
      <c r="AO881" s="15"/>
      <c r="AP881" s="15"/>
      <c r="AQ881" s="15"/>
      <c r="AR881" s="15"/>
      <c r="AS881" s="15"/>
      <c r="AT881" s="15"/>
      <c r="AU881" s="15"/>
      <c r="AV881" s="15"/>
      <c r="AW881" s="15"/>
    </row>
    <row r="882" spans="3:49" x14ac:dyDescent="0.2">
      <c r="C882" s="15"/>
      <c r="D882" s="15"/>
      <c r="E882" s="15"/>
      <c r="F882" s="15"/>
      <c r="G882" s="15"/>
      <c r="H882" s="15"/>
      <c r="I882" s="15"/>
      <c r="J882" s="15"/>
      <c r="K882" s="15"/>
      <c r="L882" s="28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  <c r="AG882" s="15"/>
      <c r="AH882" s="15"/>
      <c r="AI882" s="15"/>
      <c r="AJ882" s="15"/>
      <c r="AK882" s="15"/>
      <c r="AL882" s="15"/>
      <c r="AM882" s="15"/>
      <c r="AN882" s="15"/>
      <c r="AO882" s="15"/>
      <c r="AP882" s="15"/>
      <c r="AQ882" s="15"/>
      <c r="AR882" s="15"/>
      <c r="AS882" s="15"/>
      <c r="AT882" s="15"/>
      <c r="AU882" s="15"/>
      <c r="AV882" s="15"/>
      <c r="AW882" s="15"/>
    </row>
    <row r="883" spans="3:49" x14ac:dyDescent="0.2">
      <c r="C883" s="15"/>
      <c r="D883" s="15"/>
      <c r="E883" s="15"/>
      <c r="F883" s="15"/>
      <c r="G883" s="15"/>
      <c r="H883" s="15"/>
      <c r="I883" s="15"/>
      <c r="J883" s="15"/>
      <c r="K883" s="15"/>
      <c r="L883" s="28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  <c r="AG883" s="15"/>
      <c r="AH883" s="15"/>
      <c r="AI883" s="15"/>
      <c r="AJ883" s="15"/>
      <c r="AK883" s="15"/>
      <c r="AL883" s="15"/>
      <c r="AM883" s="15"/>
      <c r="AN883" s="15"/>
      <c r="AO883" s="15"/>
      <c r="AP883" s="15"/>
      <c r="AQ883" s="15"/>
      <c r="AR883" s="15"/>
      <c r="AS883" s="15"/>
      <c r="AT883" s="15"/>
      <c r="AU883" s="15"/>
      <c r="AV883" s="15"/>
      <c r="AW883" s="15"/>
    </row>
    <row r="884" spans="3:49" x14ac:dyDescent="0.2">
      <c r="C884" s="15"/>
      <c r="D884" s="15"/>
      <c r="E884" s="15"/>
      <c r="F884" s="15"/>
      <c r="G884" s="15"/>
      <c r="H884" s="15"/>
      <c r="I884" s="15"/>
      <c r="J884" s="15"/>
      <c r="K884" s="15"/>
      <c r="L884" s="28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  <c r="AG884" s="15"/>
      <c r="AH884" s="15"/>
      <c r="AI884" s="15"/>
      <c r="AJ884" s="15"/>
      <c r="AK884" s="15"/>
      <c r="AL884" s="15"/>
      <c r="AM884" s="15"/>
      <c r="AN884" s="15"/>
      <c r="AO884" s="15"/>
      <c r="AP884" s="15"/>
      <c r="AQ884" s="15"/>
      <c r="AR884" s="15"/>
      <c r="AS884" s="15"/>
      <c r="AT884" s="15"/>
      <c r="AU884" s="15"/>
      <c r="AV884" s="15"/>
      <c r="AW884" s="15"/>
    </row>
    <row r="885" spans="3:49" x14ac:dyDescent="0.2">
      <c r="C885" s="15"/>
      <c r="D885" s="15"/>
      <c r="E885" s="15"/>
      <c r="F885" s="15"/>
      <c r="G885" s="15"/>
      <c r="H885" s="15"/>
      <c r="I885" s="15"/>
      <c r="J885" s="15"/>
      <c r="K885" s="15"/>
      <c r="L885" s="28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  <c r="AG885" s="15"/>
      <c r="AH885" s="15"/>
      <c r="AI885" s="15"/>
      <c r="AJ885" s="15"/>
      <c r="AK885" s="15"/>
      <c r="AL885" s="15"/>
      <c r="AM885" s="15"/>
      <c r="AN885" s="15"/>
      <c r="AO885" s="15"/>
      <c r="AP885" s="15"/>
      <c r="AQ885" s="15"/>
      <c r="AR885" s="15"/>
      <c r="AS885" s="15"/>
      <c r="AT885" s="15"/>
      <c r="AU885" s="15"/>
      <c r="AV885" s="15"/>
      <c r="AW885" s="15"/>
    </row>
    <row r="886" spans="3:49" x14ac:dyDescent="0.2">
      <c r="C886" s="15"/>
      <c r="D886" s="15"/>
      <c r="E886" s="15"/>
      <c r="F886" s="15"/>
      <c r="G886" s="15"/>
      <c r="H886" s="15"/>
      <c r="I886" s="15"/>
      <c r="J886" s="15"/>
      <c r="K886" s="15"/>
      <c r="L886" s="28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  <c r="AG886" s="15"/>
      <c r="AH886" s="15"/>
      <c r="AI886" s="15"/>
      <c r="AJ886" s="15"/>
      <c r="AK886" s="15"/>
      <c r="AL886" s="15"/>
      <c r="AM886" s="15"/>
      <c r="AN886" s="15"/>
      <c r="AO886" s="15"/>
      <c r="AP886" s="15"/>
      <c r="AQ886" s="15"/>
      <c r="AR886" s="15"/>
      <c r="AS886" s="15"/>
      <c r="AT886" s="15"/>
      <c r="AU886" s="15"/>
      <c r="AV886" s="15"/>
      <c r="AW886" s="15"/>
    </row>
    <row r="887" spans="3:49" x14ac:dyDescent="0.2">
      <c r="C887" s="15"/>
      <c r="D887" s="15"/>
      <c r="E887" s="15"/>
      <c r="F887" s="15"/>
      <c r="G887" s="15"/>
      <c r="H887" s="15"/>
      <c r="I887" s="15"/>
      <c r="J887" s="15"/>
      <c r="K887" s="15"/>
      <c r="L887" s="28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  <c r="AG887" s="15"/>
      <c r="AH887" s="15"/>
      <c r="AI887" s="15"/>
      <c r="AJ887" s="15"/>
      <c r="AK887" s="15"/>
      <c r="AL887" s="15"/>
      <c r="AM887" s="15"/>
      <c r="AN887" s="15"/>
      <c r="AO887" s="15"/>
      <c r="AP887" s="15"/>
      <c r="AQ887" s="15"/>
      <c r="AR887" s="15"/>
      <c r="AS887" s="15"/>
      <c r="AT887" s="15"/>
      <c r="AU887" s="15"/>
      <c r="AV887" s="15"/>
      <c r="AW887" s="15"/>
    </row>
    <row r="888" spans="3:49" x14ac:dyDescent="0.2">
      <c r="C888" s="15"/>
      <c r="D888" s="15"/>
      <c r="E888" s="15"/>
      <c r="F888" s="15"/>
      <c r="G888" s="15"/>
      <c r="H888" s="15"/>
      <c r="I888" s="15"/>
      <c r="J888" s="15"/>
      <c r="K888" s="15"/>
      <c r="L888" s="28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  <c r="AG888" s="15"/>
      <c r="AH888" s="15"/>
      <c r="AI888" s="15"/>
      <c r="AJ888" s="15"/>
      <c r="AK888" s="15"/>
      <c r="AL888" s="15"/>
      <c r="AM888" s="15"/>
      <c r="AN888" s="15"/>
      <c r="AO888" s="15"/>
      <c r="AP888" s="15"/>
      <c r="AQ888" s="15"/>
      <c r="AR888" s="15"/>
      <c r="AS888" s="15"/>
      <c r="AT888" s="15"/>
      <c r="AU888" s="15"/>
      <c r="AV888" s="15"/>
      <c r="AW888" s="15"/>
    </row>
    <row r="889" spans="3:49" x14ac:dyDescent="0.2">
      <c r="C889" s="15"/>
      <c r="D889" s="15"/>
      <c r="E889" s="15"/>
      <c r="F889" s="15"/>
      <c r="G889" s="15"/>
      <c r="H889" s="15"/>
      <c r="I889" s="15"/>
      <c r="J889" s="15"/>
      <c r="K889" s="15"/>
      <c r="L889" s="28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  <c r="AG889" s="15"/>
      <c r="AH889" s="15"/>
      <c r="AI889" s="15"/>
      <c r="AJ889" s="15"/>
      <c r="AK889" s="15"/>
      <c r="AL889" s="15"/>
      <c r="AM889" s="15"/>
      <c r="AN889" s="15"/>
      <c r="AO889" s="15"/>
      <c r="AP889" s="15"/>
      <c r="AQ889" s="15"/>
      <c r="AR889" s="15"/>
      <c r="AS889" s="15"/>
      <c r="AT889" s="15"/>
      <c r="AU889" s="15"/>
      <c r="AV889" s="15"/>
      <c r="AW889" s="15"/>
    </row>
    <row r="890" spans="3:49" x14ac:dyDescent="0.2">
      <c r="C890" s="15"/>
      <c r="D890" s="15"/>
      <c r="E890" s="15"/>
      <c r="F890" s="15"/>
      <c r="G890" s="15"/>
      <c r="H890" s="15"/>
      <c r="I890" s="15"/>
      <c r="J890" s="15"/>
      <c r="K890" s="15"/>
      <c r="L890" s="28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  <c r="AG890" s="15"/>
      <c r="AH890" s="15"/>
      <c r="AI890" s="15"/>
      <c r="AJ890" s="15"/>
      <c r="AK890" s="15"/>
      <c r="AL890" s="15"/>
      <c r="AM890" s="15"/>
      <c r="AN890" s="15"/>
      <c r="AO890" s="15"/>
      <c r="AP890" s="15"/>
      <c r="AQ890" s="15"/>
      <c r="AR890" s="15"/>
      <c r="AS890" s="15"/>
      <c r="AT890" s="15"/>
      <c r="AU890" s="15"/>
      <c r="AV890" s="15"/>
      <c r="AW890" s="15"/>
    </row>
    <row r="891" spans="3:49" x14ac:dyDescent="0.2">
      <c r="C891" s="15"/>
      <c r="D891" s="15"/>
      <c r="E891" s="15"/>
      <c r="F891" s="15"/>
      <c r="G891" s="15"/>
      <c r="H891" s="15"/>
      <c r="I891" s="15"/>
      <c r="J891" s="15"/>
      <c r="K891" s="15"/>
      <c r="L891" s="28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  <c r="AG891" s="15"/>
      <c r="AH891" s="15"/>
      <c r="AI891" s="15"/>
      <c r="AJ891" s="15"/>
      <c r="AK891" s="15"/>
      <c r="AL891" s="15"/>
      <c r="AM891" s="15"/>
      <c r="AN891" s="15"/>
      <c r="AO891" s="15"/>
      <c r="AP891" s="15"/>
      <c r="AQ891" s="15"/>
      <c r="AR891" s="15"/>
      <c r="AS891" s="15"/>
      <c r="AT891" s="15"/>
      <c r="AU891" s="15"/>
      <c r="AV891" s="15"/>
      <c r="AW891" s="15"/>
    </row>
    <row r="892" spans="3:49" x14ac:dyDescent="0.2">
      <c r="C892" s="15"/>
      <c r="D892" s="15"/>
      <c r="E892" s="15"/>
      <c r="F892" s="15"/>
      <c r="G892" s="15"/>
      <c r="H892" s="15"/>
      <c r="I892" s="15"/>
      <c r="J892" s="15"/>
      <c r="K892" s="15"/>
      <c r="L892" s="28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  <c r="AG892" s="15"/>
      <c r="AH892" s="15"/>
      <c r="AI892" s="15"/>
      <c r="AJ892" s="15"/>
      <c r="AK892" s="15"/>
      <c r="AL892" s="15"/>
      <c r="AM892" s="15"/>
      <c r="AN892" s="15"/>
      <c r="AO892" s="15"/>
      <c r="AP892" s="15"/>
      <c r="AQ892" s="15"/>
      <c r="AR892" s="15"/>
      <c r="AS892" s="15"/>
      <c r="AT892" s="15"/>
      <c r="AU892" s="15"/>
      <c r="AV892" s="15"/>
      <c r="AW892" s="15"/>
    </row>
    <row r="893" spans="3:49" x14ac:dyDescent="0.2">
      <c r="C893" s="15"/>
      <c r="D893" s="15"/>
      <c r="E893" s="15"/>
      <c r="F893" s="15"/>
      <c r="G893" s="15"/>
      <c r="H893" s="15"/>
      <c r="I893" s="15"/>
      <c r="J893" s="15"/>
      <c r="K893" s="15"/>
      <c r="L893" s="28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  <c r="AG893" s="15"/>
      <c r="AH893" s="15"/>
      <c r="AI893" s="15"/>
      <c r="AJ893" s="15"/>
      <c r="AK893" s="15"/>
      <c r="AL893" s="15"/>
      <c r="AM893" s="15"/>
      <c r="AN893" s="15"/>
      <c r="AO893" s="15"/>
      <c r="AP893" s="15"/>
      <c r="AQ893" s="15"/>
      <c r="AR893" s="15"/>
      <c r="AS893" s="15"/>
      <c r="AT893" s="15"/>
      <c r="AU893" s="15"/>
      <c r="AV893" s="15"/>
      <c r="AW893" s="15"/>
    </row>
    <row r="894" spans="3:49" x14ac:dyDescent="0.2">
      <c r="C894" s="15"/>
      <c r="D894" s="15"/>
      <c r="E894" s="15"/>
      <c r="F894" s="15"/>
      <c r="G894" s="15"/>
      <c r="H894" s="15"/>
      <c r="I894" s="15"/>
      <c r="J894" s="15"/>
      <c r="K894" s="15"/>
      <c r="L894" s="28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  <c r="AG894" s="15"/>
      <c r="AH894" s="15"/>
      <c r="AI894" s="15"/>
      <c r="AJ894" s="15"/>
      <c r="AK894" s="15"/>
      <c r="AL894" s="15"/>
      <c r="AM894" s="15"/>
      <c r="AN894" s="15"/>
      <c r="AO894" s="15"/>
      <c r="AP894" s="15"/>
      <c r="AQ894" s="15"/>
      <c r="AR894" s="15"/>
      <c r="AS894" s="15"/>
      <c r="AT894" s="15"/>
      <c r="AU894" s="15"/>
      <c r="AV894" s="15"/>
      <c r="AW894" s="15"/>
    </row>
    <row r="895" spans="3:49" x14ac:dyDescent="0.2">
      <c r="C895" s="15"/>
      <c r="D895" s="15"/>
      <c r="E895" s="15"/>
      <c r="F895" s="15"/>
      <c r="G895" s="15"/>
      <c r="H895" s="15"/>
      <c r="I895" s="15"/>
      <c r="J895" s="15"/>
      <c r="K895" s="15"/>
      <c r="L895" s="28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  <c r="AG895" s="15"/>
      <c r="AH895" s="15"/>
      <c r="AI895" s="15"/>
      <c r="AJ895" s="15"/>
      <c r="AK895" s="15"/>
      <c r="AL895" s="15"/>
      <c r="AM895" s="15"/>
      <c r="AN895" s="15"/>
      <c r="AO895" s="15"/>
      <c r="AP895" s="15"/>
      <c r="AQ895" s="15"/>
      <c r="AR895" s="15"/>
      <c r="AS895" s="15"/>
      <c r="AT895" s="15"/>
      <c r="AU895" s="15"/>
      <c r="AV895" s="15"/>
      <c r="AW895" s="15"/>
    </row>
    <row r="896" spans="3:49" x14ac:dyDescent="0.2">
      <c r="C896" s="15"/>
      <c r="D896" s="15"/>
      <c r="E896" s="15"/>
      <c r="F896" s="15"/>
      <c r="G896" s="15"/>
      <c r="H896" s="15"/>
      <c r="I896" s="15"/>
      <c r="J896" s="15"/>
      <c r="K896" s="15"/>
      <c r="L896" s="28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  <c r="AG896" s="15"/>
      <c r="AH896" s="15"/>
      <c r="AI896" s="15"/>
      <c r="AJ896" s="15"/>
      <c r="AK896" s="15"/>
      <c r="AL896" s="15"/>
      <c r="AM896" s="15"/>
      <c r="AN896" s="15"/>
      <c r="AO896" s="15"/>
      <c r="AP896" s="15"/>
      <c r="AQ896" s="15"/>
      <c r="AR896" s="15"/>
      <c r="AS896" s="15"/>
      <c r="AT896" s="15"/>
      <c r="AU896" s="15"/>
      <c r="AV896" s="15"/>
      <c r="AW896" s="15"/>
    </row>
    <row r="897" spans="3:49" x14ac:dyDescent="0.2">
      <c r="C897" s="15"/>
      <c r="D897" s="15"/>
      <c r="E897" s="15"/>
      <c r="F897" s="15"/>
      <c r="G897" s="15"/>
      <c r="H897" s="15"/>
      <c r="I897" s="15"/>
      <c r="J897" s="15"/>
      <c r="K897" s="15"/>
      <c r="L897" s="28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  <c r="AG897" s="15"/>
      <c r="AH897" s="15"/>
      <c r="AI897" s="15"/>
      <c r="AJ897" s="15"/>
      <c r="AK897" s="15"/>
      <c r="AL897" s="15"/>
      <c r="AM897" s="15"/>
      <c r="AN897" s="15"/>
      <c r="AO897" s="15"/>
      <c r="AP897" s="15"/>
      <c r="AQ897" s="15"/>
      <c r="AR897" s="15"/>
      <c r="AS897" s="15"/>
      <c r="AT897" s="15"/>
      <c r="AU897" s="15"/>
      <c r="AV897" s="15"/>
      <c r="AW897" s="15"/>
    </row>
    <row r="898" spans="3:49" x14ac:dyDescent="0.2">
      <c r="C898" s="15"/>
      <c r="D898" s="15"/>
      <c r="E898" s="15"/>
      <c r="F898" s="15"/>
      <c r="G898" s="15"/>
      <c r="H898" s="15"/>
      <c r="I898" s="15"/>
      <c r="J898" s="15"/>
      <c r="K898" s="15"/>
      <c r="L898" s="28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  <c r="AG898" s="15"/>
      <c r="AH898" s="15"/>
      <c r="AI898" s="15"/>
      <c r="AJ898" s="15"/>
      <c r="AK898" s="15"/>
      <c r="AL898" s="15"/>
      <c r="AM898" s="15"/>
      <c r="AN898" s="15"/>
      <c r="AO898" s="15"/>
      <c r="AP898" s="15"/>
      <c r="AQ898" s="15"/>
      <c r="AR898" s="15"/>
      <c r="AS898" s="15"/>
      <c r="AT898" s="15"/>
      <c r="AU898" s="15"/>
      <c r="AV898" s="15"/>
      <c r="AW898" s="15"/>
    </row>
    <row r="899" spans="3:49" x14ac:dyDescent="0.2">
      <c r="C899" s="15"/>
      <c r="D899" s="15"/>
      <c r="E899" s="15"/>
      <c r="F899" s="15"/>
      <c r="G899" s="15"/>
      <c r="H899" s="15"/>
      <c r="I899" s="15"/>
      <c r="J899" s="15"/>
      <c r="K899" s="15"/>
      <c r="L899" s="28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  <c r="AG899" s="15"/>
      <c r="AH899" s="15"/>
      <c r="AI899" s="15"/>
      <c r="AJ899" s="15"/>
      <c r="AK899" s="15"/>
      <c r="AL899" s="15"/>
      <c r="AM899" s="15"/>
      <c r="AN899" s="15"/>
      <c r="AO899" s="15"/>
      <c r="AP899" s="15"/>
      <c r="AQ899" s="15"/>
      <c r="AR899" s="15"/>
      <c r="AS899" s="15"/>
      <c r="AT899" s="15"/>
      <c r="AU899" s="15"/>
      <c r="AV899" s="15"/>
      <c r="AW899" s="15"/>
    </row>
    <row r="900" spans="3:49" x14ac:dyDescent="0.2">
      <c r="C900" s="15"/>
      <c r="D900" s="15"/>
      <c r="E900" s="15"/>
      <c r="F900" s="15"/>
      <c r="G900" s="15"/>
      <c r="H900" s="15"/>
      <c r="I900" s="15"/>
      <c r="J900" s="15"/>
      <c r="K900" s="15"/>
      <c r="L900" s="28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  <c r="AG900" s="15"/>
      <c r="AH900" s="15"/>
      <c r="AI900" s="15"/>
      <c r="AJ900" s="15"/>
      <c r="AK900" s="15"/>
      <c r="AL900" s="15"/>
      <c r="AM900" s="15"/>
      <c r="AN900" s="15"/>
      <c r="AO900" s="15"/>
      <c r="AP900" s="15"/>
      <c r="AQ900" s="15"/>
      <c r="AR900" s="15"/>
      <c r="AS900" s="15"/>
      <c r="AT900" s="15"/>
      <c r="AU900" s="15"/>
      <c r="AV900" s="15"/>
      <c r="AW900" s="15"/>
    </row>
    <row r="901" spans="3:49" x14ac:dyDescent="0.2">
      <c r="C901" s="15"/>
      <c r="D901" s="15"/>
      <c r="E901" s="15"/>
      <c r="F901" s="15"/>
      <c r="G901" s="15"/>
      <c r="H901" s="15"/>
      <c r="I901" s="15"/>
      <c r="J901" s="15"/>
      <c r="K901" s="15"/>
      <c r="L901" s="28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  <c r="AG901" s="15"/>
      <c r="AH901" s="15"/>
      <c r="AI901" s="15"/>
      <c r="AJ901" s="15"/>
      <c r="AK901" s="15"/>
      <c r="AL901" s="15"/>
      <c r="AM901" s="15"/>
      <c r="AN901" s="15"/>
      <c r="AO901" s="15"/>
      <c r="AP901" s="15"/>
      <c r="AQ901" s="15"/>
      <c r="AR901" s="15"/>
      <c r="AS901" s="15"/>
      <c r="AT901" s="15"/>
      <c r="AU901" s="15"/>
      <c r="AV901" s="15"/>
      <c r="AW901" s="15"/>
    </row>
    <row r="902" spans="3:49" x14ac:dyDescent="0.2">
      <c r="C902" s="15"/>
      <c r="D902" s="15"/>
      <c r="E902" s="15"/>
      <c r="F902" s="15"/>
      <c r="G902" s="15"/>
      <c r="H902" s="15"/>
      <c r="I902" s="15"/>
      <c r="J902" s="15"/>
      <c r="K902" s="15"/>
      <c r="L902" s="28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  <c r="AG902" s="15"/>
      <c r="AH902" s="15"/>
      <c r="AI902" s="15"/>
      <c r="AJ902" s="15"/>
      <c r="AK902" s="15"/>
      <c r="AL902" s="15"/>
      <c r="AM902" s="15"/>
      <c r="AN902" s="15"/>
      <c r="AO902" s="15"/>
      <c r="AP902" s="15"/>
      <c r="AQ902" s="15"/>
      <c r="AR902" s="15"/>
      <c r="AS902" s="15"/>
      <c r="AT902" s="15"/>
      <c r="AU902" s="15"/>
      <c r="AV902" s="15"/>
      <c r="AW902" s="15"/>
    </row>
    <row r="903" spans="3:49" x14ac:dyDescent="0.2">
      <c r="C903" s="15"/>
      <c r="D903" s="15"/>
      <c r="E903" s="15"/>
      <c r="F903" s="15"/>
      <c r="G903" s="15"/>
      <c r="H903" s="15"/>
      <c r="I903" s="15"/>
      <c r="J903" s="15"/>
      <c r="K903" s="15"/>
      <c r="L903" s="28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  <c r="AG903" s="15"/>
      <c r="AH903" s="15"/>
      <c r="AI903" s="15"/>
      <c r="AJ903" s="15"/>
      <c r="AK903" s="15"/>
      <c r="AL903" s="15"/>
      <c r="AM903" s="15"/>
      <c r="AN903" s="15"/>
      <c r="AO903" s="15"/>
      <c r="AP903" s="15"/>
      <c r="AQ903" s="15"/>
      <c r="AR903" s="15"/>
      <c r="AS903" s="15"/>
      <c r="AT903" s="15"/>
      <c r="AU903" s="15"/>
      <c r="AV903" s="15"/>
      <c r="AW903" s="15"/>
    </row>
    <row r="904" spans="3:49" x14ac:dyDescent="0.2">
      <c r="C904" s="15"/>
      <c r="D904" s="15"/>
      <c r="E904" s="15"/>
      <c r="F904" s="15"/>
      <c r="G904" s="15"/>
      <c r="H904" s="15"/>
      <c r="I904" s="15"/>
      <c r="J904" s="15"/>
      <c r="K904" s="15"/>
      <c r="L904" s="28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  <c r="AG904" s="15"/>
      <c r="AH904" s="15"/>
      <c r="AI904" s="15"/>
      <c r="AJ904" s="15"/>
      <c r="AK904" s="15"/>
      <c r="AL904" s="15"/>
      <c r="AM904" s="15"/>
      <c r="AN904" s="15"/>
      <c r="AO904" s="15"/>
      <c r="AP904" s="15"/>
      <c r="AQ904" s="15"/>
      <c r="AR904" s="15"/>
      <c r="AS904" s="15"/>
      <c r="AT904" s="15"/>
      <c r="AU904" s="15"/>
      <c r="AV904" s="15"/>
      <c r="AW904" s="15"/>
    </row>
    <row r="905" spans="3:49" x14ac:dyDescent="0.2">
      <c r="C905" s="15"/>
      <c r="D905" s="15"/>
      <c r="E905" s="15"/>
      <c r="F905" s="15"/>
      <c r="G905" s="15"/>
      <c r="H905" s="15"/>
      <c r="I905" s="15"/>
      <c r="J905" s="15"/>
      <c r="K905" s="15"/>
      <c r="L905" s="28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  <c r="AG905" s="15"/>
      <c r="AH905" s="15"/>
      <c r="AI905" s="15"/>
      <c r="AJ905" s="15"/>
      <c r="AK905" s="15"/>
      <c r="AL905" s="15"/>
      <c r="AM905" s="15"/>
      <c r="AN905" s="15"/>
      <c r="AO905" s="15"/>
      <c r="AP905" s="15"/>
      <c r="AQ905" s="15"/>
      <c r="AR905" s="15"/>
      <c r="AS905" s="15"/>
      <c r="AT905" s="15"/>
      <c r="AU905" s="15"/>
      <c r="AV905" s="15"/>
      <c r="AW905" s="15"/>
    </row>
    <row r="906" spans="3:49" x14ac:dyDescent="0.2">
      <c r="C906" s="15"/>
      <c r="D906" s="15"/>
      <c r="E906" s="15"/>
      <c r="F906" s="15"/>
      <c r="G906" s="15"/>
      <c r="H906" s="15"/>
      <c r="I906" s="15"/>
      <c r="J906" s="15"/>
      <c r="K906" s="15"/>
      <c r="L906" s="28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  <c r="AG906" s="15"/>
      <c r="AH906" s="15"/>
      <c r="AI906" s="15"/>
      <c r="AJ906" s="15"/>
      <c r="AK906" s="15"/>
      <c r="AL906" s="15"/>
      <c r="AM906" s="15"/>
      <c r="AN906" s="15"/>
      <c r="AO906" s="15"/>
      <c r="AP906" s="15"/>
      <c r="AQ906" s="15"/>
      <c r="AR906" s="15"/>
      <c r="AS906" s="15"/>
      <c r="AT906" s="15"/>
      <c r="AU906" s="15"/>
      <c r="AV906" s="15"/>
      <c r="AW906" s="15"/>
    </row>
    <row r="907" spans="3:49" x14ac:dyDescent="0.2">
      <c r="C907" s="15"/>
      <c r="D907" s="15"/>
      <c r="E907" s="15"/>
      <c r="F907" s="15"/>
      <c r="G907" s="15"/>
      <c r="H907" s="15"/>
      <c r="I907" s="15"/>
      <c r="J907" s="15"/>
      <c r="K907" s="15"/>
      <c r="L907" s="28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  <c r="AG907" s="15"/>
      <c r="AH907" s="15"/>
      <c r="AI907" s="15"/>
      <c r="AJ907" s="15"/>
      <c r="AK907" s="15"/>
      <c r="AL907" s="15"/>
      <c r="AM907" s="15"/>
      <c r="AN907" s="15"/>
      <c r="AO907" s="15"/>
      <c r="AP907" s="15"/>
      <c r="AQ907" s="15"/>
      <c r="AR907" s="15"/>
      <c r="AS907" s="15"/>
      <c r="AT907" s="15"/>
      <c r="AU907" s="15"/>
      <c r="AV907" s="15"/>
      <c r="AW907" s="15"/>
    </row>
    <row r="908" spans="3:49" x14ac:dyDescent="0.2">
      <c r="C908" s="15"/>
      <c r="D908" s="15"/>
      <c r="E908" s="15"/>
      <c r="F908" s="15"/>
      <c r="G908" s="15"/>
      <c r="H908" s="15"/>
      <c r="I908" s="15"/>
      <c r="J908" s="15"/>
      <c r="K908" s="15"/>
      <c r="L908" s="28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  <c r="AG908" s="15"/>
      <c r="AH908" s="15"/>
      <c r="AI908" s="15"/>
      <c r="AJ908" s="15"/>
      <c r="AK908" s="15"/>
      <c r="AL908" s="15"/>
      <c r="AM908" s="15"/>
      <c r="AN908" s="15"/>
      <c r="AO908" s="15"/>
      <c r="AP908" s="15"/>
      <c r="AQ908" s="15"/>
      <c r="AR908" s="15"/>
      <c r="AS908" s="15"/>
      <c r="AT908" s="15"/>
      <c r="AU908" s="15"/>
      <c r="AV908" s="15"/>
      <c r="AW908" s="15"/>
    </row>
    <row r="909" spans="3:49" x14ac:dyDescent="0.2">
      <c r="C909" s="15"/>
      <c r="D909" s="15"/>
      <c r="E909" s="15"/>
      <c r="F909" s="15"/>
      <c r="G909" s="15"/>
      <c r="H909" s="15"/>
      <c r="I909" s="15"/>
      <c r="J909" s="15"/>
      <c r="K909" s="15"/>
      <c r="L909" s="28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  <c r="AG909" s="15"/>
      <c r="AH909" s="15"/>
      <c r="AI909" s="15"/>
      <c r="AJ909" s="15"/>
      <c r="AK909" s="15"/>
      <c r="AL909" s="15"/>
      <c r="AM909" s="15"/>
      <c r="AN909" s="15"/>
      <c r="AO909" s="15"/>
      <c r="AP909" s="15"/>
      <c r="AQ909" s="15"/>
      <c r="AR909" s="15"/>
      <c r="AS909" s="15"/>
      <c r="AT909" s="15"/>
      <c r="AU909" s="15"/>
      <c r="AV909" s="15"/>
      <c r="AW909" s="15"/>
    </row>
    <row r="910" spans="3:49" x14ac:dyDescent="0.2">
      <c r="C910" s="15"/>
      <c r="D910" s="15"/>
      <c r="E910" s="15"/>
      <c r="F910" s="15"/>
      <c r="G910" s="15"/>
      <c r="H910" s="15"/>
      <c r="I910" s="15"/>
      <c r="J910" s="15"/>
      <c r="K910" s="15"/>
      <c r="L910" s="28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  <c r="AG910" s="15"/>
      <c r="AH910" s="15"/>
      <c r="AI910" s="15"/>
      <c r="AJ910" s="15"/>
      <c r="AK910" s="15"/>
      <c r="AL910" s="15"/>
      <c r="AM910" s="15"/>
      <c r="AN910" s="15"/>
      <c r="AO910" s="15"/>
      <c r="AP910" s="15"/>
      <c r="AQ910" s="15"/>
      <c r="AR910" s="15"/>
      <c r="AS910" s="15"/>
      <c r="AT910" s="15"/>
      <c r="AU910" s="15"/>
      <c r="AV910" s="15"/>
      <c r="AW910" s="15"/>
    </row>
    <row r="911" spans="3:49" x14ac:dyDescent="0.2">
      <c r="C911" s="15"/>
      <c r="D911" s="15"/>
      <c r="E911" s="15"/>
      <c r="F911" s="15"/>
      <c r="G911" s="15"/>
      <c r="H911" s="15"/>
      <c r="I911" s="15"/>
      <c r="J911" s="15"/>
      <c r="K911" s="15"/>
      <c r="L911" s="28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  <c r="AG911" s="15"/>
      <c r="AH911" s="15"/>
      <c r="AI911" s="15"/>
      <c r="AJ911" s="15"/>
      <c r="AK911" s="15"/>
      <c r="AL911" s="15"/>
      <c r="AM911" s="15"/>
      <c r="AN911" s="15"/>
      <c r="AO911" s="15"/>
      <c r="AP911" s="15"/>
      <c r="AQ911" s="15"/>
      <c r="AR911" s="15"/>
      <c r="AS911" s="15"/>
      <c r="AT911" s="15"/>
      <c r="AU911" s="15"/>
      <c r="AV911" s="15"/>
      <c r="AW911" s="15"/>
    </row>
    <row r="912" spans="3:49" x14ac:dyDescent="0.2">
      <c r="C912" s="15"/>
      <c r="D912" s="15"/>
      <c r="E912" s="15"/>
      <c r="F912" s="15"/>
      <c r="G912" s="15"/>
      <c r="H912" s="15"/>
      <c r="I912" s="15"/>
      <c r="J912" s="15"/>
      <c r="K912" s="15"/>
      <c r="L912" s="28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  <c r="AG912" s="15"/>
      <c r="AH912" s="15"/>
      <c r="AI912" s="15"/>
      <c r="AJ912" s="15"/>
      <c r="AK912" s="15"/>
      <c r="AL912" s="15"/>
      <c r="AM912" s="15"/>
      <c r="AN912" s="15"/>
      <c r="AO912" s="15"/>
      <c r="AP912" s="15"/>
      <c r="AQ912" s="15"/>
      <c r="AR912" s="15"/>
      <c r="AS912" s="15"/>
      <c r="AT912" s="15"/>
      <c r="AU912" s="15"/>
      <c r="AV912" s="15"/>
      <c r="AW912" s="15"/>
    </row>
    <row r="913" spans="3:49" x14ac:dyDescent="0.2">
      <c r="C913" s="15"/>
      <c r="D913" s="15"/>
      <c r="E913" s="15"/>
      <c r="F913" s="15"/>
      <c r="G913" s="15"/>
      <c r="H913" s="15"/>
      <c r="I913" s="15"/>
      <c r="J913" s="15"/>
      <c r="K913" s="15"/>
      <c r="L913" s="28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  <c r="AG913" s="15"/>
      <c r="AH913" s="15"/>
      <c r="AI913" s="15"/>
      <c r="AJ913" s="15"/>
      <c r="AK913" s="15"/>
      <c r="AL913" s="15"/>
      <c r="AM913" s="15"/>
      <c r="AN913" s="15"/>
      <c r="AO913" s="15"/>
      <c r="AP913" s="15"/>
      <c r="AQ913" s="15"/>
      <c r="AR913" s="15"/>
      <c r="AS913" s="15"/>
      <c r="AT913" s="15"/>
      <c r="AU913" s="15"/>
      <c r="AV913" s="15"/>
      <c r="AW913" s="15"/>
    </row>
    <row r="914" spans="3:49" x14ac:dyDescent="0.2">
      <c r="C914" s="15"/>
      <c r="D914" s="15"/>
      <c r="E914" s="15"/>
      <c r="F914" s="15"/>
      <c r="G914" s="15"/>
      <c r="H914" s="15"/>
      <c r="I914" s="15"/>
      <c r="J914" s="15"/>
      <c r="K914" s="15"/>
      <c r="L914" s="28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  <c r="AG914" s="15"/>
      <c r="AH914" s="15"/>
      <c r="AI914" s="15"/>
      <c r="AJ914" s="15"/>
      <c r="AK914" s="15"/>
      <c r="AL914" s="15"/>
      <c r="AM914" s="15"/>
      <c r="AN914" s="15"/>
      <c r="AO914" s="15"/>
      <c r="AP914" s="15"/>
      <c r="AQ914" s="15"/>
      <c r="AR914" s="15"/>
      <c r="AS914" s="15"/>
      <c r="AT914" s="15"/>
      <c r="AU914" s="15"/>
      <c r="AV914" s="15"/>
      <c r="AW914" s="15"/>
    </row>
    <row r="915" spans="3:49" x14ac:dyDescent="0.2">
      <c r="C915" s="15"/>
      <c r="D915" s="15"/>
      <c r="E915" s="15"/>
      <c r="F915" s="15"/>
      <c r="G915" s="15"/>
      <c r="H915" s="15"/>
      <c r="I915" s="15"/>
      <c r="J915" s="15"/>
      <c r="K915" s="15"/>
      <c r="L915" s="28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  <c r="AG915" s="15"/>
      <c r="AH915" s="15"/>
      <c r="AI915" s="15"/>
      <c r="AJ915" s="15"/>
      <c r="AK915" s="15"/>
      <c r="AL915" s="15"/>
      <c r="AM915" s="15"/>
      <c r="AN915" s="15"/>
      <c r="AO915" s="15"/>
      <c r="AP915" s="15"/>
      <c r="AQ915" s="15"/>
      <c r="AR915" s="15"/>
      <c r="AS915" s="15"/>
      <c r="AT915" s="15"/>
      <c r="AU915" s="15"/>
      <c r="AV915" s="15"/>
      <c r="AW915" s="15"/>
    </row>
    <row r="916" spans="3:49" x14ac:dyDescent="0.2">
      <c r="C916" s="15"/>
      <c r="D916" s="15"/>
      <c r="E916" s="15"/>
      <c r="F916" s="15"/>
      <c r="G916" s="15"/>
      <c r="H916" s="15"/>
      <c r="I916" s="15"/>
      <c r="J916" s="15"/>
      <c r="K916" s="15"/>
      <c r="L916" s="28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  <c r="AG916" s="15"/>
      <c r="AH916" s="15"/>
      <c r="AI916" s="15"/>
      <c r="AJ916" s="15"/>
      <c r="AK916" s="15"/>
      <c r="AL916" s="15"/>
      <c r="AM916" s="15"/>
      <c r="AN916" s="15"/>
      <c r="AO916" s="15"/>
      <c r="AP916" s="15"/>
      <c r="AQ916" s="15"/>
      <c r="AR916" s="15"/>
      <c r="AS916" s="15"/>
      <c r="AT916" s="15"/>
      <c r="AU916" s="15"/>
      <c r="AV916" s="15"/>
      <c r="AW916" s="15"/>
    </row>
    <row r="917" spans="3:49" x14ac:dyDescent="0.2">
      <c r="C917" s="15"/>
      <c r="D917" s="15"/>
      <c r="E917" s="15"/>
      <c r="F917" s="15"/>
      <c r="G917" s="15"/>
      <c r="H917" s="15"/>
      <c r="I917" s="15"/>
      <c r="J917" s="15"/>
      <c r="K917" s="15"/>
      <c r="L917" s="28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  <c r="AG917" s="15"/>
      <c r="AH917" s="15"/>
      <c r="AI917" s="15"/>
      <c r="AJ917" s="15"/>
      <c r="AK917" s="15"/>
      <c r="AL917" s="15"/>
      <c r="AM917" s="15"/>
      <c r="AN917" s="15"/>
      <c r="AO917" s="15"/>
      <c r="AP917" s="15"/>
      <c r="AQ917" s="15"/>
      <c r="AR917" s="15"/>
      <c r="AS917" s="15"/>
      <c r="AT917" s="15"/>
      <c r="AU917" s="15"/>
      <c r="AV917" s="15"/>
      <c r="AW917" s="15"/>
    </row>
    <row r="918" spans="3:49" x14ac:dyDescent="0.2">
      <c r="C918" s="15"/>
      <c r="D918" s="15"/>
      <c r="E918" s="15"/>
      <c r="F918" s="15"/>
      <c r="G918" s="15"/>
      <c r="H918" s="15"/>
      <c r="I918" s="15"/>
      <c r="J918" s="15"/>
      <c r="K918" s="15"/>
      <c r="L918" s="28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  <c r="AG918" s="15"/>
      <c r="AH918" s="15"/>
      <c r="AI918" s="15"/>
      <c r="AJ918" s="15"/>
      <c r="AK918" s="15"/>
      <c r="AL918" s="15"/>
      <c r="AM918" s="15"/>
      <c r="AN918" s="15"/>
      <c r="AO918" s="15"/>
      <c r="AP918" s="15"/>
      <c r="AQ918" s="15"/>
      <c r="AR918" s="15"/>
      <c r="AS918" s="15"/>
      <c r="AT918" s="15"/>
      <c r="AU918" s="15"/>
      <c r="AV918" s="15"/>
      <c r="AW918" s="15"/>
    </row>
    <row r="919" spans="3:49" x14ac:dyDescent="0.2">
      <c r="C919" s="15"/>
      <c r="D919" s="15"/>
      <c r="E919" s="15"/>
      <c r="F919" s="15"/>
      <c r="G919" s="15"/>
      <c r="H919" s="15"/>
      <c r="I919" s="15"/>
      <c r="J919" s="15"/>
      <c r="K919" s="15"/>
      <c r="L919" s="28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  <c r="AG919" s="15"/>
      <c r="AH919" s="15"/>
      <c r="AI919" s="15"/>
      <c r="AJ919" s="15"/>
      <c r="AK919" s="15"/>
      <c r="AL919" s="15"/>
      <c r="AM919" s="15"/>
      <c r="AN919" s="15"/>
      <c r="AO919" s="15"/>
      <c r="AP919" s="15"/>
      <c r="AQ919" s="15"/>
      <c r="AR919" s="15"/>
      <c r="AS919" s="15"/>
      <c r="AT919" s="15"/>
      <c r="AU919" s="15"/>
      <c r="AV919" s="15"/>
      <c r="AW919" s="15"/>
    </row>
    <row r="920" spans="3:49" x14ac:dyDescent="0.2">
      <c r="C920" s="15"/>
      <c r="D920" s="15"/>
      <c r="E920" s="15"/>
      <c r="F920" s="15"/>
      <c r="G920" s="15"/>
      <c r="H920" s="15"/>
      <c r="I920" s="15"/>
      <c r="J920" s="15"/>
      <c r="K920" s="15"/>
      <c r="L920" s="28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  <c r="AG920" s="15"/>
      <c r="AH920" s="15"/>
      <c r="AI920" s="15"/>
      <c r="AJ920" s="15"/>
      <c r="AK920" s="15"/>
      <c r="AL920" s="15"/>
      <c r="AM920" s="15"/>
      <c r="AN920" s="15"/>
      <c r="AO920" s="15"/>
      <c r="AP920" s="15"/>
      <c r="AQ920" s="15"/>
      <c r="AR920" s="15"/>
      <c r="AS920" s="15"/>
      <c r="AT920" s="15"/>
      <c r="AU920" s="15"/>
      <c r="AV920" s="15"/>
      <c r="AW920" s="15"/>
    </row>
    <row r="921" spans="3:49" x14ac:dyDescent="0.2">
      <c r="C921" s="15"/>
      <c r="D921" s="15"/>
      <c r="E921" s="15"/>
      <c r="F921" s="15"/>
      <c r="G921" s="15"/>
      <c r="H921" s="15"/>
      <c r="I921" s="15"/>
      <c r="J921" s="15"/>
      <c r="K921" s="15"/>
      <c r="L921" s="28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  <c r="AG921" s="15"/>
      <c r="AH921" s="15"/>
      <c r="AI921" s="15"/>
      <c r="AJ921" s="15"/>
      <c r="AK921" s="15"/>
      <c r="AL921" s="15"/>
      <c r="AM921" s="15"/>
      <c r="AN921" s="15"/>
      <c r="AO921" s="15"/>
      <c r="AP921" s="15"/>
      <c r="AQ921" s="15"/>
      <c r="AR921" s="15"/>
      <c r="AS921" s="15"/>
      <c r="AT921" s="15"/>
      <c r="AU921" s="15"/>
      <c r="AV921" s="15"/>
      <c r="AW921" s="15"/>
    </row>
    <row r="922" spans="3:49" x14ac:dyDescent="0.2">
      <c r="C922" s="15"/>
      <c r="D922" s="15"/>
      <c r="E922" s="15"/>
      <c r="F922" s="15"/>
      <c r="G922" s="15"/>
      <c r="H922" s="15"/>
      <c r="I922" s="15"/>
      <c r="J922" s="15"/>
      <c r="K922" s="15"/>
      <c r="L922" s="28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  <c r="AG922" s="15"/>
      <c r="AH922" s="15"/>
      <c r="AI922" s="15"/>
      <c r="AJ922" s="15"/>
      <c r="AK922" s="15"/>
      <c r="AL922" s="15"/>
      <c r="AM922" s="15"/>
      <c r="AN922" s="15"/>
      <c r="AO922" s="15"/>
      <c r="AP922" s="15"/>
      <c r="AQ922" s="15"/>
      <c r="AR922" s="15"/>
      <c r="AS922" s="15"/>
      <c r="AT922" s="15"/>
      <c r="AU922" s="15"/>
      <c r="AV922" s="15"/>
      <c r="AW922" s="15"/>
    </row>
    <row r="923" spans="3:49" x14ac:dyDescent="0.2">
      <c r="C923" s="15"/>
      <c r="D923" s="15"/>
      <c r="E923" s="15"/>
      <c r="F923" s="15"/>
      <c r="G923" s="15"/>
      <c r="H923" s="15"/>
      <c r="I923" s="15"/>
      <c r="J923" s="15"/>
      <c r="K923" s="15"/>
      <c r="L923" s="28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  <c r="AG923" s="15"/>
      <c r="AH923" s="15"/>
      <c r="AI923" s="15"/>
      <c r="AJ923" s="15"/>
      <c r="AK923" s="15"/>
      <c r="AL923" s="15"/>
      <c r="AM923" s="15"/>
      <c r="AN923" s="15"/>
      <c r="AO923" s="15"/>
      <c r="AP923" s="15"/>
      <c r="AQ923" s="15"/>
      <c r="AR923" s="15"/>
      <c r="AS923" s="15"/>
      <c r="AT923" s="15"/>
      <c r="AU923" s="15"/>
      <c r="AV923" s="15"/>
      <c r="AW923" s="15"/>
    </row>
    <row r="924" spans="3:49" x14ac:dyDescent="0.2">
      <c r="C924" s="15"/>
      <c r="D924" s="15"/>
      <c r="E924" s="15"/>
      <c r="F924" s="15"/>
      <c r="G924" s="15"/>
      <c r="H924" s="15"/>
      <c r="I924" s="15"/>
      <c r="J924" s="15"/>
      <c r="K924" s="15"/>
      <c r="L924" s="28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  <c r="AG924" s="15"/>
      <c r="AH924" s="15"/>
      <c r="AI924" s="15"/>
      <c r="AJ924" s="15"/>
      <c r="AK924" s="15"/>
      <c r="AL924" s="15"/>
      <c r="AM924" s="15"/>
      <c r="AN924" s="15"/>
      <c r="AO924" s="15"/>
      <c r="AP924" s="15"/>
      <c r="AQ924" s="15"/>
      <c r="AR924" s="15"/>
      <c r="AS924" s="15"/>
      <c r="AT924" s="15"/>
      <c r="AU924" s="15"/>
      <c r="AV924" s="15"/>
      <c r="AW924" s="15"/>
    </row>
    <row r="925" spans="3:49" x14ac:dyDescent="0.2">
      <c r="C925" s="15"/>
      <c r="D925" s="15"/>
      <c r="E925" s="15"/>
      <c r="F925" s="15"/>
      <c r="G925" s="15"/>
      <c r="H925" s="15"/>
      <c r="I925" s="15"/>
      <c r="J925" s="15"/>
      <c r="K925" s="15"/>
      <c r="L925" s="28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  <c r="AG925" s="15"/>
      <c r="AH925" s="15"/>
      <c r="AI925" s="15"/>
      <c r="AJ925" s="15"/>
      <c r="AK925" s="15"/>
      <c r="AL925" s="15"/>
      <c r="AM925" s="15"/>
      <c r="AN925" s="15"/>
      <c r="AO925" s="15"/>
      <c r="AP925" s="15"/>
      <c r="AQ925" s="15"/>
      <c r="AR925" s="15"/>
      <c r="AS925" s="15"/>
      <c r="AT925" s="15"/>
      <c r="AU925" s="15"/>
      <c r="AV925" s="15"/>
      <c r="AW925" s="15"/>
    </row>
    <row r="926" spans="3:49" x14ac:dyDescent="0.2">
      <c r="C926" s="15"/>
      <c r="D926" s="15"/>
      <c r="E926" s="15"/>
      <c r="F926" s="15"/>
      <c r="G926" s="15"/>
      <c r="H926" s="15"/>
      <c r="I926" s="15"/>
      <c r="J926" s="15"/>
      <c r="K926" s="15"/>
      <c r="L926" s="28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  <c r="AG926" s="15"/>
      <c r="AH926" s="15"/>
      <c r="AI926" s="15"/>
      <c r="AJ926" s="15"/>
      <c r="AK926" s="15"/>
      <c r="AL926" s="15"/>
      <c r="AM926" s="15"/>
      <c r="AN926" s="15"/>
      <c r="AO926" s="15"/>
      <c r="AP926" s="15"/>
      <c r="AQ926" s="15"/>
      <c r="AR926" s="15"/>
      <c r="AS926" s="15"/>
      <c r="AT926" s="15"/>
      <c r="AU926" s="15"/>
      <c r="AV926" s="15"/>
      <c r="AW926" s="15"/>
    </row>
    <row r="927" spans="3:49" x14ac:dyDescent="0.2">
      <c r="C927" s="15"/>
      <c r="D927" s="15"/>
      <c r="E927" s="15"/>
      <c r="F927" s="15"/>
      <c r="G927" s="15"/>
      <c r="H927" s="15"/>
      <c r="I927" s="15"/>
      <c r="J927" s="15"/>
      <c r="K927" s="15"/>
      <c r="L927" s="28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  <c r="AG927" s="15"/>
      <c r="AH927" s="15"/>
      <c r="AI927" s="15"/>
      <c r="AJ927" s="15"/>
      <c r="AK927" s="15"/>
      <c r="AL927" s="15"/>
      <c r="AM927" s="15"/>
      <c r="AN927" s="15"/>
      <c r="AO927" s="15"/>
      <c r="AP927" s="15"/>
      <c r="AQ927" s="15"/>
      <c r="AR927" s="15"/>
      <c r="AS927" s="15"/>
      <c r="AT927" s="15"/>
      <c r="AU927" s="15"/>
      <c r="AV927" s="15"/>
      <c r="AW927" s="15"/>
    </row>
    <row r="928" spans="3:49" x14ac:dyDescent="0.2">
      <c r="C928" s="15"/>
      <c r="D928" s="15"/>
      <c r="E928" s="15"/>
      <c r="F928" s="15"/>
      <c r="G928" s="15"/>
      <c r="H928" s="15"/>
      <c r="I928" s="15"/>
      <c r="J928" s="15"/>
      <c r="K928" s="15"/>
      <c r="L928" s="28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  <c r="AG928" s="15"/>
      <c r="AH928" s="15"/>
      <c r="AI928" s="15"/>
      <c r="AJ928" s="15"/>
      <c r="AK928" s="15"/>
      <c r="AL928" s="15"/>
      <c r="AM928" s="15"/>
      <c r="AN928" s="15"/>
      <c r="AO928" s="15"/>
      <c r="AP928" s="15"/>
      <c r="AQ928" s="15"/>
      <c r="AR928" s="15"/>
      <c r="AS928" s="15"/>
      <c r="AT928" s="15"/>
      <c r="AU928" s="15"/>
      <c r="AV928" s="15"/>
      <c r="AW928" s="15"/>
    </row>
    <row r="929" spans="3:49" x14ac:dyDescent="0.2">
      <c r="C929" s="15"/>
      <c r="D929" s="15"/>
      <c r="E929" s="15"/>
      <c r="F929" s="15"/>
      <c r="G929" s="15"/>
      <c r="H929" s="15"/>
      <c r="I929" s="15"/>
      <c r="J929" s="15"/>
      <c r="K929" s="15"/>
      <c r="L929" s="28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  <c r="AG929" s="15"/>
      <c r="AH929" s="15"/>
      <c r="AI929" s="15"/>
      <c r="AJ929" s="15"/>
      <c r="AK929" s="15"/>
      <c r="AL929" s="15"/>
      <c r="AM929" s="15"/>
      <c r="AN929" s="15"/>
      <c r="AO929" s="15"/>
      <c r="AP929" s="15"/>
      <c r="AQ929" s="15"/>
      <c r="AR929" s="15"/>
      <c r="AS929" s="15"/>
      <c r="AT929" s="15"/>
      <c r="AU929" s="15"/>
      <c r="AV929" s="15"/>
      <c r="AW929" s="15"/>
    </row>
    <row r="930" spans="3:49" x14ac:dyDescent="0.2">
      <c r="C930" s="15"/>
      <c r="D930" s="15"/>
      <c r="E930" s="15"/>
      <c r="F930" s="15"/>
      <c r="G930" s="15"/>
      <c r="H930" s="15"/>
      <c r="I930" s="15"/>
      <c r="J930" s="15"/>
      <c r="K930" s="15"/>
      <c r="L930" s="28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  <c r="AG930" s="15"/>
      <c r="AH930" s="15"/>
      <c r="AI930" s="15"/>
      <c r="AJ930" s="15"/>
      <c r="AK930" s="15"/>
      <c r="AL930" s="15"/>
      <c r="AM930" s="15"/>
      <c r="AN930" s="15"/>
      <c r="AO930" s="15"/>
      <c r="AP930" s="15"/>
      <c r="AQ930" s="15"/>
      <c r="AR930" s="15"/>
      <c r="AS930" s="15"/>
      <c r="AT930" s="15"/>
      <c r="AU930" s="15"/>
      <c r="AV930" s="15"/>
      <c r="AW930" s="15"/>
    </row>
    <row r="931" spans="3:49" x14ac:dyDescent="0.2">
      <c r="C931" s="15"/>
      <c r="D931" s="15"/>
      <c r="E931" s="15"/>
      <c r="F931" s="15"/>
      <c r="G931" s="15"/>
      <c r="H931" s="15"/>
      <c r="I931" s="15"/>
      <c r="J931" s="15"/>
      <c r="K931" s="15"/>
      <c r="L931" s="28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  <c r="AG931" s="15"/>
      <c r="AH931" s="15"/>
      <c r="AI931" s="15"/>
      <c r="AJ931" s="15"/>
      <c r="AK931" s="15"/>
      <c r="AL931" s="15"/>
      <c r="AM931" s="15"/>
      <c r="AN931" s="15"/>
      <c r="AO931" s="15"/>
      <c r="AP931" s="15"/>
      <c r="AQ931" s="15"/>
      <c r="AR931" s="15"/>
      <c r="AS931" s="15"/>
      <c r="AT931" s="15"/>
      <c r="AU931" s="15"/>
      <c r="AV931" s="15"/>
      <c r="AW931" s="15"/>
    </row>
    <row r="932" spans="3:49" x14ac:dyDescent="0.2">
      <c r="C932" s="15"/>
      <c r="D932" s="15"/>
      <c r="E932" s="15"/>
      <c r="F932" s="15"/>
      <c r="G932" s="15"/>
      <c r="H932" s="15"/>
      <c r="I932" s="15"/>
      <c r="J932" s="15"/>
      <c r="K932" s="15"/>
      <c r="L932" s="28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  <c r="AG932" s="15"/>
      <c r="AH932" s="15"/>
      <c r="AI932" s="15"/>
      <c r="AJ932" s="15"/>
      <c r="AK932" s="15"/>
      <c r="AL932" s="15"/>
      <c r="AM932" s="15"/>
      <c r="AN932" s="15"/>
      <c r="AO932" s="15"/>
      <c r="AP932" s="15"/>
      <c r="AQ932" s="15"/>
      <c r="AR932" s="15"/>
      <c r="AS932" s="15"/>
      <c r="AT932" s="15"/>
      <c r="AU932" s="15"/>
      <c r="AV932" s="15"/>
      <c r="AW932" s="15"/>
    </row>
    <row r="933" spans="3:49" x14ac:dyDescent="0.2">
      <c r="C933" s="15"/>
      <c r="D933" s="15"/>
      <c r="E933" s="15"/>
      <c r="F933" s="15"/>
      <c r="G933" s="15"/>
      <c r="H933" s="15"/>
      <c r="I933" s="15"/>
      <c r="J933" s="15"/>
      <c r="K933" s="15"/>
      <c r="L933" s="28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  <c r="AG933" s="15"/>
      <c r="AH933" s="15"/>
      <c r="AI933" s="15"/>
      <c r="AJ933" s="15"/>
      <c r="AK933" s="15"/>
      <c r="AL933" s="15"/>
      <c r="AM933" s="15"/>
      <c r="AN933" s="15"/>
      <c r="AO933" s="15"/>
      <c r="AP933" s="15"/>
      <c r="AQ933" s="15"/>
      <c r="AR933" s="15"/>
      <c r="AS933" s="15"/>
      <c r="AT933" s="15"/>
      <c r="AU933" s="15"/>
      <c r="AV933" s="15"/>
      <c r="AW933" s="15"/>
    </row>
    <row r="934" spans="3:49" x14ac:dyDescent="0.2">
      <c r="C934" s="15"/>
      <c r="D934" s="15"/>
      <c r="E934" s="15"/>
      <c r="F934" s="15"/>
      <c r="G934" s="15"/>
      <c r="H934" s="15"/>
      <c r="I934" s="15"/>
      <c r="J934" s="15"/>
      <c r="K934" s="15"/>
      <c r="L934" s="28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5"/>
      <c r="AG934" s="15"/>
      <c r="AH934" s="15"/>
      <c r="AI934" s="15"/>
      <c r="AJ934" s="15"/>
      <c r="AK934" s="15"/>
      <c r="AL934" s="15"/>
      <c r="AM934" s="15"/>
      <c r="AN934" s="15"/>
      <c r="AO934" s="15"/>
      <c r="AP934" s="15"/>
      <c r="AQ934" s="15"/>
      <c r="AR934" s="15"/>
      <c r="AS934" s="15"/>
      <c r="AT934" s="15"/>
      <c r="AU934" s="15"/>
      <c r="AV934" s="15"/>
      <c r="AW934" s="15"/>
    </row>
    <row r="935" spans="3:49" x14ac:dyDescent="0.2">
      <c r="C935" s="15"/>
      <c r="D935" s="15"/>
      <c r="E935" s="15"/>
      <c r="F935" s="15"/>
      <c r="G935" s="15"/>
      <c r="H935" s="15"/>
      <c r="I935" s="15"/>
      <c r="J935" s="15"/>
      <c r="K935" s="15"/>
      <c r="L935" s="28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5"/>
      <c r="AG935" s="15"/>
      <c r="AH935" s="15"/>
      <c r="AI935" s="15"/>
      <c r="AJ935" s="15"/>
      <c r="AK935" s="15"/>
      <c r="AL935" s="15"/>
      <c r="AM935" s="15"/>
      <c r="AN935" s="15"/>
      <c r="AO935" s="15"/>
      <c r="AP935" s="15"/>
      <c r="AQ935" s="15"/>
      <c r="AR935" s="15"/>
      <c r="AS935" s="15"/>
      <c r="AT935" s="15"/>
      <c r="AU935" s="15"/>
      <c r="AV935" s="15"/>
      <c r="AW935" s="15"/>
    </row>
    <row r="936" spans="3:49" x14ac:dyDescent="0.2">
      <c r="C936" s="15"/>
      <c r="D936" s="15"/>
      <c r="E936" s="15"/>
      <c r="F936" s="15"/>
      <c r="G936" s="15"/>
      <c r="H936" s="15"/>
      <c r="I936" s="15"/>
      <c r="J936" s="15"/>
      <c r="K936" s="15"/>
      <c r="L936" s="28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5"/>
      <c r="AG936" s="15"/>
      <c r="AH936" s="15"/>
      <c r="AI936" s="15"/>
      <c r="AJ936" s="15"/>
      <c r="AK936" s="15"/>
      <c r="AL936" s="15"/>
      <c r="AM936" s="15"/>
      <c r="AN936" s="15"/>
      <c r="AO936" s="15"/>
      <c r="AP936" s="15"/>
      <c r="AQ936" s="15"/>
      <c r="AR936" s="15"/>
      <c r="AS936" s="15"/>
      <c r="AT936" s="15"/>
      <c r="AU936" s="15"/>
      <c r="AV936" s="15"/>
      <c r="AW936" s="15"/>
    </row>
    <row r="937" spans="3:49" x14ac:dyDescent="0.2">
      <c r="C937" s="15"/>
      <c r="D937" s="15"/>
      <c r="E937" s="15"/>
      <c r="F937" s="15"/>
      <c r="G937" s="15"/>
      <c r="H937" s="15"/>
      <c r="I937" s="15"/>
      <c r="J937" s="15"/>
      <c r="K937" s="15"/>
      <c r="L937" s="28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5"/>
      <c r="AG937" s="15"/>
      <c r="AH937" s="15"/>
      <c r="AI937" s="15"/>
      <c r="AJ937" s="15"/>
      <c r="AK937" s="15"/>
      <c r="AL937" s="15"/>
      <c r="AM937" s="15"/>
      <c r="AN937" s="15"/>
      <c r="AO937" s="15"/>
      <c r="AP937" s="15"/>
      <c r="AQ937" s="15"/>
      <c r="AR937" s="15"/>
      <c r="AS937" s="15"/>
      <c r="AT937" s="15"/>
      <c r="AU937" s="15"/>
      <c r="AV937" s="15"/>
      <c r="AW937" s="15"/>
    </row>
    <row r="938" spans="3:49" x14ac:dyDescent="0.2">
      <c r="C938" s="15"/>
      <c r="D938" s="15"/>
      <c r="E938" s="15"/>
      <c r="F938" s="15"/>
      <c r="G938" s="15"/>
      <c r="H938" s="15"/>
      <c r="I938" s="15"/>
      <c r="J938" s="15"/>
      <c r="K938" s="15"/>
      <c r="L938" s="28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5"/>
      <c r="AG938" s="15"/>
      <c r="AH938" s="15"/>
      <c r="AI938" s="15"/>
      <c r="AJ938" s="15"/>
      <c r="AK938" s="15"/>
      <c r="AL938" s="15"/>
      <c r="AM938" s="15"/>
      <c r="AN938" s="15"/>
      <c r="AO938" s="15"/>
      <c r="AP938" s="15"/>
      <c r="AQ938" s="15"/>
      <c r="AR938" s="15"/>
      <c r="AS938" s="15"/>
      <c r="AT938" s="15"/>
      <c r="AU938" s="15"/>
      <c r="AV938" s="15"/>
      <c r="AW938" s="15"/>
    </row>
    <row r="939" spans="3:49" x14ac:dyDescent="0.2">
      <c r="C939" s="15"/>
      <c r="D939" s="15"/>
      <c r="E939" s="15"/>
      <c r="F939" s="15"/>
      <c r="G939" s="15"/>
      <c r="H939" s="15"/>
      <c r="I939" s="15"/>
      <c r="J939" s="15"/>
      <c r="K939" s="15"/>
      <c r="L939" s="28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5"/>
      <c r="AG939" s="15"/>
      <c r="AH939" s="15"/>
      <c r="AI939" s="15"/>
      <c r="AJ939" s="15"/>
      <c r="AK939" s="15"/>
      <c r="AL939" s="15"/>
      <c r="AM939" s="15"/>
      <c r="AN939" s="15"/>
      <c r="AO939" s="15"/>
      <c r="AP939" s="15"/>
      <c r="AQ939" s="15"/>
      <c r="AR939" s="15"/>
      <c r="AS939" s="15"/>
      <c r="AT939" s="15"/>
      <c r="AU939" s="15"/>
      <c r="AV939" s="15"/>
      <c r="AW939" s="15"/>
    </row>
    <row r="940" spans="3:49" x14ac:dyDescent="0.2">
      <c r="C940" s="15"/>
      <c r="D940" s="15"/>
      <c r="E940" s="15"/>
      <c r="F940" s="15"/>
      <c r="G940" s="15"/>
      <c r="H940" s="15"/>
      <c r="I940" s="15"/>
      <c r="J940" s="15"/>
      <c r="K940" s="15"/>
      <c r="L940" s="28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5"/>
      <c r="AG940" s="15"/>
      <c r="AH940" s="15"/>
      <c r="AI940" s="15"/>
      <c r="AJ940" s="15"/>
      <c r="AK940" s="15"/>
      <c r="AL940" s="15"/>
      <c r="AM940" s="15"/>
      <c r="AN940" s="15"/>
      <c r="AO940" s="15"/>
      <c r="AP940" s="15"/>
      <c r="AQ940" s="15"/>
      <c r="AR940" s="15"/>
      <c r="AS940" s="15"/>
      <c r="AT940" s="15"/>
      <c r="AU940" s="15"/>
      <c r="AV940" s="15"/>
      <c r="AW940" s="15"/>
    </row>
    <row r="941" spans="3:49" x14ac:dyDescent="0.2">
      <c r="C941" s="15"/>
      <c r="D941" s="15"/>
      <c r="E941" s="15"/>
      <c r="F941" s="15"/>
      <c r="G941" s="15"/>
      <c r="H941" s="15"/>
      <c r="I941" s="15"/>
      <c r="J941" s="15"/>
      <c r="K941" s="15"/>
      <c r="L941" s="28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5"/>
      <c r="AG941" s="15"/>
      <c r="AH941" s="15"/>
      <c r="AI941" s="15"/>
      <c r="AJ941" s="15"/>
      <c r="AK941" s="15"/>
      <c r="AL941" s="15"/>
      <c r="AM941" s="15"/>
      <c r="AN941" s="15"/>
      <c r="AO941" s="15"/>
      <c r="AP941" s="15"/>
      <c r="AQ941" s="15"/>
      <c r="AR941" s="15"/>
      <c r="AS941" s="15"/>
      <c r="AT941" s="15"/>
      <c r="AU941" s="15"/>
      <c r="AV941" s="15"/>
      <c r="AW941" s="15"/>
    </row>
    <row r="942" spans="3:49" x14ac:dyDescent="0.2">
      <c r="C942" s="15"/>
      <c r="D942" s="15"/>
      <c r="E942" s="15"/>
      <c r="F942" s="15"/>
      <c r="G942" s="15"/>
      <c r="H942" s="15"/>
      <c r="I942" s="15"/>
      <c r="J942" s="15"/>
      <c r="K942" s="15"/>
      <c r="L942" s="28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5"/>
      <c r="AG942" s="15"/>
      <c r="AH942" s="15"/>
      <c r="AI942" s="15"/>
      <c r="AJ942" s="15"/>
      <c r="AK942" s="15"/>
      <c r="AL942" s="15"/>
      <c r="AM942" s="15"/>
      <c r="AN942" s="15"/>
      <c r="AO942" s="15"/>
      <c r="AP942" s="15"/>
      <c r="AQ942" s="15"/>
      <c r="AR942" s="15"/>
      <c r="AS942" s="15"/>
      <c r="AT942" s="15"/>
      <c r="AU942" s="15"/>
      <c r="AV942" s="15"/>
      <c r="AW942" s="15"/>
    </row>
    <row r="943" spans="3:49" x14ac:dyDescent="0.2">
      <c r="C943" s="15"/>
      <c r="D943" s="15"/>
      <c r="E943" s="15"/>
      <c r="F943" s="15"/>
      <c r="G943" s="15"/>
      <c r="H943" s="15"/>
      <c r="I943" s="15"/>
      <c r="J943" s="15"/>
      <c r="K943" s="15"/>
      <c r="L943" s="28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5"/>
      <c r="AG943" s="15"/>
      <c r="AH943" s="15"/>
      <c r="AI943" s="15"/>
      <c r="AJ943" s="15"/>
      <c r="AK943" s="15"/>
      <c r="AL943" s="15"/>
      <c r="AM943" s="15"/>
      <c r="AN943" s="15"/>
      <c r="AO943" s="15"/>
      <c r="AP943" s="15"/>
      <c r="AQ943" s="15"/>
      <c r="AR943" s="15"/>
      <c r="AS943" s="15"/>
      <c r="AT943" s="15"/>
      <c r="AU943" s="15"/>
      <c r="AV943" s="15"/>
      <c r="AW943" s="15"/>
    </row>
    <row r="944" spans="3:49" x14ac:dyDescent="0.2">
      <c r="C944" s="15"/>
      <c r="D944" s="15"/>
      <c r="E944" s="15"/>
      <c r="F944" s="15"/>
      <c r="G944" s="15"/>
      <c r="H944" s="15"/>
      <c r="I944" s="15"/>
      <c r="J944" s="15"/>
      <c r="K944" s="15"/>
      <c r="L944" s="28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5"/>
      <c r="AG944" s="15"/>
      <c r="AH944" s="15"/>
      <c r="AI944" s="15"/>
      <c r="AJ944" s="15"/>
      <c r="AK944" s="15"/>
      <c r="AL944" s="15"/>
      <c r="AM944" s="15"/>
      <c r="AN944" s="15"/>
      <c r="AO944" s="15"/>
      <c r="AP944" s="15"/>
      <c r="AQ944" s="15"/>
      <c r="AR944" s="15"/>
      <c r="AS944" s="15"/>
      <c r="AT944" s="15"/>
      <c r="AU944" s="15"/>
      <c r="AV944" s="15"/>
      <c r="AW944" s="15"/>
    </row>
    <row r="945" spans="3:49" x14ac:dyDescent="0.2">
      <c r="C945" s="15"/>
      <c r="D945" s="15"/>
      <c r="E945" s="15"/>
      <c r="F945" s="15"/>
      <c r="G945" s="15"/>
      <c r="H945" s="15"/>
      <c r="I945" s="15"/>
      <c r="J945" s="15"/>
      <c r="K945" s="15"/>
      <c r="L945" s="28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5"/>
      <c r="AG945" s="15"/>
      <c r="AH945" s="15"/>
      <c r="AI945" s="15"/>
      <c r="AJ945" s="15"/>
      <c r="AK945" s="15"/>
      <c r="AL945" s="15"/>
      <c r="AM945" s="15"/>
      <c r="AN945" s="15"/>
      <c r="AO945" s="15"/>
      <c r="AP945" s="15"/>
      <c r="AQ945" s="15"/>
      <c r="AR945" s="15"/>
      <c r="AS945" s="15"/>
      <c r="AT945" s="15"/>
      <c r="AU945" s="15"/>
      <c r="AV945" s="15"/>
      <c r="AW945" s="15"/>
    </row>
    <row r="946" spans="3:49" x14ac:dyDescent="0.2">
      <c r="C946" s="15"/>
      <c r="D946" s="15"/>
      <c r="E946" s="15"/>
      <c r="F946" s="15"/>
      <c r="G946" s="15"/>
      <c r="H946" s="15"/>
      <c r="I946" s="15"/>
      <c r="J946" s="15"/>
      <c r="K946" s="15"/>
      <c r="L946" s="28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5"/>
      <c r="AG946" s="15"/>
      <c r="AH946" s="15"/>
      <c r="AI946" s="15"/>
      <c r="AJ946" s="15"/>
      <c r="AK946" s="15"/>
      <c r="AL946" s="15"/>
      <c r="AM946" s="15"/>
      <c r="AN946" s="15"/>
      <c r="AO946" s="15"/>
      <c r="AP946" s="15"/>
      <c r="AQ946" s="15"/>
      <c r="AR946" s="15"/>
      <c r="AS946" s="15"/>
      <c r="AT946" s="15"/>
      <c r="AU946" s="15"/>
      <c r="AV946" s="15"/>
      <c r="AW946" s="15"/>
    </row>
    <row r="947" spans="3:49" x14ac:dyDescent="0.2">
      <c r="C947" s="15"/>
      <c r="D947" s="15"/>
      <c r="E947" s="15"/>
      <c r="F947" s="15"/>
      <c r="G947" s="15"/>
      <c r="H947" s="15"/>
      <c r="I947" s="15"/>
      <c r="J947" s="15"/>
      <c r="K947" s="15"/>
      <c r="L947" s="28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5"/>
      <c r="AG947" s="15"/>
      <c r="AH947" s="15"/>
      <c r="AI947" s="15"/>
      <c r="AJ947" s="15"/>
      <c r="AK947" s="15"/>
      <c r="AL947" s="15"/>
      <c r="AM947" s="15"/>
      <c r="AN947" s="15"/>
      <c r="AO947" s="15"/>
      <c r="AP947" s="15"/>
      <c r="AQ947" s="15"/>
      <c r="AR947" s="15"/>
      <c r="AS947" s="15"/>
      <c r="AT947" s="15"/>
      <c r="AU947" s="15"/>
      <c r="AV947" s="15"/>
      <c r="AW947" s="15"/>
    </row>
    <row r="948" spans="3:49" x14ac:dyDescent="0.2">
      <c r="C948" s="15"/>
      <c r="D948" s="15"/>
      <c r="E948" s="15"/>
      <c r="F948" s="15"/>
      <c r="G948" s="15"/>
      <c r="H948" s="15"/>
      <c r="I948" s="15"/>
      <c r="J948" s="15"/>
      <c r="K948" s="15"/>
      <c r="L948" s="28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5"/>
      <c r="AG948" s="15"/>
      <c r="AH948" s="15"/>
      <c r="AI948" s="15"/>
      <c r="AJ948" s="15"/>
      <c r="AK948" s="15"/>
      <c r="AL948" s="15"/>
      <c r="AM948" s="15"/>
      <c r="AN948" s="15"/>
      <c r="AO948" s="15"/>
      <c r="AP948" s="15"/>
      <c r="AQ948" s="15"/>
      <c r="AR948" s="15"/>
      <c r="AS948" s="15"/>
      <c r="AT948" s="15"/>
      <c r="AU948" s="15"/>
      <c r="AV948" s="15"/>
      <c r="AW948" s="15"/>
    </row>
    <row r="949" spans="3:49" x14ac:dyDescent="0.2">
      <c r="C949" s="15"/>
      <c r="D949" s="15"/>
      <c r="E949" s="15"/>
      <c r="F949" s="15"/>
      <c r="G949" s="15"/>
      <c r="H949" s="15"/>
      <c r="I949" s="15"/>
      <c r="J949" s="15"/>
      <c r="K949" s="15"/>
      <c r="L949" s="28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5"/>
      <c r="AG949" s="15"/>
      <c r="AH949" s="15"/>
      <c r="AI949" s="15"/>
      <c r="AJ949" s="15"/>
      <c r="AK949" s="15"/>
      <c r="AL949" s="15"/>
      <c r="AM949" s="15"/>
      <c r="AN949" s="15"/>
      <c r="AO949" s="15"/>
      <c r="AP949" s="15"/>
      <c r="AQ949" s="15"/>
      <c r="AR949" s="15"/>
      <c r="AS949" s="15"/>
      <c r="AT949" s="15"/>
      <c r="AU949" s="15"/>
      <c r="AV949" s="15"/>
      <c r="AW949" s="15"/>
    </row>
    <row r="950" spans="3:49" x14ac:dyDescent="0.2">
      <c r="C950" s="15"/>
      <c r="D950" s="15"/>
      <c r="E950" s="15"/>
      <c r="F950" s="15"/>
      <c r="G950" s="15"/>
      <c r="H950" s="15"/>
      <c r="I950" s="15"/>
      <c r="J950" s="15"/>
      <c r="K950" s="15"/>
      <c r="L950" s="28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5"/>
      <c r="AG950" s="15"/>
      <c r="AH950" s="15"/>
      <c r="AI950" s="15"/>
      <c r="AJ950" s="15"/>
      <c r="AK950" s="15"/>
      <c r="AL950" s="15"/>
      <c r="AM950" s="15"/>
      <c r="AN950" s="15"/>
      <c r="AO950" s="15"/>
      <c r="AP950" s="15"/>
      <c r="AQ950" s="15"/>
      <c r="AR950" s="15"/>
      <c r="AS950" s="15"/>
      <c r="AT950" s="15"/>
      <c r="AU950" s="15"/>
      <c r="AV950" s="15"/>
      <c r="AW950" s="15"/>
    </row>
    <row r="951" spans="3:49" x14ac:dyDescent="0.2">
      <c r="C951" s="15"/>
      <c r="D951" s="15"/>
      <c r="E951" s="15"/>
      <c r="F951" s="15"/>
      <c r="G951" s="15"/>
      <c r="H951" s="15"/>
      <c r="I951" s="15"/>
      <c r="J951" s="15"/>
      <c r="K951" s="15"/>
      <c r="L951" s="28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5"/>
      <c r="AG951" s="15"/>
      <c r="AH951" s="15"/>
      <c r="AI951" s="15"/>
      <c r="AJ951" s="15"/>
      <c r="AK951" s="15"/>
      <c r="AL951" s="15"/>
      <c r="AM951" s="15"/>
      <c r="AN951" s="15"/>
      <c r="AO951" s="15"/>
      <c r="AP951" s="15"/>
      <c r="AQ951" s="15"/>
      <c r="AR951" s="15"/>
      <c r="AS951" s="15"/>
      <c r="AT951" s="15"/>
      <c r="AU951" s="15"/>
      <c r="AV951" s="15"/>
      <c r="AW951" s="15"/>
    </row>
    <row r="952" spans="3:49" x14ac:dyDescent="0.2">
      <c r="C952" s="15"/>
      <c r="D952" s="15"/>
      <c r="E952" s="15"/>
      <c r="F952" s="15"/>
      <c r="G952" s="15"/>
      <c r="H952" s="15"/>
      <c r="I952" s="15"/>
      <c r="J952" s="15"/>
      <c r="K952" s="15"/>
      <c r="L952" s="28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5"/>
      <c r="AG952" s="15"/>
      <c r="AH952" s="15"/>
      <c r="AI952" s="15"/>
      <c r="AJ952" s="15"/>
      <c r="AK952" s="15"/>
      <c r="AL952" s="15"/>
      <c r="AM952" s="15"/>
      <c r="AN952" s="15"/>
      <c r="AO952" s="15"/>
      <c r="AP952" s="15"/>
      <c r="AQ952" s="15"/>
      <c r="AR952" s="15"/>
      <c r="AS952" s="15"/>
      <c r="AT952" s="15"/>
      <c r="AU952" s="15"/>
      <c r="AV952" s="15"/>
      <c r="AW952" s="15"/>
    </row>
    <row r="953" spans="3:49" x14ac:dyDescent="0.2">
      <c r="C953" s="15"/>
      <c r="D953" s="15"/>
      <c r="E953" s="15"/>
      <c r="F953" s="15"/>
      <c r="G953" s="15"/>
      <c r="H953" s="15"/>
      <c r="I953" s="15"/>
      <c r="J953" s="15"/>
      <c r="K953" s="15"/>
      <c r="L953" s="28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5"/>
      <c r="AG953" s="15"/>
      <c r="AH953" s="15"/>
      <c r="AI953" s="15"/>
      <c r="AJ953" s="15"/>
      <c r="AK953" s="15"/>
      <c r="AL953" s="15"/>
      <c r="AM953" s="15"/>
      <c r="AN953" s="15"/>
      <c r="AO953" s="15"/>
      <c r="AP953" s="15"/>
      <c r="AQ953" s="15"/>
      <c r="AR953" s="15"/>
      <c r="AS953" s="15"/>
      <c r="AT953" s="15"/>
      <c r="AU953" s="15"/>
      <c r="AV953" s="15"/>
      <c r="AW953" s="15"/>
    </row>
    <row r="954" spans="3:49" x14ac:dyDescent="0.2">
      <c r="C954" s="15"/>
      <c r="D954" s="15"/>
      <c r="E954" s="15"/>
      <c r="F954" s="15"/>
      <c r="G954" s="15"/>
      <c r="H954" s="15"/>
      <c r="I954" s="15"/>
      <c r="J954" s="15"/>
      <c r="K954" s="15"/>
      <c r="L954" s="28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5"/>
      <c r="AG954" s="15"/>
      <c r="AH954" s="15"/>
      <c r="AI954" s="15"/>
      <c r="AJ954" s="15"/>
      <c r="AK954" s="15"/>
      <c r="AL954" s="15"/>
      <c r="AM954" s="15"/>
      <c r="AN954" s="15"/>
      <c r="AO954" s="15"/>
      <c r="AP954" s="15"/>
      <c r="AQ954" s="15"/>
      <c r="AR954" s="15"/>
      <c r="AS954" s="15"/>
      <c r="AT954" s="15"/>
      <c r="AU954" s="15"/>
      <c r="AV954" s="15"/>
      <c r="AW954" s="15"/>
    </row>
    <row r="955" spans="3:49" x14ac:dyDescent="0.2">
      <c r="C955" s="15"/>
      <c r="D955" s="15"/>
      <c r="E955" s="15"/>
      <c r="F955" s="15"/>
      <c r="G955" s="15"/>
      <c r="H955" s="15"/>
      <c r="I955" s="15"/>
      <c r="J955" s="15"/>
      <c r="K955" s="15"/>
      <c r="L955" s="28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5"/>
      <c r="AG955" s="15"/>
      <c r="AH955" s="15"/>
      <c r="AI955" s="15"/>
      <c r="AJ955" s="15"/>
      <c r="AK955" s="15"/>
      <c r="AL955" s="15"/>
      <c r="AM955" s="15"/>
      <c r="AN955" s="15"/>
      <c r="AO955" s="15"/>
      <c r="AP955" s="15"/>
      <c r="AQ955" s="15"/>
      <c r="AR955" s="15"/>
      <c r="AS955" s="15"/>
      <c r="AT955" s="15"/>
      <c r="AU955" s="15"/>
      <c r="AV955" s="15"/>
      <c r="AW955" s="15"/>
    </row>
    <row r="956" spans="3:49" x14ac:dyDescent="0.2">
      <c r="C956" s="15"/>
      <c r="D956" s="15"/>
      <c r="E956" s="15"/>
      <c r="F956" s="15"/>
      <c r="G956" s="15"/>
      <c r="H956" s="15"/>
      <c r="I956" s="15"/>
      <c r="J956" s="15"/>
      <c r="K956" s="15"/>
      <c r="L956" s="28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5"/>
      <c r="AG956" s="15"/>
      <c r="AH956" s="15"/>
      <c r="AI956" s="15"/>
      <c r="AJ956" s="15"/>
      <c r="AK956" s="15"/>
      <c r="AL956" s="15"/>
      <c r="AM956" s="15"/>
      <c r="AN956" s="15"/>
      <c r="AO956" s="15"/>
      <c r="AP956" s="15"/>
      <c r="AQ956" s="15"/>
      <c r="AR956" s="15"/>
      <c r="AS956" s="15"/>
      <c r="AT956" s="15"/>
      <c r="AU956" s="15"/>
      <c r="AV956" s="15"/>
      <c r="AW956" s="15"/>
    </row>
    <row r="957" spans="3:49" x14ac:dyDescent="0.2">
      <c r="C957" s="15"/>
      <c r="D957" s="15"/>
      <c r="E957" s="15"/>
      <c r="F957" s="15"/>
      <c r="G957" s="15"/>
      <c r="H957" s="15"/>
      <c r="I957" s="15"/>
      <c r="J957" s="15"/>
      <c r="K957" s="15"/>
      <c r="L957" s="28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5"/>
      <c r="AG957" s="15"/>
      <c r="AH957" s="15"/>
      <c r="AI957" s="15"/>
      <c r="AJ957" s="15"/>
      <c r="AK957" s="15"/>
      <c r="AL957" s="15"/>
      <c r="AM957" s="15"/>
      <c r="AN957" s="15"/>
      <c r="AO957" s="15"/>
      <c r="AP957" s="15"/>
      <c r="AQ957" s="15"/>
      <c r="AR957" s="15"/>
      <c r="AS957" s="15"/>
      <c r="AT957" s="15"/>
      <c r="AU957" s="15"/>
      <c r="AV957" s="15"/>
      <c r="AW957" s="15"/>
    </row>
    <row r="958" spans="3:49" x14ac:dyDescent="0.2">
      <c r="C958" s="15"/>
      <c r="D958" s="15"/>
      <c r="E958" s="15"/>
      <c r="F958" s="15"/>
      <c r="G958" s="15"/>
      <c r="H958" s="15"/>
      <c r="I958" s="15"/>
      <c r="J958" s="15"/>
      <c r="K958" s="15"/>
      <c r="L958" s="28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5"/>
      <c r="AG958" s="15"/>
      <c r="AH958" s="15"/>
      <c r="AI958" s="15"/>
      <c r="AJ958" s="15"/>
      <c r="AK958" s="15"/>
      <c r="AL958" s="15"/>
      <c r="AM958" s="15"/>
      <c r="AN958" s="15"/>
      <c r="AO958" s="15"/>
      <c r="AP958" s="15"/>
      <c r="AQ958" s="15"/>
      <c r="AR958" s="15"/>
      <c r="AS958" s="15"/>
      <c r="AT958" s="15"/>
      <c r="AU958" s="15"/>
      <c r="AV958" s="15"/>
      <c r="AW958" s="15"/>
    </row>
    <row r="959" spans="3:49" x14ac:dyDescent="0.2">
      <c r="C959" s="15"/>
      <c r="D959" s="15"/>
      <c r="E959" s="15"/>
      <c r="F959" s="15"/>
      <c r="G959" s="15"/>
      <c r="H959" s="15"/>
      <c r="I959" s="15"/>
      <c r="J959" s="15"/>
      <c r="K959" s="15"/>
      <c r="L959" s="28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5"/>
      <c r="AG959" s="15"/>
      <c r="AH959" s="15"/>
      <c r="AI959" s="15"/>
      <c r="AJ959" s="15"/>
      <c r="AK959" s="15"/>
      <c r="AL959" s="15"/>
      <c r="AM959" s="15"/>
      <c r="AN959" s="15"/>
      <c r="AO959" s="15"/>
      <c r="AP959" s="15"/>
      <c r="AQ959" s="15"/>
      <c r="AR959" s="15"/>
      <c r="AS959" s="15"/>
      <c r="AT959" s="15"/>
      <c r="AU959" s="15"/>
      <c r="AV959" s="15"/>
      <c r="AW959" s="15"/>
    </row>
    <row r="960" spans="3:49" x14ac:dyDescent="0.2">
      <c r="C960" s="15"/>
      <c r="D960" s="15"/>
      <c r="E960" s="15"/>
      <c r="F960" s="15"/>
      <c r="G960" s="15"/>
      <c r="H960" s="15"/>
      <c r="I960" s="15"/>
      <c r="J960" s="15"/>
      <c r="K960" s="15"/>
      <c r="L960" s="28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5"/>
      <c r="AG960" s="15"/>
      <c r="AH960" s="15"/>
      <c r="AI960" s="15"/>
      <c r="AJ960" s="15"/>
      <c r="AK960" s="15"/>
      <c r="AL960" s="15"/>
      <c r="AM960" s="15"/>
      <c r="AN960" s="15"/>
      <c r="AO960" s="15"/>
      <c r="AP960" s="15"/>
      <c r="AQ960" s="15"/>
      <c r="AR960" s="15"/>
      <c r="AS960" s="15"/>
      <c r="AT960" s="15"/>
      <c r="AU960" s="15"/>
      <c r="AV960" s="15"/>
      <c r="AW960" s="15"/>
    </row>
    <row r="961" spans="3:49" x14ac:dyDescent="0.2">
      <c r="C961" s="15"/>
      <c r="D961" s="15"/>
      <c r="E961" s="15"/>
      <c r="F961" s="15"/>
      <c r="G961" s="15"/>
      <c r="H961" s="15"/>
      <c r="I961" s="15"/>
      <c r="J961" s="15"/>
      <c r="K961" s="15"/>
      <c r="L961" s="28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5"/>
      <c r="AG961" s="15"/>
      <c r="AH961" s="15"/>
      <c r="AI961" s="15"/>
      <c r="AJ961" s="15"/>
      <c r="AK961" s="15"/>
      <c r="AL961" s="15"/>
      <c r="AM961" s="15"/>
      <c r="AN961" s="15"/>
      <c r="AO961" s="15"/>
      <c r="AP961" s="15"/>
      <c r="AQ961" s="15"/>
      <c r="AR961" s="15"/>
      <c r="AS961" s="15"/>
      <c r="AT961" s="15"/>
      <c r="AU961" s="15"/>
      <c r="AV961" s="15"/>
      <c r="AW961" s="15"/>
    </row>
    <row r="962" spans="3:49" x14ac:dyDescent="0.2">
      <c r="C962" s="15"/>
      <c r="D962" s="15"/>
      <c r="E962" s="15"/>
      <c r="F962" s="15"/>
      <c r="G962" s="15"/>
      <c r="H962" s="15"/>
      <c r="I962" s="15"/>
      <c r="J962" s="15"/>
      <c r="K962" s="15"/>
      <c r="L962" s="28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5"/>
      <c r="AG962" s="15"/>
      <c r="AH962" s="15"/>
      <c r="AI962" s="15"/>
      <c r="AJ962" s="15"/>
      <c r="AK962" s="15"/>
      <c r="AL962" s="15"/>
      <c r="AM962" s="15"/>
      <c r="AN962" s="15"/>
      <c r="AO962" s="15"/>
      <c r="AP962" s="15"/>
      <c r="AQ962" s="15"/>
      <c r="AR962" s="15"/>
      <c r="AS962" s="15"/>
      <c r="AT962" s="15"/>
      <c r="AU962" s="15"/>
      <c r="AV962" s="15"/>
      <c r="AW962" s="15"/>
    </row>
    <row r="963" spans="3:49" x14ac:dyDescent="0.2">
      <c r="C963" s="15"/>
      <c r="D963" s="15"/>
      <c r="E963" s="15"/>
      <c r="F963" s="15"/>
      <c r="G963" s="15"/>
      <c r="H963" s="15"/>
      <c r="I963" s="15"/>
      <c r="J963" s="15"/>
      <c r="K963" s="15"/>
      <c r="L963" s="28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5"/>
      <c r="AG963" s="15"/>
      <c r="AH963" s="15"/>
      <c r="AI963" s="15"/>
      <c r="AJ963" s="15"/>
      <c r="AK963" s="15"/>
      <c r="AL963" s="15"/>
      <c r="AM963" s="15"/>
      <c r="AN963" s="15"/>
      <c r="AO963" s="15"/>
      <c r="AP963" s="15"/>
      <c r="AQ963" s="15"/>
      <c r="AR963" s="15"/>
      <c r="AS963" s="15"/>
      <c r="AT963" s="15"/>
      <c r="AU963" s="15"/>
      <c r="AV963" s="15"/>
      <c r="AW963" s="15"/>
    </row>
    <row r="964" spans="3:49" x14ac:dyDescent="0.2">
      <c r="C964" s="15"/>
      <c r="D964" s="15"/>
      <c r="E964" s="15"/>
      <c r="F964" s="15"/>
      <c r="G964" s="15"/>
      <c r="H964" s="15"/>
      <c r="I964" s="15"/>
      <c r="J964" s="15"/>
      <c r="K964" s="15"/>
      <c r="L964" s="28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5"/>
      <c r="AG964" s="15"/>
      <c r="AH964" s="15"/>
      <c r="AI964" s="15"/>
      <c r="AJ964" s="15"/>
      <c r="AK964" s="15"/>
      <c r="AL964" s="15"/>
      <c r="AM964" s="15"/>
      <c r="AN964" s="15"/>
      <c r="AO964" s="15"/>
      <c r="AP964" s="15"/>
      <c r="AQ964" s="15"/>
      <c r="AR964" s="15"/>
      <c r="AS964" s="15"/>
      <c r="AT964" s="15"/>
      <c r="AU964" s="15"/>
      <c r="AV964" s="15"/>
      <c r="AW964" s="15"/>
    </row>
    <row r="965" spans="3:49" x14ac:dyDescent="0.2">
      <c r="C965" s="15"/>
      <c r="D965" s="15"/>
      <c r="E965" s="15"/>
      <c r="F965" s="15"/>
      <c r="G965" s="15"/>
      <c r="H965" s="15"/>
      <c r="I965" s="15"/>
      <c r="J965" s="15"/>
      <c r="K965" s="15"/>
      <c r="L965" s="28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5"/>
      <c r="AG965" s="15"/>
      <c r="AH965" s="15"/>
      <c r="AI965" s="15"/>
      <c r="AJ965" s="15"/>
      <c r="AK965" s="15"/>
      <c r="AL965" s="15"/>
      <c r="AM965" s="15"/>
      <c r="AN965" s="15"/>
      <c r="AO965" s="15"/>
      <c r="AP965" s="15"/>
      <c r="AQ965" s="15"/>
      <c r="AR965" s="15"/>
      <c r="AS965" s="15"/>
      <c r="AT965" s="15"/>
      <c r="AU965" s="15"/>
      <c r="AV965" s="15"/>
      <c r="AW965" s="15"/>
    </row>
    <row r="966" spans="3:49" x14ac:dyDescent="0.2">
      <c r="C966" s="15"/>
      <c r="D966" s="15"/>
      <c r="E966" s="15"/>
      <c r="F966" s="15"/>
      <c r="G966" s="15"/>
      <c r="H966" s="15"/>
      <c r="I966" s="15"/>
      <c r="J966" s="15"/>
      <c r="K966" s="15"/>
      <c r="L966" s="28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5"/>
      <c r="AG966" s="15"/>
      <c r="AH966" s="15"/>
      <c r="AI966" s="15"/>
      <c r="AJ966" s="15"/>
      <c r="AK966" s="15"/>
      <c r="AL966" s="15"/>
      <c r="AM966" s="15"/>
      <c r="AN966" s="15"/>
      <c r="AO966" s="15"/>
      <c r="AP966" s="15"/>
      <c r="AQ966" s="15"/>
      <c r="AR966" s="15"/>
      <c r="AS966" s="15"/>
      <c r="AT966" s="15"/>
      <c r="AU966" s="15"/>
      <c r="AV966" s="15"/>
      <c r="AW966" s="15"/>
    </row>
    <row r="967" spans="3:49" x14ac:dyDescent="0.2">
      <c r="C967" s="15"/>
      <c r="D967" s="15"/>
      <c r="E967" s="15"/>
      <c r="F967" s="15"/>
      <c r="G967" s="15"/>
      <c r="H967" s="15"/>
      <c r="I967" s="15"/>
      <c r="J967" s="15"/>
      <c r="K967" s="15"/>
      <c r="L967" s="28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5"/>
      <c r="AG967" s="15"/>
      <c r="AH967" s="15"/>
      <c r="AI967" s="15"/>
      <c r="AJ967" s="15"/>
      <c r="AK967" s="15"/>
      <c r="AL967" s="15"/>
      <c r="AM967" s="15"/>
      <c r="AN967" s="15"/>
      <c r="AO967" s="15"/>
      <c r="AP967" s="15"/>
      <c r="AQ967" s="15"/>
      <c r="AR967" s="15"/>
      <c r="AS967" s="15"/>
      <c r="AT967" s="15"/>
      <c r="AU967" s="15"/>
      <c r="AV967" s="15"/>
      <c r="AW967" s="15"/>
    </row>
    <row r="968" spans="3:49" x14ac:dyDescent="0.2">
      <c r="C968" s="15"/>
      <c r="D968" s="15"/>
      <c r="E968" s="15"/>
      <c r="F968" s="15"/>
      <c r="G968" s="15"/>
      <c r="H968" s="15"/>
      <c r="I968" s="15"/>
      <c r="J968" s="15"/>
      <c r="K968" s="15"/>
      <c r="L968" s="28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5"/>
      <c r="AG968" s="15"/>
      <c r="AH968" s="15"/>
      <c r="AI968" s="15"/>
      <c r="AJ968" s="15"/>
      <c r="AK968" s="15"/>
      <c r="AL968" s="15"/>
      <c r="AM968" s="15"/>
      <c r="AN968" s="15"/>
      <c r="AO968" s="15"/>
      <c r="AP968" s="15"/>
      <c r="AQ968" s="15"/>
      <c r="AR968" s="15"/>
      <c r="AS968" s="15"/>
      <c r="AT968" s="15"/>
      <c r="AU968" s="15"/>
      <c r="AV968" s="15"/>
      <c r="AW968" s="15"/>
    </row>
    <row r="969" spans="3:49" x14ac:dyDescent="0.2">
      <c r="C969" s="15"/>
      <c r="D969" s="15"/>
      <c r="E969" s="15"/>
      <c r="F969" s="15"/>
      <c r="G969" s="15"/>
      <c r="H969" s="15"/>
      <c r="I969" s="15"/>
      <c r="J969" s="15"/>
      <c r="K969" s="15"/>
      <c r="L969" s="28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5"/>
      <c r="AG969" s="15"/>
      <c r="AH969" s="15"/>
      <c r="AI969" s="15"/>
      <c r="AJ969" s="15"/>
      <c r="AK969" s="15"/>
      <c r="AL969" s="15"/>
      <c r="AM969" s="15"/>
      <c r="AN969" s="15"/>
      <c r="AO969" s="15"/>
      <c r="AP969" s="15"/>
      <c r="AQ969" s="15"/>
      <c r="AR969" s="15"/>
      <c r="AS969" s="15"/>
      <c r="AT969" s="15"/>
      <c r="AU969" s="15"/>
      <c r="AV969" s="15"/>
      <c r="AW969" s="15"/>
    </row>
    <row r="970" spans="3:49" x14ac:dyDescent="0.2">
      <c r="C970" s="15"/>
      <c r="D970" s="15"/>
      <c r="E970" s="15"/>
      <c r="F970" s="15"/>
      <c r="G970" s="15"/>
      <c r="H970" s="15"/>
      <c r="I970" s="15"/>
      <c r="J970" s="15"/>
      <c r="K970" s="15"/>
      <c r="L970" s="28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5"/>
      <c r="AG970" s="15"/>
      <c r="AH970" s="15"/>
      <c r="AI970" s="15"/>
      <c r="AJ970" s="15"/>
      <c r="AK970" s="15"/>
      <c r="AL970" s="15"/>
      <c r="AM970" s="15"/>
      <c r="AN970" s="15"/>
      <c r="AO970" s="15"/>
      <c r="AP970" s="15"/>
      <c r="AQ970" s="15"/>
      <c r="AR970" s="15"/>
      <c r="AS970" s="15"/>
      <c r="AT970" s="15"/>
      <c r="AU970" s="15"/>
      <c r="AV970" s="15"/>
      <c r="AW970" s="15"/>
    </row>
    <row r="971" spans="3:49" x14ac:dyDescent="0.2">
      <c r="C971" s="15"/>
      <c r="D971" s="15"/>
      <c r="E971" s="15"/>
      <c r="F971" s="15"/>
      <c r="G971" s="15"/>
      <c r="H971" s="15"/>
      <c r="I971" s="15"/>
      <c r="J971" s="15"/>
      <c r="K971" s="15"/>
      <c r="L971" s="28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5"/>
      <c r="AG971" s="15"/>
      <c r="AH971" s="15"/>
      <c r="AI971" s="15"/>
      <c r="AJ971" s="15"/>
      <c r="AK971" s="15"/>
      <c r="AL971" s="15"/>
      <c r="AM971" s="15"/>
      <c r="AN971" s="15"/>
      <c r="AO971" s="15"/>
      <c r="AP971" s="15"/>
      <c r="AQ971" s="15"/>
      <c r="AR971" s="15"/>
      <c r="AS971" s="15"/>
      <c r="AT971" s="15"/>
      <c r="AU971" s="15"/>
      <c r="AV971" s="15"/>
      <c r="AW971" s="15"/>
    </row>
    <row r="972" spans="3:49" x14ac:dyDescent="0.2">
      <c r="C972" s="15"/>
      <c r="D972" s="15"/>
      <c r="E972" s="15"/>
      <c r="F972" s="15"/>
      <c r="G972" s="15"/>
      <c r="H972" s="15"/>
      <c r="I972" s="15"/>
      <c r="J972" s="15"/>
      <c r="K972" s="15"/>
      <c r="L972" s="28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5"/>
      <c r="AG972" s="15"/>
      <c r="AH972" s="15"/>
      <c r="AI972" s="15"/>
      <c r="AJ972" s="15"/>
      <c r="AK972" s="15"/>
      <c r="AL972" s="15"/>
      <c r="AM972" s="15"/>
      <c r="AN972" s="15"/>
      <c r="AO972" s="15"/>
      <c r="AP972" s="15"/>
      <c r="AQ972" s="15"/>
      <c r="AR972" s="15"/>
      <c r="AS972" s="15"/>
      <c r="AT972" s="15"/>
      <c r="AU972" s="15"/>
      <c r="AV972" s="15"/>
      <c r="AW972" s="15"/>
    </row>
    <row r="973" spans="3:49" x14ac:dyDescent="0.2">
      <c r="C973" s="15"/>
      <c r="D973" s="15"/>
      <c r="E973" s="15"/>
      <c r="F973" s="15"/>
      <c r="G973" s="15"/>
      <c r="H973" s="15"/>
      <c r="I973" s="15"/>
      <c r="J973" s="15"/>
      <c r="K973" s="15"/>
      <c r="L973" s="28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5"/>
      <c r="AG973" s="15"/>
      <c r="AH973" s="15"/>
      <c r="AI973" s="15"/>
      <c r="AJ973" s="15"/>
      <c r="AK973" s="15"/>
      <c r="AL973" s="15"/>
      <c r="AM973" s="15"/>
      <c r="AN973" s="15"/>
      <c r="AO973" s="15"/>
      <c r="AP973" s="15"/>
      <c r="AQ973" s="15"/>
      <c r="AR973" s="15"/>
      <c r="AS973" s="15"/>
      <c r="AT973" s="15"/>
      <c r="AU973" s="15"/>
      <c r="AV973" s="15"/>
      <c r="AW973" s="15"/>
    </row>
    <row r="974" spans="3:49" x14ac:dyDescent="0.2">
      <c r="C974" s="15"/>
      <c r="D974" s="15"/>
      <c r="E974" s="15"/>
      <c r="F974" s="15"/>
      <c r="G974" s="15"/>
      <c r="H974" s="15"/>
      <c r="I974" s="15"/>
      <c r="J974" s="15"/>
      <c r="K974" s="15"/>
      <c r="L974" s="28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5"/>
      <c r="AG974" s="15"/>
      <c r="AH974" s="15"/>
      <c r="AI974" s="15"/>
      <c r="AJ974" s="15"/>
      <c r="AK974" s="15"/>
      <c r="AL974" s="15"/>
      <c r="AM974" s="15"/>
      <c r="AN974" s="15"/>
      <c r="AO974" s="15"/>
      <c r="AP974" s="15"/>
      <c r="AQ974" s="15"/>
      <c r="AR974" s="15"/>
      <c r="AS974" s="15"/>
      <c r="AT974" s="15"/>
      <c r="AU974" s="15"/>
      <c r="AV974" s="15"/>
      <c r="AW974" s="15"/>
    </row>
    <row r="975" spans="3:49" x14ac:dyDescent="0.2">
      <c r="C975" s="15"/>
      <c r="D975" s="15"/>
      <c r="E975" s="15"/>
      <c r="F975" s="15"/>
      <c r="G975" s="15"/>
      <c r="H975" s="15"/>
      <c r="I975" s="15"/>
      <c r="J975" s="15"/>
      <c r="K975" s="15"/>
      <c r="L975" s="28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5"/>
      <c r="AG975" s="15"/>
      <c r="AH975" s="15"/>
      <c r="AI975" s="15"/>
      <c r="AJ975" s="15"/>
      <c r="AK975" s="15"/>
      <c r="AL975" s="15"/>
      <c r="AM975" s="15"/>
      <c r="AN975" s="15"/>
      <c r="AO975" s="15"/>
      <c r="AP975" s="15"/>
      <c r="AQ975" s="15"/>
      <c r="AR975" s="15"/>
      <c r="AS975" s="15"/>
      <c r="AT975" s="15"/>
      <c r="AU975" s="15"/>
      <c r="AV975" s="15"/>
      <c r="AW975" s="15"/>
    </row>
    <row r="976" spans="3:49" x14ac:dyDescent="0.2">
      <c r="C976" s="15"/>
      <c r="D976" s="15"/>
      <c r="E976" s="15"/>
      <c r="F976" s="15"/>
      <c r="G976" s="15"/>
      <c r="H976" s="15"/>
      <c r="I976" s="15"/>
      <c r="J976" s="15"/>
      <c r="K976" s="15"/>
      <c r="L976" s="28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5"/>
      <c r="AG976" s="15"/>
      <c r="AH976" s="15"/>
      <c r="AI976" s="15"/>
      <c r="AJ976" s="15"/>
      <c r="AK976" s="15"/>
      <c r="AL976" s="15"/>
      <c r="AM976" s="15"/>
      <c r="AN976" s="15"/>
      <c r="AO976" s="15"/>
      <c r="AP976" s="15"/>
      <c r="AQ976" s="15"/>
      <c r="AR976" s="15"/>
      <c r="AS976" s="15"/>
      <c r="AT976" s="15"/>
      <c r="AU976" s="15"/>
      <c r="AV976" s="15"/>
      <c r="AW976" s="15"/>
    </row>
    <row r="977" spans="3:49" x14ac:dyDescent="0.2">
      <c r="C977" s="15"/>
      <c r="D977" s="15"/>
      <c r="E977" s="15"/>
      <c r="F977" s="15"/>
      <c r="G977" s="15"/>
      <c r="H977" s="15"/>
      <c r="I977" s="15"/>
      <c r="J977" s="15"/>
      <c r="K977" s="15"/>
      <c r="L977" s="28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5"/>
      <c r="AG977" s="15"/>
      <c r="AH977" s="15"/>
      <c r="AI977" s="15"/>
      <c r="AJ977" s="15"/>
      <c r="AK977" s="15"/>
      <c r="AL977" s="15"/>
      <c r="AM977" s="15"/>
      <c r="AN977" s="15"/>
      <c r="AO977" s="15"/>
      <c r="AP977" s="15"/>
      <c r="AQ977" s="15"/>
      <c r="AR977" s="15"/>
      <c r="AS977" s="15"/>
      <c r="AT977" s="15"/>
      <c r="AU977" s="15"/>
      <c r="AV977" s="15"/>
      <c r="AW977" s="15"/>
    </row>
    <row r="978" spans="3:49" x14ac:dyDescent="0.2">
      <c r="C978" s="15"/>
      <c r="D978" s="15"/>
      <c r="E978" s="15"/>
      <c r="F978" s="15"/>
      <c r="G978" s="15"/>
      <c r="H978" s="15"/>
      <c r="I978" s="15"/>
      <c r="J978" s="15"/>
      <c r="K978" s="15"/>
      <c r="L978" s="28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5"/>
      <c r="AG978" s="15"/>
      <c r="AH978" s="15"/>
      <c r="AI978" s="15"/>
      <c r="AJ978" s="15"/>
      <c r="AK978" s="15"/>
      <c r="AL978" s="15"/>
      <c r="AM978" s="15"/>
      <c r="AN978" s="15"/>
      <c r="AO978" s="15"/>
      <c r="AP978" s="15"/>
      <c r="AQ978" s="15"/>
      <c r="AR978" s="15"/>
      <c r="AS978" s="15"/>
      <c r="AT978" s="15"/>
      <c r="AU978" s="15"/>
      <c r="AV978" s="15"/>
      <c r="AW978" s="15"/>
    </row>
    <row r="979" spans="3:49" x14ac:dyDescent="0.2">
      <c r="C979" s="15"/>
      <c r="D979" s="15"/>
      <c r="E979" s="15"/>
      <c r="F979" s="15"/>
      <c r="G979" s="15"/>
      <c r="H979" s="15"/>
      <c r="I979" s="15"/>
      <c r="J979" s="15"/>
      <c r="K979" s="15"/>
      <c r="L979" s="28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5"/>
      <c r="AG979" s="15"/>
      <c r="AH979" s="15"/>
      <c r="AI979" s="15"/>
      <c r="AJ979" s="15"/>
      <c r="AK979" s="15"/>
      <c r="AL979" s="15"/>
      <c r="AM979" s="15"/>
      <c r="AN979" s="15"/>
      <c r="AO979" s="15"/>
      <c r="AP979" s="15"/>
      <c r="AQ979" s="15"/>
      <c r="AR979" s="15"/>
      <c r="AS979" s="15"/>
      <c r="AT979" s="15"/>
      <c r="AU979" s="15"/>
      <c r="AV979" s="15"/>
      <c r="AW979" s="15"/>
    </row>
    <row r="980" spans="3:49" x14ac:dyDescent="0.2">
      <c r="C980" s="15"/>
      <c r="D980" s="15"/>
      <c r="E980" s="15"/>
      <c r="F980" s="15"/>
      <c r="G980" s="15"/>
      <c r="H980" s="15"/>
      <c r="I980" s="15"/>
      <c r="J980" s="15"/>
      <c r="K980" s="15"/>
      <c r="L980" s="28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5"/>
      <c r="AG980" s="15"/>
      <c r="AH980" s="15"/>
      <c r="AI980" s="15"/>
      <c r="AJ980" s="15"/>
      <c r="AK980" s="15"/>
      <c r="AL980" s="15"/>
      <c r="AM980" s="15"/>
      <c r="AN980" s="15"/>
      <c r="AO980" s="15"/>
      <c r="AP980" s="15"/>
      <c r="AQ980" s="15"/>
      <c r="AR980" s="15"/>
      <c r="AS980" s="15"/>
      <c r="AT980" s="15"/>
      <c r="AU980" s="15"/>
      <c r="AV980" s="15"/>
      <c r="AW980" s="15"/>
    </row>
    <row r="981" spans="3:49" x14ac:dyDescent="0.2">
      <c r="C981" s="15"/>
      <c r="D981" s="15"/>
      <c r="E981" s="15"/>
      <c r="F981" s="15"/>
      <c r="G981" s="15"/>
      <c r="H981" s="15"/>
      <c r="I981" s="15"/>
      <c r="J981" s="15"/>
      <c r="K981" s="15"/>
      <c r="L981" s="28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5"/>
      <c r="AG981" s="15"/>
      <c r="AH981" s="15"/>
      <c r="AI981" s="15"/>
      <c r="AJ981" s="15"/>
      <c r="AK981" s="15"/>
      <c r="AL981" s="15"/>
      <c r="AM981" s="15"/>
      <c r="AN981" s="15"/>
      <c r="AO981" s="15"/>
      <c r="AP981" s="15"/>
      <c r="AQ981" s="15"/>
      <c r="AR981" s="15"/>
      <c r="AS981" s="15"/>
      <c r="AT981" s="15"/>
      <c r="AU981" s="15"/>
      <c r="AV981" s="15"/>
      <c r="AW981" s="15"/>
    </row>
    <row r="982" spans="3:49" x14ac:dyDescent="0.2">
      <c r="C982" s="15"/>
      <c r="D982" s="15"/>
      <c r="E982" s="15"/>
      <c r="F982" s="15"/>
      <c r="G982" s="15"/>
      <c r="H982" s="15"/>
      <c r="I982" s="15"/>
      <c r="J982" s="15"/>
      <c r="K982" s="15"/>
      <c r="L982" s="28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5"/>
      <c r="AG982" s="15"/>
      <c r="AH982" s="15"/>
      <c r="AI982" s="15"/>
      <c r="AJ982" s="15"/>
      <c r="AK982" s="15"/>
      <c r="AL982" s="15"/>
      <c r="AM982" s="15"/>
      <c r="AN982" s="15"/>
      <c r="AO982" s="15"/>
      <c r="AP982" s="15"/>
      <c r="AQ982" s="15"/>
      <c r="AR982" s="15"/>
      <c r="AS982" s="15"/>
      <c r="AT982" s="15"/>
      <c r="AU982" s="15"/>
      <c r="AV982" s="15"/>
      <c r="AW982" s="15"/>
    </row>
    <row r="983" spans="3:49" x14ac:dyDescent="0.2">
      <c r="C983" s="15"/>
      <c r="D983" s="15"/>
      <c r="E983" s="15"/>
      <c r="F983" s="15"/>
      <c r="G983" s="15"/>
      <c r="H983" s="15"/>
      <c r="I983" s="15"/>
      <c r="J983" s="15"/>
      <c r="K983" s="15"/>
      <c r="L983" s="28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5"/>
      <c r="AG983" s="15"/>
      <c r="AH983" s="15"/>
      <c r="AI983" s="15"/>
      <c r="AJ983" s="15"/>
      <c r="AK983" s="15"/>
      <c r="AL983" s="15"/>
      <c r="AM983" s="15"/>
      <c r="AN983" s="15"/>
      <c r="AO983" s="15"/>
      <c r="AP983" s="15"/>
      <c r="AQ983" s="15"/>
      <c r="AR983" s="15"/>
      <c r="AS983" s="15"/>
      <c r="AT983" s="15"/>
      <c r="AU983" s="15"/>
      <c r="AV983" s="15"/>
      <c r="AW983" s="15"/>
    </row>
    <row r="984" spans="3:49" x14ac:dyDescent="0.2">
      <c r="C984" s="15"/>
      <c r="D984" s="15"/>
      <c r="E984" s="15"/>
      <c r="F984" s="15"/>
      <c r="G984" s="15"/>
      <c r="H984" s="15"/>
      <c r="I984" s="15"/>
      <c r="J984" s="15"/>
      <c r="K984" s="15"/>
      <c r="L984" s="28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5"/>
      <c r="AG984" s="15"/>
      <c r="AH984" s="15"/>
      <c r="AI984" s="15"/>
      <c r="AJ984" s="15"/>
      <c r="AK984" s="15"/>
      <c r="AL984" s="15"/>
      <c r="AM984" s="15"/>
      <c r="AN984" s="15"/>
      <c r="AO984" s="15"/>
      <c r="AP984" s="15"/>
      <c r="AQ984" s="15"/>
      <c r="AR984" s="15"/>
      <c r="AS984" s="15"/>
      <c r="AT984" s="15"/>
      <c r="AU984" s="15"/>
      <c r="AV984" s="15"/>
      <c r="AW984" s="15"/>
    </row>
    <row r="985" spans="3:49" x14ac:dyDescent="0.2">
      <c r="C985" s="15"/>
      <c r="D985" s="15"/>
      <c r="E985" s="15"/>
      <c r="F985" s="15"/>
      <c r="G985" s="15"/>
      <c r="H985" s="15"/>
      <c r="I985" s="15"/>
      <c r="J985" s="15"/>
      <c r="K985" s="15"/>
      <c r="L985" s="28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5"/>
      <c r="AG985" s="15"/>
      <c r="AH985" s="15"/>
      <c r="AI985" s="15"/>
      <c r="AJ985" s="15"/>
      <c r="AK985" s="15"/>
      <c r="AL985" s="15"/>
      <c r="AM985" s="15"/>
      <c r="AN985" s="15"/>
      <c r="AO985" s="15"/>
      <c r="AP985" s="15"/>
      <c r="AQ985" s="15"/>
      <c r="AR985" s="15"/>
      <c r="AS985" s="15"/>
      <c r="AT985" s="15"/>
      <c r="AU985" s="15"/>
      <c r="AV985" s="15"/>
      <c r="AW985" s="15"/>
    </row>
    <row r="986" spans="3:49" x14ac:dyDescent="0.2">
      <c r="C986" s="15"/>
      <c r="D986" s="15"/>
      <c r="E986" s="15"/>
      <c r="F986" s="15"/>
      <c r="G986" s="15"/>
      <c r="H986" s="15"/>
      <c r="I986" s="15"/>
      <c r="J986" s="15"/>
      <c r="K986" s="15"/>
      <c r="L986" s="28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5"/>
      <c r="AG986" s="15"/>
      <c r="AH986" s="15"/>
      <c r="AI986" s="15"/>
      <c r="AJ986" s="15"/>
      <c r="AK986" s="15"/>
      <c r="AL986" s="15"/>
      <c r="AM986" s="15"/>
      <c r="AN986" s="15"/>
      <c r="AO986" s="15"/>
      <c r="AP986" s="15"/>
      <c r="AQ986" s="15"/>
      <c r="AR986" s="15"/>
      <c r="AS986" s="15"/>
      <c r="AT986" s="15"/>
      <c r="AU986" s="15"/>
      <c r="AV986" s="15"/>
      <c r="AW986" s="15"/>
    </row>
    <row r="987" spans="3:49" x14ac:dyDescent="0.2">
      <c r="C987" s="15"/>
      <c r="D987" s="15"/>
      <c r="E987" s="15"/>
      <c r="F987" s="15"/>
      <c r="G987" s="15"/>
      <c r="H987" s="15"/>
      <c r="I987" s="15"/>
      <c r="J987" s="15"/>
      <c r="K987" s="15"/>
      <c r="L987" s="28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5"/>
      <c r="AG987" s="15"/>
      <c r="AH987" s="15"/>
      <c r="AI987" s="15"/>
      <c r="AJ987" s="15"/>
      <c r="AK987" s="15"/>
      <c r="AL987" s="15"/>
      <c r="AM987" s="15"/>
      <c r="AN987" s="15"/>
      <c r="AO987" s="15"/>
      <c r="AP987" s="15"/>
      <c r="AQ987" s="15"/>
      <c r="AR987" s="15"/>
      <c r="AS987" s="15"/>
      <c r="AT987" s="15"/>
      <c r="AU987" s="15"/>
      <c r="AV987" s="15"/>
      <c r="AW987" s="15"/>
    </row>
    <row r="988" spans="3:49" x14ac:dyDescent="0.2">
      <c r="C988" s="15"/>
      <c r="D988" s="15"/>
      <c r="E988" s="15"/>
      <c r="F988" s="15"/>
      <c r="G988" s="15"/>
      <c r="H988" s="15"/>
      <c r="I988" s="15"/>
      <c r="J988" s="15"/>
      <c r="K988" s="15"/>
      <c r="L988" s="28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5"/>
      <c r="AG988" s="15"/>
      <c r="AH988" s="15"/>
      <c r="AI988" s="15"/>
      <c r="AJ988" s="15"/>
      <c r="AK988" s="15"/>
      <c r="AL988" s="15"/>
      <c r="AM988" s="15"/>
      <c r="AN988" s="15"/>
      <c r="AO988" s="15"/>
      <c r="AP988" s="15"/>
      <c r="AQ988" s="15"/>
      <c r="AR988" s="15"/>
      <c r="AS988" s="15"/>
      <c r="AT988" s="15"/>
      <c r="AU988" s="15"/>
      <c r="AV988" s="15"/>
      <c r="AW988" s="15"/>
    </row>
    <row r="989" spans="3:49" x14ac:dyDescent="0.2">
      <c r="C989" s="15"/>
      <c r="D989" s="15"/>
      <c r="E989" s="15"/>
      <c r="F989" s="15"/>
      <c r="G989" s="15"/>
      <c r="H989" s="15"/>
      <c r="I989" s="15"/>
      <c r="J989" s="15"/>
      <c r="K989" s="15"/>
      <c r="L989" s="28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5"/>
      <c r="AG989" s="15"/>
      <c r="AH989" s="15"/>
      <c r="AI989" s="15"/>
      <c r="AJ989" s="15"/>
      <c r="AK989" s="15"/>
      <c r="AL989" s="15"/>
      <c r="AM989" s="15"/>
      <c r="AN989" s="15"/>
      <c r="AO989" s="15"/>
      <c r="AP989" s="15"/>
      <c r="AQ989" s="15"/>
      <c r="AR989" s="15"/>
      <c r="AS989" s="15"/>
      <c r="AT989" s="15"/>
      <c r="AU989" s="15"/>
      <c r="AV989" s="15"/>
      <c r="AW989" s="15"/>
    </row>
    <row r="990" spans="3:49" x14ac:dyDescent="0.2">
      <c r="C990" s="15"/>
      <c r="D990" s="15"/>
      <c r="E990" s="15"/>
      <c r="F990" s="15"/>
      <c r="G990" s="15"/>
      <c r="H990" s="15"/>
      <c r="I990" s="15"/>
      <c r="J990" s="15"/>
      <c r="K990" s="15"/>
      <c r="L990" s="28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5"/>
      <c r="AG990" s="15"/>
      <c r="AH990" s="15"/>
      <c r="AI990" s="15"/>
      <c r="AJ990" s="15"/>
      <c r="AK990" s="15"/>
      <c r="AL990" s="15"/>
      <c r="AM990" s="15"/>
      <c r="AN990" s="15"/>
      <c r="AO990" s="15"/>
      <c r="AP990" s="15"/>
      <c r="AQ990" s="15"/>
      <c r="AR990" s="15"/>
      <c r="AS990" s="15"/>
      <c r="AT990" s="15"/>
      <c r="AU990" s="15"/>
      <c r="AV990" s="15"/>
      <c r="AW990" s="15"/>
    </row>
    <row r="991" spans="3:49" x14ac:dyDescent="0.2">
      <c r="C991" s="15"/>
      <c r="D991" s="15"/>
      <c r="E991" s="15"/>
      <c r="F991" s="15"/>
      <c r="G991" s="15"/>
      <c r="H991" s="15"/>
      <c r="I991" s="15"/>
      <c r="J991" s="15"/>
      <c r="K991" s="15"/>
      <c r="L991" s="28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5"/>
      <c r="AG991" s="15"/>
      <c r="AH991" s="15"/>
      <c r="AI991" s="15"/>
      <c r="AJ991" s="15"/>
      <c r="AK991" s="15"/>
      <c r="AL991" s="15"/>
      <c r="AM991" s="15"/>
      <c r="AN991" s="15"/>
      <c r="AO991" s="15"/>
      <c r="AP991" s="15"/>
      <c r="AQ991" s="15"/>
      <c r="AR991" s="15"/>
      <c r="AS991" s="15"/>
      <c r="AT991" s="15"/>
      <c r="AU991" s="15"/>
      <c r="AV991" s="15"/>
      <c r="AW991" s="15"/>
    </row>
    <row r="992" spans="3:49" x14ac:dyDescent="0.2">
      <c r="C992" s="15"/>
      <c r="D992" s="15"/>
      <c r="E992" s="15"/>
      <c r="F992" s="15"/>
      <c r="G992" s="15"/>
      <c r="H992" s="15"/>
      <c r="I992" s="15"/>
      <c r="J992" s="15"/>
      <c r="K992" s="15"/>
      <c r="L992" s="28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5"/>
      <c r="AG992" s="15"/>
      <c r="AH992" s="15"/>
      <c r="AI992" s="15"/>
      <c r="AJ992" s="15"/>
      <c r="AK992" s="15"/>
      <c r="AL992" s="15"/>
      <c r="AM992" s="15"/>
      <c r="AN992" s="15"/>
      <c r="AO992" s="15"/>
      <c r="AP992" s="15"/>
      <c r="AQ992" s="15"/>
      <c r="AR992" s="15"/>
      <c r="AS992" s="15"/>
      <c r="AT992" s="15"/>
      <c r="AU992" s="15"/>
      <c r="AV992" s="15"/>
      <c r="AW992" s="15"/>
    </row>
    <row r="993" spans="3:49" x14ac:dyDescent="0.2">
      <c r="C993" s="15"/>
      <c r="D993" s="15"/>
      <c r="E993" s="15"/>
      <c r="F993" s="15"/>
      <c r="G993" s="15"/>
      <c r="H993" s="15"/>
      <c r="I993" s="15"/>
      <c r="J993" s="15"/>
      <c r="K993" s="15"/>
      <c r="L993" s="28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5"/>
      <c r="AG993" s="15"/>
      <c r="AH993" s="15"/>
      <c r="AI993" s="15"/>
      <c r="AJ993" s="15"/>
      <c r="AK993" s="15"/>
      <c r="AL993" s="15"/>
      <c r="AM993" s="15"/>
      <c r="AN993" s="15"/>
      <c r="AO993" s="15"/>
      <c r="AP993" s="15"/>
      <c r="AQ993" s="15"/>
      <c r="AR993" s="15"/>
      <c r="AS993" s="15"/>
      <c r="AT993" s="15"/>
      <c r="AU993" s="15"/>
      <c r="AV993" s="15"/>
      <c r="AW993" s="15"/>
    </row>
    <row r="994" spans="3:49" x14ac:dyDescent="0.2">
      <c r="C994" s="15"/>
      <c r="D994" s="15"/>
      <c r="E994" s="15"/>
      <c r="F994" s="15"/>
      <c r="G994" s="15"/>
      <c r="H994" s="15"/>
      <c r="I994" s="15"/>
      <c r="J994" s="15"/>
      <c r="K994" s="15"/>
      <c r="L994" s="28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5"/>
      <c r="AG994" s="15"/>
      <c r="AH994" s="15"/>
      <c r="AI994" s="15"/>
      <c r="AJ994" s="15"/>
      <c r="AK994" s="15"/>
      <c r="AL994" s="15"/>
      <c r="AM994" s="15"/>
      <c r="AN994" s="15"/>
      <c r="AO994" s="15"/>
      <c r="AP994" s="15"/>
      <c r="AQ994" s="15"/>
      <c r="AR994" s="15"/>
      <c r="AS994" s="15"/>
      <c r="AT994" s="15"/>
      <c r="AU994" s="15"/>
      <c r="AV994" s="15"/>
      <c r="AW994" s="15"/>
    </row>
    <row r="995" spans="3:49" x14ac:dyDescent="0.2">
      <c r="C995" s="15"/>
      <c r="D995" s="15"/>
      <c r="E995" s="15"/>
      <c r="F995" s="15"/>
      <c r="G995" s="15"/>
      <c r="H995" s="15"/>
      <c r="I995" s="15"/>
      <c r="J995" s="15"/>
      <c r="K995" s="15"/>
      <c r="L995" s="28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5"/>
      <c r="AG995" s="15"/>
      <c r="AH995" s="15"/>
      <c r="AI995" s="15"/>
      <c r="AJ995" s="15"/>
      <c r="AK995" s="15"/>
      <c r="AL995" s="15"/>
      <c r="AM995" s="15"/>
      <c r="AN995" s="15"/>
      <c r="AO995" s="15"/>
      <c r="AP995" s="15"/>
      <c r="AQ995" s="15"/>
      <c r="AR995" s="15"/>
      <c r="AS995" s="15"/>
      <c r="AT995" s="15"/>
      <c r="AU995" s="15"/>
      <c r="AV995" s="15"/>
      <c r="AW995" s="15"/>
    </row>
    <row r="996" spans="3:49" x14ac:dyDescent="0.2">
      <c r="C996" s="15"/>
      <c r="D996" s="15"/>
      <c r="E996" s="15"/>
      <c r="F996" s="15"/>
      <c r="G996" s="15"/>
      <c r="H996" s="15"/>
      <c r="I996" s="15"/>
      <c r="J996" s="15"/>
      <c r="K996" s="15"/>
      <c r="L996" s="28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5"/>
      <c r="AG996" s="15"/>
      <c r="AH996" s="15"/>
      <c r="AI996" s="15"/>
      <c r="AJ996" s="15"/>
      <c r="AK996" s="15"/>
      <c r="AL996" s="15"/>
      <c r="AM996" s="15"/>
      <c r="AN996" s="15"/>
      <c r="AO996" s="15"/>
      <c r="AP996" s="15"/>
      <c r="AQ996" s="15"/>
      <c r="AR996" s="15"/>
      <c r="AS996" s="15"/>
      <c r="AT996" s="15"/>
      <c r="AU996" s="15"/>
      <c r="AV996" s="15"/>
      <c r="AW996" s="15"/>
    </row>
    <row r="997" spans="3:49" x14ac:dyDescent="0.2">
      <c r="C997" s="15"/>
      <c r="D997" s="15"/>
      <c r="E997" s="15"/>
      <c r="F997" s="15"/>
      <c r="G997" s="15"/>
      <c r="H997" s="15"/>
      <c r="I997" s="15"/>
      <c r="J997" s="15"/>
      <c r="K997" s="15"/>
      <c r="L997" s="28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5"/>
      <c r="AG997" s="15"/>
      <c r="AH997" s="15"/>
      <c r="AI997" s="15"/>
      <c r="AJ997" s="15"/>
      <c r="AK997" s="15"/>
      <c r="AL997" s="15"/>
      <c r="AM997" s="15"/>
      <c r="AN997" s="15"/>
      <c r="AO997" s="15"/>
      <c r="AP997" s="15"/>
      <c r="AQ997" s="15"/>
      <c r="AR997" s="15"/>
      <c r="AS997" s="15"/>
      <c r="AT997" s="15"/>
      <c r="AU997" s="15"/>
      <c r="AV997" s="15"/>
      <c r="AW997" s="15"/>
    </row>
    <row r="998" spans="3:49" x14ac:dyDescent="0.2">
      <c r="C998" s="15"/>
      <c r="D998" s="15"/>
      <c r="E998" s="15"/>
      <c r="F998" s="15"/>
      <c r="G998" s="15"/>
      <c r="H998" s="15"/>
      <c r="I998" s="15"/>
      <c r="J998" s="15"/>
      <c r="K998" s="15"/>
      <c r="L998" s="28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5"/>
      <c r="AG998" s="15"/>
      <c r="AH998" s="15"/>
      <c r="AI998" s="15"/>
      <c r="AJ998" s="15"/>
      <c r="AK998" s="15"/>
      <c r="AL998" s="15"/>
      <c r="AM998" s="15"/>
      <c r="AN998" s="15"/>
      <c r="AO998" s="15"/>
      <c r="AP998" s="15"/>
      <c r="AQ998" s="15"/>
      <c r="AR998" s="15"/>
      <c r="AS998" s="15"/>
      <c r="AT998" s="15"/>
      <c r="AU998" s="15"/>
      <c r="AV998" s="15"/>
      <c r="AW998" s="15"/>
    </row>
    <row r="999" spans="3:49" x14ac:dyDescent="0.2">
      <c r="C999" s="15"/>
      <c r="D999" s="15"/>
      <c r="E999" s="15"/>
      <c r="F999" s="15"/>
      <c r="G999" s="15"/>
      <c r="H999" s="15"/>
      <c r="I999" s="15"/>
      <c r="J999" s="15"/>
      <c r="K999" s="15"/>
      <c r="L999" s="28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5"/>
      <c r="AG999" s="15"/>
      <c r="AH999" s="15"/>
      <c r="AI999" s="15"/>
      <c r="AJ999" s="15"/>
      <c r="AK999" s="15"/>
      <c r="AL999" s="15"/>
      <c r="AM999" s="15"/>
      <c r="AN999" s="15"/>
      <c r="AO999" s="15"/>
      <c r="AP999" s="15"/>
      <c r="AQ999" s="15"/>
      <c r="AR999" s="15"/>
      <c r="AS999" s="15"/>
      <c r="AT999" s="15"/>
      <c r="AU999" s="15"/>
      <c r="AV999" s="15"/>
      <c r="AW999" s="15"/>
    </row>
    <row r="1000" spans="3:49" x14ac:dyDescent="0.2">
      <c r="C1000" s="15"/>
      <c r="D1000" s="15"/>
      <c r="E1000" s="15"/>
      <c r="F1000" s="15"/>
      <c r="G1000" s="15"/>
      <c r="H1000" s="15"/>
      <c r="I1000" s="15"/>
      <c r="J1000" s="15"/>
      <c r="K1000" s="15"/>
      <c r="L1000" s="28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5"/>
      <c r="AG1000" s="15"/>
      <c r="AH1000" s="15"/>
      <c r="AI1000" s="15"/>
      <c r="AJ1000" s="15"/>
      <c r="AK1000" s="15"/>
      <c r="AL1000" s="15"/>
      <c r="AM1000" s="15"/>
      <c r="AN1000" s="15"/>
      <c r="AO1000" s="15"/>
      <c r="AP1000" s="15"/>
      <c r="AQ1000" s="15"/>
      <c r="AR1000" s="15"/>
      <c r="AS1000" s="15"/>
      <c r="AT1000" s="15"/>
      <c r="AU1000" s="15"/>
      <c r="AV1000" s="15"/>
      <c r="AW1000" s="15"/>
    </row>
    <row r="1001" spans="3:49" x14ac:dyDescent="0.2">
      <c r="C1001" s="15"/>
      <c r="D1001" s="15"/>
      <c r="E1001" s="15"/>
      <c r="F1001" s="15"/>
      <c r="G1001" s="15"/>
      <c r="H1001" s="15"/>
      <c r="I1001" s="15"/>
      <c r="J1001" s="15"/>
      <c r="K1001" s="15"/>
      <c r="L1001" s="28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5"/>
      <c r="AG1001" s="15"/>
      <c r="AH1001" s="15"/>
      <c r="AI1001" s="15"/>
      <c r="AJ1001" s="15"/>
      <c r="AK1001" s="15"/>
      <c r="AL1001" s="15"/>
      <c r="AM1001" s="15"/>
      <c r="AN1001" s="15"/>
      <c r="AO1001" s="15"/>
      <c r="AP1001" s="15"/>
      <c r="AQ1001" s="15"/>
      <c r="AR1001" s="15"/>
      <c r="AS1001" s="15"/>
      <c r="AT1001" s="15"/>
      <c r="AU1001" s="15"/>
      <c r="AV1001" s="15"/>
      <c r="AW1001" s="15"/>
    </row>
    <row r="1002" spans="3:49" x14ac:dyDescent="0.2">
      <c r="C1002" s="15"/>
      <c r="D1002" s="15"/>
      <c r="E1002" s="15"/>
      <c r="F1002" s="15"/>
      <c r="G1002" s="15"/>
      <c r="H1002" s="15"/>
      <c r="I1002" s="15"/>
      <c r="J1002" s="15"/>
      <c r="K1002" s="15"/>
      <c r="L1002" s="28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5"/>
      <c r="AG1002" s="15"/>
      <c r="AH1002" s="15"/>
      <c r="AI1002" s="15"/>
      <c r="AJ1002" s="15"/>
      <c r="AK1002" s="15"/>
      <c r="AL1002" s="15"/>
      <c r="AM1002" s="15"/>
      <c r="AN1002" s="15"/>
      <c r="AO1002" s="15"/>
      <c r="AP1002" s="15"/>
      <c r="AQ1002" s="15"/>
      <c r="AR1002" s="15"/>
      <c r="AS1002" s="15"/>
      <c r="AT1002" s="15"/>
      <c r="AU1002" s="15"/>
      <c r="AV1002" s="15"/>
      <c r="AW1002" s="15"/>
    </row>
    <row r="1003" spans="3:49" x14ac:dyDescent="0.2">
      <c r="C1003" s="15"/>
      <c r="D1003" s="15"/>
      <c r="E1003" s="15"/>
      <c r="F1003" s="15"/>
      <c r="G1003" s="15"/>
      <c r="H1003" s="15"/>
      <c r="I1003" s="15"/>
      <c r="J1003" s="15"/>
      <c r="K1003" s="15"/>
      <c r="L1003" s="28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5"/>
      <c r="AG1003" s="15"/>
      <c r="AH1003" s="15"/>
      <c r="AI1003" s="15"/>
      <c r="AJ1003" s="15"/>
      <c r="AK1003" s="15"/>
      <c r="AL1003" s="15"/>
      <c r="AM1003" s="15"/>
      <c r="AN1003" s="15"/>
      <c r="AO1003" s="15"/>
      <c r="AP1003" s="15"/>
      <c r="AQ1003" s="15"/>
      <c r="AR1003" s="15"/>
      <c r="AS1003" s="15"/>
      <c r="AT1003" s="15"/>
      <c r="AU1003" s="15"/>
      <c r="AV1003" s="15"/>
      <c r="AW1003" s="15"/>
    </row>
    <row r="1004" spans="3:49" x14ac:dyDescent="0.2">
      <c r="C1004" s="15"/>
      <c r="D1004" s="15"/>
      <c r="E1004" s="15"/>
      <c r="F1004" s="15"/>
      <c r="G1004" s="15"/>
      <c r="H1004" s="15"/>
      <c r="I1004" s="15"/>
      <c r="J1004" s="15"/>
      <c r="K1004" s="15"/>
      <c r="L1004" s="28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5"/>
      <c r="AG1004" s="15"/>
      <c r="AH1004" s="15"/>
      <c r="AI1004" s="15"/>
      <c r="AJ1004" s="15"/>
      <c r="AK1004" s="15"/>
      <c r="AL1004" s="15"/>
      <c r="AM1004" s="15"/>
      <c r="AN1004" s="15"/>
      <c r="AO1004" s="15"/>
      <c r="AP1004" s="15"/>
      <c r="AQ1004" s="15"/>
      <c r="AR1004" s="15"/>
      <c r="AS1004" s="15"/>
      <c r="AT1004" s="15"/>
      <c r="AU1004" s="15"/>
      <c r="AV1004" s="15"/>
      <c r="AW1004" s="15"/>
    </row>
    <row r="1005" spans="3:49" x14ac:dyDescent="0.2">
      <c r="C1005" s="15"/>
      <c r="D1005" s="15"/>
      <c r="E1005" s="15"/>
      <c r="F1005" s="15"/>
      <c r="G1005" s="15"/>
      <c r="H1005" s="15"/>
      <c r="I1005" s="15"/>
      <c r="J1005" s="15"/>
      <c r="K1005" s="15"/>
      <c r="L1005" s="28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5"/>
      <c r="AG1005" s="15"/>
      <c r="AH1005" s="15"/>
      <c r="AI1005" s="15"/>
      <c r="AJ1005" s="15"/>
      <c r="AK1005" s="15"/>
      <c r="AL1005" s="15"/>
      <c r="AM1005" s="15"/>
      <c r="AN1005" s="15"/>
      <c r="AO1005" s="15"/>
      <c r="AP1005" s="15"/>
      <c r="AQ1005" s="15"/>
      <c r="AR1005" s="15"/>
      <c r="AS1005" s="15"/>
      <c r="AT1005" s="15"/>
      <c r="AU1005" s="15"/>
      <c r="AV1005" s="15"/>
      <c r="AW1005" s="15"/>
    </row>
    <row r="1006" spans="3:49" x14ac:dyDescent="0.2">
      <c r="C1006" s="15"/>
      <c r="D1006" s="15"/>
      <c r="E1006" s="15"/>
      <c r="F1006" s="15"/>
      <c r="G1006" s="15"/>
      <c r="H1006" s="15"/>
      <c r="I1006" s="15"/>
      <c r="J1006" s="15"/>
      <c r="K1006" s="15"/>
      <c r="L1006" s="28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5"/>
      <c r="AG1006" s="15"/>
      <c r="AH1006" s="15"/>
      <c r="AI1006" s="15"/>
      <c r="AJ1006" s="15"/>
      <c r="AK1006" s="15"/>
      <c r="AL1006" s="15"/>
      <c r="AM1006" s="15"/>
      <c r="AN1006" s="15"/>
      <c r="AO1006" s="15"/>
      <c r="AP1006" s="15"/>
      <c r="AQ1006" s="15"/>
      <c r="AR1006" s="15"/>
      <c r="AS1006" s="15"/>
      <c r="AT1006" s="15"/>
      <c r="AU1006" s="15"/>
      <c r="AV1006" s="15"/>
      <c r="AW1006" s="15"/>
    </row>
    <row r="1007" spans="3:49" x14ac:dyDescent="0.2">
      <c r="C1007" s="15"/>
      <c r="D1007" s="15"/>
      <c r="E1007" s="15"/>
      <c r="F1007" s="15"/>
      <c r="G1007" s="15"/>
      <c r="H1007" s="15"/>
      <c r="I1007" s="15"/>
      <c r="J1007" s="15"/>
      <c r="K1007" s="15"/>
      <c r="L1007" s="28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5"/>
      <c r="AG1007" s="15"/>
      <c r="AH1007" s="15"/>
      <c r="AI1007" s="15"/>
      <c r="AJ1007" s="15"/>
      <c r="AK1007" s="15"/>
      <c r="AL1007" s="15"/>
      <c r="AM1007" s="15"/>
      <c r="AN1007" s="15"/>
      <c r="AO1007" s="15"/>
      <c r="AP1007" s="15"/>
      <c r="AQ1007" s="15"/>
      <c r="AR1007" s="15"/>
      <c r="AS1007" s="15"/>
      <c r="AT1007" s="15"/>
      <c r="AU1007" s="15"/>
      <c r="AV1007" s="15"/>
      <c r="AW1007" s="15"/>
    </row>
    <row r="1008" spans="3:49" x14ac:dyDescent="0.2">
      <c r="C1008" s="15"/>
      <c r="D1008" s="15"/>
      <c r="E1008" s="15"/>
      <c r="F1008" s="15"/>
      <c r="G1008" s="15"/>
      <c r="H1008" s="15"/>
      <c r="I1008" s="15"/>
      <c r="J1008" s="15"/>
      <c r="K1008" s="15"/>
      <c r="L1008" s="28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5"/>
      <c r="AG1008" s="15"/>
      <c r="AH1008" s="15"/>
      <c r="AI1008" s="15"/>
      <c r="AJ1008" s="15"/>
      <c r="AK1008" s="15"/>
      <c r="AL1008" s="15"/>
      <c r="AM1008" s="15"/>
      <c r="AN1008" s="15"/>
      <c r="AO1008" s="15"/>
      <c r="AP1008" s="15"/>
      <c r="AQ1008" s="15"/>
      <c r="AR1008" s="15"/>
      <c r="AS1008" s="15"/>
      <c r="AT1008" s="15"/>
      <c r="AU1008" s="15"/>
      <c r="AV1008" s="15"/>
      <c r="AW1008" s="15"/>
    </row>
    <row r="1009" spans="3:49" x14ac:dyDescent="0.2">
      <c r="C1009" s="15"/>
      <c r="D1009" s="15"/>
      <c r="E1009" s="15"/>
      <c r="F1009" s="15"/>
      <c r="G1009" s="15"/>
      <c r="H1009" s="15"/>
      <c r="I1009" s="15"/>
      <c r="J1009" s="15"/>
      <c r="K1009" s="15"/>
      <c r="L1009" s="28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5"/>
      <c r="AG1009" s="15"/>
      <c r="AH1009" s="15"/>
      <c r="AI1009" s="15"/>
      <c r="AJ1009" s="15"/>
      <c r="AK1009" s="15"/>
      <c r="AL1009" s="15"/>
      <c r="AM1009" s="15"/>
      <c r="AN1009" s="15"/>
      <c r="AO1009" s="15"/>
      <c r="AP1009" s="15"/>
      <c r="AQ1009" s="15"/>
      <c r="AR1009" s="15"/>
      <c r="AS1009" s="15"/>
      <c r="AT1009" s="15"/>
      <c r="AU1009" s="15"/>
      <c r="AV1009" s="15"/>
      <c r="AW1009" s="15"/>
    </row>
    <row r="1010" spans="3:49" x14ac:dyDescent="0.2">
      <c r="C1010" s="15"/>
      <c r="D1010" s="15"/>
      <c r="E1010" s="15"/>
      <c r="F1010" s="15"/>
      <c r="G1010" s="15"/>
      <c r="H1010" s="15"/>
      <c r="I1010" s="15"/>
      <c r="J1010" s="15"/>
      <c r="K1010" s="15"/>
      <c r="L1010" s="28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5"/>
      <c r="AG1010" s="15"/>
      <c r="AH1010" s="15"/>
      <c r="AI1010" s="15"/>
      <c r="AJ1010" s="15"/>
      <c r="AK1010" s="15"/>
      <c r="AL1010" s="15"/>
      <c r="AM1010" s="15"/>
      <c r="AN1010" s="15"/>
      <c r="AO1010" s="15"/>
      <c r="AP1010" s="15"/>
      <c r="AQ1010" s="15"/>
      <c r="AR1010" s="15"/>
      <c r="AS1010" s="15"/>
      <c r="AT1010" s="15"/>
      <c r="AU1010" s="15"/>
      <c r="AV1010" s="15"/>
      <c r="AW1010" s="15"/>
    </row>
    <row r="1011" spans="3:49" x14ac:dyDescent="0.2">
      <c r="C1011" s="15"/>
      <c r="D1011" s="15"/>
      <c r="E1011" s="15"/>
      <c r="F1011" s="15"/>
      <c r="G1011" s="15"/>
      <c r="H1011" s="15"/>
      <c r="I1011" s="15"/>
      <c r="J1011" s="15"/>
      <c r="K1011" s="15"/>
      <c r="L1011" s="28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5"/>
      <c r="AG1011" s="15"/>
      <c r="AH1011" s="15"/>
      <c r="AI1011" s="15"/>
      <c r="AJ1011" s="15"/>
      <c r="AK1011" s="15"/>
      <c r="AL1011" s="15"/>
      <c r="AM1011" s="15"/>
      <c r="AN1011" s="15"/>
      <c r="AO1011" s="15"/>
      <c r="AP1011" s="15"/>
      <c r="AQ1011" s="15"/>
      <c r="AR1011" s="15"/>
      <c r="AS1011" s="15"/>
      <c r="AT1011" s="15"/>
      <c r="AU1011" s="15"/>
      <c r="AV1011" s="15"/>
      <c r="AW1011" s="15"/>
    </row>
    <row r="1012" spans="3:49" x14ac:dyDescent="0.2">
      <c r="C1012" s="15"/>
      <c r="D1012" s="15"/>
      <c r="E1012" s="15"/>
      <c r="F1012" s="15"/>
      <c r="G1012" s="15"/>
      <c r="H1012" s="15"/>
      <c r="I1012" s="15"/>
      <c r="J1012" s="15"/>
      <c r="K1012" s="15"/>
      <c r="L1012" s="28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5"/>
      <c r="AG1012" s="15"/>
      <c r="AH1012" s="15"/>
      <c r="AI1012" s="15"/>
      <c r="AJ1012" s="15"/>
      <c r="AK1012" s="15"/>
      <c r="AL1012" s="15"/>
      <c r="AM1012" s="15"/>
      <c r="AN1012" s="15"/>
      <c r="AO1012" s="15"/>
      <c r="AP1012" s="15"/>
      <c r="AQ1012" s="15"/>
      <c r="AR1012" s="15"/>
      <c r="AS1012" s="15"/>
      <c r="AT1012" s="15"/>
      <c r="AU1012" s="15"/>
      <c r="AV1012" s="15"/>
      <c r="AW1012" s="15"/>
    </row>
    <row r="1013" spans="3:49" x14ac:dyDescent="0.2">
      <c r="C1013" s="15"/>
      <c r="D1013" s="15"/>
      <c r="E1013" s="15"/>
      <c r="F1013" s="15"/>
      <c r="G1013" s="15"/>
      <c r="H1013" s="15"/>
      <c r="I1013" s="15"/>
      <c r="J1013" s="15"/>
      <c r="K1013" s="15"/>
      <c r="L1013" s="28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</row>
    <row r="1014" spans="3:49" x14ac:dyDescent="0.2">
      <c r="C1014" s="15"/>
      <c r="D1014" s="15"/>
      <c r="E1014" s="15"/>
      <c r="F1014" s="15"/>
      <c r="G1014" s="15"/>
      <c r="H1014" s="15"/>
      <c r="I1014" s="15"/>
      <c r="J1014" s="15"/>
      <c r="K1014" s="15"/>
      <c r="L1014" s="28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5"/>
      <c r="AG1014" s="15"/>
      <c r="AH1014" s="15"/>
      <c r="AI1014" s="15"/>
      <c r="AJ1014" s="15"/>
      <c r="AK1014" s="15"/>
      <c r="AL1014" s="15"/>
      <c r="AM1014" s="15"/>
      <c r="AN1014" s="15"/>
      <c r="AO1014" s="15"/>
      <c r="AP1014" s="15"/>
      <c r="AQ1014" s="15"/>
      <c r="AR1014" s="15"/>
      <c r="AS1014" s="15"/>
      <c r="AT1014" s="15"/>
      <c r="AU1014" s="15"/>
      <c r="AV1014" s="15"/>
      <c r="AW1014" s="15"/>
    </row>
    <row r="1015" spans="3:49" x14ac:dyDescent="0.2">
      <c r="C1015" s="15"/>
      <c r="D1015" s="15"/>
      <c r="E1015" s="15"/>
      <c r="F1015" s="15"/>
      <c r="G1015" s="15"/>
      <c r="H1015" s="15"/>
      <c r="I1015" s="15"/>
      <c r="J1015" s="15"/>
      <c r="K1015" s="15"/>
      <c r="L1015" s="28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5"/>
      <c r="AG1015" s="15"/>
      <c r="AH1015" s="15"/>
      <c r="AI1015" s="15"/>
      <c r="AJ1015" s="15"/>
      <c r="AK1015" s="15"/>
      <c r="AL1015" s="15"/>
      <c r="AM1015" s="15"/>
      <c r="AN1015" s="15"/>
      <c r="AO1015" s="15"/>
      <c r="AP1015" s="15"/>
      <c r="AQ1015" s="15"/>
      <c r="AR1015" s="15"/>
      <c r="AS1015" s="15"/>
      <c r="AT1015" s="15"/>
      <c r="AU1015" s="15"/>
      <c r="AV1015" s="15"/>
      <c r="AW1015" s="15"/>
    </row>
    <row r="1016" spans="3:49" x14ac:dyDescent="0.2">
      <c r="C1016" s="15"/>
      <c r="D1016" s="15"/>
      <c r="E1016" s="15"/>
      <c r="F1016" s="15"/>
      <c r="G1016" s="15"/>
      <c r="H1016" s="15"/>
      <c r="I1016" s="15"/>
      <c r="J1016" s="15"/>
      <c r="K1016" s="15"/>
      <c r="L1016" s="28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5"/>
      <c r="AG1016" s="15"/>
      <c r="AH1016" s="15"/>
      <c r="AI1016" s="15"/>
      <c r="AJ1016" s="15"/>
      <c r="AK1016" s="15"/>
      <c r="AL1016" s="15"/>
      <c r="AM1016" s="15"/>
      <c r="AN1016" s="15"/>
      <c r="AO1016" s="15"/>
      <c r="AP1016" s="15"/>
      <c r="AQ1016" s="15"/>
      <c r="AR1016" s="15"/>
      <c r="AS1016" s="15"/>
      <c r="AT1016" s="15"/>
      <c r="AU1016" s="15"/>
      <c r="AV1016" s="15"/>
      <c r="AW1016" s="15"/>
    </row>
    <row r="1017" spans="3:49" x14ac:dyDescent="0.2">
      <c r="C1017" s="15"/>
      <c r="D1017" s="15"/>
      <c r="E1017" s="15"/>
      <c r="F1017" s="15"/>
      <c r="G1017" s="15"/>
      <c r="H1017" s="15"/>
      <c r="I1017" s="15"/>
      <c r="J1017" s="15"/>
      <c r="K1017" s="15"/>
      <c r="L1017" s="28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5"/>
      <c r="AG1017" s="15"/>
      <c r="AH1017" s="15"/>
      <c r="AI1017" s="15"/>
      <c r="AJ1017" s="15"/>
      <c r="AK1017" s="15"/>
      <c r="AL1017" s="15"/>
      <c r="AM1017" s="15"/>
      <c r="AN1017" s="15"/>
      <c r="AO1017" s="15"/>
      <c r="AP1017" s="15"/>
      <c r="AQ1017" s="15"/>
      <c r="AR1017" s="15"/>
      <c r="AS1017" s="15"/>
      <c r="AT1017" s="15"/>
      <c r="AU1017" s="15"/>
      <c r="AV1017" s="15"/>
      <c r="AW1017" s="15"/>
    </row>
    <row r="1018" spans="3:49" x14ac:dyDescent="0.2">
      <c r="C1018" s="15"/>
      <c r="D1018" s="15"/>
      <c r="E1018" s="15"/>
      <c r="F1018" s="15"/>
      <c r="G1018" s="15"/>
      <c r="H1018" s="15"/>
      <c r="I1018" s="15"/>
      <c r="J1018" s="15"/>
      <c r="K1018" s="15"/>
      <c r="L1018" s="28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5"/>
      <c r="AG1018" s="15"/>
      <c r="AH1018" s="15"/>
      <c r="AI1018" s="15"/>
      <c r="AJ1018" s="15"/>
      <c r="AK1018" s="15"/>
      <c r="AL1018" s="15"/>
      <c r="AM1018" s="15"/>
      <c r="AN1018" s="15"/>
      <c r="AO1018" s="15"/>
      <c r="AP1018" s="15"/>
      <c r="AQ1018" s="15"/>
      <c r="AR1018" s="15"/>
      <c r="AS1018" s="15"/>
      <c r="AT1018" s="15"/>
      <c r="AU1018" s="15"/>
      <c r="AV1018" s="15"/>
      <c r="AW1018" s="15"/>
    </row>
    <row r="1019" spans="3:49" x14ac:dyDescent="0.2">
      <c r="C1019" s="15"/>
      <c r="D1019" s="15"/>
      <c r="E1019" s="15"/>
      <c r="F1019" s="15"/>
      <c r="G1019" s="15"/>
      <c r="H1019" s="15"/>
      <c r="I1019" s="15"/>
      <c r="J1019" s="15"/>
      <c r="K1019" s="15"/>
      <c r="L1019" s="28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5"/>
      <c r="AG1019" s="15"/>
      <c r="AH1019" s="15"/>
      <c r="AI1019" s="15"/>
      <c r="AJ1019" s="15"/>
      <c r="AK1019" s="15"/>
      <c r="AL1019" s="15"/>
      <c r="AM1019" s="15"/>
      <c r="AN1019" s="15"/>
      <c r="AO1019" s="15"/>
      <c r="AP1019" s="15"/>
      <c r="AQ1019" s="15"/>
      <c r="AR1019" s="15"/>
      <c r="AS1019" s="15"/>
      <c r="AT1019" s="15"/>
      <c r="AU1019" s="15"/>
      <c r="AV1019" s="15"/>
      <c r="AW1019" s="15"/>
    </row>
    <row r="1020" spans="3:49" x14ac:dyDescent="0.2">
      <c r="C1020" s="15"/>
      <c r="D1020" s="15"/>
      <c r="E1020" s="15"/>
      <c r="F1020" s="15"/>
      <c r="G1020" s="15"/>
      <c r="H1020" s="15"/>
      <c r="I1020" s="15"/>
      <c r="J1020" s="15"/>
      <c r="K1020" s="15"/>
      <c r="L1020" s="28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5"/>
      <c r="AG1020" s="15"/>
      <c r="AH1020" s="15"/>
      <c r="AI1020" s="15"/>
      <c r="AJ1020" s="15"/>
      <c r="AK1020" s="15"/>
      <c r="AL1020" s="15"/>
      <c r="AM1020" s="15"/>
      <c r="AN1020" s="15"/>
      <c r="AO1020" s="15"/>
      <c r="AP1020" s="15"/>
      <c r="AQ1020" s="15"/>
      <c r="AR1020" s="15"/>
      <c r="AS1020" s="15"/>
      <c r="AT1020" s="15"/>
      <c r="AU1020" s="15"/>
      <c r="AV1020" s="15"/>
      <c r="AW1020" s="15"/>
    </row>
    <row r="1021" spans="3:49" x14ac:dyDescent="0.2">
      <c r="C1021" s="15"/>
      <c r="D1021" s="15"/>
      <c r="E1021" s="15"/>
      <c r="F1021" s="15"/>
      <c r="G1021" s="15"/>
      <c r="H1021" s="15"/>
      <c r="I1021" s="15"/>
      <c r="J1021" s="15"/>
      <c r="K1021" s="15"/>
      <c r="L1021" s="28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5"/>
      <c r="AG1021" s="15"/>
      <c r="AH1021" s="15"/>
      <c r="AI1021" s="15"/>
      <c r="AJ1021" s="15"/>
      <c r="AK1021" s="15"/>
      <c r="AL1021" s="15"/>
      <c r="AM1021" s="15"/>
      <c r="AN1021" s="15"/>
      <c r="AO1021" s="15"/>
      <c r="AP1021" s="15"/>
      <c r="AQ1021" s="15"/>
      <c r="AR1021" s="15"/>
      <c r="AS1021" s="15"/>
      <c r="AT1021" s="15"/>
      <c r="AU1021" s="15"/>
      <c r="AV1021" s="15"/>
      <c r="AW1021" s="15"/>
    </row>
    <row r="1022" spans="3:49" x14ac:dyDescent="0.2">
      <c r="C1022" s="15"/>
      <c r="D1022" s="15"/>
      <c r="E1022" s="15"/>
      <c r="F1022" s="15"/>
      <c r="G1022" s="15"/>
      <c r="H1022" s="15"/>
      <c r="I1022" s="15"/>
      <c r="J1022" s="15"/>
      <c r="K1022" s="15"/>
      <c r="L1022" s="28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5"/>
      <c r="AG1022" s="15"/>
      <c r="AH1022" s="15"/>
      <c r="AI1022" s="15"/>
      <c r="AJ1022" s="15"/>
      <c r="AK1022" s="15"/>
      <c r="AL1022" s="15"/>
      <c r="AM1022" s="15"/>
      <c r="AN1022" s="15"/>
      <c r="AO1022" s="15"/>
      <c r="AP1022" s="15"/>
      <c r="AQ1022" s="15"/>
      <c r="AR1022" s="15"/>
      <c r="AS1022" s="15"/>
      <c r="AT1022" s="15"/>
      <c r="AU1022" s="15"/>
      <c r="AV1022" s="15"/>
      <c r="AW1022" s="15"/>
    </row>
    <row r="1023" spans="3:49" x14ac:dyDescent="0.2">
      <c r="C1023" s="15"/>
      <c r="D1023" s="15"/>
      <c r="E1023" s="15"/>
      <c r="F1023" s="15"/>
      <c r="G1023" s="15"/>
      <c r="H1023" s="15"/>
      <c r="I1023" s="15"/>
      <c r="J1023" s="15"/>
      <c r="K1023" s="15"/>
      <c r="L1023" s="28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5"/>
      <c r="AG1023" s="15"/>
      <c r="AH1023" s="15"/>
      <c r="AI1023" s="15"/>
      <c r="AJ1023" s="15"/>
      <c r="AK1023" s="15"/>
      <c r="AL1023" s="15"/>
      <c r="AM1023" s="15"/>
      <c r="AN1023" s="15"/>
      <c r="AO1023" s="15"/>
      <c r="AP1023" s="15"/>
      <c r="AQ1023" s="15"/>
      <c r="AR1023" s="15"/>
      <c r="AS1023" s="15"/>
      <c r="AT1023" s="15"/>
      <c r="AU1023" s="15"/>
      <c r="AV1023" s="15"/>
      <c r="AW1023" s="15"/>
    </row>
    <row r="1024" spans="3:49" x14ac:dyDescent="0.2">
      <c r="C1024" s="15"/>
      <c r="D1024" s="15"/>
      <c r="E1024" s="15"/>
      <c r="F1024" s="15"/>
      <c r="G1024" s="15"/>
      <c r="H1024" s="15"/>
      <c r="I1024" s="15"/>
      <c r="J1024" s="15"/>
      <c r="K1024" s="15"/>
      <c r="L1024" s="28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5"/>
      <c r="AG1024" s="15"/>
      <c r="AH1024" s="15"/>
      <c r="AI1024" s="15"/>
      <c r="AJ1024" s="15"/>
      <c r="AK1024" s="15"/>
      <c r="AL1024" s="15"/>
      <c r="AM1024" s="15"/>
      <c r="AN1024" s="15"/>
      <c r="AO1024" s="15"/>
      <c r="AP1024" s="15"/>
      <c r="AQ1024" s="15"/>
      <c r="AR1024" s="15"/>
      <c r="AS1024" s="15"/>
      <c r="AT1024" s="15"/>
      <c r="AU1024" s="15"/>
      <c r="AV1024" s="15"/>
      <c r="AW1024" s="15"/>
    </row>
    <row r="1025" spans="3:49" x14ac:dyDescent="0.2">
      <c r="C1025" s="15"/>
      <c r="D1025" s="15"/>
      <c r="E1025" s="15"/>
      <c r="F1025" s="15"/>
      <c r="G1025" s="15"/>
      <c r="H1025" s="15"/>
      <c r="I1025" s="15"/>
      <c r="J1025" s="15"/>
      <c r="K1025" s="15"/>
      <c r="L1025" s="28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5"/>
      <c r="AG1025" s="15"/>
      <c r="AH1025" s="15"/>
      <c r="AI1025" s="15"/>
      <c r="AJ1025" s="15"/>
      <c r="AK1025" s="15"/>
      <c r="AL1025" s="15"/>
      <c r="AM1025" s="15"/>
      <c r="AN1025" s="15"/>
      <c r="AO1025" s="15"/>
      <c r="AP1025" s="15"/>
      <c r="AQ1025" s="15"/>
      <c r="AR1025" s="15"/>
      <c r="AS1025" s="15"/>
      <c r="AT1025" s="15"/>
      <c r="AU1025" s="15"/>
      <c r="AV1025" s="15"/>
      <c r="AW1025" s="15"/>
    </row>
    <row r="1026" spans="3:49" x14ac:dyDescent="0.2">
      <c r="C1026" s="15"/>
      <c r="D1026" s="15"/>
      <c r="E1026" s="15"/>
      <c r="F1026" s="15"/>
      <c r="G1026" s="15"/>
      <c r="H1026" s="15"/>
      <c r="I1026" s="15"/>
      <c r="J1026" s="15"/>
      <c r="K1026" s="15"/>
      <c r="L1026" s="28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5"/>
      <c r="AG1026" s="15"/>
      <c r="AH1026" s="15"/>
      <c r="AI1026" s="15"/>
      <c r="AJ1026" s="15"/>
      <c r="AK1026" s="15"/>
      <c r="AL1026" s="15"/>
      <c r="AM1026" s="15"/>
      <c r="AN1026" s="15"/>
      <c r="AO1026" s="15"/>
      <c r="AP1026" s="15"/>
      <c r="AQ1026" s="15"/>
      <c r="AR1026" s="15"/>
      <c r="AS1026" s="15"/>
      <c r="AT1026" s="15"/>
      <c r="AU1026" s="15"/>
      <c r="AV1026" s="15"/>
      <c r="AW1026" s="15"/>
    </row>
    <row r="1027" spans="3:49" x14ac:dyDescent="0.2">
      <c r="C1027" s="15"/>
      <c r="D1027" s="15"/>
      <c r="E1027" s="15"/>
      <c r="F1027" s="15"/>
      <c r="G1027" s="15"/>
      <c r="H1027" s="15"/>
      <c r="I1027" s="15"/>
      <c r="J1027" s="15"/>
      <c r="K1027" s="15"/>
      <c r="L1027" s="28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5"/>
      <c r="AG1027" s="15"/>
      <c r="AH1027" s="15"/>
      <c r="AI1027" s="15"/>
      <c r="AJ1027" s="15"/>
      <c r="AK1027" s="15"/>
      <c r="AL1027" s="15"/>
      <c r="AM1027" s="15"/>
      <c r="AN1027" s="15"/>
      <c r="AO1027" s="15"/>
      <c r="AP1027" s="15"/>
      <c r="AQ1027" s="15"/>
      <c r="AR1027" s="15"/>
      <c r="AS1027" s="15"/>
      <c r="AT1027" s="15"/>
      <c r="AU1027" s="15"/>
      <c r="AV1027" s="15"/>
      <c r="AW1027" s="15"/>
    </row>
    <row r="1028" spans="3:49" x14ac:dyDescent="0.2">
      <c r="C1028" s="15"/>
      <c r="D1028" s="15"/>
      <c r="E1028" s="15"/>
      <c r="F1028" s="15"/>
      <c r="G1028" s="15"/>
      <c r="H1028" s="15"/>
      <c r="I1028" s="15"/>
      <c r="J1028" s="15"/>
      <c r="K1028" s="15"/>
      <c r="L1028" s="28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5"/>
      <c r="AG1028" s="15"/>
      <c r="AH1028" s="15"/>
      <c r="AI1028" s="15"/>
      <c r="AJ1028" s="15"/>
      <c r="AK1028" s="15"/>
      <c r="AL1028" s="15"/>
      <c r="AM1028" s="15"/>
      <c r="AN1028" s="15"/>
      <c r="AO1028" s="15"/>
      <c r="AP1028" s="15"/>
      <c r="AQ1028" s="15"/>
      <c r="AR1028" s="15"/>
      <c r="AS1028" s="15"/>
      <c r="AT1028" s="15"/>
      <c r="AU1028" s="15"/>
      <c r="AV1028" s="15"/>
      <c r="AW1028" s="15"/>
    </row>
    <row r="1029" spans="3:49" x14ac:dyDescent="0.2">
      <c r="C1029" s="15"/>
      <c r="D1029" s="15"/>
      <c r="E1029" s="15"/>
      <c r="F1029" s="15"/>
      <c r="G1029" s="15"/>
      <c r="H1029" s="15"/>
      <c r="I1029" s="15"/>
      <c r="J1029" s="15"/>
      <c r="K1029" s="15"/>
      <c r="L1029" s="28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5"/>
      <c r="AG1029" s="15"/>
      <c r="AH1029" s="15"/>
      <c r="AI1029" s="15"/>
      <c r="AJ1029" s="15"/>
      <c r="AK1029" s="15"/>
      <c r="AL1029" s="15"/>
      <c r="AM1029" s="15"/>
      <c r="AN1029" s="15"/>
      <c r="AO1029" s="15"/>
      <c r="AP1029" s="15"/>
      <c r="AQ1029" s="15"/>
      <c r="AR1029" s="15"/>
      <c r="AS1029" s="15"/>
      <c r="AT1029" s="15"/>
      <c r="AU1029" s="15"/>
      <c r="AV1029" s="15"/>
      <c r="AW1029" s="15"/>
    </row>
    <row r="1030" spans="3:49" x14ac:dyDescent="0.2">
      <c r="C1030" s="15"/>
      <c r="D1030" s="15"/>
      <c r="E1030" s="15"/>
      <c r="F1030" s="15"/>
      <c r="G1030" s="15"/>
      <c r="H1030" s="15"/>
      <c r="I1030" s="15"/>
      <c r="J1030" s="15"/>
      <c r="K1030" s="15"/>
      <c r="L1030" s="28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5"/>
      <c r="AG1030" s="15"/>
      <c r="AH1030" s="15"/>
      <c r="AI1030" s="15"/>
      <c r="AJ1030" s="15"/>
      <c r="AK1030" s="15"/>
      <c r="AL1030" s="15"/>
      <c r="AM1030" s="15"/>
      <c r="AN1030" s="15"/>
      <c r="AO1030" s="15"/>
      <c r="AP1030" s="15"/>
      <c r="AQ1030" s="15"/>
      <c r="AR1030" s="15"/>
      <c r="AS1030" s="15"/>
      <c r="AT1030" s="15"/>
      <c r="AU1030" s="15"/>
      <c r="AV1030" s="15"/>
      <c r="AW1030" s="15"/>
    </row>
    <row r="1031" spans="3:49" x14ac:dyDescent="0.2">
      <c r="C1031" s="15"/>
      <c r="D1031" s="15"/>
      <c r="E1031" s="15"/>
      <c r="F1031" s="15"/>
      <c r="G1031" s="15"/>
      <c r="H1031" s="15"/>
      <c r="I1031" s="15"/>
      <c r="J1031" s="15"/>
      <c r="K1031" s="15"/>
      <c r="L1031" s="28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5"/>
      <c r="AG1031" s="15"/>
      <c r="AH1031" s="15"/>
      <c r="AI1031" s="15"/>
      <c r="AJ1031" s="15"/>
      <c r="AK1031" s="15"/>
      <c r="AL1031" s="15"/>
      <c r="AM1031" s="15"/>
      <c r="AN1031" s="15"/>
      <c r="AO1031" s="15"/>
      <c r="AP1031" s="15"/>
      <c r="AQ1031" s="15"/>
      <c r="AR1031" s="15"/>
      <c r="AS1031" s="15"/>
      <c r="AT1031" s="15"/>
      <c r="AU1031" s="15"/>
      <c r="AV1031" s="15"/>
      <c r="AW1031" s="15"/>
    </row>
    <row r="1032" spans="3:49" x14ac:dyDescent="0.2">
      <c r="C1032" s="15"/>
      <c r="D1032" s="15"/>
      <c r="E1032" s="15"/>
      <c r="F1032" s="15"/>
      <c r="G1032" s="15"/>
      <c r="H1032" s="15"/>
      <c r="I1032" s="15"/>
      <c r="J1032" s="15"/>
      <c r="K1032" s="15"/>
      <c r="L1032" s="28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5"/>
      <c r="AG1032" s="15"/>
      <c r="AH1032" s="15"/>
      <c r="AI1032" s="15"/>
      <c r="AJ1032" s="15"/>
      <c r="AK1032" s="15"/>
      <c r="AL1032" s="15"/>
      <c r="AM1032" s="15"/>
      <c r="AN1032" s="15"/>
      <c r="AO1032" s="15"/>
      <c r="AP1032" s="15"/>
      <c r="AQ1032" s="15"/>
      <c r="AR1032" s="15"/>
      <c r="AS1032" s="15"/>
      <c r="AT1032" s="15"/>
      <c r="AU1032" s="15"/>
      <c r="AV1032" s="15"/>
      <c r="AW1032" s="15"/>
    </row>
    <row r="1033" spans="3:49" x14ac:dyDescent="0.2">
      <c r="C1033" s="15"/>
      <c r="D1033" s="15"/>
      <c r="E1033" s="15"/>
      <c r="F1033" s="15"/>
      <c r="G1033" s="15"/>
      <c r="H1033" s="15"/>
      <c r="I1033" s="15"/>
      <c r="J1033" s="15"/>
      <c r="K1033" s="15"/>
      <c r="L1033" s="28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5"/>
      <c r="AG1033" s="15"/>
      <c r="AH1033" s="15"/>
      <c r="AI1033" s="15"/>
      <c r="AJ1033" s="15"/>
      <c r="AK1033" s="15"/>
      <c r="AL1033" s="15"/>
      <c r="AM1033" s="15"/>
      <c r="AN1033" s="15"/>
      <c r="AO1033" s="15"/>
      <c r="AP1033" s="15"/>
      <c r="AQ1033" s="15"/>
      <c r="AR1033" s="15"/>
      <c r="AS1033" s="15"/>
      <c r="AT1033" s="15"/>
      <c r="AU1033" s="15"/>
      <c r="AV1033" s="15"/>
      <c r="AW1033" s="15"/>
    </row>
    <row r="1034" spans="3:49" x14ac:dyDescent="0.2">
      <c r="C1034" s="15"/>
      <c r="D1034" s="15"/>
      <c r="E1034" s="15"/>
      <c r="F1034" s="15"/>
      <c r="G1034" s="15"/>
      <c r="H1034" s="15"/>
      <c r="I1034" s="15"/>
      <c r="J1034" s="15"/>
      <c r="K1034" s="15"/>
      <c r="L1034" s="28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5"/>
      <c r="AG1034" s="15"/>
      <c r="AH1034" s="15"/>
      <c r="AI1034" s="15"/>
      <c r="AJ1034" s="15"/>
      <c r="AK1034" s="15"/>
      <c r="AL1034" s="15"/>
      <c r="AM1034" s="15"/>
      <c r="AN1034" s="15"/>
      <c r="AO1034" s="15"/>
      <c r="AP1034" s="15"/>
      <c r="AQ1034" s="15"/>
      <c r="AR1034" s="15"/>
      <c r="AS1034" s="15"/>
      <c r="AT1034" s="15"/>
      <c r="AU1034" s="15"/>
      <c r="AV1034" s="15"/>
      <c r="AW1034" s="15"/>
    </row>
    <row r="1035" spans="3:49" x14ac:dyDescent="0.2">
      <c r="C1035" s="15"/>
      <c r="D1035" s="15"/>
      <c r="E1035" s="15"/>
      <c r="F1035" s="15"/>
      <c r="G1035" s="15"/>
      <c r="H1035" s="15"/>
      <c r="I1035" s="15"/>
      <c r="J1035" s="15"/>
      <c r="K1035" s="15"/>
      <c r="L1035" s="28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5"/>
      <c r="AG1035" s="15"/>
      <c r="AH1035" s="15"/>
      <c r="AI1035" s="15"/>
      <c r="AJ1035" s="15"/>
      <c r="AK1035" s="15"/>
      <c r="AL1035" s="15"/>
      <c r="AM1035" s="15"/>
      <c r="AN1035" s="15"/>
      <c r="AO1035" s="15"/>
      <c r="AP1035" s="15"/>
      <c r="AQ1035" s="15"/>
      <c r="AR1035" s="15"/>
      <c r="AS1035" s="15"/>
      <c r="AT1035" s="15"/>
      <c r="AU1035" s="15"/>
      <c r="AV1035" s="15"/>
      <c r="AW1035" s="15"/>
    </row>
    <row r="1036" spans="3:49" x14ac:dyDescent="0.2">
      <c r="C1036" s="15"/>
      <c r="D1036" s="15"/>
      <c r="E1036" s="15"/>
      <c r="F1036" s="15"/>
      <c r="G1036" s="15"/>
      <c r="H1036" s="15"/>
      <c r="I1036" s="15"/>
      <c r="J1036" s="15"/>
      <c r="K1036" s="15"/>
      <c r="L1036" s="28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5"/>
      <c r="AG1036" s="15"/>
      <c r="AH1036" s="15"/>
      <c r="AI1036" s="15"/>
      <c r="AJ1036" s="15"/>
      <c r="AK1036" s="15"/>
      <c r="AL1036" s="15"/>
      <c r="AM1036" s="15"/>
      <c r="AN1036" s="15"/>
      <c r="AO1036" s="15"/>
      <c r="AP1036" s="15"/>
      <c r="AQ1036" s="15"/>
      <c r="AR1036" s="15"/>
      <c r="AS1036" s="15"/>
      <c r="AT1036" s="15"/>
      <c r="AU1036" s="15"/>
      <c r="AV1036" s="15"/>
      <c r="AW1036" s="15"/>
    </row>
    <row r="1037" spans="3:49" x14ac:dyDescent="0.2">
      <c r="C1037" s="15"/>
      <c r="D1037" s="15"/>
      <c r="E1037" s="15"/>
      <c r="F1037" s="15"/>
      <c r="G1037" s="15"/>
      <c r="H1037" s="15"/>
      <c r="I1037" s="15"/>
      <c r="J1037" s="15"/>
      <c r="K1037" s="15"/>
      <c r="L1037" s="28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5"/>
      <c r="AG1037" s="15"/>
      <c r="AH1037" s="15"/>
      <c r="AI1037" s="15"/>
      <c r="AJ1037" s="15"/>
      <c r="AK1037" s="15"/>
      <c r="AL1037" s="15"/>
      <c r="AM1037" s="15"/>
      <c r="AN1037" s="15"/>
      <c r="AO1037" s="15"/>
      <c r="AP1037" s="15"/>
      <c r="AQ1037" s="15"/>
      <c r="AR1037" s="15"/>
      <c r="AS1037" s="15"/>
      <c r="AT1037" s="15"/>
      <c r="AU1037" s="15"/>
      <c r="AV1037" s="15"/>
      <c r="AW1037" s="15"/>
    </row>
    <row r="1038" spans="3:49" x14ac:dyDescent="0.2">
      <c r="C1038" s="15"/>
      <c r="D1038" s="15"/>
      <c r="E1038" s="15"/>
      <c r="F1038" s="15"/>
      <c r="G1038" s="15"/>
      <c r="H1038" s="15"/>
      <c r="I1038" s="15"/>
      <c r="J1038" s="15"/>
      <c r="K1038" s="15"/>
      <c r="L1038" s="28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5"/>
      <c r="AG1038" s="15"/>
      <c r="AH1038" s="15"/>
      <c r="AI1038" s="15"/>
      <c r="AJ1038" s="15"/>
      <c r="AK1038" s="15"/>
      <c r="AL1038" s="15"/>
      <c r="AM1038" s="15"/>
      <c r="AN1038" s="15"/>
      <c r="AO1038" s="15"/>
      <c r="AP1038" s="15"/>
      <c r="AQ1038" s="15"/>
      <c r="AR1038" s="15"/>
      <c r="AS1038" s="15"/>
      <c r="AT1038" s="15"/>
      <c r="AU1038" s="15"/>
      <c r="AV1038" s="15"/>
      <c r="AW1038" s="15"/>
    </row>
    <row r="1039" spans="3:49" x14ac:dyDescent="0.2">
      <c r="C1039" s="15"/>
      <c r="D1039" s="15"/>
      <c r="E1039" s="15"/>
      <c r="F1039" s="15"/>
      <c r="G1039" s="15"/>
      <c r="H1039" s="15"/>
      <c r="I1039" s="15"/>
      <c r="J1039" s="15"/>
      <c r="K1039" s="15"/>
      <c r="L1039" s="28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5"/>
      <c r="AG1039" s="15"/>
      <c r="AH1039" s="15"/>
      <c r="AI1039" s="15"/>
      <c r="AJ1039" s="15"/>
      <c r="AK1039" s="15"/>
      <c r="AL1039" s="15"/>
      <c r="AM1039" s="15"/>
      <c r="AN1039" s="15"/>
      <c r="AO1039" s="15"/>
      <c r="AP1039" s="15"/>
      <c r="AQ1039" s="15"/>
      <c r="AR1039" s="15"/>
      <c r="AS1039" s="15"/>
      <c r="AT1039" s="15"/>
      <c r="AU1039" s="15"/>
      <c r="AV1039" s="15"/>
      <c r="AW1039" s="15"/>
    </row>
    <row r="1040" spans="3:49" x14ac:dyDescent="0.2">
      <c r="C1040" s="15"/>
      <c r="D1040" s="15"/>
      <c r="E1040" s="15"/>
      <c r="F1040" s="15"/>
      <c r="G1040" s="15"/>
      <c r="H1040" s="15"/>
      <c r="I1040" s="15"/>
      <c r="J1040" s="15"/>
      <c r="K1040" s="15"/>
      <c r="L1040" s="28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5"/>
      <c r="AG1040" s="15"/>
      <c r="AH1040" s="15"/>
      <c r="AI1040" s="15"/>
      <c r="AJ1040" s="15"/>
      <c r="AK1040" s="15"/>
      <c r="AL1040" s="15"/>
      <c r="AM1040" s="15"/>
      <c r="AN1040" s="15"/>
      <c r="AO1040" s="15"/>
      <c r="AP1040" s="15"/>
      <c r="AQ1040" s="15"/>
      <c r="AR1040" s="15"/>
      <c r="AS1040" s="15"/>
      <c r="AT1040" s="15"/>
      <c r="AU1040" s="15"/>
      <c r="AV1040" s="15"/>
      <c r="AW1040" s="15"/>
    </row>
    <row r="1041" spans="3:49" x14ac:dyDescent="0.2">
      <c r="C1041" s="15"/>
      <c r="D1041" s="15"/>
      <c r="E1041" s="15"/>
      <c r="F1041" s="15"/>
      <c r="G1041" s="15"/>
      <c r="H1041" s="15"/>
      <c r="I1041" s="15"/>
      <c r="J1041" s="15"/>
      <c r="K1041" s="15"/>
      <c r="L1041" s="28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5"/>
      <c r="AG1041" s="15"/>
      <c r="AH1041" s="15"/>
      <c r="AI1041" s="15"/>
      <c r="AJ1041" s="15"/>
      <c r="AK1041" s="15"/>
      <c r="AL1041" s="15"/>
      <c r="AM1041" s="15"/>
      <c r="AN1041" s="15"/>
      <c r="AO1041" s="15"/>
      <c r="AP1041" s="15"/>
      <c r="AQ1041" s="15"/>
      <c r="AR1041" s="15"/>
      <c r="AS1041" s="15"/>
      <c r="AT1041" s="15"/>
      <c r="AU1041" s="15"/>
      <c r="AV1041" s="15"/>
      <c r="AW1041" s="15"/>
    </row>
    <row r="1042" spans="3:49" x14ac:dyDescent="0.2">
      <c r="C1042" s="15"/>
      <c r="D1042" s="15"/>
      <c r="E1042" s="15"/>
      <c r="F1042" s="15"/>
      <c r="G1042" s="15"/>
      <c r="H1042" s="15"/>
      <c r="I1042" s="15"/>
      <c r="J1042" s="15"/>
      <c r="K1042" s="15"/>
      <c r="L1042" s="28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5"/>
      <c r="AG1042" s="15"/>
      <c r="AH1042" s="15"/>
      <c r="AI1042" s="15"/>
      <c r="AJ1042" s="15"/>
      <c r="AK1042" s="15"/>
      <c r="AL1042" s="15"/>
      <c r="AM1042" s="15"/>
      <c r="AN1042" s="15"/>
      <c r="AO1042" s="15"/>
      <c r="AP1042" s="15"/>
      <c r="AQ1042" s="15"/>
      <c r="AR1042" s="15"/>
      <c r="AS1042" s="15"/>
      <c r="AT1042" s="15"/>
      <c r="AU1042" s="15"/>
      <c r="AV1042" s="15"/>
      <c r="AW1042" s="15"/>
    </row>
    <row r="1043" spans="3:49" x14ac:dyDescent="0.2">
      <c r="C1043" s="15"/>
      <c r="D1043" s="15"/>
      <c r="E1043" s="15"/>
      <c r="F1043" s="15"/>
      <c r="G1043" s="15"/>
      <c r="H1043" s="15"/>
      <c r="I1043" s="15"/>
      <c r="J1043" s="15"/>
      <c r="K1043" s="15"/>
      <c r="L1043" s="28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5"/>
      <c r="AG1043" s="15"/>
      <c r="AH1043" s="15"/>
      <c r="AI1043" s="15"/>
      <c r="AJ1043" s="15"/>
      <c r="AK1043" s="15"/>
      <c r="AL1043" s="15"/>
      <c r="AM1043" s="15"/>
      <c r="AN1043" s="15"/>
      <c r="AO1043" s="15"/>
      <c r="AP1043" s="15"/>
      <c r="AQ1043" s="15"/>
      <c r="AR1043" s="15"/>
      <c r="AS1043" s="15"/>
      <c r="AT1043" s="15"/>
      <c r="AU1043" s="15"/>
      <c r="AV1043" s="15"/>
      <c r="AW1043" s="15"/>
    </row>
    <row r="1044" spans="3:49" x14ac:dyDescent="0.2">
      <c r="C1044" s="15"/>
      <c r="D1044" s="15"/>
      <c r="E1044" s="15"/>
      <c r="F1044" s="15"/>
      <c r="G1044" s="15"/>
      <c r="H1044" s="15"/>
      <c r="I1044" s="15"/>
      <c r="J1044" s="15"/>
      <c r="K1044" s="15"/>
      <c r="L1044" s="28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5"/>
      <c r="AG1044" s="15"/>
      <c r="AH1044" s="15"/>
      <c r="AI1044" s="15"/>
      <c r="AJ1044" s="15"/>
      <c r="AK1044" s="15"/>
      <c r="AL1044" s="15"/>
      <c r="AM1044" s="15"/>
      <c r="AN1044" s="15"/>
      <c r="AO1044" s="15"/>
      <c r="AP1044" s="15"/>
      <c r="AQ1044" s="15"/>
      <c r="AR1044" s="15"/>
      <c r="AS1044" s="15"/>
      <c r="AT1044" s="15"/>
      <c r="AU1044" s="15"/>
      <c r="AV1044" s="15"/>
      <c r="AW1044" s="15"/>
    </row>
    <row r="1045" spans="3:49" x14ac:dyDescent="0.2">
      <c r="C1045" s="15"/>
      <c r="D1045" s="15"/>
      <c r="E1045" s="15"/>
      <c r="F1045" s="15"/>
      <c r="G1045" s="15"/>
      <c r="H1045" s="15"/>
      <c r="I1045" s="15"/>
      <c r="J1045" s="15"/>
      <c r="K1045" s="15"/>
      <c r="L1045" s="28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5"/>
      <c r="AG1045" s="15"/>
      <c r="AH1045" s="15"/>
      <c r="AI1045" s="15"/>
      <c r="AJ1045" s="15"/>
      <c r="AK1045" s="15"/>
      <c r="AL1045" s="15"/>
      <c r="AM1045" s="15"/>
      <c r="AN1045" s="15"/>
      <c r="AO1045" s="15"/>
      <c r="AP1045" s="15"/>
      <c r="AQ1045" s="15"/>
      <c r="AR1045" s="15"/>
      <c r="AS1045" s="15"/>
      <c r="AT1045" s="15"/>
      <c r="AU1045" s="15"/>
      <c r="AV1045" s="15"/>
      <c r="AW1045" s="15"/>
    </row>
    <row r="1046" spans="3:49" x14ac:dyDescent="0.2">
      <c r="C1046" s="15"/>
      <c r="D1046" s="15"/>
      <c r="E1046" s="15"/>
      <c r="F1046" s="15"/>
      <c r="G1046" s="15"/>
      <c r="H1046" s="15"/>
      <c r="I1046" s="15"/>
      <c r="J1046" s="15"/>
      <c r="K1046" s="15"/>
      <c r="L1046" s="28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5"/>
      <c r="AG1046" s="15"/>
      <c r="AH1046" s="15"/>
      <c r="AI1046" s="15"/>
      <c r="AJ1046" s="15"/>
      <c r="AK1046" s="15"/>
      <c r="AL1046" s="15"/>
      <c r="AM1046" s="15"/>
      <c r="AN1046" s="15"/>
      <c r="AO1046" s="15"/>
      <c r="AP1046" s="15"/>
      <c r="AQ1046" s="15"/>
      <c r="AR1046" s="15"/>
      <c r="AS1046" s="15"/>
      <c r="AT1046" s="15"/>
      <c r="AU1046" s="15"/>
      <c r="AV1046" s="15"/>
      <c r="AW1046" s="15"/>
    </row>
    <row r="1047" spans="3:49" x14ac:dyDescent="0.2">
      <c r="C1047" s="15"/>
      <c r="D1047" s="15"/>
      <c r="E1047" s="15"/>
      <c r="F1047" s="15"/>
      <c r="G1047" s="15"/>
      <c r="H1047" s="15"/>
      <c r="I1047" s="15"/>
      <c r="J1047" s="15"/>
      <c r="K1047" s="15"/>
      <c r="L1047" s="28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5"/>
      <c r="AG1047" s="15"/>
      <c r="AH1047" s="15"/>
      <c r="AI1047" s="15"/>
      <c r="AJ1047" s="15"/>
      <c r="AK1047" s="15"/>
      <c r="AL1047" s="15"/>
      <c r="AM1047" s="15"/>
      <c r="AN1047" s="15"/>
      <c r="AO1047" s="15"/>
      <c r="AP1047" s="15"/>
      <c r="AQ1047" s="15"/>
      <c r="AR1047" s="15"/>
      <c r="AS1047" s="15"/>
      <c r="AT1047" s="15"/>
      <c r="AU1047" s="15"/>
      <c r="AV1047" s="15"/>
      <c r="AW1047" s="15"/>
    </row>
    <row r="1048" spans="3:49" x14ac:dyDescent="0.2">
      <c r="C1048" s="15"/>
      <c r="D1048" s="15"/>
      <c r="E1048" s="15"/>
      <c r="F1048" s="15"/>
      <c r="G1048" s="15"/>
      <c r="H1048" s="15"/>
      <c r="I1048" s="15"/>
      <c r="J1048" s="15"/>
      <c r="K1048" s="15"/>
      <c r="L1048" s="28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5"/>
      <c r="AG1048" s="15"/>
      <c r="AH1048" s="15"/>
      <c r="AI1048" s="15"/>
      <c r="AJ1048" s="15"/>
      <c r="AK1048" s="15"/>
      <c r="AL1048" s="15"/>
      <c r="AM1048" s="15"/>
      <c r="AN1048" s="15"/>
      <c r="AO1048" s="15"/>
      <c r="AP1048" s="15"/>
      <c r="AQ1048" s="15"/>
      <c r="AR1048" s="15"/>
      <c r="AS1048" s="15"/>
      <c r="AT1048" s="15"/>
      <c r="AU1048" s="15"/>
      <c r="AV1048" s="15"/>
      <c r="AW1048" s="15"/>
    </row>
    <row r="1049" spans="3:49" x14ac:dyDescent="0.2">
      <c r="C1049" s="15"/>
      <c r="D1049" s="15"/>
      <c r="E1049" s="15"/>
      <c r="F1049" s="15"/>
      <c r="G1049" s="15"/>
      <c r="H1049" s="15"/>
      <c r="I1049" s="15"/>
      <c r="J1049" s="15"/>
      <c r="K1049" s="15"/>
      <c r="L1049" s="28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5"/>
      <c r="AG1049" s="15"/>
      <c r="AH1049" s="15"/>
      <c r="AI1049" s="15"/>
      <c r="AJ1049" s="15"/>
      <c r="AK1049" s="15"/>
      <c r="AL1049" s="15"/>
      <c r="AM1049" s="15"/>
      <c r="AN1049" s="15"/>
      <c r="AO1049" s="15"/>
      <c r="AP1049" s="15"/>
      <c r="AQ1049" s="15"/>
      <c r="AR1049" s="15"/>
      <c r="AS1049" s="15"/>
      <c r="AT1049" s="15"/>
      <c r="AU1049" s="15"/>
      <c r="AV1049" s="15"/>
      <c r="AW1049" s="15"/>
    </row>
    <row r="1050" spans="3:49" x14ac:dyDescent="0.2">
      <c r="C1050" s="15"/>
      <c r="D1050" s="15"/>
      <c r="E1050" s="15"/>
      <c r="F1050" s="15"/>
      <c r="G1050" s="15"/>
      <c r="H1050" s="15"/>
      <c r="I1050" s="15"/>
      <c r="J1050" s="15"/>
      <c r="K1050" s="15"/>
      <c r="L1050" s="28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5"/>
      <c r="AG1050" s="15"/>
      <c r="AH1050" s="15"/>
      <c r="AI1050" s="15"/>
      <c r="AJ1050" s="15"/>
      <c r="AK1050" s="15"/>
      <c r="AL1050" s="15"/>
      <c r="AM1050" s="15"/>
      <c r="AN1050" s="15"/>
      <c r="AO1050" s="15"/>
      <c r="AP1050" s="15"/>
      <c r="AQ1050" s="15"/>
      <c r="AR1050" s="15"/>
      <c r="AS1050" s="15"/>
      <c r="AT1050" s="15"/>
      <c r="AU1050" s="15"/>
      <c r="AV1050" s="15"/>
      <c r="AW1050" s="15"/>
    </row>
    <row r="1051" spans="3:49" x14ac:dyDescent="0.2">
      <c r="C1051" s="15"/>
      <c r="D1051" s="15"/>
      <c r="E1051" s="15"/>
      <c r="F1051" s="15"/>
      <c r="G1051" s="15"/>
      <c r="H1051" s="15"/>
      <c r="I1051" s="15"/>
      <c r="J1051" s="15"/>
      <c r="K1051" s="15"/>
      <c r="L1051" s="28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5"/>
      <c r="AG1051" s="15"/>
      <c r="AH1051" s="15"/>
      <c r="AI1051" s="15"/>
      <c r="AJ1051" s="15"/>
      <c r="AK1051" s="15"/>
      <c r="AL1051" s="15"/>
      <c r="AM1051" s="15"/>
      <c r="AN1051" s="15"/>
      <c r="AO1051" s="15"/>
      <c r="AP1051" s="15"/>
      <c r="AQ1051" s="15"/>
      <c r="AR1051" s="15"/>
      <c r="AS1051" s="15"/>
      <c r="AT1051" s="15"/>
      <c r="AU1051" s="15"/>
      <c r="AV1051" s="15"/>
      <c r="AW1051" s="15"/>
    </row>
    <row r="1052" spans="3:49" x14ac:dyDescent="0.2">
      <c r="C1052" s="15"/>
      <c r="D1052" s="15"/>
      <c r="E1052" s="15"/>
      <c r="F1052" s="15"/>
      <c r="G1052" s="15"/>
      <c r="H1052" s="15"/>
      <c r="I1052" s="15"/>
      <c r="J1052" s="15"/>
      <c r="K1052" s="15"/>
      <c r="L1052" s="28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5"/>
      <c r="AG1052" s="15"/>
      <c r="AH1052" s="15"/>
      <c r="AI1052" s="15"/>
      <c r="AJ1052" s="15"/>
      <c r="AK1052" s="15"/>
      <c r="AL1052" s="15"/>
      <c r="AM1052" s="15"/>
      <c r="AN1052" s="15"/>
      <c r="AO1052" s="15"/>
      <c r="AP1052" s="15"/>
      <c r="AQ1052" s="15"/>
      <c r="AR1052" s="15"/>
      <c r="AS1052" s="15"/>
      <c r="AT1052" s="15"/>
      <c r="AU1052" s="15"/>
      <c r="AV1052" s="15"/>
      <c r="AW1052" s="15"/>
    </row>
    <row r="1053" spans="3:49" x14ac:dyDescent="0.2">
      <c r="C1053" s="15"/>
      <c r="D1053" s="15"/>
      <c r="E1053" s="15"/>
      <c r="F1053" s="15"/>
      <c r="G1053" s="15"/>
      <c r="H1053" s="15"/>
      <c r="I1053" s="15"/>
      <c r="J1053" s="15"/>
      <c r="K1053" s="15"/>
      <c r="L1053" s="28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5"/>
      <c r="AG1053" s="15"/>
      <c r="AH1053" s="15"/>
      <c r="AI1053" s="15"/>
      <c r="AJ1053" s="15"/>
      <c r="AK1053" s="15"/>
      <c r="AL1053" s="15"/>
      <c r="AM1053" s="15"/>
      <c r="AN1053" s="15"/>
      <c r="AO1053" s="15"/>
      <c r="AP1053" s="15"/>
      <c r="AQ1053" s="15"/>
      <c r="AR1053" s="15"/>
      <c r="AS1053" s="15"/>
      <c r="AT1053" s="15"/>
      <c r="AU1053" s="15"/>
      <c r="AV1053" s="15"/>
      <c r="AW1053" s="15"/>
    </row>
    <row r="1054" spans="3:49" x14ac:dyDescent="0.2">
      <c r="C1054" s="15"/>
      <c r="D1054" s="15"/>
      <c r="E1054" s="15"/>
      <c r="F1054" s="15"/>
      <c r="G1054" s="15"/>
      <c r="H1054" s="15"/>
      <c r="I1054" s="15"/>
      <c r="J1054" s="15"/>
      <c r="K1054" s="15"/>
      <c r="L1054" s="28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5"/>
      <c r="AG1054" s="15"/>
      <c r="AH1054" s="15"/>
      <c r="AI1054" s="15"/>
      <c r="AJ1054" s="15"/>
      <c r="AK1054" s="15"/>
      <c r="AL1054" s="15"/>
      <c r="AM1054" s="15"/>
      <c r="AN1054" s="15"/>
      <c r="AO1054" s="15"/>
      <c r="AP1054" s="15"/>
      <c r="AQ1054" s="15"/>
      <c r="AR1054" s="15"/>
      <c r="AS1054" s="15"/>
      <c r="AT1054" s="15"/>
      <c r="AU1054" s="15"/>
      <c r="AV1054" s="15"/>
      <c r="AW1054" s="15"/>
    </row>
    <row r="1055" spans="3:49" x14ac:dyDescent="0.2">
      <c r="C1055" s="15"/>
      <c r="D1055" s="15"/>
      <c r="E1055" s="15"/>
      <c r="F1055" s="15"/>
      <c r="G1055" s="15"/>
      <c r="H1055" s="15"/>
      <c r="I1055" s="15"/>
      <c r="J1055" s="15"/>
      <c r="K1055" s="15"/>
      <c r="L1055" s="28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5"/>
      <c r="AG1055" s="15"/>
      <c r="AH1055" s="15"/>
      <c r="AI1055" s="15"/>
      <c r="AJ1055" s="15"/>
      <c r="AK1055" s="15"/>
      <c r="AL1055" s="15"/>
      <c r="AM1055" s="15"/>
      <c r="AN1055" s="15"/>
      <c r="AO1055" s="15"/>
      <c r="AP1055" s="15"/>
      <c r="AQ1055" s="15"/>
      <c r="AR1055" s="15"/>
      <c r="AS1055" s="15"/>
      <c r="AT1055" s="15"/>
      <c r="AU1055" s="15"/>
      <c r="AV1055" s="15"/>
      <c r="AW1055" s="15"/>
    </row>
    <row r="1056" spans="3:49" x14ac:dyDescent="0.2">
      <c r="C1056" s="15"/>
      <c r="D1056" s="15"/>
      <c r="E1056" s="15"/>
      <c r="F1056" s="15"/>
      <c r="G1056" s="15"/>
      <c r="H1056" s="15"/>
      <c r="I1056" s="15"/>
      <c r="J1056" s="15"/>
      <c r="K1056" s="15"/>
      <c r="L1056" s="28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5"/>
      <c r="AG1056" s="15"/>
      <c r="AH1056" s="15"/>
      <c r="AI1056" s="15"/>
      <c r="AJ1056" s="15"/>
      <c r="AK1056" s="15"/>
      <c r="AL1056" s="15"/>
      <c r="AM1056" s="15"/>
      <c r="AN1056" s="15"/>
      <c r="AO1056" s="15"/>
      <c r="AP1056" s="15"/>
      <c r="AQ1056" s="15"/>
      <c r="AR1056" s="15"/>
      <c r="AS1056" s="15"/>
      <c r="AT1056" s="15"/>
      <c r="AU1056" s="15"/>
      <c r="AV1056" s="15"/>
      <c r="AW1056" s="15"/>
    </row>
    <row r="1057" spans="3:49" x14ac:dyDescent="0.2">
      <c r="C1057" s="15"/>
      <c r="D1057" s="15"/>
      <c r="E1057" s="15"/>
      <c r="F1057" s="15"/>
      <c r="G1057" s="15"/>
      <c r="H1057" s="15"/>
      <c r="I1057" s="15"/>
      <c r="J1057" s="15"/>
      <c r="K1057" s="15"/>
      <c r="L1057" s="28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5"/>
      <c r="AG1057" s="15"/>
      <c r="AH1057" s="15"/>
      <c r="AI1057" s="15"/>
      <c r="AJ1057" s="15"/>
      <c r="AK1057" s="15"/>
      <c r="AL1057" s="15"/>
      <c r="AM1057" s="15"/>
      <c r="AN1057" s="15"/>
      <c r="AO1057" s="15"/>
      <c r="AP1057" s="15"/>
      <c r="AQ1057" s="15"/>
      <c r="AR1057" s="15"/>
      <c r="AS1057" s="15"/>
      <c r="AT1057" s="15"/>
      <c r="AU1057" s="15"/>
      <c r="AV1057" s="15"/>
      <c r="AW1057" s="15"/>
    </row>
    <row r="1058" spans="3:49" x14ac:dyDescent="0.2">
      <c r="C1058" s="15"/>
      <c r="D1058" s="15"/>
      <c r="E1058" s="15"/>
      <c r="F1058" s="15"/>
      <c r="G1058" s="15"/>
      <c r="H1058" s="15"/>
      <c r="I1058" s="15"/>
      <c r="J1058" s="15"/>
      <c r="K1058" s="15"/>
      <c r="L1058" s="28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5"/>
      <c r="AG1058" s="15"/>
      <c r="AH1058" s="15"/>
      <c r="AI1058" s="15"/>
      <c r="AJ1058" s="15"/>
      <c r="AK1058" s="15"/>
      <c r="AL1058" s="15"/>
      <c r="AM1058" s="15"/>
      <c r="AN1058" s="15"/>
      <c r="AO1058" s="15"/>
      <c r="AP1058" s="15"/>
      <c r="AQ1058" s="15"/>
      <c r="AR1058" s="15"/>
      <c r="AS1058" s="15"/>
      <c r="AT1058" s="15"/>
      <c r="AU1058" s="15"/>
      <c r="AV1058" s="15"/>
      <c r="AW1058" s="15"/>
    </row>
    <row r="1059" spans="3:49" x14ac:dyDescent="0.2">
      <c r="C1059" s="15"/>
      <c r="D1059" s="15"/>
      <c r="E1059" s="15"/>
      <c r="F1059" s="15"/>
      <c r="G1059" s="15"/>
      <c r="H1059" s="15"/>
      <c r="I1059" s="15"/>
      <c r="J1059" s="15"/>
      <c r="K1059" s="15"/>
      <c r="L1059" s="28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5"/>
      <c r="AG1059" s="15"/>
      <c r="AH1059" s="15"/>
      <c r="AI1059" s="15"/>
      <c r="AJ1059" s="15"/>
      <c r="AK1059" s="15"/>
      <c r="AL1059" s="15"/>
      <c r="AM1059" s="15"/>
      <c r="AN1059" s="15"/>
      <c r="AO1059" s="15"/>
      <c r="AP1059" s="15"/>
      <c r="AQ1059" s="15"/>
      <c r="AR1059" s="15"/>
      <c r="AS1059" s="15"/>
      <c r="AT1059" s="15"/>
      <c r="AU1059" s="15"/>
      <c r="AV1059" s="15"/>
      <c r="AW1059" s="15"/>
    </row>
    <row r="1060" spans="3:49" x14ac:dyDescent="0.2">
      <c r="C1060" s="15"/>
      <c r="D1060" s="15"/>
      <c r="E1060" s="15"/>
      <c r="F1060" s="15"/>
      <c r="G1060" s="15"/>
      <c r="H1060" s="15"/>
      <c r="I1060" s="15"/>
      <c r="J1060" s="15"/>
      <c r="K1060" s="15"/>
      <c r="L1060" s="28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5"/>
      <c r="AG1060" s="15"/>
      <c r="AH1060" s="15"/>
      <c r="AI1060" s="15"/>
      <c r="AJ1060" s="15"/>
      <c r="AK1060" s="15"/>
      <c r="AL1060" s="15"/>
      <c r="AM1060" s="15"/>
      <c r="AN1060" s="15"/>
      <c r="AO1060" s="15"/>
      <c r="AP1060" s="15"/>
      <c r="AQ1060" s="15"/>
      <c r="AR1060" s="15"/>
      <c r="AS1060" s="15"/>
      <c r="AT1060" s="15"/>
      <c r="AU1060" s="15"/>
      <c r="AV1060" s="15"/>
      <c r="AW1060" s="15"/>
    </row>
    <row r="1061" spans="3:49" x14ac:dyDescent="0.2">
      <c r="C1061" s="15"/>
      <c r="D1061" s="15"/>
      <c r="E1061" s="15"/>
      <c r="F1061" s="15"/>
      <c r="G1061" s="15"/>
      <c r="H1061" s="15"/>
      <c r="I1061" s="15"/>
      <c r="J1061" s="15"/>
      <c r="K1061" s="15"/>
      <c r="L1061" s="28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5"/>
      <c r="AG1061" s="15"/>
      <c r="AH1061" s="15"/>
      <c r="AI1061" s="15"/>
      <c r="AJ1061" s="15"/>
      <c r="AK1061" s="15"/>
      <c r="AL1061" s="15"/>
      <c r="AM1061" s="15"/>
      <c r="AN1061" s="15"/>
      <c r="AO1061" s="15"/>
      <c r="AP1061" s="15"/>
      <c r="AQ1061" s="15"/>
      <c r="AR1061" s="15"/>
      <c r="AS1061" s="15"/>
      <c r="AT1061" s="15"/>
      <c r="AU1061" s="15"/>
      <c r="AV1061" s="15"/>
      <c r="AW1061" s="15"/>
    </row>
    <row r="1062" spans="3:49" x14ac:dyDescent="0.2">
      <c r="C1062" s="15"/>
      <c r="D1062" s="15"/>
      <c r="E1062" s="15"/>
      <c r="F1062" s="15"/>
      <c r="G1062" s="15"/>
      <c r="H1062" s="15"/>
      <c r="I1062" s="15"/>
      <c r="J1062" s="15"/>
      <c r="K1062" s="15"/>
      <c r="L1062" s="28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5"/>
      <c r="AG1062" s="15"/>
      <c r="AH1062" s="15"/>
      <c r="AI1062" s="15"/>
      <c r="AJ1062" s="15"/>
      <c r="AK1062" s="15"/>
      <c r="AL1062" s="15"/>
      <c r="AM1062" s="15"/>
      <c r="AN1062" s="15"/>
      <c r="AO1062" s="15"/>
      <c r="AP1062" s="15"/>
      <c r="AQ1062" s="15"/>
      <c r="AR1062" s="15"/>
      <c r="AS1062" s="15"/>
      <c r="AT1062" s="15"/>
      <c r="AU1062" s="15"/>
      <c r="AV1062" s="15"/>
      <c r="AW1062" s="15"/>
    </row>
    <row r="1063" spans="3:49" x14ac:dyDescent="0.2">
      <c r="C1063" s="15"/>
      <c r="D1063" s="15"/>
      <c r="E1063" s="15"/>
      <c r="F1063" s="15"/>
      <c r="G1063" s="15"/>
      <c r="H1063" s="15"/>
      <c r="I1063" s="15"/>
      <c r="J1063" s="15"/>
      <c r="K1063" s="15"/>
      <c r="L1063" s="28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5"/>
      <c r="AG1063" s="15"/>
      <c r="AH1063" s="15"/>
      <c r="AI1063" s="15"/>
      <c r="AJ1063" s="15"/>
      <c r="AK1063" s="15"/>
      <c r="AL1063" s="15"/>
      <c r="AM1063" s="15"/>
      <c r="AN1063" s="15"/>
      <c r="AO1063" s="15"/>
      <c r="AP1063" s="15"/>
      <c r="AQ1063" s="15"/>
      <c r="AR1063" s="15"/>
      <c r="AS1063" s="15"/>
      <c r="AT1063" s="15"/>
      <c r="AU1063" s="15"/>
      <c r="AV1063" s="15"/>
      <c r="AW1063" s="15"/>
    </row>
    <row r="1064" spans="3:49" x14ac:dyDescent="0.2">
      <c r="C1064" s="15"/>
      <c r="D1064" s="15"/>
      <c r="E1064" s="15"/>
      <c r="F1064" s="15"/>
      <c r="G1064" s="15"/>
      <c r="H1064" s="15"/>
      <c r="I1064" s="15"/>
      <c r="J1064" s="15"/>
      <c r="K1064" s="15"/>
      <c r="L1064" s="28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5"/>
      <c r="AG1064" s="15"/>
      <c r="AH1064" s="15"/>
      <c r="AI1064" s="15"/>
      <c r="AJ1064" s="15"/>
      <c r="AK1064" s="15"/>
      <c r="AL1064" s="15"/>
      <c r="AM1064" s="15"/>
      <c r="AN1064" s="15"/>
      <c r="AO1064" s="15"/>
      <c r="AP1064" s="15"/>
      <c r="AQ1064" s="15"/>
      <c r="AR1064" s="15"/>
      <c r="AS1064" s="15"/>
      <c r="AT1064" s="15"/>
      <c r="AU1064" s="15"/>
      <c r="AV1064" s="15"/>
      <c r="AW1064" s="15"/>
    </row>
    <row r="1065" spans="3:49" x14ac:dyDescent="0.2">
      <c r="C1065" s="15"/>
      <c r="D1065" s="15"/>
      <c r="E1065" s="15"/>
      <c r="F1065" s="15"/>
      <c r="G1065" s="15"/>
      <c r="H1065" s="15"/>
      <c r="I1065" s="15"/>
      <c r="J1065" s="15"/>
      <c r="K1065" s="15"/>
      <c r="L1065" s="28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5"/>
      <c r="AG1065" s="15"/>
      <c r="AH1065" s="15"/>
      <c r="AI1065" s="15"/>
      <c r="AJ1065" s="15"/>
      <c r="AK1065" s="15"/>
      <c r="AL1065" s="15"/>
      <c r="AM1065" s="15"/>
      <c r="AN1065" s="15"/>
      <c r="AO1065" s="15"/>
      <c r="AP1065" s="15"/>
      <c r="AQ1065" s="15"/>
      <c r="AR1065" s="15"/>
      <c r="AS1065" s="15"/>
      <c r="AT1065" s="15"/>
      <c r="AU1065" s="15"/>
      <c r="AV1065" s="15"/>
      <c r="AW1065" s="15"/>
    </row>
    <row r="1066" spans="3:49" x14ac:dyDescent="0.2">
      <c r="C1066" s="15"/>
      <c r="D1066" s="15"/>
      <c r="E1066" s="15"/>
      <c r="F1066" s="15"/>
      <c r="G1066" s="15"/>
      <c r="H1066" s="15"/>
      <c r="I1066" s="15"/>
      <c r="J1066" s="15"/>
      <c r="K1066" s="15"/>
      <c r="L1066" s="28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5"/>
      <c r="AG1066" s="15"/>
      <c r="AH1066" s="15"/>
      <c r="AI1066" s="15"/>
      <c r="AJ1066" s="15"/>
      <c r="AK1066" s="15"/>
      <c r="AL1066" s="15"/>
      <c r="AM1066" s="15"/>
      <c r="AN1066" s="15"/>
      <c r="AO1066" s="15"/>
      <c r="AP1066" s="15"/>
      <c r="AQ1066" s="15"/>
      <c r="AR1066" s="15"/>
      <c r="AS1066" s="15"/>
      <c r="AT1066" s="15"/>
      <c r="AU1066" s="15"/>
      <c r="AV1066" s="15"/>
      <c r="AW1066" s="15"/>
    </row>
    <row r="1067" spans="3:49" x14ac:dyDescent="0.2">
      <c r="C1067" s="15"/>
      <c r="D1067" s="15"/>
      <c r="E1067" s="15"/>
      <c r="F1067" s="15"/>
      <c r="G1067" s="15"/>
      <c r="H1067" s="15"/>
      <c r="I1067" s="15"/>
      <c r="J1067" s="15"/>
      <c r="K1067" s="15"/>
      <c r="L1067" s="28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5"/>
      <c r="AG1067" s="15"/>
      <c r="AH1067" s="15"/>
      <c r="AI1067" s="15"/>
      <c r="AJ1067" s="15"/>
      <c r="AK1067" s="15"/>
      <c r="AL1067" s="15"/>
      <c r="AM1067" s="15"/>
      <c r="AN1067" s="15"/>
      <c r="AO1067" s="15"/>
      <c r="AP1067" s="15"/>
      <c r="AQ1067" s="15"/>
      <c r="AR1067" s="15"/>
      <c r="AS1067" s="15"/>
      <c r="AT1067" s="15"/>
      <c r="AU1067" s="15"/>
      <c r="AV1067" s="15"/>
      <c r="AW1067" s="15"/>
    </row>
    <row r="1068" spans="3:49" x14ac:dyDescent="0.2">
      <c r="C1068" s="15"/>
      <c r="D1068" s="15"/>
      <c r="E1068" s="15"/>
      <c r="F1068" s="15"/>
      <c r="G1068" s="15"/>
      <c r="H1068" s="15"/>
      <c r="I1068" s="15"/>
      <c r="J1068" s="15"/>
      <c r="K1068" s="15"/>
      <c r="L1068" s="28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5"/>
      <c r="AG1068" s="15"/>
      <c r="AH1068" s="15"/>
      <c r="AI1068" s="15"/>
      <c r="AJ1068" s="15"/>
      <c r="AK1068" s="15"/>
      <c r="AL1068" s="15"/>
      <c r="AM1068" s="15"/>
      <c r="AN1068" s="15"/>
      <c r="AO1068" s="15"/>
      <c r="AP1068" s="15"/>
      <c r="AQ1068" s="15"/>
      <c r="AR1068" s="15"/>
      <c r="AS1068" s="15"/>
      <c r="AT1068" s="15"/>
      <c r="AU1068" s="15"/>
      <c r="AV1068" s="15"/>
      <c r="AW1068" s="15"/>
    </row>
    <row r="1069" spans="3:49" x14ac:dyDescent="0.2">
      <c r="C1069" s="15"/>
      <c r="D1069" s="15"/>
      <c r="E1069" s="15"/>
      <c r="F1069" s="15"/>
      <c r="G1069" s="15"/>
      <c r="H1069" s="15"/>
      <c r="I1069" s="15"/>
      <c r="J1069" s="15"/>
      <c r="K1069" s="15"/>
      <c r="L1069" s="28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5"/>
      <c r="AG1069" s="15"/>
      <c r="AH1069" s="15"/>
      <c r="AI1069" s="15"/>
      <c r="AJ1069" s="15"/>
      <c r="AK1069" s="15"/>
      <c r="AL1069" s="15"/>
      <c r="AM1069" s="15"/>
      <c r="AN1069" s="15"/>
      <c r="AO1069" s="15"/>
      <c r="AP1069" s="15"/>
      <c r="AQ1069" s="15"/>
      <c r="AR1069" s="15"/>
      <c r="AS1069" s="15"/>
      <c r="AT1069" s="15"/>
      <c r="AU1069" s="15"/>
      <c r="AV1069" s="15"/>
      <c r="AW1069" s="15"/>
    </row>
    <row r="1070" spans="3:49" x14ac:dyDescent="0.2">
      <c r="C1070" s="15"/>
      <c r="D1070" s="15"/>
      <c r="E1070" s="15"/>
      <c r="F1070" s="15"/>
      <c r="G1070" s="15"/>
      <c r="H1070" s="15"/>
      <c r="I1070" s="15"/>
      <c r="J1070" s="15"/>
      <c r="K1070" s="15"/>
      <c r="L1070" s="28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5"/>
      <c r="AG1070" s="15"/>
      <c r="AH1070" s="15"/>
      <c r="AI1070" s="15"/>
      <c r="AJ1070" s="15"/>
      <c r="AK1070" s="15"/>
      <c r="AL1070" s="15"/>
      <c r="AM1070" s="15"/>
      <c r="AN1070" s="15"/>
      <c r="AO1070" s="15"/>
      <c r="AP1070" s="15"/>
      <c r="AQ1070" s="15"/>
      <c r="AR1070" s="15"/>
      <c r="AS1070" s="15"/>
      <c r="AT1070" s="15"/>
      <c r="AU1070" s="15"/>
      <c r="AV1070" s="15"/>
      <c r="AW1070" s="15"/>
    </row>
    <row r="1071" spans="3:49" x14ac:dyDescent="0.2">
      <c r="C1071" s="15"/>
      <c r="D1071" s="15"/>
      <c r="E1071" s="15"/>
      <c r="F1071" s="15"/>
      <c r="G1071" s="15"/>
      <c r="H1071" s="15"/>
      <c r="I1071" s="15"/>
      <c r="J1071" s="15"/>
      <c r="K1071" s="15"/>
      <c r="L1071" s="28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5"/>
      <c r="AG1071" s="15"/>
      <c r="AH1071" s="15"/>
      <c r="AI1071" s="15"/>
      <c r="AJ1071" s="15"/>
      <c r="AK1071" s="15"/>
      <c r="AL1071" s="15"/>
      <c r="AM1071" s="15"/>
      <c r="AN1071" s="15"/>
      <c r="AO1071" s="15"/>
      <c r="AP1071" s="15"/>
      <c r="AQ1071" s="15"/>
      <c r="AR1071" s="15"/>
      <c r="AS1071" s="15"/>
      <c r="AT1071" s="15"/>
      <c r="AU1071" s="15"/>
      <c r="AV1071" s="15"/>
      <c r="AW1071" s="15"/>
    </row>
    <row r="1072" spans="3:49" x14ac:dyDescent="0.2">
      <c r="C1072" s="15"/>
      <c r="D1072" s="15"/>
      <c r="E1072" s="15"/>
      <c r="F1072" s="15"/>
      <c r="G1072" s="15"/>
      <c r="H1072" s="15"/>
      <c r="I1072" s="15"/>
      <c r="J1072" s="15"/>
      <c r="K1072" s="15"/>
      <c r="L1072" s="28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5"/>
      <c r="AG1072" s="15"/>
      <c r="AH1072" s="15"/>
      <c r="AI1072" s="15"/>
      <c r="AJ1072" s="15"/>
      <c r="AK1072" s="15"/>
      <c r="AL1072" s="15"/>
      <c r="AM1072" s="15"/>
      <c r="AN1072" s="15"/>
      <c r="AO1072" s="15"/>
      <c r="AP1072" s="15"/>
      <c r="AQ1072" s="15"/>
      <c r="AR1072" s="15"/>
      <c r="AS1072" s="15"/>
      <c r="AT1072" s="15"/>
      <c r="AU1072" s="15"/>
      <c r="AV1072" s="15"/>
      <c r="AW1072" s="15"/>
    </row>
    <row r="1073" spans="3:49" x14ac:dyDescent="0.2">
      <c r="C1073" s="15"/>
      <c r="D1073" s="15"/>
      <c r="E1073" s="15"/>
      <c r="F1073" s="15"/>
      <c r="G1073" s="15"/>
      <c r="H1073" s="15"/>
      <c r="I1073" s="15"/>
      <c r="J1073" s="15"/>
      <c r="K1073" s="15"/>
      <c r="L1073" s="28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5"/>
      <c r="AG1073" s="15"/>
      <c r="AH1073" s="15"/>
      <c r="AI1073" s="15"/>
      <c r="AJ1073" s="15"/>
      <c r="AK1073" s="15"/>
      <c r="AL1073" s="15"/>
      <c r="AM1073" s="15"/>
      <c r="AN1073" s="15"/>
      <c r="AO1073" s="15"/>
      <c r="AP1073" s="15"/>
      <c r="AQ1073" s="15"/>
      <c r="AR1073" s="15"/>
      <c r="AS1073" s="15"/>
      <c r="AT1073" s="15"/>
      <c r="AU1073" s="15"/>
      <c r="AV1073" s="15"/>
      <c r="AW1073" s="15"/>
    </row>
    <row r="1074" spans="3:49" x14ac:dyDescent="0.2">
      <c r="C1074" s="15"/>
      <c r="D1074" s="15"/>
      <c r="E1074" s="15"/>
      <c r="F1074" s="15"/>
      <c r="G1074" s="15"/>
      <c r="H1074" s="15"/>
      <c r="I1074" s="15"/>
      <c r="J1074" s="15"/>
      <c r="K1074" s="15"/>
      <c r="L1074" s="28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5"/>
      <c r="AG1074" s="15"/>
      <c r="AH1074" s="15"/>
      <c r="AI1074" s="15"/>
      <c r="AJ1074" s="15"/>
      <c r="AK1074" s="15"/>
      <c r="AL1074" s="15"/>
      <c r="AM1074" s="15"/>
      <c r="AN1074" s="15"/>
      <c r="AO1074" s="15"/>
      <c r="AP1074" s="15"/>
      <c r="AQ1074" s="15"/>
      <c r="AR1074" s="15"/>
      <c r="AS1074" s="15"/>
      <c r="AT1074" s="15"/>
      <c r="AU1074" s="15"/>
      <c r="AV1074" s="15"/>
      <c r="AW1074" s="15"/>
    </row>
    <row r="1075" spans="3:49" x14ac:dyDescent="0.2">
      <c r="C1075" s="15"/>
      <c r="D1075" s="15"/>
      <c r="E1075" s="15"/>
      <c r="F1075" s="15"/>
      <c r="G1075" s="15"/>
      <c r="H1075" s="15"/>
      <c r="I1075" s="15"/>
      <c r="J1075" s="15"/>
      <c r="K1075" s="15"/>
      <c r="L1075" s="28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5"/>
      <c r="AG1075" s="15"/>
      <c r="AH1075" s="15"/>
      <c r="AI1075" s="15"/>
      <c r="AJ1075" s="15"/>
      <c r="AK1075" s="15"/>
      <c r="AL1075" s="15"/>
      <c r="AM1075" s="15"/>
      <c r="AN1075" s="15"/>
      <c r="AO1075" s="15"/>
      <c r="AP1075" s="15"/>
      <c r="AQ1075" s="15"/>
      <c r="AR1075" s="15"/>
      <c r="AS1075" s="15"/>
      <c r="AT1075" s="15"/>
      <c r="AU1075" s="15"/>
      <c r="AV1075" s="15"/>
      <c r="AW1075" s="15"/>
    </row>
    <row r="1076" spans="3:49" x14ac:dyDescent="0.2">
      <c r="C1076" s="15"/>
      <c r="D1076" s="15"/>
      <c r="E1076" s="15"/>
      <c r="F1076" s="15"/>
      <c r="G1076" s="15"/>
      <c r="H1076" s="15"/>
      <c r="I1076" s="15"/>
      <c r="J1076" s="15"/>
      <c r="K1076" s="15"/>
      <c r="L1076" s="28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5"/>
      <c r="AG1076" s="15"/>
      <c r="AH1076" s="15"/>
      <c r="AI1076" s="15"/>
      <c r="AJ1076" s="15"/>
      <c r="AK1076" s="15"/>
      <c r="AL1076" s="15"/>
      <c r="AM1076" s="15"/>
      <c r="AN1076" s="15"/>
      <c r="AO1076" s="15"/>
      <c r="AP1076" s="15"/>
      <c r="AQ1076" s="15"/>
      <c r="AR1076" s="15"/>
      <c r="AS1076" s="15"/>
      <c r="AT1076" s="15"/>
      <c r="AU1076" s="15"/>
      <c r="AV1076" s="15"/>
      <c r="AW1076" s="15"/>
    </row>
    <row r="1077" spans="3:49" x14ac:dyDescent="0.2">
      <c r="C1077" s="15"/>
      <c r="D1077" s="15"/>
      <c r="E1077" s="15"/>
      <c r="F1077" s="15"/>
      <c r="G1077" s="15"/>
      <c r="H1077" s="15"/>
      <c r="I1077" s="15"/>
      <c r="J1077" s="15"/>
      <c r="K1077" s="15"/>
      <c r="L1077" s="28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5"/>
      <c r="AG1077" s="15"/>
      <c r="AH1077" s="15"/>
      <c r="AI1077" s="15"/>
      <c r="AJ1077" s="15"/>
      <c r="AK1077" s="15"/>
      <c r="AL1077" s="15"/>
      <c r="AM1077" s="15"/>
      <c r="AN1077" s="15"/>
      <c r="AO1077" s="15"/>
      <c r="AP1077" s="15"/>
      <c r="AQ1077" s="15"/>
      <c r="AR1077" s="15"/>
      <c r="AS1077" s="15"/>
      <c r="AT1077" s="15"/>
      <c r="AU1077" s="15"/>
      <c r="AV1077" s="15"/>
      <c r="AW1077" s="15"/>
    </row>
    <row r="1078" spans="3:49" x14ac:dyDescent="0.2">
      <c r="C1078" s="15"/>
      <c r="D1078" s="15"/>
      <c r="E1078" s="15"/>
      <c r="F1078" s="15"/>
      <c r="G1078" s="15"/>
      <c r="H1078" s="15"/>
      <c r="I1078" s="15"/>
      <c r="J1078" s="15"/>
      <c r="K1078" s="15"/>
      <c r="L1078" s="28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5"/>
      <c r="AG1078" s="15"/>
      <c r="AH1078" s="15"/>
      <c r="AI1078" s="15"/>
      <c r="AJ1078" s="15"/>
      <c r="AK1078" s="15"/>
      <c r="AL1078" s="15"/>
      <c r="AM1078" s="15"/>
      <c r="AN1078" s="15"/>
      <c r="AO1078" s="15"/>
      <c r="AP1078" s="15"/>
      <c r="AQ1078" s="15"/>
      <c r="AR1078" s="15"/>
      <c r="AS1078" s="15"/>
      <c r="AT1078" s="15"/>
      <c r="AU1078" s="15"/>
      <c r="AV1078" s="15"/>
      <c r="AW1078" s="15"/>
    </row>
    <row r="1079" spans="3:49" x14ac:dyDescent="0.2">
      <c r="C1079" s="15"/>
      <c r="D1079" s="15"/>
      <c r="E1079" s="15"/>
      <c r="F1079" s="15"/>
      <c r="G1079" s="15"/>
      <c r="H1079" s="15"/>
      <c r="I1079" s="15"/>
      <c r="J1079" s="15"/>
      <c r="K1079" s="15"/>
      <c r="L1079" s="28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5"/>
      <c r="AG1079" s="15"/>
      <c r="AH1079" s="15"/>
      <c r="AI1079" s="15"/>
      <c r="AJ1079" s="15"/>
      <c r="AK1079" s="15"/>
      <c r="AL1079" s="15"/>
      <c r="AM1079" s="15"/>
      <c r="AN1079" s="15"/>
      <c r="AO1079" s="15"/>
      <c r="AP1079" s="15"/>
      <c r="AQ1079" s="15"/>
      <c r="AR1079" s="15"/>
      <c r="AS1079" s="15"/>
      <c r="AT1079" s="15"/>
      <c r="AU1079" s="15"/>
      <c r="AV1079" s="15"/>
      <c r="AW1079" s="15"/>
    </row>
    <row r="1080" spans="3:49" x14ac:dyDescent="0.2">
      <c r="C1080" s="15"/>
      <c r="D1080" s="15"/>
      <c r="E1080" s="15"/>
      <c r="F1080" s="15"/>
      <c r="G1080" s="15"/>
      <c r="H1080" s="15"/>
      <c r="I1080" s="15"/>
      <c r="J1080" s="15"/>
      <c r="K1080" s="15"/>
      <c r="L1080" s="28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5"/>
      <c r="AG1080" s="15"/>
      <c r="AH1080" s="15"/>
      <c r="AI1080" s="15"/>
      <c r="AJ1080" s="15"/>
      <c r="AK1080" s="15"/>
      <c r="AL1080" s="15"/>
      <c r="AM1080" s="15"/>
      <c r="AN1080" s="15"/>
      <c r="AO1080" s="15"/>
      <c r="AP1080" s="15"/>
      <c r="AQ1080" s="15"/>
      <c r="AR1080" s="15"/>
      <c r="AS1080" s="15"/>
      <c r="AT1080" s="15"/>
      <c r="AU1080" s="15"/>
      <c r="AV1080" s="15"/>
      <c r="AW1080" s="15"/>
    </row>
    <row r="1081" spans="3:49" x14ac:dyDescent="0.2">
      <c r="C1081" s="15"/>
      <c r="D1081" s="15"/>
      <c r="E1081" s="15"/>
      <c r="F1081" s="15"/>
      <c r="G1081" s="15"/>
      <c r="H1081" s="15"/>
      <c r="I1081" s="15"/>
      <c r="J1081" s="15"/>
      <c r="K1081" s="15"/>
      <c r="L1081" s="28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5"/>
      <c r="AG1081" s="15"/>
      <c r="AH1081" s="15"/>
      <c r="AI1081" s="15"/>
      <c r="AJ1081" s="15"/>
      <c r="AK1081" s="15"/>
      <c r="AL1081" s="15"/>
      <c r="AM1081" s="15"/>
      <c r="AN1081" s="15"/>
      <c r="AO1081" s="15"/>
      <c r="AP1081" s="15"/>
      <c r="AQ1081" s="15"/>
      <c r="AR1081" s="15"/>
      <c r="AS1081" s="15"/>
      <c r="AT1081" s="15"/>
      <c r="AU1081" s="15"/>
      <c r="AV1081" s="15"/>
      <c r="AW1081" s="15"/>
    </row>
    <row r="1082" spans="3:49" x14ac:dyDescent="0.2">
      <c r="C1082" s="15"/>
      <c r="D1082" s="15"/>
      <c r="E1082" s="15"/>
      <c r="F1082" s="15"/>
      <c r="G1082" s="15"/>
      <c r="H1082" s="15"/>
      <c r="I1082" s="15"/>
      <c r="J1082" s="15"/>
      <c r="K1082" s="15"/>
      <c r="L1082" s="28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5"/>
      <c r="AG1082" s="15"/>
      <c r="AH1082" s="15"/>
      <c r="AI1082" s="15"/>
      <c r="AJ1082" s="15"/>
      <c r="AK1082" s="15"/>
      <c r="AL1082" s="15"/>
      <c r="AM1082" s="15"/>
      <c r="AN1082" s="15"/>
      <c r="AO1082" s="15"/>
      <c r="AP1082" s="15"/>
      <c r="AQ1082" s="15"/>
      <c r="AR1082" s="15"/>
      <c r="AS1082" s="15"/>
      <c r="AT1082" s="15"/>
      <c r="AU1082" s="15"/>
      <c r="AV1082" s="15"/>
      <c r="AW1082" s="15"/>
    </row>
    <row r="1083" spans="3:49" x14ac:dyDescent="0.2">
      <c r="C1083" s="15"/>
      <c r="D1083" s="15"/>
      <c r="E1083" s="15"/>
      <c r="F1083" s="15"/>
      <c r="G1083" s="15"/>
      <c r="H1083" s="15"/>
      <c r="I1083" s="15"/>
      <c r="J1083" s="15"/>
      <c r="K1083" s="15"/>
      <c r="L1083" s="28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5"/>
      <c r="AG1083" s="15"/>
      <c r="AH1083" s="15"/>
      <c r="AI1083" s="15"/>
      <c r="AJ1083" s="15"/>
      <c r="AK1083" s="15"/>
      <c r="AL1083" s="15"/>
      <c r="AM1083" s="15"/>
      <c r="AN1083" s="15"/>
      <c r="AO1083" s="15"/>
      <c r="AP1083" s="15"/>
      <c r="AQ1083" s="15"/>
      <c r="AR1083" s="15"/>
      <c r="AS1083" s="15"/>
      <c r="AT1083" s="15"/>
      <c r="AU1083" s="15"/>
      <c r="AV1083" s="15"/>
      <c r="AW1083" s="15"/>
    </row>
    <row r="1084" spans="3:49" x14ac:dyDescent="0.2">
      <c r="C1084" s="15"/>
      <c r="D1084" s="15"/>
      <c r="E1084" s="15"/>
      <c r="F1084" s="15"/>
      <c r="G1084" s="15"/>
      <c r="H1084" s="15"/>
      <c r="I1084" s="15"/>
      <c r="J1084" s="15"/>
      <c r="K1084" s="15"/>
      <c r="L1084" s="28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5"/>
      <c r="AG1084" s="15"/>
      <c r="AH1084" s="15"/>
      <c r="AI1084" s="15"/>
      <c r="AJ1084" s="15"/>
      <c r="AK1084" s="15"/>
      <c r="AL1084" s="15"/>
      <c r="AM1084" s="15"/>
      <c r="AN1084" s="15"/>
      <c r="AO1084" s="15"/>
      <c r="AP1084" s="15"/>
      <c r="AQ1084" s="15"/>
      <c r="AR1084" s="15"/>
      <c r="AS1084" s="15"/>
      <c r="AT1084" s="15"/>
      <c r="AU1084" s="15"/>
      <c r="AV1084" s="15"/>
      <c r="AW1084" s="15"/>
    </row>
    <row r="1085" spans="3:49" x14ac:dyDescent="0.2">
      <c r="C1085" s="15"/>
      <c r="D1085" s="15"/>
      <c r="E1085" s="15"/>
      <c r="F1085" s="15"/>
      <c r="G1085" s="15"/>
      <c r="H1085" s="15"/>
      <c r="I1085" s="15"/>
      <c r="J1085" s="15"/>
      <c r="K1085" s="15"/>
      <c r="L1085" s="28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5"/>
      <c r="AG1085" s="15"/>
      <c r="AH1085" s="15"/>
      <c r="AI1085" s="15"/>
      <c r="AJ1085" s="15"/>
      <c r="AK1085" s="15"/>
      <c r="AL1085" s="15"/>
      <c r="AM1085" s="15"/>
      <c r="AN1085" s="15"/>
      <c r="AO1085" s="15"/>
      <c r="AP1085" s="15"/>
      <c r="AQ1085" s="15"/>
      <c r="AR1085" s="15"/>
      <c r="AS1085" s="15"/>
      <c r="AT1085" s="15"/>
      <c r="AU1085" s="15"/>
      <c r="AV1085" s="15"/>
      <c r="AW1085" s="15"/>
    </row>
    <row r="1086" spans="3:49" x14ac:dyDescent="0.2">
      <c r="C1086" s="15"/>
      <c r="D1086" s="15"/>
      <c r="E1086" s="15"/>
      <c r="F1086" s="15"/>
      <c r="G1086" s="15"/>
      <c r="H1086" s="15"/>
      <c r="I1086" s="15"/>
      <c r="J1086" s="15"/>
      <c r="K1086" s="15"/>
      <c r="L1086" s="28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5"/>
      <c r="AG1086" s="15"/>
      <c r="AH1086" s="15"/>
      <c r="AI1086" s="15"/>
      <c r="AJ1086" s="15"/>
      <c r="AK1086" s="15"/>
      <c r="AL1086" s="15"/>
      <c r="AM1086" s="15"/>
      <c r="AN1086" s="15"/>
      <c r="AO1086" s="15"/>
      <c r="AP1086" s="15"/>
      <c r="AQ1086" s="15"/>
      <c r="AR1086" s="15"/>
      <c r="AS1086" s="15"/>
      <c r="AT1086" s="15"/>
      <c r="AU1086" s="15"/>
      <c r="AV1086" s="15"/>
      <c r="AW1086" s="15"/>
    </row>
    <row r="1087" spans="3:49" x14ac:dyDescent="0.2">
      <c r="C1087" s="15"/>
      <c r="D1087" s="15"/>
      <c r="E1087" s="15"/>
      <c r="F1087" s="15"/>
      <c r="G1087" s="15"/>
      <c r="H1087" s="15"/>
      <c r="I1087" s="15"/>
      <c r="J1087" s="15"/>
      <c r="K1087" s="15"/>
      <c r="L1087" s="28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5"/>
      <c r="AG1087" s="15"/>
      <c r="AH1087" s="15"/>
      <c r="AI1087" s="15"/>
      <c r="AJ1087" s="15"/>
      <c r="AK1087" s="15"/>
      <c r="AL1087" s="15"/>
      <c r="AM1087" s="15"/>
      <c r="AN1087" s="15"/>
      <c r="AO1087" s="15"/>
      <c r="AP1087" s="15"/>
      <c r="AQ1087" s="15"/>
      <c r="AR1087" s="15"/>
      <c r="AS1087" s="15"/>
      <c r="AT1087" s="15"/>
      <c r="AU1087" s="15"/>
      <c r="AV1087" s="15"/>
      <c r="AW1087" s="15"/>
    </row>
    <row r="1088" spans="3:49" x14ac:dyDescent="0.2">
      <c r="C1088" s="15"/>
      <c r="D1088" s="15"/>
      <c r="E1088" s="15"/>
      <c r="F1088" s="15"/>
      <c r="G1088" s="15"/>
      <c r="H1088" s="15"/>
      <c r="I1088" s="15"/>
      <c r="J1088" s="15"/>
      <c r="K1088" s="15"/>
      <c r="L1088" s="28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5"/>
      <c r="AG1088" s="15"/>
      <c r="AH1088" s="15"/>
      <c r="AI1088" s="15"/>
      <c r="AJ1088" s="15"/>
      <c r="AK1088" s="15"/>
      <c r="AL1088" s="15"/>
      <c r="AM1088" s="15"/>
      <c r="AN1088" s="15"/>
      <c r="AO1088" s="15"/>
      <c r="AP1088" s="15"/>
      <c r="AQ1088" s="15"/>
      <c r="AR1088" s="15"/>
      <c r="AS1088" s="15"/>
      <c r="AT1088" s="15"/>
      <c r="AU1088" s="15"/>
      <c r="AV1088" s="15"/>
      <c r="AW1088" s="15"/>
    </row>
    <row r="1089" spans="3:49" x14ac:dyDescent="0.2">
      <c r="C1089" s="15"/>
      <c r="D1089" s="15"/>
      <c r="E1089" s="15"/>
      <c r="F1089" s="15"/>
      <c r="G1089" s="15"/>
      <c r="H1089" s="15"/>
      <c r="I1089" s="15"/>
      <c r="J1089" s="15"/>
      <c r="K1089" s="15"/>
      <c r="L1089" s="28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5"/>
      <c r="AG1089" s="15"/>
      <c r="AH1089" s="15"/>
      <c r="AI1089" s="15"/>
      <c r="AJ1089" s="15"/>
      <c r="AK1089" s="15"/>
      <c r="AL1089" s="15"/>
      <c r="AM1089" s="15"/>
      <c r="AN1089" s="15"/>
      <c r="AO1089" s="15"/>
      <c r="AP1089" s="15"/>
      <c r="AQ1089" s="15"/>
      <c r="AR1089" s="15"/>
      <c r="AS1089" s="15"/>
      <c r="AT1089" s="15"/>
      <c r="AU1089" s="15"/>
      <c r="AV1089" s="15"/>
      <c r="AW1089" s="15"/>
    </row>
    <row r="1090" spans="3:49" x14ac:dyDescent="0.2">
      <c r="C1090" s="15"/>
      <c r="D1090" s="15"/>
      <c r="E1090" s="15"/>
      <c r="F1090" s="15"/>
      <c r="G1090" s="15"/>
      <c r="H1090" s="15"/>
      <c r="I1090" s="15"/>
      <c r="J1090" s="15"/>
      <c r="K1090" s="15"/>
      <c r="L1090" s="28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5"/>
      <c r="AG1090" s="15"/>
      <c r="AH1090" s="15"/>
      <c r="AI1090" s="15"/>
      <c r="AJ1090" s="15"/>
      <c r="AK1090" s="15"/>
      <c r="AL1090" s="15"/>
      <c r="AM1090" s="15"/>
      <c r="AN1090" s="15"/>
      <c r="AO1090" s="15"/>
      <c r="AP1090" s="15"/>
      <c r="AQ1090" s="15"/>
      <c r="AR1090" s="15"/>
      <c r="AS1090" s="15"/>
      <c r="AT1090" s="15"/>
      <c r="AU1090" s="15"/>
      <c r="AV1090" s="15"/>
      <c r="AW1090" s="15"/>
    </row>
    <row r="1091" spans="3:49" x14ac:dyDescent="0.2">
      <c r="C1091" s="15"/>
      <c r="D1091" s="15"/>
      <c r="E1091" s="15"/>
      <c r="F1091" s="15"/>
      <c r="G1091" s="15"/>
      <c r="H1091" s="15"/>
      <c r="I1091" s="15"/>
      <c r="J1091" s="15"/>
      <c r="K1091" s="15"/>
      <c r="L1091" s="28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5"/>
      <c r="AG1091" s="15"/>
      <c r="AH1091" s="15"/>
      <c r="AI1091" s="15"/>
      <c r="AJ1091" s="15"/>
      <c r="AK1091" s="15"/>
      <c r="AL1091" s="15"/>
      <c r="AM1091" s="15"/>
      <c r="AN1091" s="15"/>
      <c r="AO1091" s="15"/>
      <c r="AP1091" s="15"/>
      <c r="AQ1091" s="15"/>
      <c r="AR1091" s="15"/>
      <c r="AS1091" s="15"/>
      <c r="AT1091" s="15"/>
      <c r="AU1091" s="15"/>
      <c r="AV1091" s="15"/>
      <c r="AW1091" s="15"/>
    </row>
    <row r="1092" spans="3:49" x14ac:dyDescent="0.2">
      <c r="C1092" s="15"/>
      <c r="D1092" s="15"/>
      <c r="E1092" s="15"/>
      <c r="F1092" s="15"/>
      <c r="G1092" s="15"/>
      <c r="H1092" s="15"/>
      <c r="I1092" s="15"/>
      <c r="J1092" s="15"/>
      <c r="K1092" s="15"/>
      <c r="L1092" s="28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5"/>
      <c r="AG1092" s="15"/>
      <c r="AH1092" s="15"/>
      <c r="AI1092" s="15"/>
      <c r="AJ1092" s="15"/>
      <c r="AK1092" s="15"/>
      <c r="AL1092" s="15"/>
      <c r="AM1092" s="15"/>
      <c r="AN1092" s="15"/>
      <c r="AO1092" s="15"/>
      <c r="AP1092" s="15"/>
      <c r="AQ1092" s="15"/>
      <c r="AR1092" s="15"/>
      <c r="AS1092" s="15"/>
      <c r="AT1092" s="15"/>
      <c r="AU1092" s="15"/>
      <c r="AV1092" s="15"/>
      <c r="AW1092" s="15"/>
    </row>
    <row r="1093" spans="3:49" x14ac:dyDescent="0.2">
      <c r="C1093" s="15"/>
      <c r="D1093" s="15"/>
      <c r="E1093" s="15"/>
      <c r="F1093" s="15"/>
      <c r="G1093" s="15"/>
      <c r="H1093" s="15"/>
      <c r="I1093" s="15"/>
      <c r="J1093" s="15"/>
      <c r="K1093" s="15"/>
      <c r="L1093" s="28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5"/>
      <c r="AG1093" s="15"/>
      <c r="AH1093" s="15"/>
      <c r="AI1093" s="15"/>
      <c r="AJ1093" s="15"/>
      <c r="AK1093" s="15"/>
      <c r="AL1093" s="15"/>
      <c r="AM1093" s="15"/>
      <c r="AN1093" s="15"/>
      <c r="AO1093" s="15"/>
      <c r="AP1093" s="15"/>
      <c r="AQ1093" s="15"/>
      <c r="AR1093" s="15"/>
      <c r="AS1093" s="15"/>
      <c r="AT1093" s="15"/>
      <c r="AU1093" s="15"/>
      <c r="AV1093" s="15"/>
      <c r="AW1093" s="15"/>
    </row>
    <row r="1094" spans="3:49" x14ac:dyDescent="0.2">
      <c r="C1094" s="15"/>
      <c r="D1094" s="15"/>
      <c r="E1094" s="15"/>
      <c r="F1094" s="15"/>
      <c r="G1094" s="15"/>
      <c r="H1094" s="15"/>
      <c r="I1094" s="15"/>
      <c r="J1094" s="15"/>
      <c r="K1094" s="15"/>
      <c r="L1094" s="28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5"/>
      <c r="AG1094" s="15"/>
      <c r="AH1094" s="15"/>
      <c r="AI1094" s="15"/>
      <c r="AJ1094" s="15"/>
      <c r="AK1094" s="15"/>
      <c r="AL1094" s="15"/>
      <c r="AM1094" s="15"/>
      <c r="AN1094" s="15"/>
      <c r="AO1094" s="15"/>
      <c r="AP1094" s="15"/>
      <c r="AQ1094" s="15"/>
      <c r="AR1094" s="15"/>
      <c r="AS1094" s="15"/>
      <c r="AT1094" s="15"/>
      <c r="AU1094" s="15"/>
      <c r="AV1094" s="15"/>
      <c r="AW1094" s="15"/>
    </row>
    <row r="1095" spans="3:49" x14ac:dyDescent="0.2">
      <c r="C1095" s="15"/>
      <c r="D1095" s="15"/>
      <c r="E1095" s="15"/>
      <c r="F1095" s="15"/>
      <c r="G1095" s="15"/>
      <c r="H1095" s="15"/>
      <c r="I1095" s="15"/>
      <c r="J1095" s="15"/>
      <c r="K1095" s="15"/>
      <c r="L1095" s="28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5"/>
      <c r="AG1095" s="15"/>
      <c r="AH1095" s="15"/>
      <c r="AI1095" s="15"/>
      <c r="AJ1095" s="15"/>
      <c r="AK1095" s="15"/>
      <c r="AL1095" s="15"/>
      <c r="AM1095" s="15"/>
      <c r="AN1095" s="15"/>
      <c r="AO1095" s="15"/>
      <c r="AP1095" s="15"/>
      <c r="AQ1095" s="15"/>
      <c r="AR1095" s="15"/>
      <c r="AS1095" s="15"/>
      <c r="AT1095" s="15"/>
      <c r="AU1095" s="15"/>
      <c r="AV1095" s="15"/>
      <c r="AW1095" s="15"/>
    </row>
    <row r="1096" spans="3:49" x14ac:dyDescent="0.2">
      <c r="C1096" s="15"/>
      <c r="D1096" s="15"/>
      <c r="E1096" s="15"/>
      <c r="F1096" s="15"/>
      <c r="G1096" s="15"/>
      <c r="H1096" s="15"/>
      <c r="I1096" s="15"/>
      <c r="J1096" s="15"/>
      <c r="K1096" s="15"/>
      <c r="L1096" s="28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5"/>
      <c r="AG1096" s="15"/>
      <c r="AH1096" s="15"/>
      <c r="AI1096" s="15"/>
      <c r="AJ1096" s="15"/>
      <c r="AK1096" s="15"/>
      <c r="AL1096" s="15"/>
      <c r="AM1096" s="15"/>
      <c r="AN1096" s="15"/>
      <c r="AO1096" s="15"/>
      <c r="AP1096" s="15"/>
      <c r="AQ1096" s="15"/>
      <c r="AR1096" s="15"/>
      <c r="AS1096" s="15"/>
      <c r="AT1096" s="15"/>
      <c r="AU1096" s="15"/>
      <c r="AV1096" s="15"/>
      <c r="AW1096" s="15"/>
    </row>
    <row r="1097" spans="3:49" x14ac:dyDescent="0.2">
      <c r="C1097" s="15"/>
      <c r="D1097" s="15"/>
      <c r="E1097" s="15"/>
      <c r="F1097" s="15"/>
      <c r="G1097" s="15"/>
      <c r="H1097" s="15"/>
      <c r="I1097" s="15"/>
      <c r="J1097" s="15"/>
      <c r="K1097" s="15"/>
      <c r="L1097" s="28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5"/>
      <c r="AG1097" s="15"/>
      <c r="AH1097" s="15"/>
      <c r="AI1097" s="15"/>
      <c r="AJ1097" s="15"/>
      <c r="AK1097" s="15"/>
      <c r="AL1097" s="15"/>
      <c r="AM1097" s="15"/>
      <c r="AN1097" s="15"/>
      <c r="AO1097" s="15"/>
      <c r="AP1097" s="15"/>
      <c r="AQ1097" s="15"/>
      <c r="AR1097" s="15"/>
      <c r="AS1097" s="15"/>
      <c r="AT1097" s="15"/>
      <c r="AU1097" s="15"/>
      <c r="AV1097" s="15"/>
      <c r="AW1097" s="15"/>
    </row>
    <row r="1098" spans="3:49" x14ac:dyDescent="0.2">
      <c r="C1098" s="15"/>
      <c r="D1098" s="15"/>
      <c r="E1098" s="15"/>
      <c r="F1098" s="15"/>
      <c r="G1098" s="15"/>
      <c r="H1098" s="15"/>
      <c r="I1098" s="15"/>
      <c r="J1098" s="15"/>
      <c r="K1098" s="15"/>
      <c r="L1098" s="28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5"/>
      <c r="AG1098" s="15"/>
      <c r="AH1098" s="15"/>
      <c r="AI1098" s="15"/>
      <c r="AJ1098" s="15"/>
      <c r="AK1098" s="15"/>
      <c r="AL1098" s="15"/>
      <c r="AM1098" s="15"/>
      <c r="AN1098" s="15"/>
      <c r="AO1098" s="15"/>
      <c r="AP1098" s="15"/>
      <c r="AQ1098" s="15"/>
      <c r="AR1098" s="15"/>
      <c r="AS1098" s="15"/>
      <c r="AT1098" s="15"/>
      <c r="AU1098" s="15"/>
      <c r="AV1098" s="15"/>
      <c r="AW1098" s="15"/>
    </row>
    <row r="1099" spans="3:49" x14ac:dyDescent="0.2">
      <c r="C1099" s="15"/>
      <c r="D1099" s="15"/>
      <c r="E1099" s="15"/>
      <c r="F1099" s="15"/>
      <c r="G1099" s="15"/>
      <c r="H1099" s="15"/>
      <c r="I1099" s="15"/>
      <c r="J1099" s="15"/>
      <c r="K1099" s="15"/>
      <c r="L1099" s="28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5"/>
      <c r="AG1099" s="15"/>
      <c r="AH1099" s="15"/>
      <c r="AI1099" s="15"/>
      <c r="AJ1099" s="15"/>
      <c r="AK1099" s="15"/>
      <c r="AL1099" s="15"/>
      <c r="AM1099" s="15"/>
      <c r="AN1099" s="15"/>
      <c r="AO1099" s="15"/>
      <c r="AP1099" s="15"/>
      <c r="AQ1099" s="15"/>
      <c r="AR1099" s="15"/>
      <c r="AS1099" s="15"/>
      <c r="AT1099" s="15"/>
      <c r="AU1099" s="15"/>
      <c r="AV1099" s="15"/>
      <c r="AW1099" s="15"/>
    </row>
    <row r="1100" spans="3:49" x14ac:dyDescent="0.2">
      <c r="C1100" s="15"/>
      <c r="D1100" s="15"/>
      <c r="E1100" s="15"/>
      <c r="F1100" s="15"/>
      <c r="G1100" s="15"/>
      <c r="H1100" s="15"/>
      <c r="I1100" s="15"/>
      <c r="J1100" s="15"/>
      <c r="K1100" s="15"/>
      <c r="L1100" s="28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5"/>
      <c r="AG1100" s="15"/>
      <c r="AH1100" s="15"/>
      <c r="AI1100" s="15"/>
      <c r="AJ1100" s="15"/>
      <c r="AK1100" s="15"/>
      <c r="AL1100" s="15"/>
      <c r="AM1100" s="15"/>
      <c r="AN1100" s="15"/>
      <c r="AO1100" s="15"/>
      <c r="AP1100" s="15"/>
      <c r="AQ1100" s="15"/>
      <c r="AR1100" s="15"/>
      <c r="AS1100" s="15"/>
      <c r="AT1100" s="15"/>
      <c r="AU1100" s="15"/>
      <c r="AV1100" s="15"/>
      <c r="AW1100" s="15"/>
    </row>
    <row r="1101" spans="3:49" x14ac:dyDescent="0.2">
      <c r="C1101" s="15"/>
      <c r="D1101" s="15"/>
      <c r="E1101" s="15"/>
      <c r="F1101" s="15"/>
      <c r="G1101" s="15"/>
      <c r="H1101" s="15"/>
      <c r="I1101" s="15"/>
      <c r="J1101" s="15"/>
      <c r="K1101" s="15"/>
      <c r="L1101" s="28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5"/>
      <c r="AG1101" s="15"/>
      <c r="AH1101" s="15"/>
      <c r="AI1101" s="15"/>
      <c r="AJ1101" s="15"/>
      <c r="AK1101" s="15"/>
      <c r="AL1101" s="15"/>
      <c r="AM1101" s="15"/>
      <c r="AN1101" s="15"/>
      <c r="AO1101" s="15"/>
      <c r="AP1101" s="15"/>
      <c r="AQ1101" s="15"/>
      <c r="AR1101" s="15"/>
      <c r="AS1101" s="15"/>
      <c r="AT1101" s="15"/>
      <c r="AU1101" s="15"/>
      <c r="AV1101" s="15"/>
      <c r="AW1101" s="15"/>
    </row>
    <row r="1102" spans="3:49" x14ac:dyDescent="0.2">
      <c r="C1102" s="15"/>
      <c r="D1102" s="15"/>
      <c r="E1102" s="15"/>
      <c r="F1102" s="15"/>
      <c r="G1102" s="15"/>
      <c r="H1102" s="15"/>
      <c r="I1102" s="15"/>
      <c r="J1102" s="15"/>
      <c r="K1102" s="15"/>
      <c r="L1102" s="28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5"/>
      <c r="AG1102" s="15"/>
      <c r="AH1102" s="15"/>
      <c r="AI1102" s="15"/>
      <c r="AJ1102" s="15"/>
      <c r="AK1102" s="15"/>
      <c r="AL1102" s="15"/>
      <c r="AM1102" s="15"/>
      <c r="AN1102" s="15"/>
      <c r="AO1102" s="15"/>
      <c r="AP1102" s="15"/>
      <c r="AQ1102" s="15"/>
      <c r="AR1102" s="15"/>
      <c r="AS1102" s="15"/>
      <c r="AT1102" s="15"/>
      <c r="AU1102" s="15"/>
      <c r="AV1102" s="15"/>
      <c r="AW1102" s="15"/>
    </row>
    <row r="1103" spans="3:49" x14ac:dyDescent="0.2">
      <c r="C1103" s="15"/>
      <c r="D1103" s="15"/>
      <c r="E1103" s="15"/>
      <c r="F1103" s="15"/>
      <c r="G1103" s="15"/>
      <c r="H1103" s="15"/>
      <c r="I1103" s="15"/>
      <c r="J1103" s="15"/>
      <c r="K1103" s="15"/>
      <c r="L1103" s="28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5"/>
      <c r="AG1103" s="15"/>
      <c r="AH1103" s="15"/>
      <c r="AI1103" s="15"/>
      <c r="AJ1103" s="15"/>
      <c r="AK1103" s="15"/>
      <c r="AL1103" s="15"/>
      <c r="AM1103" s="15"/>
      <c r="AN1103" s="15"/>
      <c r="AO1103" s="15"/>
      <c r="AP1103" s="15"/>
      <c r="AQ1103" s="15"/>
      <c r="AR1103" s="15"/>
      <c r="AS1103" s="15"/>
      <c r="AT1103" s="15"/>
      <c r="AU1103" s="15"/>
      <c r="AV1103" s="15"/>
      <c r="AW1103" s="15"/>
    </row>
    <row r="1104" spans="3:49" x14ac:dyDescent="0.2">
      <c r="C1104" s="15"/>
      <c r="D1104" s="15"/>
      <c r="E1104" s="15"/>
      <c r="F1104" s="15"/>
      <c r="G1104" s="15"/>
      <c r="H1104" s="15"/>
      <c r="I1104" s="15"/>
      <c r="J1104" s="15"/>
      <c r="K1104" s="15"/>
      <c r="L1104" s="28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5"/>
      <c r="AG1104" s="15"/>
      <c r="AH1104" s="15"/>
      <c r="AI1104" s="15"/>
      <c r="AJ1104" s="15"/>
      <c r="AK1104" s="15"/>
      <c r="AL1104" s="15"/>
      <c r="AM1104" s="15"/>
      <c r="AN1104" s="15"/>
      <c r="AO1104" s="15"/>
      <c r="AP1104" s="15"/>
      <c r="AQ1104" s="15"/>
      <c r="AR1104" s="15"/>
      <c r="AS1104" s="15"/>
      <c r="AT1104" s="15"/>
      <c r="AU1104" s="15"/>
      <c r="AV1104" s="15"/>
      <c r="AW1104" s="15"/>
    </row>
    <row r="1105" spans="3:49" x14ac:dyDescent="0.2">
      <c r="C1105" s="15"/>
      <c r="D1105" s="15"/>
      <c r="E1105" s="15"/>
      <c r="F1105" s="15"/>
      <c r="G1105" s="15"/>
      <c r="H1105" s="15"/>
      <c r="I1105" s="15"/>
      <c r="J1105" s="15"/>
      <c r="K1105" s="15"/>
      <c r="L1105" s="28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5"/>
      <c r="AG1105" s="15"/>
      <c r="AH1105" s="15"/>
      <c r="AI1105" s="15"/>
      <c r="AJ1105" s="15"/>
      <c r="AK1105" s="15"/>
      <c r="AL1105" s="15"/>
      <c r="AM1105" s="15"/>
      <c r="AN1105" s="15"/>
      <c r="AO1105" s="15"/>
      <c r="AP1105" s="15"/>
      <c r="AQ1105" s="15"/>
      <c r="AR1105" s="15"/>
      <c r="AS1105" s="15"/>
      <c r="AT1105" s="15"/>
      <c r="AU1105" s="15"/>
      <c r="AV1105" s="15"/>
      <c r="AW1105" s="15"/>
    </row>
    <row r="1106" spans="3:49" x14ac:dyDescent="0.2">
      <c r="C1106" s="15"/>
      <c r="D1106" s="15"/>
      <c r="E1106" s="15"/>
      <c r="F1106" s="15"/>
      <c r="G1106" s="15"/>
      <c r="H1106" s="15"/>
      <c r="I1106" s="15"/>
      <c r="J1106" s="15"/>
      <c r="K1106" s="15"/>
      <c r="L1106" s="28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5"/>
      <c r="AG1106" s="15"/>
      <c r="AH1106" s="15"/>
      <c r="AI1106" s="15"/>
      <c r="AJ1106" s="15"/>
      <c r="AK1106" s="15"/>
      <c r="AL1106" s="15"/>
      <c r="AM1106" s="15"/>
      <c r="AN1106" s="15"/>
      <c r="AO1106" s="15"/>
      <c r="AP1106" s="15"/>
      <c r="AQ1106" s="15"/>
      <c r="AR1106" s="15"/>
      <c r="AS1106" s="15"/>
      <c r="AT1106" s="15"/>
      <c r="AU1106" s="15"/>
      <c r="AV1106" s="15"/>
      <c r="AW1106" s="15"/>
    </row>
    <row r="1107" spans="3:49" x14ac:dyDescent="0.2">
      <c r="C1107" s="15"/>
      <c r="D1107" s="15"/>
      <c r="E1107" s="15"/>
      <c r="F1107" s="15"/>
      <c r="G1107" s="15"/>
      <c r="H1107" s="15"/>
      <c r="I1107" s="15"/>
      <c r="J1107" s="15"/>
      <c r="K1107" s="15"/>
      <c r="L1107" s="28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5"/>
      <c r="AG1107" s="15"/>
      <c r="AH1107" s="15"/>
      <c r="AI1107" s="15"/>
      <c r="AJ1107" s="15"/>
      <c r="AK1107" s="15"/>
      <c r="AL1107" s="15"/>
      <c r="AM1107" s="15"/>
      <c r="AN1107" s="15"/>
      <c r="AO1107" s="15"/>
      <c r="AP1107" s="15"/>
      <c r="AQ1107" s="15"/>
      <c r="AR1107" s="15"/>
      <c r="AS1107" s="15"/>
      <c r="AT1107" s="15"/>
      <c r="AU1107" s="15"/>
      <c r="AV1107" s="15"/>
      <c r="AW1107" s="15"/>
    </row>
    <row r="1108" spans="3:49" x14ac:dyDescent="0.2">
      <c r="C1108" s="15"/>
      <c r="D1108" s="15"/>
      <c r="E1108" s="15"/>
      <c r="F1108" s="15"/>
      <c r="G1108" s="15"/>
      <c r="H1108" s="15"/>
      <c r="I1108" s="15"/>
      <c r="J1108" s="15"/>
      <c r="K1108" s="15"/>
      <c r="L1108" s="28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5"/>
      <c r="AG1108" s="15"/>
      <c r="AH1108" s="15"/>
      <c r="AI1108" s="15"/>
      <c r="AJ1108" s="15"/>
      <c r="AK1108" s="15"/>
      <c r="AL1108" s="15"/>
      <c r="AM1108" s="15"/>
      <c r="AN1108" s="15"/>
      <c r="AO1108" s="15"/>
      <c r="AP1108" s="15"/>
      <c r="AQ1108" s="15"/>
      <c r="AR1108" s="15"/>
      <c r="AS1108" s="15"/>
      <c r="AT1108" s="15"/>
      <c r="AU1108" s="15"/>
      <c r="AV1108" s="15"/>
      <c r="AW1108" s="15"/>
    </row>
    <row r="1109" spans="3:49" x14ac:dyDescent="0.2">
      <c r="C1109" s="15"/>
      <c r="D1109" s="15"/>
      <c r="E1109" s="15"/>
      <c r="F1109" s="15"/>
      <c r="G1109" s="15"/>
      <c r="H1109" s="15"/>
      <c r="I1109" s="15"/>
      <c r="J1109" s="15"/>
      <c r="K1109" s="15"/>
      <c r="L1109" s="28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5"/>
      <c r="AG1109" s="15"/>
      <c r="AH1109" s="15"/>
      <c r="AI1109" s="15"/>
      <c r="AJ1109" s="15"/>
      <c r="AK1109" s="15"/>
      <c r="AL1109" s="15"/>
      <c r="AM1109" s="15"/>
      <c r="AN1109" s="15"/>
      <c r="AO1109" s="15"/>
      <c r="AP1109" s="15"/>
      <c r="AQ1109" s="15"/>
      <c r="AR1109" s="15"/>
      <c r="AS1109" s="15"/>
      <c r="AT1109" s="15"/>
      <c r="AU1109" s="15"/>
      <c r="AV1109" s="15"/>
      <c r="AW1109" s="15"/>
    </row>
    <row r="1110" spans="3:49" x14ac:dyDescent="0.2">
      <c r="C1110" s="15"/>
      <c r="D1110" s="15"/>
      <c r="E1110" s="15"/>
      <c r="F1110" s="15"/>
      <c r="G1110" s="15"/>
      <c r="H1110" s="15"/>
      <c r="I1110" s="15"/>
      <c r="J1110" s="15"/>
      <c r="K1110" s="15"/>
      <c r="L1110" s="28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5"/>
      <c r="AG1110" s="15"/>
      <c r="AH1110" s="15"/>
      <c r="AI1110" s="15"/>
      <c r="AJ1110" s="15"/>
      <c r="AK1110" s="15"/>
      <c r="AL1110" s="15"/>
      <c r="AM1110" s="15"/>
      <c r="AN1110" s="15"/>
      <c r="AO1110" s="15"/>
      <c r="AP1110" s="15"/>
      <c r="AQ1110" s="15"/>
      <c r="AR1110" s="15"/>
      <c r="AS1110" s="15"/>
      <c r="AT1110" s="15"/>
      <c r="AU1110" s="15"/>
      <c r="AV1110" s="15"/>
      <c r="AW1110" s="15"/>
    </row>
    <row r="1111" spans="3:49" x14ac:dyDescent="0.2">
      <c r="C1111" s="15"/>
      <c r="D1111" s="15"/>
      <c r="E1111" s="15"/>
      <c r="F1111" s="15"/>
      <c r="G1111" s="15"/>
      <c r="H1111" s="15"/>
      <c r="I1111" s="15"/>
      <c r="J1111" s="15"/>
      <c r="K1111" s="15"/>
      <c r="L1111" s="28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5"/>
      <c r="AG1111" s="15"/>
      <c r="AH1111" s="15"/>
      <c r="AI1111" s="15"/>
      <c r="AJ1111" s="15"/>
      <c r="AK1111" s="15"/>
      <c r="AL1111" s="15"/>
      <c r="AM1111" s="15"/>
      <c r="AN1111" s="15"/>
      <c r="AO1111" s="15"/>
      <c r="AP1111" s="15"/>
      <c r="AQ1111" s="15"/>
      <c r="AR1111" s="15"/>
      <c r="AS1111" s="15"/>
      <c r="AT1111" s="15"/>
      <c r="AU1111" s="15"/>
      <c r="AV1111" s="15"/>
      <c r="AW1111" s="15"/>
    </row>
    <row r="1112" spans="3:49" x14ac:dyDescent="0.2">
      <c r="C1112" s="15"/>
      <c r="D1112" s="15"/>
      <c r="E1112" s="15"/>
      <c r="F1112" s="15"/>
      <c r="G1112" s="15"/>
      <c r="H1112" s="15"/>
      <c r="I1112" s="15"/>
      <c r="J1112" s="15"/>
      <c r="K1112" s="15"/>
      <c r="L1112" s="28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5"/>
      <c r="AG1112" s="15"/>
      <c r="AH1112" s="15"/>
      <c r="AI1112" s="15"/>
      <c r="AJ1112" s="15"/>
      <c r="AK1112" s="15"/>
      <c r="AL1112" s="15"/>
      <c r="AM1112" s="15"/>
      <c r="AN1112" s="15"/>
      <c r="AO1112" s="15"/>
      <c r="AP1112" s="15"/>
      <c r="AQ1112" s="15"/>
      <c r="AR1112" s="15"/>
      <c r="AS1112" s="15"/>
      <c r="AT1112" s="15"/>
      <c r="AU1112" s="15"/>
      <c r="AV1112" s="15"/>
      <c r="AW1112" s="15"/>
    </row>
    <row r="1113" spans="3:49" x14ac:dyDescent="0.2">
      <c r="C1113" s="15"/>
      <c r="D1113" s="15"/>
      <c r="E1113" s="15"/>
      <c r="F1113" s="15"/>
      <c r="G1113" s="15"/>
      <c r="H1113" s="15"/>
      <c r="I1113" s="15"/>
      <c r="J1113" s="15"/>
      <c r="K1113" s="15"/>
      <c r="L1113" s="28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5"/>
      <c r="AG1113" s="15"/>
      <c r="AH1113" s="15"/>
      <c r="AI1113" s="15"/>
      <c r="AJ1113" s="15"/>
      <c r="AK1113" s="15"/>
      <c r="AL1113" s="15"/>
      <c r="AM1113" s="15"/>
      <c r="AN1113" s="15"/>
      <c r="AO1113" s="15"/>
      <c r="AP1113" s="15"/>
      <c r="AQ1113" s="15"/>
      <c r="AR1113" s="15"/>
      <c r="AS1113" s="15"/>
      <c r="AT1113" s="15"/>
      <c r="AU1113" s="15"/>
      <c r="AV1113" s="15"/>
      <c r="AW1113" s="15"/>
    </row>
    <row r="1114" spans="3:49" x14ac:dyDescent="0.2">
      <c r="C1114" s="15"/>
      <c r="D1114" s="15"/>
      <c r="E1114" s="15"/>
      <c r="F1114" s="15"/>
      <c r="G1114" s="15"/>
      <c r="H1114" s="15"/>
      <c r="I1114" s="15"/>
      <c r="J1114" s="15"/>
      <c r="K1114" s="15"/>
      <c r="L1114" s="28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5"/>
      <c r="AG1114" s="15"/>
      <c r="AH1114" s="15"/>
      <c r="AI1114" s="15"/>
      <c r="AJ1114" s="15"/>
      <c r="AK1114" s="15"/>
      <c r="AL1114" s="15"/>
      <c r="AM1114" s="15"/>
      <c r="AN1114" s="15"/>
      <c r="AO1114" s="15"/>
      <c r="AP1114" s="15"/>
      <c r="AQ1114" s="15"/>
      <c r="AR1114" s="15"/>
      <c r="AS1114" s="15"/>
      <c r="AT1114" s="15"/>
      <c r="AU1114" s="15"/>
      <c r="AV1114" s="15"/>
      <c r="AW1114" s="15"/>
    </row>
    <row r="1115" spans="3:49" x14ac:dyDescent="0.2">
      <c r="C1115" s="15"/>
      <c r="D1115" s="15"/>
      <c r="E1115" s="15"/>
      <c r="F1115" s="15"/>
      <c r="G1115" s="15"/>
      <c r="H1115" s="15"/>
      <c r="I1115" s="15"/>
      <c r="J1115" s="15"/>
      <c r="K1115" s="15"/>
      <c r="L1115" s="28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5"/>
      <c r="AG1115" s="15"/>
      <c r="AH1115" s="15"/>
      <c r="AI1115" s="15"/>
      <c r="AJ1115" s="15"/>
      <c r="AK1115" s="15"/>
      <c r="AL1115" s="15"/>
      <c r="AM1115" s="15"/>
      <c r="AN1115" s="15"/>
      <c r="AO1115" s="15"/>
      <c r="AP1115" s="15"/>
      <c r="AQ1115" s="15"/>
      <c r="AR1115" s="15"/>
      <c r="AS1115" s="15"/>
      <c r="AT1115" s="15"/>
      <c r="AU1115" s="15"/>
      <c r="AV1115" s="15"/>
      <c r="AW1115" s="15"/>
    </row>
    <row r="1116" spans="3:49" x14ac:dyDescent="0.2">
      <c r="C1116" s="15"/>
      <c r="D1116" s="15"/>
      <c r="E1116" s="15"/>
      <c r="F1116" s="15"/>
      <c r="G1116" s="15"/>
      <c r="H1116" s="15"/>
      <c r="I1116" s="15"/>
      <c r="J1116" s="15"/>
      <c r="K1116" s="15"/>
      <c r="L1116" s="28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5"/>
      <c r="AG1116" s="15"/>
      <c r="AH1116" s="15"/>
      <c r="AI1116" s="15"/>
      <c r="AJ1116" s="15"/>
      <c r="AK1116" s="15"/>
      <c r="AL1116" s="15"/>
      <c r="AM1116" s="15"/>
      <c r="AN1116" s="15"/>
      <c r="AO1116" s="15"/>
      <c r="AP1116" s="15"/>
      <c r="AQ1116" s="15"/>
      <c r="AR1116" s="15"/>
      <c r="AS1116" s="15"/>
      <c r="AT1116" s="15"/>
      <c r="AU1116" s="15"/>
      <c r="AV1116" s="15"/>
      <c r="AW1116" s="15"/>
    </row>
    <row r="1117" spans="3:49" x14ac:dyDescent="0.2">
      <c r="C1117" s="15"/>
      <c r="D1117" s="15"/>
      <c r="E1117" s="15"/>
      <c r="F1117" s="15"/>
      <c r="G1117" s="15"/>
      <c r="H1117" s="15"/>
      <c r="I1117" s="15"/>
      <c r="J1117" s="15"/>
      <c r="K1117" s="15"/>
      <c r="L1117" s="28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5"/>
      <c r="AG1117" s="15"/>
      <c r="AH1117" s="15"/>
      <c r="AI1117" s="15"/>
      <c r="AJ1117" s="15"/>
      <c r="AK1117" s="15"/>
      <c r="AL1117" s="15"/>
      <c r="AM1117" s="15"/>
      <c r="AN1117" s="15"/>
      <c r="AO1117" s="15"/>
      <c r="AP1117" s="15"/>
      <c r="AQ1117" s="15"/>
      <c r="AR1117" s="15"/>
      <c r="AS1117" s="15"/>
      <c r="AT1117" s="15"/>
      <c r="AU1117" s="15"/>
      <c r="AV1117" s="15"/>
      <c r="AW1117" s="15"/>
    </row>
    <row r="1118" spans="3:49" x14ac:dyDescent="0.2">
      <c r="C1118" s="15"/>
      <c r="D1118" s="15"/>
      <c r="E1118" s="15"/>
      <c r="F1118" s="15"/>
      <c r="G1118" s="15"/>
      <c r="H1118" s="15"/>
      <c r="I1118" s="15"/>
      <c r="J1118" s="15"/>
      <c r="K1118" s="15"/>
      <c r="L1118" s="28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5"/>
      <c r="AG1118" s="15"/>
      <c r="AH1118" s="15"/>
      <c r="AI1118" s="15"/>
      <c r="AJ1118" s="15"/>
      <c r="AK1118" s="15"/>
      <c r="AL1118" s="15"/>
      <c r="AM1118" s="15"/>
      <c r="AN1118" s="15"/>
      <c r="AO1118" s="15"/>
      <c r="AP1118" s="15"/>
      <c r="AQ1118" s="15"/>
      <c r="AR1118" s="15"/>
      <c r="AS1118" s="15"/>
      <c r="AT1118" s="15"/>
      <c r="AU1118" s="15"/>
      <c r="AV1118" s="15"/>
      <c r="AW1118" s="15"/>
    </row>
    <row r="1119" spans="3:49" x14ac:dyDescent="0.2">
      <c r="C1119" s="15"/>
      <c r="D1119" s="15"/>
      <c r="E1119" s="15"/>
      <c r="F1119" s="15"/>
      <c r="G1119" s="15"/>
      <c r="H1119" s="15"/>
      <c r="I1119" s="15"/>
      <c r="J1119" s="15"/>
      <c r="K1119" s="15"/>
      <c r="L1119" s="28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5"/>
      <c r="AG1119" s="15"/>
      <c r="AH1119" s="15"/>
      <c r="AI1119" s="15"/>
      <c r="AJ1119" s="15"/>
      <c r="AK1119" s="15"/>
      <c r="AL1119" s="15"/>
      <c r="AM1119" s="15"/>
      <c r="AN1119" s="15"/>
      <c r="AO1119" s="15"/>
      <c r="AP1119" s="15"/>
      <c r="AQ1119" s="15"/>
      <c r="AR1119" s="15"/>
      <c r="AS1119" s="15"/>
      <c r="AT1119" s="15"/>
      <c r="AU1119" s="15"/>
      <c r="AV1119" s="15"/>
      <c r="AW1119" s="15"/>
    </row>
    <row r="1120" spans="3:49" x14ac:dyDescent="0.2">
      <c r="C1120" s="15"/>
      <c r="D1120" s="15"/>
      <c r="E1120" s="15"/>
      <c r="F1120" s="15"/>
      <c r="G1120" s="15"/>
      <c r="H1120" s="15"/>
      <c r="I1120" s="15"/>
      <c r="J1120" s="15"/>
      <c r="K1120" s="15"/>
      <c r="L1120" s="28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5"/>
      <c r="AG1120" s="15"/>
      <c r="AH1120" s="15"/>
      <c r="AI1120" s="15"/>
      <c r="AJ1120" s="15"/>
      <c r="AK1120" s="15"/>
      <c r="AL1120" s="15"/>
      <c r="AM1120" s="15"/>
      <c r="AN1120" s="15"/>
      <c r="AO1120" s="15"/>
      <c r="AP1120" s="15"/>
      <c r="AQ1120" s="15"/>
      <c r="AR1120" s="15"/>
      <c r="AS1120" s="15"/>
      <c r="AT1120" s="15"/>
      <c r="AU1120" s="15"/>
      <c r="AV1120" s="15"/>
      <c r="AW1120" s="15"/>
    </row>
    <row r="1121" spans="3:49" x14ac:dyDescent="0.2">
      <c r="C1121" s="15"/>
      <c r="D1121" s="15"/>
      <c r="E1121" s="15"/>
      <c r="F1121" s="15"/>
      <c r="G1121" s="15"/>
      <c r="H1121" s="15"/>
      <c r="I1121" s="15"/>
      <c r="J1121" s="15"/>
      <c r="K1121" s="15"/>
      <c r="L1121" s="28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5"/>
      <c r="AG1121" s="15"/>
      <c r="AH1121" s="15"/>
      <c r="AI1121" s="15"/>
      <c r="AJ1121" s="15"/>
      <c r="AK1121" s="15"/>
      <c r="AL1121" s="15"/>
      <c r="AM1121" s="15"/>
      <c r="AN1121" s="15"/>
      <c r="AO1121" s="15"/>
      <c r="AP1121" s="15"/>
      <c r="AQ1121" s="15"/>
      <c r="AR1121" s="15"/>
      <c r="AS1121" s="15"/>
      <c r="AT1121" s="15"/>
      <c r="AU1121" s="15"/>
      <c r="AV1121" s="15"/>
      <c r="AW1121" s="15"/>
    </row>
    <row r="1122" spans="3:49" x14ac:dyDescent="0.2">
      <c r="C1122" s="15"/>
      <c r="D1122" s="15"/>
      <c r="E1122" s="15"/>
      <c r="F1122" s="15"/>
      <c r="G1122" s="15"/>
      <c r="H1122" s="15"/>
      <c r="I1122" s="15"/>
      <c r="J1122" s="15"/>
      <c r="K1122" s="15"/>
      <c r="L1122" s="28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5"/>
      <c r="AG1122" s="15"/>
      <c r="AH1122" s="15"/>
      <c r="AI1122" s="15"/>
      <c r="AJ1122" s="15"/>
      <c r="AK1122" s="15"/>
      <c r="AL1122" s="15"/>
      <c r="AM1122" s="15"/>
      <c r="AN1122" s="15"/>
      <c r="AO1122" s="15"/>
      <c r="AP1122" s="15"/>
      <c r="AQ1122" s="15"/>
      <c r="AR1122" s="15"/>
      <c r="AS1122" s="15"/>
      <c r="AT1122" s="15"/>
      <c r="AU1122" s="15"/>
      <c r="AV1122" s="15"/>
      <c r="AW1122" s="15"/>
    </row>
    <row r="1123" spans="3:49" x14ac:dyDescent="0.2">
      <c r="C1123" s="15"/>
      <c r="D1123" s="15"/>
      <c r="E1123" s="15"/>
      <c r="F1123" s="15"/>
      <c r="G1123" s="15"/>
      <c r="H1123" s="15"/>
      <c r="I1123" s="15"/>
      <c r="J1123" s="15"/>
      <c r="K1123" s="15"/>
      <c r="L1123" s="28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5"/>
      <c r="AG1123" s="15"/>
      <c r="AH1123" s="15"/>
      <c r="AI1123" s="15"/>
      <c r="AJ1123" s="15"/>
      <c r="AK1123" s="15"/>
      <c r="AL1123" s="15"/>
      <c r="AM1123" s="15"/>
      <c r="AN1123" s="15"/>
      <c r="AO1123" s="15"/>
      <c r="AP1123" s="15"/>
      <c r="AQ1123" s="15"/>
      <c r="AR1123" s="15"/>
      <c r="AS1123" s="15"/>
      <c r="AT1123" s="15"/>
      <c r="AU1123" s="15"/>
      <c r="AV1123" s="15"/>
      <c r="AW1123" s="15"/>
    </row>
    <row r="1124" spans="3:49" x14ac:dyDescent="0.2">
      <c r="C1124" s="15"/>
      <c r="D1124" s="15"/>
      <c r="E1124" s="15"/>
      <c r="F1124" s="15"/>
      <c r="G1124" s="15"/>
      <c r="H1124" s="15"/>
      <c r="I1124" s="15"/>
      <c r="J1124" s="15"/>
      <c r="K1124" s="15"/>
      <c r="L1124" s="28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5"/>
      <c r="AG1124" s="15"/>
      <c r="AH1124" s="15"/>
      <c r="AI1124" s="15"/>
      <c r="AJ1124" s="15"/>
      <c r="AK1124" s="15"/>
      <c r="AL1124" s="15"/>
      <c r="AM1124" s="15"/>
      <c r="AN1124" s="15"/>
      <c r="AO1124" s="15"/>
      <c r="AP1124" s="15"/>
      <c r="AQ1124" s="15"/>
      <c r="AR1124" s="15"/>
      <c r="AS1124" s="15"/>
      <c r="AT1124" s="15"/>
      <c r="AU1124" s="15"/>
      <c r="AV1124" s="15"/>
      <c r="AW1124" s="15"/>
    </row>
    <row r="1125" spans="3:49" x14ac:dyDescent="0.2">
      <c r="C1125" s="15"/>
      <c r="D1125" s="15"/>
      <c r="E1125" s="15"/>
      <c r="F1125" s="15"/>
      <c r="G1125" s="15"/>
      <c r="H1125" s="15"/>
      <c r="I1125" s="15"/>
      <c r="J1125" s="15"/>
      <c r="K1125" s="15"/>
      <c r="L1125" s="28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5"/>
      <c r="AG1125" s="15"/>
      <c r="AH1125" s="15"/>
      <c r="AI1125" s="15"/>
      <c r="AJ1125" s="15"/>
      <c r="AK1125" s="15"/>
      <c r="AL1125" s="15"/>
      <c r="AM1125" s="15"/>
      <c r="AN1125" s="15"/>
      <c r="AO1125" s="15"/>
      <c r="AP1125" s="15"/>
      <c r="AQ1125" s="15"/>
      <c r="AR1125" s="15"/>
      <c r="AS1125" s="15"/>
      <c r="AT1125" s="15"/>
      <c r="AU1125" s="15"/>
      <c r="AV1125" s="15"/>
      <c r="AW1125" s="15"/>
    </row>
    <row r="1126" spans="3:49" x14ac:dyDescent="0.2">
      <c r="C1126" s="15"/>
      <c r="D1126" s="15"/>
      <c r="E1126" s="15"/>
      <c r="F1126" s="15"/>
      <c r="G1126" s="15"/>
      <c r="H1126" s="15"/>
      <c r="I1126" s="15"/>
      <c r="J1126" s="15"/>
      <c r="K1126" s="15"/>
      <c r="L1126" s="28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5"/>
      <c r="AG1126" s="15"/>
      <c r="AH1126" s="15"/>
      <c r="AI1126" s="15"/>
      <c r="AJ1126" s="15"/>
      <c r="AK1126" s="15"/>
      <c r="AL1126" s="15"/>
      <c r="AM1126" s="15"/>
      <c r="AN1126" s="15"/>
      <c r="AO1126" s="15"/>
      <c r="AP1126" s="15"/>
      <c r="AQ1126" s="15"/>
      <c r="AR1126" s="15"/>
      <c r="AS1126" s="15"/>
      <c r="AT1126" s="15"/>
      <c r="AU1126" s="15"/>
      <c r="AV1126" s="15"/>
      <c r="AW1126" s="15"/>
    </row>
    <row r="1127" spans="3:49" x14ac:dyDescent="0.2">
      <c r="C1127" s="15"/>
      <c r="D1127" s="15"/>
      <c r="E1127" s="15"/>
      <c r="F1127" s="15"/>
      <c r="G1127" s="15"/>
      <c r="H1127" s="15"/>
      <c r="I1127" s="15"/>
      <c r="J1127" s="15"/>
      <c r="K1127" s="15"/>
      <c r="L1127" s="28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5"/>
      <c r="AG1127" s="15"/>
      <c r="AH1127" s="15"/>
      <c r="AI1127" s="15"/>
      <c r="AJ1127" s="15"/>
      <c r="AK1127" s="15"/>
      <c r="AL1127" s="15"/>
      <c r="AM1127" s="15"/>
      <c r="AN1127" s="15"/>
      <c r="AO1127" s="15"/>
      <c r="AP1127" s="15"/>
      <c r="AQ1127" s="15"/>
      <c r="AR1127" s="15"/>
      <c r="AS1127" s="15"/>
      <c r="AT1127" s="15"/>
      <c r="AU1127" s="15"/>
      <c r="AV1127" s="15"/>
      <c r="AW1127" s="15"/>
    </row>
    <row r="1128" spans="3:49" x14ac:dyDescent="0.2">
      <c r="C1128" s="15"/>
      <c r="D1128" s="15"/>
      <c r="E1128" s="15"/>
      <c r="F1128" s="15"/>
      <c r="G1128" s="15"/>
      <c r="H1128" s="15"/>
      <c r="I1128" s="15"/>
      <c r="J1128" s="15"/>
      <c r="K1128" s="15"/>
      <c r="L1128" s="28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5"/>
      <c r="AG1128" s="15"/>
      <c r="AH1128" s="15"/>
      <c r="AI1128" s="15"/>
      <c r="AJ1128" s="15"/>
      <c r="AK1128" s="15"/>
      <c r="AL1128" s="15"/>
      <c r="AM1128" s="15"/>
      <c r="AN1128" s="15"/>
      <c r="AO1128" s="15"/>
      <c r="AP1128" s="15"/>
      <c r="AQ1128" s="15"/>
      <c r="AR1128" s="15"/>
      <c r="AS1128" s="15"/>
      <c r="AT1128" s="15"/>
      <c r="AU1128" s="15"/>
      <c r="AV1128" s="15"/>
      <c r="AW1128" s="15"/>
    </row>
    <row r="1129" spans="3:49" x14ac:dyDescent="0.2">
      <c r="C1129" s="15"/>
      <c r="D1129" s="15"/>
      <c r="E1129" s="15"/>
      <c r="F1129" s="15"/>
      <c r="G1129" s="15"/>
      <c r="H1129" s="15"/>
      <c r="I1129" s="15"/>
      <c r="J1129" s="15"/>
      <c r="K1129" s="15"/>
      <c r="L1129" s="28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5"/>
      <c r="AG1129" s="15"/>
      <c r="AH1129" s="15"/>
      <c r="AI1129" s="15"/>
      <c r="AJ1129" s="15"/>
      <c r="AK1129" s="15"/>
      <c r="AL1129" s="15"/>
      <c r="AM1129" s="15"/>
      <c r="AN1129" s="15"/>
      <c r="AO1129" s="15"/>
      <c r="AP1129" s="15"/>
      <c r="AQ1129" s="15"/>
      <c r="AR1129" s="15"/>
      <c r="AS1129" s="15"/>
      <c r="AT1129" s="15"/>
      <c r="AU1129" s="15"/>
      <c r="AV1129" s="15"/>
      <c r="AW1129" s="15"/>
    </row>
    <row r="1130" spans="3:49" x14ac:dyDescent="0.2">
      <c r="C1130" s="15"/>
      <c r="D1130" s="15"/>
      <c r="E1130" s="15"/>
      <c r="F1130" s="15"/>
      <c r="G1130" s="15"/>
      <c r="H1130" s="15"/>
      <c r="I1130" s="15"/>
      <c r="J1130" s="15"/>
      <c r="K1130" s="15"/>
      <c r="L1130" s="28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5"/>
      <c r="AG1130" s="15"/>
      <c r="AH1130" s="15"/>
      <c r="AI1130" s="15"/>
      <c r="AJ1130" s="15"/>
      <c r="AK1130" s="15"/>
      <c r="AL1130" s="15"/>
      <c r="AM1130" s="15"/>
      <c r="AN1130" s="15"/>
      <c r="AO1130" s="15"/>
      <c r="AP1130" s="15"/>
      <c r="AQ1130" s="15"/>
      <c r="AR1130" s="15"/>
      <c r="AS1130" s="15"/>
      <c r="AT1130" s="15"/>
      <c r="AU1130" s="15"/>
      <c r="AV1130" s="15"/>
      <c r="AW1130" s="15"/>
    </row>
    <row r="1131" spans="3:49" x14ac:dyDescent="0.2">
      <c r="C1131" s="15"/>
      <c r="D1131" s="15"/>
      <c r="E1131" s="15"/>
      <c r="F1131" s="15"/>
      <c r="G1131" s="15"/>
      <c r="H1131" s="15"/>
      <c r="I1131" s="15"/>
      <c r="J1131" s="15"/>
      <c r="K1131" s="15"/>
      <c r="L1131" s="28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5"/>
      <c r="AG1131" s="15"/>
      <c r="AH1131" s="15"/>
      <c r="AI1131" s="15"/>
      <c r="AJ1131" s="15"/>
      <c r="AK1131" s="15"/>
      <c r="AL1131" s="15"/>
      <c r="AM1131" s="15"/>
      <c r="AN1131" s="15"/>
      <c r="AO1131" s="15"/>
      <c r="AP1131" s="15"/>
      <c r="AQ1131" s="15"/>
      <c r="AR1131" s="15"/>
      <c r="AS1131" s="15"/>
      <c r="AT1131" s="15"/>
      <c r="AU1131" s="15"/>
      <c r="AV1131" s="15"/>
      <c r="AW1131" s="15"/>
    </row>
    <row r="1132" spans="3:49" x14ac:dyDescent="0.2">
      <c r="C1132" s="15"/>
      <c r="D1132" s="15"/>
      <c r="E1132" s="15"/>
      <c r="F1132" s="15"/>
      <c r="G1132" s="15"/>
      <c r="H1132" s="15"/>
      <c r="I1132" s="15"/>
      <c r="J1132" s="15"/>
      <c r="K1132" s="15"/>
      <c r="L1132" s="28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5"/>
      <c r="AG1132" s="15"/>
      <c r="AH1132" s="15"/>
      <c r="AI1132" s="15"/>
      <c r="AJ1132" s="15"/>
      <c r="AK1132" s="15"/>
      <c r="AL1132" s="15"/>
      <c r="AM1132" s="15"/>
      <c r="AN1132" s="15"/>
      <c r="AO1132" s="15"/>
      <c r="AP1132" s="15"/>
      <c r="AQ1132" s="15"/>
      <c r="AR1132" s="15"/>
      <c r="AS1132" s="15"/>
      <c r="AT1132" s="15"/>
      <c r="AU1132" s="15"/>
      <c r="AV1132" s="15"/>
      <c r="AW1132" s="15"/>
    </row>
    <row r="1133" spans="3:49" x14ac:dyDescent="0.2">
      <c r="C1133" s="15"/>
      <c r="D1133" s="15"/>
      <c r="E1133" s="15"/>
      <c r="F1133" s="15"/>
      <c r="G1133" s="15"/>
      <c r="H1133" s="15"/>
      <c r="I1133" s="15"/>
      <c r="J1133" s="15"/>
      <c r="K1133" s="15"/>
      <c r="L1133" s="28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5"/>
      <c r="AG1133" s="15"/>
      <c r="AH1133" s="15"/>
      <c r="AI1133" s="15"/>
      <c r="AJ1133" s="15"/>
      <c r="AK1133" s="15"/>
      <c r="AL1133" s="15"/>
      <c r="AM1133" s="15"/>
      <c r="AN1133" s="15"/>
      <c r="AO1133" s="15"/>
      <c r="AP1133" s="15"/>
      <c r="AQ1133" s="15"/>
      <c r="AR1133" s="15"/>
      <c r="AS1133" s="15"/>
      <c r="AT1133" s="15"/>
      <c r="AU1133" s="15"/>
      <c r="AV1133" s="15"/>
      <c r="AW1133" s="15"/>
    </row>
    <row r="1134" spans="3:49" x14ac:dyDescent="0.2">
      <c r="C1134" s="15"/>
      <c r="D1134" s="15"/>
      <c r="E1134" s="15"/>
      <c r="F1134" s="15"/>
      <c r="G1134" s="15"/>
      <c r="H1134" s="15"/>
      <c r="I1134" s="15"/>
      <c r="J1134" s="15"/>
      <c r="K1134" s="15"/>
      <c r="L1134" s="28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5"/>
      <c r="AG1134" s="15"/>
      <c r="AH1134" s="15"/>
      <c r="AI1134" s="15"/>
      <c r="AJ1134" s="15"/>
      <c r="AK1134" s="15"/>
      <c r="AL1134" s="15"/>
      <c r="AM1134" s="15"/>
      <c r="AN1134" s="15"/>
      <c r="AO1134" s="15"/>
      <c r="AP1134" s="15"/>
      <c r="AQ1134" s="15"/>
      <c r="AR1134" s="15"/>
      <c r="AS1134" s="15"/>
      <c r="AT1134" s="15"/>
      <c r="AU1134" s="15"/>
      <c r="AV1134" s="15"/>
      <c r="AW1134" s="15"/>
    </row>
    <row r="1135" spans="3:49" x14ac:dyDescent="0.2">
      <c r="C1135" s="15"/>
      <c r="D1135" s="15"/>
      <c r="E1135" s="15"/>
      <c r="F1135" s="15"/>
      <c r="G1135" s="15"/>
      <c r="H1135" s="15"/>
      <c r="I1135" s="15"/>
      <c r="J1135" s="15"/>
      <c r="K1135" s="15"/>
      <c r="L1135" s="28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5"/>
      <c r="AG1135" s="15"/>
      <c r="AH1135" s="15"/>
      <c r="AI1135" s="15"/>
      <c r="AJ1135" s="15"/>
      <c r="AK1135" s="15"/>
      <c r="AL1135" s="15"/>
      <c r="AM1135" s="15"/>
      <c r="AN1135" s="15"/>
      <c r="AO1135" s="15"/>
      <c r="AP1135" s="15"/>
      <c r="AQ1135" s="15"/>
      <c r="AR1135" s="15"/>
      <c r="AS1135" s="15"/>
      <c r="AT1135" s="15"/>
      <c r="AU1135" s="15"/>
      <c r="AV1135" s="15"/>
      <c r="AW1135" s="15"/>
    </row>
    <row r="1136" spans="3:49" x14ac:dyDescent="0.2">
      <c r="C1136" s="15"/>
      <c r="D1136" s="15"/>
      <c r="E1136" s="15"/>
      <c r="F1136" s="15"/>
      <c r="G1136" s="15"/>
      <c r="H1136" s="15"/>
      <c r="I1136" s="15"/>
      <c r="J1136" s="15"/>
      <c r="K1136" s="15"/>
      <c r="L1136" s="28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5"/>
      <c r="AG1136" s="15"/>
      <c r="AH1136" s="15"/>
      <c r="AI1136" s="15"/>
      <c r="AJ1136" s="15"/>
      <c r="AK1136" s="15"/>
      <c r="AL1136" s="15"/>
      <c r="AM1136" s="15"/>
      <c r="AN1136" s="15"/>
      <c r="AO1136" s="15"/>
      <c r="AP1136" s="15"/>
      <c r="AQ1136" s="15"/>
      <c r="AR1136" s="15"/>
      <c r="AS1136" s="15"/>
      <c r="AT1136" s="15"/>
      <c r="AU1136" s="15"/>
      <c r="AV1136" s="15"/>
      <c r="AW1136" s="15"/>
    </row>
    <row r="1137" spans="3:49" x14ac:dyDescent="0.2">
      <c r="C1137" s="15"/>
      <c r="D1137" s="15"/>
      <c r="E1137" s="15"/>
      <c r="F1137" s="15"/>
      <c r="G1137" s="15"/>
      <c r="H1137" s="15"/>
      <c r="I1137" s="15"/>
      <c r="J1137" s="15"/>
      <c r="K1137" s="15"/>
      <c r="L1137" s="28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5"/>
      <c r="AG1137" s="15"/>
      <c r="AH1137" s="15"/>
      <c r="AI1137" s="15"/>
      <c r="AJ1137" s="15"/>
      <c r="AK1137" s="15"/>
      <c r="AL1137" s="15"/>
      <c r="AM1137" s="15"/>
      <c r="AN1137" s="15"/>
      <c r="AO1137" s="15"/>
      <c r="AP1137" s="15"/>
      <c r="AQ1137" s="15"/>
      <c r="AR1137" s="15"/>
      <c r="AS1137" s="15"/>
      <c r="AT1137" s="15"/>
      <c r="AU1137" s="15"/>
      <c r="AV1137" s="15"/>
      <c r="AW1137" s="15"/>
    </row>
    <row r="1138" spans="3:49" x14ac:dyDescent="0.2">
      <c r="C1138" s="15"/>
      <c r="D1138" s="15"/>
      <c r="E1138" s="15"/>
      <c r="F1138" s="15"/>
      <c r="G1138" s="15"/>
      <c r="H1138" s="15"/>
      <c r="I1138" s="15"/>
      <c r="J1138" s="15"/>
      <c r="K1138" s="15"/>
      <c r="L1138" s="28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5"/>
      <c r="AG1138" s="15"/>
      <c r="AH1138" s="15"/>
      <c r="AI1138" s="15"/>
      <c r="AJ1138" s="15"/>
      <c r="AK1138" s="15"/>
      <c r="AL1138" s="15"/>
      <c r="AM1138" s="15"/>
      <c r="AN1138" s="15"/>
      <c r="AO1138" s="15"/>
      <c r="AP1138" s="15"/>
      <c r="AQ1138" s="15"/>
      <c r="AR1138" s="15"/>
      <c r="AS1138" s="15"/>
      <c r="AT1138" s="15"/>
      <c r="AU1138" s="15"/>
      <c r="AV1138" s="15"/>
      <c r="AW1138" s="15"/>
    </row>
    <row r="1139" spans="3:49" x14ac:dyDescent="0.2">
      <c r="C1139" s="15"/>
      <c r="D1139" s="15"/>
      <c r="E1139" s="15"/>
      <c r="F1139" s="15"/>
      <c r="G1139" s="15"/>
      <c r="H1139" s="15"/>
      <c r="I1139" s="15"/>
      <c r="J1139" s="15"/>
      <c r="K1139" s="15"/>
      <c r="L1139" s="28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5"/>
      <c r="AG1139" s="15"/>
      <c r="AH1139" s="15"/>
      <c r="AI1139" s="15"/>
      <c r="AJ1139" s="15"/>
      <c r="AK1139" s="15"/>
      <c r="AL1139" s="15"/>
      <c r="AM1139" s="15"/>
      <c r="AN1139" s="15"/>
      <c r="AO1139" s="15"/>
      <c r="AP1139" s="15"/>
      <c r="AQ1139" s="15"/>
      <c r="AR1139" s="15"/>
      <c r="AS1139" s="15"/>
      <c r="AT1139" s="15"/>
      <c r="AU1139" s="15"/>
      <c r="AV1139" s="15"/>
      <c r="AW1139" s="15"/>
    </row>
    <row r="1140" spans="3:49" x14ac:dyDescent="0.2">
      <c r="C1140" s="15"/>
      <c r="D1140" s="15"/>
      <c r="E1140" s="15"/>
      <c r="F1140" s="15"/>
      <c r="G1140" s="15"/>
      <c r="H1140" s="15"/>
      <c r="I1140" s="15"/>
      <c r="J1140" s="15"/>
      <c r="K1140" s="15"/>
      <c r="L1140" s="28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5"/>
      <c r="AG1140" s="15"/>
      <c r="AH1140" s="15"/>
      <c r="AI1140" s="15"/>
      <c r="AJ1140" s="15"/>
      <c r="AK1140" s="15"/>
      <c r="AL1140" s="15"/>
      <c r="AM1140" s="15"/>
      <c r="AN1140" s="15"/>
      <c r="AO1140" s="15"/>
      <c r="AP1140" s="15"/>
      <c r="AQ1140" s="15"/>
      <c r="AR1140" s="15"/>
      <c r="AS1140" s="15"/>
      <c r="AT1140" s="15"/>
      <c r="AU1140" s="15"/>
      <c r="AV1140" s="15"/>
      <c r="AW1140" s="15"/>
    </row>
    <row r="1141" spans="3:49" x14ac:dyDescent="0.2">
      <c r="C1141" s="15"/>
      <c r="D1141" s="15"/>
      <c r="E1141" s="15"/>
      <c r="F1141" s="15"/>
      <c r="G1141" s="15"/>
      <c r="H1141" s="15"/>
      <c r="I1141" s="15"/>
      <c r="J1141" s="15"/>
      <c r="K1141" s="15"/>
      <c r="L1141" s="28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5"/>
      <c r="AG1141" s="15"/>
      <c r="AH1141" s="15"/>
      <c r="AI1141" s="15"/>
      <c r="AJ1141" s="15"/>
      <c r="AK1141" s="15"/>
      <c r="AL1141" s="15"/>
      <c r="AM1141" s="15"/>
      <c r="AN1141" s="15"/>
      <c r="AO1141" s="15"/>
      <c r="AP1141" s="15"/>
      <c r="AQ1141" s="15"/>
      <c r="AR1141" s="15"/>
      <c r="AS1141" s="15"/>
      <c r="AT1141" s="15"/>
      <c r="AU1141" s="15"/>
      <c r="AV1141" s="15"/>
      <c r="AW1141" s="15"/>
    </row>
    <row r="1142" spans="3:49" x14ac:dyDescent="0.2">
      <c r="C1142" s="15"/>
      <c r="D1142" s="15"/>
      <c r="E1142" s="15"/>
      <c r="F1142" s="15"/>
      <c r="G1142" s="15"/>
      <c r="H1142" s="15"/>
      <c r="I1142" s="15"/>
      <c r="J1142" s="15"/>
      <c r="K1142" s="15"/>
      <c r="L1142" s="28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5"/>
      <c r="AG1142" s="15"/>
      <c r="AH1142" s="15"/>
      <c r="AI1142" s="15"/>
      <c r="AJ1142" s="15"/>
      <c r="AK1142" s="15"/>
      <c r="AL1142" s="15"/>
      <c r="AM1142" s="15"/>
      <c r="AN1142" s="15"/>
      <c r="AO1142" s="15"/>
      <c r="AP1142" s="15"/>
      <c r="AQ1142" s="15"/>
      <c r="AR1142" s="15"/>
      <c r="AS1142" s="15"/>
      <c r="AT1142" s="15"/>
      <c r="AU1142" s="15"/>
      <c r="AV1142" s="15"/>
      <c r="AW1142" s="15"/>
    </row>
    <row r="1143" spans="3:49" x14ac:dyDescent="0.2">
      <c r="C1143" s="15"/>
      <c r="D1143" s="15"/>
      <c r="E1143" s="15"/>
      <c r="F1143" s="15"/>
      <c r="G1143" s="15"/>
      <c r="H1143" s="15"/>
      <c r="I1143" s="15"/>
      <c r="J1143" s="15"/>
      <c r="K1143" s="15"/>
      <c r="L1143" s="28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5"/>
      <c r="AG1143" s="15"/>
      <c r="AH1143" s="15"/>
      <c r="AI1143" s="15"/>
      <c r="AJ1143" s="15"/>
      <c r="AK1143" s="15"/>
      <c r="AL1143" s="15"/>
      <c r="AM1143" s="15"/>
      <c r="AN1143" s="15"/>
      <c r="AO1143" s="15"/>
      <c r="AP1143" s="15"/>
      <c r="AQ1143" s="15"/>
      <c r="AR1143" s="15"/>
      <c r="AS1143" s="15"/>
      <c r="AT1143" s="15"/>
      <c r="AU1143" s="15"/>
      <c r="AV1143" s="15"/>
      <c r="AW1143" s="15"/>
    </row>
    <row r="1144" spans="3:49" x14ac:dyDescent="0.2">
      <c r="C1144" s="15"/>
      <c r="D1144" s="15"/>
      <c r="E1144" s="15"/>
      <c r="F1144" s="15"/>
      <c r="G1144" s="15"/>
      <c r="H1144" s="15"/>
      <c r="I1144" s="15"/>
      <c r="J1144" s="15"/>
      <c r="K1144" s="15"/>
      <c r="L1144" s="28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5"/>
      <c r="AG1144" s="15"/>
      <c r="AH1144" s="15"/>
      <c r="AI1144" s="15"/>
      <c r="AJ1144" s="15"/>
      <c r="AK1144" s="15"/>
      <c r="AL1144" s="15"/>
      <c r="AM1144" s="15"/>
      <c r="AN1144" s="15"/>
      <c r="AO1144" s="15"/>
      <c r="AP1144" s="15"/>
      <c r="AQ1144" s="15"/>
      <c r="AR1144" s="15"/>
      <c r="AS1144" s="15"/>
      <c r="AT1144" s="15"/>
      <c r="AU1144" s="15"/>
      <c r="AV1144" s="15"/>
      <c r="AW1144" s="15"/>
    </row>
    <row r="1145" spans="3:49" x14ac:dyDescent="0.2">
      <c r="C1145" s="15"/>
      <c r="D1145" s="15"/>
      <c r="E1145" s="15"/>
      <c r="F1145" s="15"/>
      <c r="G1145" s="15"/>
      <c r="H1145" s="15"/>
      <c r="I1145" s="15"/>
      <c r="J1145" s="15"/>
      <c r="K1145" s="15"/>
      <c r="L1145" s="28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5"/>
      <c r="AG1145" s="15"/>
      <c r="AH1145" s="15"/>
      <c r="AI1145" s="15"/>
      <c r="AJ1145" s="15"/>
      <c r="AK1145" s="15"/>
      <c r="AL1145" s="15"/>
      <c r="AM1145" s="15"/>
      <c r="AN1145" s="15"/>
      <c r="AO1145" s="15"/>
      <c r="AP1145" s="15"/>
      <c r="AQ1145" s="15"/>
      <c r="AR1145" s="15"/>
      <c r="AS1145" s="15"/>
      <c r="AT1145" s="15"/>
      <c r="AU1145" s="15"/>
      <c r="AV1145" s="15"/>
      <c r="AW1145" s="15"/>
    </row>
    <row r="1146" spans="3:49" x14ac:dyDescent="0.2">
      <c r="C1146" s="15"/>
      <c r="D1146" s="15"/>
      <c r="E1146" s="15"/>
      <c r="F1146" s="15"/>
      <c r="G1146" s="15"/>
      <c r="H1146" s="15"/>
      <c r="I1146" s="15"/>
      <c r="J1146" s="15"/>
      <c r="K1146" s="15"/>
      <c r="L1146" s="28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5"/>
      <c r="AG1146" s="15"/>
      <c r="AH1146" s="15"/>
      <c r="AI1146" s="15"/>
      <c r="AJ1146" s="15"/>
      <c r="AK1146" s="15"/>
      <c r="AL1146" s="15"/>
      <c r="AM1146" s="15"/>
      <c r="AN1146" s="15"/>
      <c r="AO1146" s="15"/>
      <c r="AP1146" s="15"/>
      <c r="AQ1146" s="15"/>
      <c r="AR1146" s="15"/>
      <c r="AS1146" s="15"/>
      <c r="AT1146" s="15"/>
      <c r="AU1146" s="15"/>
      <c r="AV1146" s="15"/>
      <c r="AW1146" s="15"/>
    </row>
    <row r="1147" spans="3:49" x14ac:dyDescent="0.2">
      <c r="C1147" s="15"/>
      <c r="D1147" s="15"/>
      <c r="E1147" s="15"/>
      <c r="F1147" s="15"/>
      <c r="G1147" s="15"/>
      <c r="H1147" s="15"/>
      <c r="I1147" s="15"/>
      <c r="J1147" s="15"/>
      <c r="K1147" s="15"/>
      <c r="L1147" s="28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5"/>
      <c r="AG1147" s="15"/>
      <c r="AH1147" s="15"/>
      <c r="AI1147" s="15"/>
      <c r="AJ1147" s="15"/>
      <c r="AK1147" s="15"/>
      <c r="AL1147" s="15"/>
      <c r="AM1147" s="15"/>
      <c r="AN1147" s="15"/>
      <c r="AO1147" s="15"/>
      <c r="AP1147" s="15"/>
      <c r="AQ1147" s="15"/>
      <c r="AR1147" s="15"/>
      <c r="AS1147" s="15"/>
      <c r="AT1147" s="15"/>
      <c r="AU1147" s="15"/>
      <c r="AV1147" s="15"/>
      <c r="AW1147" s="15"/>
    </row>
    <row r="1148" spans="3:49" x14ac:dyDescent="0.2">
      <c r="C1148" s="15"/>
      <c r="D1148" s="15"/>
      <c r="E1148" s="15"/>
      <c r="F1148" s="15"/>
      <c r="G1148" s="15"/>
      <c r="H1148" s="15"/>
      <c r="I1148" s="15"/>
      <c r="J1148" s="15"/>
      <c r="K1148" s="15"/>
      <c r="L1148" s="28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5"/>
      <c r="AG1148" s="15"/>
      <c r="AH1148" s="15"/>
      <c r="AI1148" s="15"/>
      <c r="AJ1148" s="15"/>
      <c r="AK1148" s="15"/>
      <c r="AL1148" s="15"/>
      <c r="AM1148" s="15"/>
      <c r="AN1148" s="15"/>
      <c r="AO1148" s="15"/>
      <c r="AP1148" s="15"/>
      <c r="AQ1148" s="15"/>
      <c r="AR1148" s="15"/>
      <c r="AS1148" s="15"/>
      <c r="AT1148" s="15"/>
      <c r="AU1148" s="15"/>
      <c r="AV1148" s="15"/>
      <c r="AW1148" s="15"/>
    </row>
    <row r="1149" spans="3:49" x14ac:dyDescent="0.2">
      <c r="C1149" s="15"/>
      <c r="D1149" s="15"/>
      <c r="E1149" s="15"/>
      <c r="F1149" s="15"/>
      <c r="G1149" s="15"/>
      <c r="H1149" s="15"/>
      <c r="I1149" s="15"/>
      <c r="J1149" s="15"/>
      <c r="K1149" s="15"/>
      <c r="L1149" s="28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5"/>
      <c r="AG1149" s="15"/>
      <c r="AH1149" s="15"/>
      <c r="AI1149" s="15"/>
      <c r="AJ1149" s="15"/>
      <c r="AK1149" s="15"/>
      <c r="AL1149" s="15"/>
      <c r="AM1149" s="15"/>
      <c r="AN1149" s="15"/>
      <c r="AO1149" s="15"/>
      <c r="AP1149" s="15"/>
      <c r="AQ1149" s="15"/>
      <c r="AR1149" s="15"/>
      <c r="AS1149" s="15"/>
      <c r="AT1149" s="15"/>
      <c r="AU1149" s="15"/>
      <c r="AV1149" s="15"/>
      <c r="AW1149" s="15"/>
    </row>
    <row r="1150" spans="3:49" x14ac:dyDescent="0.2">
      <c r="C1150" s="15"/>
      <c r="D1150" s="15"/>
      <c r="E1150" s="15"/>
      <c r="F1150" s="15"/>
      <c r="G1150" s="15"/>
      <c r="H1150" s="15"/>
      <c r="I1150" s="15"/>
      <c r="J1150" s="15"/>
      <c r="K1150" s="15"/>
      <c r="L1150" s="28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5"/>
      <c r="AG1150" s="15"/>
      <c r="AH1150" s="15"/>
      <c r="AI1150" s="15"/>
      <c r="AJ1150" s="15"/>
      <c r="AK1150" s="15"/>
      <c r="AL1150" s="15"/>
      <c r="AM1150" s="15"/>
      <c r="AN1150" s="15"/>
      <c r="AO1150" s="15"/>
      <c r="AP1150" s="15"/>
      <c r="AQ1150" s="15"/>
      <c r="AR1150" s="15"/>
      <c r="AS1150" s="15"/>
      <c r="AT1150" s="15"/>
      <c r="AU1150" s="15"/>
      <c r="AV1150" s="15"/>
      <c r="AW1150" s="15"/>
    </row>
    <row r="1151" spans="3:49" x14ac:dyDescent="0.2">
      <c r="C1151" s="15"/>
      <c r="D1151" s="15"/>
      <c r="E1151" s="15"/>
      <c r="F1151" s="15"/>
      <c r="G1151" s="15"/>
      <c r="H1151" s="15"/>
      <c r="I1151" s="15"/>
      <c r="J1151" s="15"/>
      <c r="K1151" s="15"/>
      <c r="L1151" s="28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5"/>
      <c r="AG1151" s="15"/>
      <c r="AH1151" s="15"/>
      <c r="AI1151" s="15"/>
      <c r="AJ1151" s="15"/>
      <c r="AK1151" s="15"/>
      <c r="AL1151" s="15"/>
      <c r="AM1151" s="15"/>
      <c r="AN1151" s="15"/>
      <c r="AO1151" s="15"/>
      <c r="AP1151" s="15"/>
      <c r="AQ1151" s="15"/>
      <c r="AR1151" s="15"/>
      <c r="AS1151" s="15"/>
      <c r="AT1151" s="15"/>
      <c r="AU1151" s="15"/>
      <c r="AV1151" s="15"/>
      <c r="AW1151" s="15"/>
    </row>
    <row r="1152" spans="3:49" x14ac:dyDescent="0.2">
      <c r="C1152" s="15"/>
      <c r="D1152" s="15"/>
      <c r="E1152" s="15"/>
      <c r="F1152" s="15"/>
      <c r="G1152" s="15"/>
      <c r="H1152" s="15"/>
      <c r="I1152" s="15"/>
      <c r="J1152" s="15"/>
      <c r="K1152" s="15"/>
      <c r="L1152" s="28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5"/>
      <c r="AG1152" s="15"/>
      <c r="AH1152" s="15"/>
      <c r="AI1152" s="15"/>
      <c r="AJ1152" s="15"/>
      <c r="AK1152" s="15"/>
      <c r="AL1152" s="15"/>
      <c r="AM1152" s="15"/>
      <c r="AN1152" s="15"/>
      <c r="AO1152" s="15"/>
      <c r="AP1152" s="15"/>
      <c r="AQ1152" s="15"/>
      <c r="AR1152" s="15"/>
      <c r="AS1152" s="15"/>
      <c r="AT1152" s="15"/>
      <c r="AU1152" s="15"/>
      <c r="AV1152" s="15"/>
      <c r="AW1152" s="15"/>
    </row>
    <row r="1153" spans="3:49" x14ac:dyDescent="0.2">
      <c r="C1153" s="15"/>
      <c r="D1153" s="15"/>
      <c r="E1153" s="15"/>
      <c r="F1153" s="15"/>
      <c r="G1153" s="15"/>
      <c r="H1153" s="15"/>
      <c r="I1153" s="15"/>
      <c r="J1153" s="15"/>
      <c r="K1153" s="15"/>
      <c r="L1153" s="28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5"/>
      <c r="AG1153" s="15"/>
      <c r="AH1153" s="15"/>
      <c r="AI1153" s="15"/>
      <c r="AJ1153" s="15"/>
      <c r="AK1153" s="15"/>
      <c r="AL1153" s="15"/>
      <c r="AM1153" s="15"/>
      <c r="AN1153" s="15"/>
      <c r="AO1153" s="15"/>
      <c r="AP1153" s="15"/>
      <c r="AQ1153" s="15"/>
      <c r="AR1153" s="15"/>
      <c r="AS1153" s="15"/>
      <c r="AT1153" s="15"/>
      <c r="AU1153" s="15"/>
      <c r="AV1153" s="15"/>
      <c r="AW1153" s="15"/>
    </row>
    <row r="1154" spans="3:49" x14ac:dyDescent="0.2">
      <c r="C1154" s="15"/>
      <c r="D1154" s="15"/>
      <c r="E1154" s="15"/>
      <c r="F1154" s="15"/>
      <c r="G1154" s="15"/>
      <c r="H1154" s="15"/>
      <c r="I1154" s="15"/>
      <c r="J1154" s="15"/>
      <c r="K1154" s="15"/>
      <c r="L1154" s="28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5"/>
      <c r="AG1154" s="15"/>
      <c r="AH1154" s="15"/>
      <c r="AI1154" s="15"/>
      <c r="AJ1154" s="15"/>
      <c r="AK1154" s="15"/>
      <c r="AL1154" s="15"/>
      <c r="AM1154" s="15"/>
      <c r="AN1154" s="15"/>
      <c r="AO1154" s="15"/>
      <c r="AP1154" s="15"/>
      <c r="AQ1154" s="15"/>
      <c r="AR1154" s="15"/>
      <c r="AS1154" s="15"/>
      <c r="AT1154" s="15"/>
      <c r="AU1154" s="15"/>
      <c r="AV1154" s="15"/>
      <c r="AW1154" s="15"/>
    </row>
    <row r="1155" spans="3:49" x14ac:dyDescent="0.2">
      <c r="C1155" s="15"/>
      <c r="D1155" s="15"/>
      <c r="E1155" s="15"/>
      <c r="F1155" s="15"/>
      <c r="G1155" s="15"/>
      <c r="H1155" s="15"/>
      <c r="I1155" s="15"/>
      <c r="J1155" s="15"/>
      <c r="K1155" s="15"/>
      <c r="L1155" s="28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5"/>
      <c r="AG1155" s="15"/>
      <c r="AH1155" s="15"/>
      <c r="AI1155" s="15"/>
      <c r="AJ1155" s="15"/>
      <c r="AK1155" s="15"/>
      <c r="AL1155" s="15"/>
      <c r="AM1155" s="15"/>
      <c r="AN1155" s="15"/>
      <c r="AO1155" s="15"/>
      <c r="AP1155" s="15"/>
      <c r="AQ1155" s="15"/>
      <c r="AR1155" s="15"/>
      <c r="AS1155" s="15"/>
      <c r="AT1155" s="15"/>
      <c r="AU1155" s="15"/>
      <c r="AV1155" s="15"/>
      <c r="AW1155" s="15"/>
    </row>
    <row r="1156" spans="3:49" x14ac:dyDescent="0.2">
      <c r="C1156" s="15"/>
      <c r="D1156" s="15"/>
      <c r="E1156" s="15"/>
      <c r="F1156" s="15"/>
      <c r="G1156" s="15"/>
      <c r="H1156" s="15"/>
      <c r="I1156" s="15"/>
      <c r="J1156" s="15"/>
      <c r="K1156" s="15"/>
      <c r="L1156" s="28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5"/>
      <c r="AG1156" s="15"/>
      <c r="AH1156" s="15"/>
      <c r="AI1156" s="15"/>
      <c r="AJ1156" s="15"/>
      <c r="AK1156" s="15"/>
      <c r="AL1156" s="15"/>
      <c r="AM1156" s="15"/>
      <c r="AN1156" s="15"/>
      <c r="AO1156" s="15"/>
      <c r="AP1156" s="15"/>
      <c r="AQ1156" s="15"/>
      <c r="AR1156" s="15"/>
      <c r="AS1156" s="15"/>
      <c r="AT1156" s="15"/>
      <c r="AU1156" s="15"/>
      <c r="AV1156" s="15"/>
      <c r="AW1156" s="15"/>
    </row>
    <row r="1157" spans="3:49" x14ac:dyDescent="0.2">
      <c r="C1157" s="15"/>
      <c r="D1157" s="15"/>
      <c r="E1157" s="15"/>
      <c r="F1157" s="15"/>
      <c r="G1157" s="15"/>
      <c r="H1157" s="15"/>
      <c r="I1157" s="15"/>
      <c r="J1157" s="15"/>
      <c r="K1157" s="15"/>
      <c r="L1157" s="28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5"/>
      <c r="AG1157" s="15"/>
      <c r="AH1157" s="15"/>
      <c r="AI1157" s="15"/>
      <c r="AJ1157" s="15"/>
      <c r="AK1157" s="15"/>
      <c r="AL1157" s="15"/>
      <c r="AM1157" s="15"/>
      <c r="AN1157" s="15"/>
      <c r="AO1157" s="15"/>
      <c r="AP1157" s="15"/>
      <c r="AQ1157" s="15"/>
      <c r="AR1157" s="15"/>
      <c r="AS1157" s="15"/>
      <c r="AT1157" s="15"/>
      <c r="AU1157" s="15"/>
      <c r="AV1157" s="15"/>
      <c r="AW1157" s="15"/>
    </row>
    <row r="1158" spans="3:49" x14ac:dyDescent="0.2">
      <c r="C1158" s="15"/>
      <c r="D1158" s="15"/>
      <c r="E1158" s="15"/>
      <c r="F1158" s="15"/>
      <c r="G1158" s="15"/>
      <c r="H1158" s="15"/>
      <c r="I1158" s="15"/>
      <c r="J1158" s="15"/>
      <c r="K1158" s="15"/>
      <c r="L1158" s="28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5"/>
      <c r="AG1158" s="15"/>
      <c r="AH1158" s="15"/>
      <c r="AI1158" s="15"/>
      <c r="AJ1158" s="15"/>
      <c r="AK1158" s="15"/>
      <c r="AL1158" s="15"/>
      <c r="AM1158" s="15"/>
      <c r="AN1158" s="15"/>
      <c r="AO1158" s="15"/>
      <c r="AP1158" s="15"/>
      <c r="AQ1158" s="15"/>
      <c r="AR1158" s="15"/>
      <c r="AS1158" s="15"/>
      <c r="AT1158" s="15"/>
      <c r="AU1158" s="15"/>
      <c r="AV1158" s="15"/>
      <c r="AW1158" s="15"/>
    </row>
    <row r="1159" spans="3:49" x14ac:dyDescent="0.2">
      <c r="C1159" s="15"/>
      <c r="D1159" s="15"/>
      <c r="E1159" s="15"/>
      <c r="F1159" s="15"/>
      <c r="G1159" s="15"/>
      <c r="H1159" s="15"/>
      <c r="I1159" s="15"/>
      <c r="J1159" s="15"/>
      <c r="K1159" s="15"/>
      <c r="L1159" s="28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5"/>
      <c r="AG1159" s="15"/>
      <c r="AH1159" s="15"/>
      <c r="AI1159" s="15"/>
      <c r="AJ1159" s="15"/>
      <c r="AK1159" s="15"/>
      <c r="AL1159" s="15"/>
      <c r="AM1159" s="15"/>
      <c r="AN1159" s="15"/>
      <c r="AO1159" s="15"/>
      <c r="AP1159" s="15"/>
      <c r="AQ1159" s="15"/>
      <c r="AR1159" s="15"/>
      <c r="AS1159" s="15"/>
      <c r="AT1159" s="15"/>
      <c r="AU1159" s="15"/>
      <c r="AV1159" s="15"/>
      <c r="AW1159" s="15"/>
    </row>
    <row r="1160" spans="3:49" x14ac:dyDescent="0.2">
      <c r="C1160" s="15"/>
      <c r="D1160" s="15"/>
      <c r="E1160" s="15"/>
      <c r="F1160" s="15"/>
      <c r="G1160" s="15"/>
      <c r="H1160" s="15"/>
      <c r="I1160" s="15"/>
      <c r="J1160" s="15"/>
      <c r="K1160" s="15"/>
      <c r="L1160" s="28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5"/>
      <c r="AG1160" s="15"/>
      <c r="AH1160" s="15"/>
      <c r="AI1160" s="15"/>
      <c r="AJ1160" s="15"/>
      <c r="AK1160" s="15"/>
      <c r="AL1160" s="15"/>
      <c r="AM1160" s="15"/>
      <c r="AN1160" s="15"/>
      <c r="AO1160" s="15"/>
      <c r="AP1160" s="15"/>
      <c r="AQ1160" s="15"/>
      <c r="AR1160" s="15"/>
      <c r="AS1160" s="15"/>
      <c r="AT1160" s="15"/>
      <c r="AU1160" s="15"/>
      <c r="AV1160" s="15"/>
      <c r="AW1160" s="15"/>
    </row>
    <row r="1161" spans="3:49" x14ac:dyDescent="0.2">
      <c r="C1161" s="15"/>
      <c r="D1161" s="15"/>
      <c r="E1161" s="15"/>
      <c r="F1161" s="15"/>
      <c r="G1161" s="15"/>
      <c r="H1161" s="15"/>
      <c r="I1161" s="15"/>
      <c r="J1161" s="15"/>
      <c r="K1161" s="15"/>
      <c r="L1161" s="28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5"/>
      <c r="AG1161" s="15"/>
      <c r="AH1161" s="15"/>
      <c r="AI1161" s="15"/>
      <c r="AJ1161" s="15"/>
      <c r="AK1161" s="15"/>
      <c r="AL1161" s="15"/>
      <c r="AM1161" s="15"/>
      <c r="AN1161" s="15"/>
      <c r="AO1161" s="15"/>
      <c r="AP1161" s="15"/>
      <c r="AQ1161" s="15"/>
      <c r="AR1161" s="15"/>
      <c r="AS1161" s="15"/>
      <c r="AT1161" s="15"/>
      <c r="AU1161" s="15"/>
      <c r="AV1161" s="15"/>
      <c r="AW1161" s="15"/>
    </row>
    <row r="1162" spans="3:49" x14ac:dyDescent="0.2">
      <c r="C1162" s="15"/>
      <c r="D1162" s="15"/>
      <c r="E1162" s="15"/>
      <c r="F1162" s="15"/>
      <c r="G1162" s="15"/>
      <c r="H1162" s="15"/>
      <c r="I1162" s="15"/>
      <c r="J1162" s="15"/>
      <c r="K1162" s="15"/>
      <c r="L1162" s="28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5"/>
      <c r="AG1162" s="15"/>
      <c r="AH1162" s="15"/>
      <c r="AI1162" s="15"/>
      <c r="AJ1162" s="15"/>
      <c r="AK1162" s="15"/>
      <c r="AL1162" s="15"/>
      <c r="AM1162" s="15"/>
      <c r="AN1162" s="15"/>
      <c r="AO1162" s="15"/>
      <c r="AP1162" s="15"/>
      <c r="AQ1162" s="15"/>
      <c r="AR1162" s="15"/>
      <c r="AS1162" s="15"/>
      <c r="AT1162" s="15"/>
      <c r="AU1162" s="15"/>
      <c r="AV1162" s="15"/>
      <c r="AW1162" s="15"/>
    </row>
    <row r="1163" spans="3:49" x14ac:dyDescent="0.2">
      <c r="C1163" s="15"/>
      <c r="D1163" s="15"/>
      <c r="E1163" s="15"/>
      <c r="F1163" s="15"/>
      <c r="G1163" s="15"/>
      <c r="H1163" s="15"/>
      <c r="I1163" s="15"/>
      <c r="J1163" s="15"/>
      <c r="K1163" s="15"/>
      <c r="L1163" s="28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5"/>
      <c r="AG1163" s="15"/>
      <c r="AH1163" s="15"/>
      <c r="AI1163" s="15"/>
      <c r="AJ1163" s="15"/>
      <c r="AK1163" s="15"/>
      <c r="AL1163" s="15"/>
      <c r="AM1163" s="15"/>
      <c r="AN1163" s="15"/>
      <c r="AO1163" s="15"/>
      <c r="AP1163" s="15"/>
      <c r="AQ1163" s="15"/>
      <c r="AR1163" s="15"/>
      <c r="AS1163" s="15"/>
      <c r="AT1163" s="15"/>
      <c r="AU1163" s="15"/>
      <c r="AV1163" s="15"/>
      <c r="AW1163" s="15"/>
    </row>
    <row r="1164" spans="3:49" x14ac:dyDescent="0.2">
      <c r="C1164" s="15"/>
      <c r="D1164" s="15"/>
      <c r="E1164" s="15"/>
      <c r="F1164" s="15"/>
      <c r="G1164" s="15"/>
      <c r="H1164" s="15"/>
      <c r="I1164" s="15"/>
      <c r="J1164" s="15"/>
      <c r="K1164" s="15"/>
      <c r="L1164" s="28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5"/>
      <c r="AG1164" s="15"/>
      <c r="AH1164" s="15"/>
      <c r="AI1164" s="15"/>
      <c r="AJ1164" s="15"/>
      <c r="AK1164" s="15"/>
      <c r="AL1164" s="15"/>
      <c r="AM1164" s="15"/>
      <c r="AN1164" s="15"/>
      <c r="AO1164" s="15"/>
      <c r="AP1164" s="15"/>
      <c r="AQ1164" s="15"/>
      <c r="AR1164" s="15"/>
      <c r="AS1164" s="15"/>
      <c r="AT1164" s="15"/>
      <c r="AU1164" s="15"/>
      <c r="AV1164" s="15"/>
      <c r="AW1164" s="15"/>
    </row>
    <row r="1165" spans="3:49" x14ac:dyDescent="0.2">
      <c r="C1165" s="15"/>
      <c r="D1165" s="15"/>
      <c r="E1165" s="15"/>
      <c r="F1165" s="15"/>
      <c r="G1165" s="15"/>
      <c r="H1165" s="15"/>
      <c r="I1165" s="15"/>
      <c r="J1165" s="15"/>
      <c r="K1165" s="15"/>
      <c r="L1165" s="28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5"/>
      <c r="AG1165" s="15"/>
      <c r="AH1165" s="15"/>
      <c r="AI1165" s="15"/>
      <c r="AJ1165" s="15"/>
      <c r="AK1165" s="15"/>
      <c r="AL1165" s="15"/>
      <c r="AM1165" s="15"/>
      <c r="AN1165" s="15"/>
      <c r="AO1165" s="15"/>
      <c r="AP1165" s="15"/>
      <c r="AQ1165" s="15"/>
      <c r="AR1165" s="15"/>
      <c r="AS1165" s="15"/>
      <c r="AT1165" s="15"/>
      <c r="AU1165" s="15"/>
      <c r="AV1165" s="15"/>
      <c r="AW1165" s="15"/>
    </row>
    <row r="1166" spans="3:49" x14ac:dyDescent="0.2">
      <c r="C1166" s="15"/>
      <c r="D1166" s="15"/>
      <c r="E1166" s="15"/>
      <c r="F1166" s="15"/>
      <c r="G1166" s="15"/>
      <c r="H1166" s="15"/>
      <c r="I1166" s="15"/>
      <c r="J1166" s="15"/>
      <c r="K1166" s="15"/>
      <c r="L1166" s="28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5"/>
      <c r="AG1166" s="15"/>
      <c r="AH1166" s="15"/>
      <c r="AI1166" s="15"/>
      <c r="AJ1166" s="15"/>
      <c r="AK1166" s="15"/>
      <c r="AL1166" s="15"/>
      <c r="AM1166" s="15"/>
      <c r="AN1166" s="15"/>
      <c r="AO1166" s="15"/>
      <c r="AP1166" s="15"/>
      <c r="AQ1166" s="15"/>
      <c r="AR1166" s="15"/>
      <c r="AS1166" s="15"/>
      <c r="AT1166" s="15"/>
      <c r="AU1166" s="15"/>
      <c r="AV1166" s="15"/>
      <c r="AW1166" s="15"/>
    </row>
    <row r="1167" spans="3:49" x14ac:dyDescent="0.2">
      <c r="C1167" s="15"/>
      <c r="D1167" s="15"/>
      <c r="E1167" s="15"/>
      <c r="F1167" s="15"/>
      <c r="G1167" s="15"/>
      <c r="H1167" s="15"/>
      <c r="I1167" s="15"/>
      <c r="J1167" s="15"/>
      <c r="K1167" s="15"/>
      <c r="L1167" s="28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5"/>
      <c r="AG1167" s="15"/>
      <c r="AH1167" s="15"/>
      <c r="AI1167" s="15"/>
      <c r="AJ1167" s="15"/>
      <c r="AK1167" s="15"/>
      <c r="AL1167" s="15"/>
      <c r="AM1167" s="15"/>
      <c r="AN1167" s="15"/>
      <c r="AO1167" s="15"/>
      <c r="AP1167" s="15"/>
      <c r="AQ1167" s="15"/>
      <c r="AR1167" s="15"/>
      <c r="AS1167" s="15"/>
      <c r="AT1167" s="15"/>
      <c r="AU1167" s="15"/>
      <c r="AV1167" s="15"/>
      <c r="AW1167" s="15"/>
    </row>
    <row r="1168" spans="3:49" x14ac:dyDescent="0.2">
      <c r="C1168" s="15"/>
      <c r="D1168" s="15"/>
      <c r="E1168" s="15"/>
      <c r="F1168" s="15"/>
      <c r="G1168" s="15"/>
      <c r="H1168" s="15"/>
      <c r="I1168" s="15"/>
      <c r="J1168" s="15"/>
      <c r="K1168" s="15"/>
      <c r="L1168" s="28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5"/>
      <c r="AG1168" s="15"/>
      <c r="AH1168" s="15"/>
      <c r="AI1168" s="15"/>
      <c r="AJ1168" s="15"/>
      <c r="AK1168" s="15"/>
      <c r="AL1168" s="15"/>
      <c r="AM1168" s="15"/>
      <c r="AN1168" s="15"/>
      <c r="AO1168" s="15"/>
      <c r="AP1168" s="15"/>
      <c r="AQ1168" s="15"/>
      <c r="AR1168" s="15"/>
      <c r="AS1168" s="15"/>
      <c r="AT1168" s="15"/>
      <c r="AU1168" s="15"/>
      <c r="AV1168" s="15"/>
      <c r="AW1168" s="15"/>
    </row>
    <row r="1169" spans="3:49" x14ac:dyDescent="0.2">
      <c r="C1169" s="15"/>
      <c r="D1169" s="15"/>
      <c r="E1169" s="15"/>
      <c r="F1169" s="15"/>
      <c r="G1169" s="15"/>
      <c r="H1169" s="15"/>
      <c r="I1169" s="15"/>
      <c r="J1169" s="15"/>
      <c r="K1169" s="15"/>
      <c r="L1169" s="28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5"/>
      <c r="AG1169" s="15"/>
      <c r="AH1169" s="15"/>
      <c r="AI1169" s="15"/>
      <c r="AJ1169" s="15"/>
      <c r="AK1169" s="15"/>
      <c r="AL1169" s="15"/>
      <c r="AM1169" s="15"/>
      <c r="AN1169" s="15"/>
      <c r="AO1169" s="15"/>
      <c r="AP1169" s="15"/>
      <c r="AQ1169" s="15"/>
      <c r="AR1169" s="15"/>
      <c r="AS1169" s="15"/>
      <c r="AT1169" s="15"/>
      <c r="AU1169" s="15"/>
      <c r="AV1169" s="15"/>
      <c r="AW1169" s="15"/>
    </row>
    <row r="1170" spans="3:49" x14ac:dyDescent="0.2">
      <c r="C1170" s="15"/>
      <c r="D1170" s="15"/>
      <c r="E1170" s="15"/>
      <c r="F1170" s="15"/>
      <c r="G1170" s="15"/>
      <c r="H1170" s="15"/>
      <c r="I1170" s="15"/>
      <c r="J1170" s="15"/>
      <c r="K1170" s="15"/>
      <c r="L1170" s="28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5"/>
      <c r="AG1170" s="15"/>
      <c r="AH1170" s="15"/>
      <c r="AI1170" s="15"/>
      <c r="AJ1170" s="15"/>
      <c r="AK1170" s="15"/>
      <c r="AL1170" s="15"/>
      <c r="AM1170" s="15"/>
      <c r="AN1170" s="15"/>
      <c r="AO1170" s="15"/>
      <c r="AP1170" s="15"/>
      <c r="AQ1170" s="15"/>
      <c r="AR1170" s="15"/>
      <c r="AS1170" s="15"/>
      <c r="AT1170" s="15"/>
      <c r="AU1170" s="15"/>
      <c r="AV1170" s="15"/>
      <c r="AW1170" s="15"/>
    </row>
    <row r="1171" spans="3:49" x14ac:dyDescent="0.2">
      <c r="C1171" s="15"/>
      <c r="D1171" s="15"/>
      <c r="E1171" s="15"/>
      <c r="F1171" s="15"/>
      <c r="G1171" s="15"/>
      <c r="H1171" s="15"/>
      <c r="I1171" s="15"/>
      <c r="J1171" s="15"/>
      <c r="K1171" s="15"/>
      <c r="L1171" s="28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5"/>
      <c r="AG1171" s="15"/>
      <c r="AH1171" s="15"/>
      <c r="AI1171" s="15"/>
      <c r="AJ1171" s="15"/>
      <c r="AK1171" s="15"/>
      <c r="AL1171" s="15"/>
      <c r="AM1171" s="15"/>
      <c r="AN1171" s="15"/>
      <c r="AO1171" s="15"/>
      <c r="AP1171" s="15"/>
      <c r="AQ1171" s="15"/>
      <c r="AR1171" s="15"/>
      <c r="AS1171" s="15"/>
      <c r="AT1171" s="15"/>
      <c r="AU1171" s="15"/>
      <c r="AV1171" s="15"/>
      <c r="AW1171" s="15"/>
    </row>
    <row r="1172" spans="3:49" x14ac:dyDescent="0.2">
      <c r="C1172" s="15"/>
      <c r="D1172" s="15"/>
      <c r="E1172" s="15"/>
      <c r="F1172" s="15"/>
      <c r="G1172" s="15"/>
      <c r="H1172" s="15"/>
      <c r="I1172" s="15"/>
      <c r="J1172" s="15"/>
      <c r="K1172" s="15"/>
      <c r="L1172" s="28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5"/>
      <c r="AG1172" s="15"/>
      <c r="AH1172" s="15"/>
      <c r="AI1172" s="15"/>
      <c r="AJ1172" s="15"/>
      <c r="AK1172" s="15"/>
      <c r="AL1172" s="15"/>
      <c r="AM1172" s="15"/>
      <c r="AN1172" s="15"/>
      <c r="AO1172" s="15"/>
      <c r="AP1172" s="15"/>
      <c r="AQ1172" s="15"/>
      <c r="AR1172" s="15"/>
      <c r="AS1172" s="15"/>
      <c r="AT1172" s="15"/>
      <c r="AU1172" s="15"/>
      <c r="AV1172" s="15"/>
      <c r="AW1172" s="15"/>
    </row>
    <row r="1173" spans="3:49" x14ac:dyDescent="0.2">
      <c r="C1173" s="15"/>
      <c r="D1173" s="15"/>
      <c r="E1173" s="15"/>
      <c r="F1173" s="15"/>
      <c r="G1173" s="15"/>
      <c r="H1173" s="15"/>
      <c r="I1173" s="15"/>
      <c r="J1173" s="15"/>
      <c r="K1173" s="15"/>
      <c r="L1173" s="28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5"/>
      <c r="AG1173" s="15"/>
      <c r="AH1173" s="15"/>
      <c r="AI1173" s="15"/>
      <c r="AJ1173" s="15"/>
      <c r="AK1173" s="15"/>
      <c r="AL1173" s="15"/>
      <c r="AM1173" s="15"/>
      <c r="AN1173" s="15"/>
      <c r="AO1173" s="15"/>
      <c r="AP1173" s="15"/>
      <c r="AQ1173" s="15"/>
      <c r="AR1173" s="15"/>
      <c r="AS1173" s="15"/>
      <c r="AT1173" s="15"/>
      <c r="AU1173" s="15"/>
      <c r="AV1173" s="15"/>
      <c r="AW1173" s="15"/>
    </row>
    <row r="1174" spans="3:49" x14ac:dyDescent="0.2">
      <c r="C1174" s="15"/>
      <c r="D1174" s="15"/>
      <c r="E1174" s="15"/>
      <c r="F1174" s="15"/>
      <c r="G1174" s="15"/>
      <c r="H1174" s="15"/>
      <c r="I1174" s="15"/>
      <c r="J1174" s="15"/>
      <c r="K1174" s="15"/>
      <c r="L1174" s="28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5"/>
      <c r="AG1174" s="15"/>
      <c r="AH1174" s="15"/>
      <c r="AI1174" s="15"/>
      <c r="AJ1174" s="15"/>
      <c r="AK1174" s="15"/>
      <c r="AL1174" s="15"/>
      <c r="AM1174" s="15"/>
      <c r="AN1174" s="15"/>
      <c r="AO1174" s="15"/>
      <c r="AP1174" s="15"/>
      <c r="AQ1174" s="15"/>
      <c r="AR1174" s="15"/>
      <c r="AS1174" s="15"/>
      <c r="AT1174" s="15"/>
      <c r="AU1174" s="15"/>
      <c r="AV1174" s="15"/>
      <c r="AW1174" s="15"/>
    </row>
    <row r="1175" spans="3:49" x14ac:dyDescent="0.2">
      <c r="C1175" s="15"/>
      <c r="D1175" s="15"/>
      <c r="E1175" s="15"/>
      <c r="F1175" s="15"/>
      <c r="G1175" s="15"/>
      <c r="H1175" s="15"/>
      <c r="I1175" s="15"/>
      <c r="J1175" s="15"/>
      <c r="K1175" s="15"/>
      <c r="L1175" s="28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5"/>
      <c r="AG1175" s="15"/>
      <c r="AH1175" s="15"/>
      <c r="AI1175" s="15"/>
      <c r="AJ1175" s="15"/>
      <c r="AK1175" s="15"/>
      <c r="AL1175" s="15"/>
      <c r="AM1175" s="15"/>
      <c r="AN1175" s="15"/>
      <c r="AO1175" s="15"/>
      <c r="AP1175" s="15"/>
      <c r="AQ1175" s="15"/>
      <c r="AR1175" s="15"/>
      <c r="AS1175" s="15"/>
      <c r="AT1175" s="15"/>
      <c r="AU1175" s="15"/>
      <c r="AV1175" s="15"/>
      <c r="AW1175" s="15"/>
    </row>
    <row r="1176" spans="3:49" x14ac:dyDescent="0.2">
      <c r="C1176" s="15"/>
      <c r="D1176" s="15"/>
      <c r="E1176" s="15"/>
      <c r="F1176" s="15"/>
      <c r="G1176" s="15"/>
      <c r="H1176" s="15"/>
      <c r="I1176" s="15"/>
      <c r="J1176" s="15"/>
      <c r="K1176" s="15"/>
      <c r="L1176" s="28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5"/>
      <c r="AG1176" s="15"/>
      <c r="AH1176" s="15"/>
      <c r="AI1176" s="15"/>
      <c r="AJ1176" s="15"/>
      <c r="AK1176" s="15"/>
      <c r="AL1176" s="15"/>
      <c r="AM1176" s="15"/>
      <c r="AN1176" s="15"/>
      <c r="AO1176" s="15"/>
      <c r="AP1176" s="15"/>
      <c r="AQ1176" s="15"/>
      <c r="AR1176" s="15"/>
      <c r="AS1176" s="15"/>
      <c r="AT1176" s="15"/>
      <c r="AU1176" s="15"/>
      <c r="AV1176" s="15"/>
      <c r="AW1176" s="15"/>
    </row>
    <row r="1177" spans="3:49" x14ac:dyDescent="0.2">
      <c r="C1177" s="15"/>
      <c r="D1177" s="15"/>
      <c r="E1177" s="15"/>
      <c r="F1177" s="15"/>
      <c r="G1177" s="15"/>
      <c r="H1177" s="15"/>
      <c r="I1177" s="15"/>
      <c r="J1177" s="15"/>
      <c r="K1177" s="15"/>
      <c r="L1177" s="28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5"/>
      <c r="AG1177" s="15"/>
      <c r="AH1177" s="15"/>
      <c r="AI1177" s="15"/>
      <c r="AJ1177" s="15"/>
      <c r="AK1177" s="15"/>
      <c r="AL1177" s="15"/>
      <c r="AM1177" s="15"/>
      <c r="AN1177" s="15"/>
      <c r="AO1177" s="15"/>
      <c r="AP1177" s="15"/>
      <c r="AQ1177" s="15"/>
      <c r="AR1177" s="15"/>
      <c r="AS1177" s="15"/>
      <c r="AT1177" s="15"/>
      <c r="AU1177" s="15"/>
      <c r="AV1177" s="15"/>
      <c r="AW1177" s="15"/>
    </row>
    <row r="1178" spans="3:49" x14ac:dyDescent="0.2">
      <c r="C1178" s="15"/>
      <c r="D1178" s="15"/>
      <c r="E1178" s="15"/>
      <c r="F1178" s="15"/>
      <c r="G1178" s="15"/>
      <c r="H1178" s="15"/>
      <c r="I1178" s="15"/>
      <c r="J1178" s="15"/>
      <c r="K1178" s="15"/>
      <c r="L1178" s="28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5"/>
      <c r="AG1178" s="15"/>
      <c r="AH1178" s="15"/>
      <c r="AI1178" s="15"/>
      <c r="AJ1178" s="15"/>
      <c r="AK1178" s="15"/>
      <c r="AL1178" s="15"/>
      <c r="AM1178" s="15"/>
      <c r="AN1178" s="15"/>
      <c r="AO1178" s="15"/>
      <c r="AP1178" s="15"/>
      <c r="AQ1178" s="15"/>
      <c r="AR1178" s="15"/>
      <c r="AS1178" s="15"/>
      <c r="AT1178" s="15"/>
      <c r="AU1178" s="15"/>
      <c r="AV1178" s="15"/>
      <c r="AW1178" s="15"/>
    </row>
    <row r="1179" spans="3:49" x14ac:dyDescent="0.2">
      <c r="C1179" s="15"/>
      <c r="D1179" s="15"/>
      <c r="E1179" s="15"/>
      <c r="F1179" s="15"/>
      <c r="G1179" s="15"/>
      <c r="H1179" s="15"/>
      <c r="I1179" s="15"/>
      <c r="J1179" s="15"/>
      <c r="K1179" s="15"/>
      <c r="L1179" s="28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5"/>
      <c r="AG1179" s="15"/>
      <c r="AH1179" s="15"/>
      <c r="AI1179" s="15"/>
      <c r="AJ1179" s="15"/>
      <c r="AK1179" s="15"/>
      <c r="AL1179" s="15"/>
      <c r="AM1179" s="15"/>
      <c r="AN1179" s="15"/>
      <c r="AO1179" s="15"/>
      <c r="AP1179" s="15"/>
      <c r="AQ1179" s="15"/>
      <c r="AR1179" s="15"/>
      <c r="AS1179" s="15"/>
      <c r="AT1179" s="15"/>
      <c r="AU1179" s="15"/>
      <c r="AV1179" s="15"/>
      <c r="AW1179" s="15"/>
    </row>
    <row r="1180" spans="3:49" x14ac:dyDescent="0.2">
      <c r="C1180" s="15"/>
      <c r="D1180" s="15"/>
      <c r="E1180" s="15"/>
      <c r="F1180" s="15"/>
      <c r="G1180" s="15"/>
      <c r="H1180" s="15"/>
      <c r="I1180" s="15"/>
      <c r="J1180" s="15"/>
      <c r="K1180" s="15"/>
      <c r="L1180" s="28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5"/>
      <c r="AG1180" s="15"/>
      <c r="AH1180" s="15"/>
      <c r="AI1180" s="15"/>
      <c r="AJ1180" s="15"/>
      <c r="AK1180" s="15"/>
      <c r="AL1180" s="15"/>
      <c r="AM1180" s="15"/>
      <c r="AN1180" s="15"/>
      <c r="AO1180" s="15"/>
      <c r="AP1180" s="15"/>
      <c r="AQ1180" s="15"/>
      <c r="AR1180" s="15"/>
      <c r="AS1180" s="15"/>
      <c r="AT1180" s="15"/>
      <c r="AU1180" s="15"/>
      <c r="AV1180" s="15"/>
      <c r="AW1180" s="15"/>
    </row>
    <row r="1181" spans="3:49" x14ac:dyDescent="0.2">
      <c r="C1181" s="15"/>
      <c r="D1181" s="15"/>
      <c r="E1181" s="15"/>
      <c r="F1181" s="15"/>
      <c r="G1181" s="15"/>
      <c r="H1181" s="15"/>
      <c r="I1181" s="15"/>
      <c r="J1181" s="15"/>
      <c r="K1181" s="15"/>
      <c r="L1181" s="28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5"/>
      <c r="AG1181" s="15"/>
      <c r="AH1181" s="15"/>
      <c r="AI1181" s="15"/>
      <c r="AJ1181" s="15"/>
      <c r="AK1181" s="15"/>
      <c r="AL1181" s="15"/>
      <c r="AM1181" s="15"/>
      <c r="AN1181" s="15"/>
      <c r="AO1181" s="15"/>
      <c r="AP1181" s="15"/>
      <c r="AQ1181" s="15"/>
      <c r="AR1181" s="15"/>
      <c r="AS1181" s="15"/>
      <c r="AT1181" s="15"/>
      <c r="AU1181" s="15"/>
      <c r="AV1181" s="15"/>
      <c r="AW1181" s="15"/>
    </row>
    <row r="1182" spans="3:49" x14ac:dyDescent="0.2">
      <c r="C1182" s="15"/>
      <c r="D1182" s="15"/>
      <c r="E1182" s="15"/>
      <c r="F1182" s="15"/>
      <c r="G1182" s="15"/>
      <c r="H1182" s="15"/>
      <c r="I1182" s="15"/>
      <c r="J1182" s="15"/>
      <c r="K1182" s="15"/>
      <c r="L1182" s="28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5"/>
      <c r="AG1182" s="15"/>
      <c r="AH1182" s="15"/>
      <c r="AI1182" s="15"/>
      <c r="AJ1182" s="15"/>
      <c r="AK1182" s="15"/>
      <c r="AL1182" s="15"/>
      <c r="AM1182" s="15"/>
      <c r="AN1182" s="15"/>
      <c r="AO1182" s="15"/>
      <c r="AP1182" s="15"/>
      <c r="AQ1182" s="15"/>
      <c r="AR1182" s="15"/>
      <c r="AS1182" s="15"/>
      <c r="AT1182" s="15"/>
      <c r="AU1182" s="15"/>
      <c r="AV1182" s="15"/>
      <c r="AW1182" s="15"/>
    </row>
    <row r="1183" spans="3:49" x14ac:dyDescent="0.2">
      <c r="C1183" s="15"/>
      <c r="D1183" s="15"/>
      <c r="E1183" s="15"/>
      <c r="F1183" s="15"/>
      <c r="G1183" s="15"/>
      <c r="H1183" s="15"/>
      <c r="I1183" s="15"/>
      <c r="J1183" s="15"/>
      <c r="K1183" s="15"/>
      <c r="L1183" s="28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5"/>
      <c r="AG1183" s="15"/>
      <c r="AH1183" s="15"/>
      <c r="AI1183" s="15"/>
      <c r="AJ1183" s="15"/>
      <c r="AK1183" s="15"/>
      <c r="AL1183" s="15"/>
      <c r="AM1183" s="15"/>
      <c r="AN1183" s="15"/>
      <c r="AO1183" s="15"/>
      <c r="AP1183" s="15"/>
      <c r="AQ1183" s="15"/>
      <c r="AR1183" s="15"/>
      <c r="AS1183" s="15"/>
      <c r="AT1183" s="15"/>
      <c r="AU1183" s="15"/>
      <c r="AV1183" s="15"/>
      <c r="AW1183" s="15"/>
    </row>
    <row r="1184" spans="3:49" x14ac:dyDescent="0.2">
      <c r="C1184" s="15"/>
      <c r="D1184" s="15"/>
      <c r="E1184" s="15"/>
      <c r="F1184" s="15"/>
      <c r="G1184" s="15"/>
      <c r="H1184" s="15"/>
      <c r="I1184" s="15"/>
      <c r="J1184" s="15"/>
      <c r="K1184" s="15"/>
      <c r="L1184" s="28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5"/>
      <c r="AG1184" s="15"/>
      <c r="AH1184" s="15"/>
      <c r="AI1184" s="15"/>
      <c r="AJ1184" s="15"/>
      <c r="AK1184" s="15"/>
      <c r="AL1184" s="15"/>
      <c r="AM1184" s="15"/>
      <c r="AN1184" s="15"/>
      <c r="AO1184" s="15"/>
      <c r="AP1184" s="15"/>
      <c r="AQ1184" s="15"/>
      <c r="AR1184" s="15"/>
      <c r="AS1184" s="15"/>
      <c r="AT1184" s="15"/>
      <c r="AU1184" s="15"/>
      <c r="AV1184" s="15"/>
      <c r="AW1184" s="15"/>
    </row>
    <row r="1185" spans="3:49" x14ac:dyDescent="0.2">
      <c r="C1185" s="15"/>
      <c r="D1185" s="15"/>
      <c r="E1185" s="15"/>
      <c r="F1185" s="15"/>
      <c r="G1185" s="15"/>
      <c r="H1185" s="15"/>
      <c r="I1185" s="15"/>
      <c r="J1185" s="15"/>
      <c r="K1185" s="15"/>
      <c r="L1185" s="28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5"/>
      <c r="AG1185" s="15"/>
      <c r="AH1185" s="15"/>
      <c r="AI1185" s="15"/>
      <c r="AJ1185" s="15"/>
      <c r="AK1185" s="15"/>
      <c r="AL1185" s="15"/>
      <c r="AM1185" s="15"/>
      <c r="AN1185" s="15"/>
      <c r="AO1185" s="15"/>
      <c r="AP1185" s="15"/>
      <c r="AQ1185" s="15"/>
      <c r="AR1185" s="15"/>
      <c r="AS1185" s="15"/>
      <c r="AT1185" s="15"/>
      <c r="AU1185" s="15"/>
      <c r="AV1185" s="15"/>
      <c r="AW1185" s="15"/>
    </row>
    <row r="1186" spans="3:49" x14ac:dyDescent="0.2">
      <c r="C1186" s="15"/>
      <c r="D1186" s="15"/>
      <c r="E1186" s="15"/>
      <c r="F1186" s="15"/>
      <c r="G1186" s="15"/>
      <c r="H1186" s="15"/>
      <c r="I1186" s="15"/>
      <c r="J1186" s="15"/>
      <c r="K1186" s="15"/>
      <c r="L1186" s="28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5"/>
      <c r="AG1186" s="15"/>
      <c r="AH1186" s="15"/>
      <c r="AI1186" s="15"/>
      <c r="AJ1186" s="15"/>
      <c r="AK1186" s="15"/>
      <c r="AL1186" s="15"/>
      <c r="AM1186" s="15"/>
      <c r="AN1186" s="15"/>
      <c r="AO1186" s="15"/>
      <c r="AP1186" s="15"/>
      <c r="AQ1186" s="15"/>
      <c r="AR1186" s="15"/>
      <c r="AS1186" s="15"/>
      <c r="AT1186" s="15"/>
      <c r="AU1186" s="15"/>
      <c r="AV1186" s="15"/>
      <c r="AW1186" s="15"/>
    </row>
    <row r="1187" spans="3:49" x14ac:dyDescent="0.2">
      <c r="C1187" s="15"/>
      <c r="D1187" s="15"/>
      <c r="E1187" s="15"/>
      <c r="F1187" s="15"/>
      <c r="G1187" s="15"/>
      <c r="H1187" s="15"/>
      <c r="I1187" s="15"/>
      <c r="J1187" s="15"/>
      <c r="K1187" s="15"/>
      <c r="L1187" s="28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5"/>
      <c r="AG1187" s="15"/>
      <c r="AH1187" s="15"/>
      <c r="AI1187" s="15"/>
      <c r="AJ1187" s="15"/>
      <c r="AK1187" s="15"/>
      <c r="AL1187" s="15"/>
      <c r="AM1187" s="15"/>
      <c r="AN1187" s="15"/>
      <c r="AO1187" s="15"/>
      <c r="AP1187" s="15"/>
      <c r="AQ1187" s="15"/>
      <c r="AR1187" s="15"/>
      <c r="AS1187" s="15"/>
      <c r="AT1187" s="15"/>
      <c r="AU1187" s="15"/>
      <c r="AV1187" s="15"/>
      <c r="AW1187" s="15"/>
    </row>
    <row r="1188" spans="3:49" x14ac:dyDescent="0.2">
      <c r="C1188" s="15"/>
      <c r="D1188" s="15"/>
      <c r="E1188" s="15"/>
      <c r="F1188" s="15"/>
      <c r="G1188" s="15"/>
      <c r="H1188" s="15"/>
      <c r="I1188" s="15"/>
      <c r="J1188" s="15"/>
      <c r="K1188" s="15"/>
      <c r="L1188" s="28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5"/>
      <c r="AG1188" s="15"/>
      <c r="AH1188" s="15"/>
      <c r="AI1188" s="15"/>
      <c r="AJ1188" s="15"/>
      <c r="AK1188" s="15"/>
      <c r="AL1188" s="15"/>
      <c r="AM1188" s="15"/>
      <c r="AN1188" s="15"/>
      <c r="AO1188" s="15"/>
      <c r="AP1188" s="15"/>
      <c r="AQ1188" s="15"/>
      <c r="AR1188" s="15"/>
      <c r="AS1188" s="15"/>
      <c r="AT1188" s="15"/>
      <c r="AU1188" s="15"/>
      <c r="AV1188" s="15"/>
      <c r="AW1188" s="15"/>
    </row>
    <row r="1189" spans="3:49" x14ac:dyDescent="0.2">
      <c r="C1189" s="15"/>
      <c r="D1189" s="15"/>
      <c r="E1189" s="15"/>
      <c r="F1189" s="15"/>
      <c r="G1189" s="15"/>
      <c r="H1189" s="15"/>
      <c r="I1189" s="15"/>
      <c r="J1189" s="15"/>
      <c r="K1189" s="15"/>
      <c r="L1189" s="28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5"/>
      <c r="AG1189" s="15"/>
      <c r="AH1189" s="15"/>
      <c r="AI1189" s="15"/>
      <c r="AJ1189" s="15"/>
      <c r="AK1189" s="15"/>
      <c r="AL1189" s="15"/>
      <c r="AM1189" s="15"/>
      <c r="AN1189" s="15"/>
      <c r="AO1189" s="15"/>
      <c r="AP1189" s="15"/>
      <c r="AQ1189" s="15"/>
      <c r="AR1189" s="15"/>
      <c r="AS1189" s="15"/>
      <c r="AT1189" s="15"/>
      <c r="AU1189" s="15"/>
      <c r="AV1189" s="15"/>
      <c r="AW1189" s="15"/>
    </row>
    <row r="1190" spans="3:49" x14ac:dyDescent="0.2">
      <c r="C1190" s="15"/>
      <c r="D1190" s="15"/>
      <c r="E1190" s="15"/>
      <c r="F1190" s="15"/>
      <c r="G1190" s="15"/>
      <c r="H1190" s="15"/>
      <c r="I1190" s="15"/>
      <c r="J1190" s="15"/>
      <c r="K1190" s="15"/>
      <c r="L1190" s="28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5"/>
      <c r="AG1190" s="15"/>
      <c r="AH1190" s="15"/>
      <c r="AI1190" s="15"/>
      <c r="AJ1190" s="15"/>
      <c r="AK1190" s="15"/>
      <c r="AL1190" s="15"/>
      <c r="AM1190" s="15"/>
      <c r="AN1190" s="15"/>
      <c r="AO1190" s="15"/>
      <c r="AP1190" s="15"/>
      <c r="AQ1190" s="15"/>
      <c r="AR1190" s="15"/>
      <c r="AS1190" s="15"/>
      <c r="AT1190" s="15"/>
      <c r="AU1190" s="15"/>
      <c r="AV1190" s="15"/>
      <c r="AW1190" s="15"/>
    </row>
    <row r="1191" spans="3:49" x14ac:dyDescent="0.2">
      <c r="C1191" s="15"/>
      <c r="D1191" s="15"/>
      <c r="E1191" s="15"/>
      <c r="F1191" s="15"/>
      <c r="G1191" s="15"/>
      <c r="H1191" s="15"/>
      <c r="I1191" s="15"/>
      <c r="J1191" s="15"/>
      <c r="K1191" s="15"/>
      <c r="L1191" s="28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5"/>
      <c r="AG1191" s="15"/>
      <c r="AH1191" s="15"/>
      <c r="AI1191" s="15"/>
      <c r="AJ1191" s="15"/>
      <c r="AK1191" s="15"/>
      <c r="AL1191" s="15"/>
      <c r="AM1191" s="15"/>
      <c r="AN1191" s="15"/>
      <c r="AO1191" s="15"/>
      <c r="AP1191" s="15"/>
      <c r="AQ1191" s="15"/>
      <c r="AR1191" s="15"/>
      <c r="AS1191" s="15"/>
      <c r="AT1191" s="15"/>
      <c r="AU1191" s="15"/>
      <c r="AV1191" s="15"/>
      <c r="AW1191" s="15"/>
    </row>
    <row r="1192" spans="3:49" x14ac:dyDescent="0.2">
      <c r="C1192" s="15"/>
      <c r="D1192" s="15"/>
      <c r="E1192" s="15"/>
      <c r="F1192" s="15"/>
      <c r="G1192" s="15"/>
      <c r="H1192" s="15"/>
      <c r="I1192" s="15"/>
      <c r="J1192" s="15"/>
      <c r="K1192" s="15"/>
      <c r="L1192" s="28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5"/>
      <c r="AG1192" s="15"/>
      <c r="AH1192" s="15"/>
      <c r="AI1192" s="15"/>
      <c r="AJ1192" s="15"/>
      <c r="AK1192" s="15"/>
      <c r="AL1192" s="15"/>
      <c r="AM1192" s="15"/>
      <c r="AN1192" s="15"/>
      <c r="AO1192" s="15"/>
      <c r="AP1192" s="15"/>
      <c r="AQ1192" s="15"/>
      <c r="AR1192" s="15"/>
      <c r="AS1192" s="15"/>
      <c r="AT1192" s="15"/>
      <c r="AU1192" s="15"/>
      <c r="AV1192" s="15"/>
      <c r="AW1192" s="15"/>
    </row>
    <row r="1193" spans="3:49" x14ac:dyDescent="0.2">
      <c r="C1193" s="15"/>
      <c r="D1193" s="15"/>
      <c r="E1193" s="15"/>
      <c r="F1193" s="15"/>
      <c r="G1193" s="15"/>
      <c r="H1193" s="15"/>
      <c r="I1193" s="15"/>
      <c r="J1193" s="15"/>
      <c r="K1193" s="15"/>
      <c r="L1193" s="28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5"/>
      <c r="AG1193" s="15"/>
      <c r="AH1193" s="15"/>
      <c r="AI1193" s="15"/>
      <c r="AJ1193" s="15"/>
      <c r="AK1193" s="15"/>
      <c r="AL1193" s="15"/>
      <c r="AM1193" s="15"/>
      <c r="AN1193" s="15"/>
      <c r="AO1193" s="15"/>
      <c r="AP1193" s="15"/>
      <c r="AQ1193" s="15"/>
      <c r="AR1193" s="15"/>
      <c r="AS1193" s="15"/>
      <c r="AT1193" s="15"/>
      <c r="AU1193" s="15"/>
      <c r="AV1193" s="15"/>
      <c r="AW1193" s="15"/>
    </row>
    <row r="1194" spans="3:49" x14ac:dyDescent="0.2">
      <c r="C1194" s="15"/>
      <c r="D1194" s="15"/>
      <c r="E1194" s="15"/>
      <c r="F1194" s="15"/>
      <c r="G1194" s="15"/>
      <c r="H1194" s="15"/>
      <c r="I1194" s="15"/>
      <c r="J1194" s="15"/>
      <c r="K1194" s="15"/>
      <c r="L1194" s="28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5"/>
      <c r="AG1194" s="15"/>
      <c r="AH1194" s="15"/>
      <c r="AI1194" s="15"/>
      <c r="AJ1194" s="15"/>
      <c r="AK1194" s="15"/>
      <c r="AL1194" s="15"/>
      <c r="AM1194" s="15"/>
      <c r="AN1194" s="15"/>
      <c r="AO1194" s="15"/>
      <c r="AP1194" s="15"/>
      <c r="AQ1194" s="15"/>
      <c r="AR1194" s="15"/>
      <c r="AS1194" s="15"/>
      <c r="AT1194" s="15"/>
      <c r="AU1194" s="15"/>
      <c r="AV1194" s="15"/>
      <c r="AW1194" s="15"/>
    </row>
    <row r="1195" spans="3:49" x14ac:dyDescent="0.2">
      <c r="C1195" s="15"/>
      <c r="D1195" s="15"/>
      <c r="E1195" s="15"/>
      <c r="F1195" s="15"/>
      <c r="G1195" s="15"/>
      <c r="H1195" s="15"/>
      <c r="I1195" s="15"/>
      <c r="J1195" s="15"/>
      <c r="K1195" s="15"/>
      <c r="L1195" s="28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5"/>
      <c r="AG1195" s="15"/>
      <c r="AH1195" s="15"/>
      <c r="AI1195" s="15"/>
      <c r="AJ1195" s="15"/>
      <c r="AK1195" s="15"/>
      <c r="AL1195" s="15"/>
      <c r="AM1195" s="15"/>
      <c r="AN1195" s="15"/>
      <c r="AO1195" s="15"/>
      <c r="AP1195" s="15"/>
      <c r="AQ1195" s="15"/>
      <c r="AR1195" s="15"/>
      <c r="AS1195" s="15"/>
      <c r="AT1195" s="15"/>
      <c r="AU1195" s="15"/>
      <c r="AV1195" s="15"/>
      <c r="AW1195" s="15"/>
    </row>
    <row r="1196" spans="3:49" x14ac:dyDescent="0.2">
      <c r="C1196" s="15"/>
      <c r="D1196" s="15"/>
      <c r="E1196" s="15"/>
      <c r="F1196" s="15"/>
      <c r="G1196" s="15"/>
      <c r="H1196" s="15"/>
      <c r="I1196" s="15"/>
      <c r="J1196" s="15"/>
      <c r="K1196" s="15"/>
      <c r="L1196" s="28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5"/>
      <c r="AG1196" s="15"/>
      <c r="AH1196" s="15"/>
      <c r="AI1196" s="15"/>
      <c r="AJ1196" s="15"/>
      <c r="AK1196" s="15"/>
      <c r="AL1196" s="15"/>
      <c r="AM1196" s="15"/>
      <c r="AN1196" s="15"/>
      <c r="AO1196" s="15"/>
      <c r="AP1196" s="15"/>
      <c r="AQ1196" s="15"/>
      <c r="AR1196" s="15"/>
      <c r="AS1196" s="15"/>
      <c r="AT1196" s="15"/>
      <c r="AU1196" s="15"/>
      <c r="AV1196" s="15"/>
      <c r="AW1196" s="15"/>
    </row>
    <row r="1197" spans="3:49" x14ac:dyDescent="0.2">
      <c r="C1197" s="15"/>
      <c r="D1197" s="15"/>
      <c r="E1197" s="15"/>
      <c r="F1197" s="15"/>
      <c r="G1197" s="15"/>
      <c r="H1197" s="15"/>
      <c r="I1197" s="15"/>
      <c r="J1197" s="15"/>
      <c r="K1197" s="15"/>
      <c r="L1197" s="28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5"/>
      <c r="AG1197" s="15"/>
      <c r="AH1197" s="15"/>
      <c r="AI1197" s="15"/>
      <c r="AJ1197" s="15"/>
      <c r="AK1197" s="15"/>
      <c r="AL1197" s="15"/>
      <c r="AM1197" s="15"/>
      <c r="AN1197" s="15"/>
      <c r="AO1197" s="15"/>
      <c r="AP1197" s="15"/>
      <c r="AQ1197" s="15"/>
      <c r="AR1197" s="15"/>
      <c r="AS1197" s="15"/>
      <c r="AT1197" s="15"/>
      <c r="AU1197" s="15"/>
      <c r="AV1197" s="15"/>
      <c r="AW1197" s="15"/>
    </row>
    <row r="1198" spans="3:49" x14ac:dyDescent="0.2">
      <c r="C1198" s="15"/>
      <c r="D1198" s="15"/>
      <c r="E1198" s="15"/>
      <c r="F1198" s="15"/>
      <c r="G1198" s="15"/>
      <c r="H1198" s="15"/>
      <c r="I1198" s="15"/>
      <c r="J1198" s="15"/>
      <c r="K1198" s="15"/>
      <c r="L1198" s="28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5"/>
      <c r="AG1198" s="15"/>
      <c r="AH1198" s="15"/>
      <c r="AI1198" s="15"/>
      <c r="AJ1198" s="15"/>
      <c r="AK1198" s="15"/>
      <c r="AL1198" s="15"/>
      <c r="AM1198" s="15"/>
      <c r="AN1198" s="15"/>
      <c r="AO1198" s="15"/>
      <c r="AP1198" s="15"/>
      <c r="AQ1198" s="15"/>
      <c r="AR1198" s="15"/>
      <c r="AS1198" s="15"/>
      <c r="AT1198" s="15"/>
      <c r="AU1198" s="15"/>
      <c r="AV1198" s="15"/>
      <c r="AW1198" s="15"/>
    </row>
    <row r="1199" spans="3:49" x14ac:dyDescent="0.2">
      <c r="C1199" s="15"/>
      <c r="D1199" s="15"/>
      <c r="E1199" s="15"/>
      <c r="F1199" s="15"/>
      <c r="G1199" s="15"/>
      <c r="H1199" s="15"/>
      <c r="I1199" s="15"/>
      <c r="J1199" s="15"/>
      <c r="K1199" s="15"/>
      <c r="L1199" s="28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5"/>
      <c r="AG1199" s="15"/>
      <c r="AH1199" s="15"/>
      <c r="AI1199" s="15"/>
      <c r="AJ1199" s="15"/>
      <c r="AK1199" s="15"/>
      <c r="AL1199" s="15"/>
      <c r="AM1199" s="15"/>
      <c r="AN1199" s="15"/>
      <c r="AO1199" s="15"/>
      <c r="AP1199" s="15"/>
      <c r="AQ1199" s="15"/>
      <c r="AR1199" s="15"/>
      <c r="AS1199" s="15"/>
      <c r="AT1199" s="15"/>
      <c r="AU1199" s="15"/>
      <c r="AV1199" s="15"/>
      <c r="AW1199" s="15"/>
    </row>
    <row r="1200" spans="3:49" x14ac:dyDescent="0.2">
      <c r="C1200" s="15"/>
      <c r="D1200" s="15"/>
      <c r="E1200" s="15"/>
      <c r="F1200" s="15"/>
      <c r="G1200" s="15"/>
      <c r="H1200" s="15"/>
      <c r="I1200" s="15"/>
      <c r="J1200" s="15"/>
      <c r="K1200" s="15"/>
      <c r="L1200" s="28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5"/>
      <c r="AG1200" s="15"/>
      <c r="AH1200" s="15"/>
      <c r="AI1200" s="15"/>
      <c r="AJ1200" s="15"/>
      <c r="AK1200" s="15"/>
      <c r="AL1200" s="15"/>
      <c r="AM1200" s="15"/>
      <c r="AN1200" s="15"/>
      <c r="AO1200" s="15"/>
      <c r="AP1200" s="15"/>
      <c r="AQ1200" s="15"/>
      <c r="AR1200" s="15"/>
      <c r="AS1200" s="15"/>
      <c r="AT1200" s="15"/>
      <c r="AU1200" s="15"/>
      <c r="AV1200" s="15"/>
      <c r="AW1200" s="15"/>
    </row>
    <row r="1201" spans="3:49" x14ac:dyDescent="0.2">
      <c r="C1201" s="15"/>
      <c r="D1201" s="15"/>
      <c r="E1201" s="15"/>
      <c r="F1201" s="15"/>
      <c r="G1201" s="15"/>
      <c r="H1201" s="15"/>
      <c r="I1201" s="15"/>
      <c r="J1201" s="15"/>
      <c r="K1201" s="15"/>
      <c r="L1201" s="28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5"/>
      <c r="AG1201" s="15"/>
      <c r="AH1201" s="15"/>
      <c r="AI1201" s="15"/>
      <c r="AJ1201" s="15"/>
      <c r="AK1201" s="15"/>
      <c r="AL1201" s="15"/>
      <c r="AM1201" s="15"/>
      <c r="AN1201" s="15"/>
      <c r="AO1201" s="15"/>
      <c r="AP1201" s="15"/>
      <c r="AQ1201" s="15"/>
      <c r="AR1201" s="15"/>
      <c r="AS1201" s="15"/>
      <c r="AT1201" s="15"/>
      <c r="AU1201" s="15"/>
      <c r="AV1201" s="15"/>
      <c r="AW1201" s="15"/>
    </row>
    <row r="1202" spans="3:49" x14ac:dyDescent="0.2">
      <c r="C1202" s="15"/>
      <c r="D1202" s="15"/>
      <c r="E1202" s="15"/>
      <c r="F1202" s="15"/>
      <c r="G1202" s="15"/>
      <c r="H1202" s="15"/>
      <c r="I1202" s="15"/>
      <c r="J1202" s="15"/>
      <c r="K1202" s="15"/>
      <c r="L1202" s="28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5"/>
      <c r="AG1202" s="15"/>
      <c r="AH1202" s="15"/>
      <c r="AI1202" s="15"/>
      <c r="AJ1202" s="15"/>
      <c r="AK1202" s="15"/>
      <c r="AL1202" s="15"/>
      <c r="AM1202" s="15"/>
      <c r="AN1202" s="15"/>
      <c r="AO1202" s="15"/>
      <c r="AP1202" s="15"/>
      <c r="AQ1202" s="15"/>
      <c r="AR1202" s="15"/>
      <c r="AS1202" s="15"/>
      <c r="AT1202" s="15"/>
      <c r="AU1202" s="15"/>
      <c r="AV1202" s="15"/>
      <c r="AW1202" s="15"/>
    </row>
    <row r="1203" spans="3:49" x14ac:dyDescent="0.2">
      <c r="C1203" s="15"/>
      <c r="D1203" s="15"/>
      <c r="E1203" s="15"/>
      <c r="F1203" s="15"/>
      <c r="G1203" s="15"/>
      <c r="H1203" s="15"/>
      <c r="I1203" s="15"/>
      <c r="J1203" s="15"/>
      <c r="K1203" s="15"/>
      <c r="L1203" s="28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5"/>
      <c r="AG1203" s="15"/>
      <c r="AH1203" s="15"/>
      <c r="AI1203" s="15"/>
      <c r="AJ1203" s="15"/>
      <c r="AK1203" s="15"/>
      <c r="AL1203" s="15"/>
      <c r="AM1203" s="15"/>
      <c r="AN1203" s="15"/>
      <c r="AO1203" s="15"/>
      <c r="AP1203" s="15"/>
      <c r="AQ1203" s="15"/>
      <c r="AR1203" s="15"/>
      <c r="AS1203" s="15"/>
      <c r="AT1203" s="15"/>
      <c r="AU1203" s="15"/>
      <c r="AV1203" s="15"/>
      <c r="AW1203" s="15"/>
    </row>
    <row r="1204" spans="3:49" x14ac:dyDescent="0.2">
      <c r="C1204" s="15"/>
      <c r="D1204" s="15"/>
      <c r="E1204" s="15"/>
      <c r="F1204" s="15"/>
      <c r="G1204" s="15"/>
      <c r="H1204" s="15"/>
      <c r="I1204" s="15"/>
      <c r="J1204" s="15"/>
      <c r="K1204" s="15"/>
      <c r="L1204" s="28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5"/>
      <c r="AG1204" s="15"/>
      <c r="AH1204" s="15"/>
      <c r="AI1204" s="15"/>
      <c r="AJ1204" s="15"/>
      <c r="AK1204" s="15"/>
      <c r="AL1204" s="15"/>
      <c r="AM1204" s="15"/>
      <c r="AN1204" s="15"/>
      <c r="AO1204" s="15"/>
      <c r="AP1204" s="15"/>
      <c r="AQ1204" s="15"/>
      <c r="AR1204" s="15"/>
      <c r="AS1204" s="15"/>
      <c r="AT1204" s="15"/>
      <c r="AU1204" s="15"/>
      <c r="AV1204" s="15"/>
      <c r="AW1204" s="15"/>
    </row>
    <row r="1205" spans="3:49" x14ac:dyDescent="0.2">
      <c r="C1205" s="15"/>
      <c r="D1205" s="15"/>
      <c r="E1205" s="15"/>
      <c r="F1205" s="15"/>
      <c r="G1205" s="15"/>
      <c r="H1205" s="15"/>
      <c r="I1205" s="15"/>
      <c r="J1205" s="15"/>
      <c r="K1205" s="15"/>
      <c r="L1205" s="28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5"/>
      <c r="AG1205" s="15"/>
      <c r="AH1205" s="15"/>
      <c r="AI1205" s="15"/>
      <c r="AJ1205" s="15"/>
      <c r="AK1205" s="15"/>
      <c r="AL1205" s="15"/>
      <c r="AM1205" s="15"/>
      <c r="AN1205" s="15"/>
      <c r="AO1205" s="15"/>
      <c r="AP1205" s="15"/>
      <c r="AQ1205" s="15"/>
      <c r="AR1205" s="15"/>
      <c r="AS1205" s="15"/>
      <c r="AT1205" s="15"/>
      <c r="AU1205" s="15"/>
      <c r="AV1205" s="15"/>
      <c r="AW1205" s="15"/>
    </row>
    <row r="1206" spans="3:49" x14ac:dyDescent="0.2">
      <c r="C1206" s="15"/>
      <c r="D1206" s="15"/>
      <c r="E1206" s="15"/>
      <c r="F1206" s="15"/>
      <c r="G1206" s="15"/>
      <c r="H1206" s="15"/>
      <c r="I1206" s="15"/>
      <c r="J1206" s="15"/>
      <c r="K1206" s="15"/>
      <c r="L1206" s="28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5"/>
      <c r="AG1206" s="15"/>
      <c r="AH1206" s="15"/>
      <c r="AI1206" s="15"/>
      <c r="AJ1206" s="15"/>
      <c r="AK1206" s="15"/>
      <c r="AL1206" s="15"/>
      <c r="AM1206" s="15"/>
      <c r="AN1206" s="15"/>
      <c r="AO1206" s="15"/>
      <c r="AP1206" s="15"/>
      <c r="AQ1206" s="15"/>
      <c r="AR1206" s="15"/>
      <c r="AS1206" s="15"/>
      <c r="AT1206" s="15"/>
      <c r="AU1206" s="15"/>
      <c r="AV1206" s="15"/>
      <c r="AW1206" s="15"/>
    </row>
    <row r="1207" spans="3:49" x14ac:dyDescent="0.2">
      <c r="C1207" s="15"/>
      <c r="D1207" s="15"/>
      <c r="E1207" s="15"/>
      <c r="F1207" s="15"/>
      <c r="G1207" s="15"/>
      <c r="H1207" s="15"/>
      <c r="I1207" s="15"/>
      <c r="J1207" s="15"/>
      <c r="K1207" s="15"/>
      <c r="L1207" s="28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5"/>
      <c r="AG1207" s="15"/>
      <c r="AH1207" s="15"/>
      <c r="AI1207" s="15"/>
      <c r="AJ1207" s="15"/>
      <c r="AK1207" s="15"/>
      <c r="AL1207" s="15"/>
      <c r="AM1207" s="15"/>
      <c r="AN1207" s="15"/>
      <c r="AO1207" s="15"/>
      <c r="AP1207" s="15"/>
      <c r="AQ1207" s="15"/>
      <c r="AR1207" s="15"/>
      <c r="AS1207" s="15"/>
      <c r="AT1207" s="15"/>
      <c r="AU1207" s="15"/>
      <c r="AV1207" s="15"/>
      <c r="AW1207" s="15"/>
    </row>
    <row r="1208" spans="3:49" x14ac:dyDescent="0.2">
      <c r="C1208" s="15"/>
      <c r="D1208" s="15"/>
      <c r="E1208" s="15"/>
      <c r="F1208" s="15"/>
      <c r="G1208" s="15"/>
      <c r="H1208" s="15"/>
      <c r="I1208" s="15"/>
      <c r="J1208" s="15"/>
      <c r="K1208" s="15"/>
      <c r="L1208" s="28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5"/>
      <c r="AG1208" s="15"/>
      <c r="AH1208" s="15"/>
      <c r="AI1208" s="15"/>
      <c r="AJ1208" s="15"/>
      <c r="AK1208" s="15"/>
      <c r="AL1208" s="15"/>
      <c r="AM1208" s="15"/>
      <c r="AN1208" s="15"/>
      <c r="AO1208" s="15"/>
      <c r="AP1208" s="15"/>
      <c r="AQ1208" s="15"/>
      <c r="AR1208" s="15"/>
      <c r="AS1208" s="15"/>
      <c r="AT1208" s="15"/>
      <c r="AU1208" s="15"/>
      <c r="AV1208" s="15"/>
      <c r="AW1208" s="15"/>
    </row>
    <row r="1209" spans="3:49" x14ac:dyDescent="0.2">
      <c r="C1209" s="15"/>
      <c r="D1209" s="15"/>
      <c r="E1209" s="15"/>
      <c r="F1209" s="15"/>
      <c r="G1209" s="15"/>
      <c r="H1209" s="15"/>
      <c r="I1209" s="15"/>
      <c r="J1209" s="15"/>
      <c r="K1209" s="15"/>
      <c r="L1209" s="28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5"/>
      <c r="AG1209" s="15"/>
      <c r="AH1209" s="15"/>
      <c r="AI1209" s="15"/>
      <c r="AJ1209" s="15"/>
      <c r="AK1209" s="15"/>
      <c r="AL1209" s="15"/>
      <c r="AM1209" s="15"/>
      <c r="AN1209" s="15"/>
      <c r="AO1209" s="15"/>
      <c r="AP1209" s="15"/>
      <c r="AQ1209" s="15"/>
      <c r="AR1209" s="15"/>
      <c r="AS1209" s="15"/>
      <c r="AT1209" s="15"/>
      <c r="AU1209" s="15"/>
      <c r="AV1209" s="15"/>
      <c r="AW1209" s="15"/>
    </row>
    <row r="1210" spans="3:49" x14ac:dyDescent="0.2">
      <c r="C1210" s="15"/>
      <c r="D1210" s="15"/>
      <c r="E1210" s="15"/>
      <c r="F1210" s="15"/>
      <c r="G1210" s="15"/>
      <c r="H1210" s="15"/>
      <c r="I1210" s="15"/>
      <c r="J1210" s="15"/>
      <c r="K1210" s="15"/>
      <c r="L1210" s="28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5"/>
      <c r="AG1210" s="15"/>
      <c r="AH1210" s="15"/>
      <c r="AI1210" s="15"/>
      <c r="AJ1210" s="15"/>
      <c r="AK1210" s="15"/>
      <c r="AL1210" s="15"/>
      <c r="AM1210" s="15"/>
      <c r="AN1210" s="15"/>
      <c r="AO1210" s="15"/>
      <c r="AP1210" s="15"/>
      <c r="AQ1210" s="15"/>
      <c r="AR1210" s="15"/>
      <c r="AS1210" s="15"/>
      <c r="AT1210" s="15"/>
      <c r="AU1210" s="15"/>
      <c r="AV1210" s="15"/>
      <c r="AW1210" s="15"/>
    </row>
    <row r="1211" spans="3:49" x14ac:dyDescent="0.2">
      <c r="C1211" s="15"/>
      <c r="D1211" s="15"/>
      <c r="E1211" s="15"/>
      <c r="F1211" s="15"/>
      <c r="G1211" s="15"/>
      <c r="H1211" s="15"/>
      <c r="I1211" s="15"/>
      <c r="J1211" s="15"/>
      <c r="K1211" s="15"/>
      <c r="L1211" s="28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5"/>
      <c r="AG1211" s="15"/>
      <c r="AH1211" s="15"/>
      <c r="AI1211" s="15"/>
      <c r="AJ1211" s="15"/>
      <c r="AK1211" s="15"/>
      <c r="AL1211" s="15"/>
      <c r="AM1211" s="15"/>
      <c r="AN1211" s="15"/>
      <c r="AO1211" s="15"/>
      <c r="AP1211" s="15"/>
      <c r="AQ1211" s="15"/>
      <c r="AR1211" s="15"/>
      <c r="AS1211" s="15"/>
      <c r="AT1211" s="15"/>
      <c r="AU1211" s="15"/>
      <c r="AV1211" s="15"/>
      <c r="AW1211" s="15"/>
    </row>
    <row r="1212" spans="3:49" x14ac:dyDescent="0.2">
      <c r="C1212" s="15"/>
      <c r="D1212" s="15"/>
      <c r="E1212" s="15"/>
      <c r="F1212" s="15"/>
      <c r="G1212" s="15"/>
      <c r="H1212" s="15"/>
      <c r="I1212" s="15"/>
      <c r="J1212" s="15"/>
      <c r="K1212" s="15"/>
      <c r="L1212" s="28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5"/>
      <c r="AG1212" s="15"/>
      <c r="AH1212" s="15"/>
      <c r="AI1212" s="15"/>
      <c r="AJ1212" s="15"/>
      <c r="AK1212" s="15"/>
      <c r="AL1212" s="15"/>
      <c r="AM1212" s="15"/>
      <c r="AN1212" s="15"/>
      <c r="AO1212" s="15"/>
      <c r="AP1212" s="15"/>
      <c r="AQ1212" s="15"/>
      <c r="AR1212" s="15"/>
      <c r="AS1212" s="15"/>
      <c r="AT1212" s="15"/>
      <c r="AU1212" s="15"/>
      <c r="AV1212" s="15"/>
      <c r="AW1212" s="15"/>
    </row>
    <row r="1213" spans="3:49" x14ac:dyDescent="0.2">
      <c r="C1213" s="15"/>
      <c r="D1213" s="15"/>
      <c r="E1213" s="15"/>
      <c r="F1213" s="15"/>
      <c r="G1213" s="15"/>
      <c r="H1213" s="15"/>
      <c r="I1213" s="15"/>
      <c r="J1213" s="15"/>
      <c r="K1213" s="15"/>
      <c r="L1213" s="28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5"/>
      <c r="AG1213" s="15"/>
      <c r="AH1213" s="15"/>
      <c r="AI1213" s="15"/>
      <c r="AJ1213" s="15"/>
      <c r="AK1213" s="15"/>
      <c r="AL1213" s="15"/>
      <c r="AM1213" s="15"/>
      <c r="AN1213" s="15"/>
      <c r="AO1213" s="15"/>
      <c r="AP1213" s="15"/>
      <c r="AQ1213" s="15"/>
      <c r="AR1213" s="15"/>
      <c r="AS1213" s="15"/>
      <c r="AT1213" s="15"/>
      <c r="AU1213" s="15"/>
      <c r="AV1213" s="15"/>
      <c r="AW1213" s="15"/>
    </row>
    <row r="1214" spans="3:49" x14ac:dyDescent="0.2">
      <c r="C1214" s="15"/>
      <c r="D1214" s="15"/>
      <c r="E1214" s="15"/>
      <c r="F1214" s="15"/>
      <c r="G1214" s="15"/>
      <c r="H1214" s="15"/>
      <c r="I1214" s="15"/>
      <c r="J1214" s="15"/>
      <c r="K1214" s="15"/>
      <c r="L1214" s="28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5"/>
      <c r="AG1214" s="15"/>
      <c r="AH1214" s="15"/>
      <c r="AI1214" s="15"/>
      <c r="AJ1214" s="15"/>
      <c r="AK1214" s="15"/>
      <c r="AL1214" s="15"/>
      <c r="AM1214" s="15"/>
      <c r="AN1214" s="15"/>
      <c r="AO1214" s="15"/>
      <c r="AP1214" s="15"/>
      <c r="AQ1214" s="15"/>
      <c r="AR1214" s="15"/>
      <c r="AS1214" s="15"/>
      <c r="AT1214" s="15"/>
      <c r="AU1214" s="15"/>
      <c r="AV1214" s="15"/>
      <c r="AW1214" s="15"/>
    </row>
    <row r="1215" spans="3:49" x14ac:dyDescent="0.2">
      <c r="C1215" s="15"/>
      <c r="D1215" s="15"/>
      <c r="E1215" s="15"/>
      <c r="F1215" s="15"/>
      <c r="G1215" s="15"/>
      <c r="H1215" s="15"/>
      <c r="I1215" s="15"/>
      <c r="J1215" s="15"/>
      <c r="K1215" s="15"/>
      <c r="L1215" s="28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5"/>
      <c r="AG1215" s="15"/>
      <c r="AH1215" s="15"/>
      <c r="AI1215" s="15"/>
      <c r="AJ1215" s="15"/>
      <c r="AK1215" s="15"/>
      <c r="AL1215" s="15"/>
      <c r="AM1215" s="15"/>
      <c r="AN1215" s="15"/>
      <c r="AO1215" s="15"/>
      <c r="AP1215" s="15"/>
      <c r="AQ1215" s="15"/>
      <c r="AR1215" s="15"/>
      <c r="AS1215" s="15"/>
      <c r="AT1215" s="15"/>
      <c r="AU1215" s="15"/>
      <c r="AV1215" s="15"/>
      <c r="AW1215" s="15"/>
    </row>
    <row r="1216" spans="3:49" x14ac:dyDescent="0.2">
      <c r="C1216" s="15"/>
      <c r="D1216" s="15"/>
      <c r="E1216" s="15"/>
      <c r="F1216" s="15"/>
      <c r="G1216" s="15"/>
      <c r="H1216" s="15"/>
      <c r="I1216" s="15"/>
      <c r="J1216" s="15"/>
      <c r="K1216" s="15"/>
      <c r="L1216" s="28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5"/>
      <c r="AG1216" s="15"/>
      <c r="AH1216" s="15"/>
      <c r="AI1216" s="15"/>
      <c r="AJ1216" s="15"/>
      <c r="AK1216" s="15"/>
      <c r="AL1216" s="15"/>
      <c r="AM1216" s="15"/>
      <c r="AN1216" s="15"/>
      <c r="AO1216" s="15"/>
      <c r="AP1216" s="15"/>
      <c r="AQ1216" s="15"/>
      <c r="AR1216" s="15"/>
      <c r="AS1216" s="15"/>
      <c r="AT1216" s="15"/>
      <c r="AU1216" s="15"/>
      <c r="AV1216" s="15"/>
      <c r="AW1216" s="15"/>
    </row>
    <row r="1217" spans="3:49" x14ac:dyDescent="0.2">
      <c r="C1217" s="15"/>
      <c r="D1217" s="15"/>
      <c r="E1217" s="15"/>
      <c r="F1217" s="15"/>
      <c r="G1217" s="15"/>
      <c r="H1217" s="15"/>
      <c r="I1217" s="15"/>
      <c r="J1217" s="15"/>
      <c r="K1217" s="15"/>
      <c r="L1217" s="28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5"/>
      <c r="AG1217" s="15"/>
      <c r="AH1217" s="15"/>
      <c r="AI1217" s="15"/>
      <c r="AJ1217" s="15"/>
      <c r="AK1217" s="15"/>
      <c r="AL1217" s="15"/>
      <c r="AM1217" s="15"/>
      <c r="AN1217" s="15"/>
      <c r="AO1217" s="15"/>
      <c r="AP1217" s="15"/>
      <c r="AQ1217" s="15"/>
      <c r="AR1217" s="15"/>
      <c r="AS1217" s="15"/>
      <c r="AT1217" s="15"/>
      <c r="AU1217" s="15"/>
      <c r="AV1217" s="15"/>
      <c r="AW1217" s="15"/>
    </row>
    <row r="1218" spans="3:49" x14ac:dyDescent="0.2">
      <c r="C1218" s="15"/>
      <c r="D1218" s="15"/>
      <c r="E1218" s="15"/>
      <c r="F1218" s="15"/>
      <c r="G1218" s="15"/>
      <c r="H1218" s="15"/>
      <c r="I1218" s="15"/>
      <c r="J1218" s="15"/>
      <c r="K1218" s="15"/>
      <c r="L1218" s="28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5"/>
      <c r="AG1218" s="15"/>
      <c r="AH1218" s="15"/>
      <c r="AI1218" s="15"/>
      <c r="AJ1218" s="15"/>
      <c r="AK1218" s="15"/>
      <c r="AL1218" s="15"/>
      <c r="AM1218" s="15"/>
      <c r="AN1218" s="15"/>
      <c r="AO1218" s="15"/>
      <c r="AP1218" s="15"/>
      <c r="AQ1218" s="15"/>
      <c r="AR1218" s="15"/>
      <c r="AS1218" s="15"/>
      <c r="AT1218" s="15"/>
      <c r="AU1218" s="15"/>
      <c r="AV1218" s="15"/>
      <c r="AW1218" s="15"/>
    </row>
    <row r="1219" spans="3:49" x14ac:dyDescent="0.2">
      <c r="C1219" s="15"/>
      <c r="D1219" s="15"/>
      <c r="E1219" s="15"/>
      <c r="F1219" s="15"/>
      <c r="G1219" s="15"/>
      <c r="H1219" s="15"/>
      <c r="I1219" s="15"/>
      <c r="J1219" s="15"/>
      <c r="K1219" s="15"/>
      <c r="L1219" s="28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5"/>
      <c r="AG1219" s="15"/>
      <c r="AH1219" s="15"/>
      <c r="AI1219" s="15"/>
      <c r="AJ1219" s="15"/>
      <c r="AK1219" s="15"/>
      <c r="AL1219" s="15"/>
      <c r="AM1219" s="15"/>
      <c r="AN1219" s="15"/>
      <c r="AO1219" s="15"/>
      <c r="AP1219" s="15"/>
      <c r="AQ1219" s="15"/>
      <c r="AR1219" s="15"/>
      <c r="AS1219" s="15"/>
      <c r="AT1219" s="15"/>
      <c r="AU1219" s="15"/>
      <c r="AV1219" s="15"/>
      <c r="AW1219" s="15"/>
    </row>
    <row r="1220" spans="3:49" x14ac:dyDescent="0.2">
      <c r="C1220" s="15"/>
      <c r="D1220" s="15"/>
      <c r="E1220" s="15"/>
      <c r="F1220" s="15"/>
      <c r="G1220" s="15"/>
      <c r="H1220" s="15"/>
      <c r="I1220" s="15"/>
      <c r="J1220" s="15"/>
      <c r="K1220" s="15"/>
      <c r="L1220" s="28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5"/>
      <c r="AG1220" s="15"/>
      <c r="AH1220" s="15"/>
      <c r="AI1220" s="15"/>
      <c r="AJ1220" s="15"/>
      <c r="AK1220" s="15"/>
      <c r="AL1220" s="15"/>
      <c r="AM1220" s="15"/>
      <c r="AN1220" s="15"/>
      <c r="AO1220" s="15"/>
      <c r="AP1220" s="15"/>
      <c r="AQ1220" s="15"/>
      <c r="AR1220" s="15"/>
      <c r="AS1220" s="15"/>
      <c r="AT1220" s="15"/>
      <c r="AU1220" s="15"/>
      <c r="AV1220" s="15"/>
      <c r="AW1220" s="15"/>
    </row>
    <row r="1221" spans="3:49" x14ac:dyDescent="0.2">
      <c r="C1221" s="15"/>
      <c r="D1221" s="15"/>
      <c r="E1221" s="15"/>
      <c r="F1221" s="15"/>
      <c r="G1221" s="15"/>
      <c r="H1221" s="15"/>
      <c r="I1221" s="15"/>
      <c r="J1221" s="15"/>
      <c r="K1221" s="15"/>
      <c r="L1221" s="28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5"/>
      <c r="AG1221" s="15"/>
      <c r="AH1221" s="15"/>
      <c r="AI1221" s="15"/>
      <c r="AJ1221" s="15"/>
      <c r="AK1221" s="15"/>
      <c r="AL1221" s="15"/>
      <c r="AM1221" s="15"/>
      <c r="AN1221" s="15"/>
      <c r="AO1221" s="15"/>
      <c r="AP1221" s="15"/>
      <c r="AQ1221" s="15"/>
      <c r="AR1221" s="15"/>
      <c r="AS1221" s="15"/>
      <c r="AT1221" s="15"/>
      <c r="AU1221" s="15"/>
      <c r="AV1221" s="15"/>
      <c r="AW1221" s="15"/>
    </row>
    <row r="1222" spans="3:49" x14ac:dyDescent="0.2">
      <c r="C1222" s="15"/>
      <c r="D1222" s="15"/>
      <c r="E1222" s="15"/>
      <c r="F1222" s="15"/>
      <c r="G1222" s="15"/>
      <c r="H1222" s="15"/>
      <c r="I1222" s="15"/>
      <c r="J1222" s="15"/>
      <c r="K1222" s="15"/>
      <c r="L1222" s="28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5"/>
      <c r="AG1222" s="15"/>
      <c r="AH1222" s="15"/>
      <c r="AI1222" s="15"/>
      <c r="AJ1222" s="15"/>
      <c r="AK1222" s="15"/>
      <c r="AL1222" s="15"/>
      <c r="AM1222" s="15"/>
      <c r="AN1222" s="15"/>
      <c r="AO1222" s="15"/>
      <c r="AP1222" s="15"/>
      <c r="AQ1222" s="15"/>
      <c r="AR1222" s="15"/>
      <c r="AS1222" s="15"/>
      <c r="AT1222" s="15"/>
      <c r="AU1222" s="15"/>
      <c r="AV1222" s="15"/>
      <c r="AW1222" s="15"/>
    </row>
    <row r="1223" spans="3:49" x14ac:dyDescent="0.2">
      <c r="C1223" s="15"/>
      <c r="D1223" s="15"/>
      <c r="E1223" s="15"/>
      <c r="F1223" s="15"/>
      <c r="G1223" s="15"/>
      <c r="H1223" s="15"/>
      <c r="I1223" s="15"/>
      <c r="J1223" s="15"/>
      <c r="K1223" s="15"/>
      <c r="L1223" s="28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5"/>
      <c r="AG1223" s="15"/>
      <c r="AH1223" s="15"/>
      <c r="AI1223" s="15"/>
      <c r="AJ1223" s="15"/>
      <c r="AK1223" s="15"/>
      <c r="AL1223" s="15"/>
      <c r="AM1223" s="15"/>
      <c r="AN1223" s="15"/>
      <c r="AO1223" s="15"/>
      <c r="AP1223" s="15"/>
      <c r="AQ1223" s="15"/>
      <c r="AR1223" s="15"/>
      <c r="AS1223" s="15"/>
      <c r="AT1223" s="15"/>
      <c r="AU1223" s="15"/>
      <c r="AV1223" s="15"/>
      <c r="AW1223" s="15"/>
    </row>
    <row r="1224" spans="3:49" x14ac:dyDescent="0.2">
      <c r="C1224" s="15"/>
      <c r="D1224" s="15"/>
      <c r="E1224" s="15"/>
      <c r="F1224" s="15"/>
      <c r="G1224" s="15"/>
      <c r="H1224" s="15"/>
      <c r="I1224" s="15"/>
      <c r="J1224" s="15"/>
      <c r="K1224" s="15"/>
      <c r="L1224" s="28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5"/>
      <c r="AG1224" s="15"/>
      <c r="AH1224" s="15"/>
      <c r="AI1224" s="15"/>
      <c r="AJ1224" s="15"/>
      <c r="AK1224" s="15"/>
      <c r="AL1224" s="15"/>
      <c r="AM1224" s="15"/>
      <c r="AN1224" s="15"/>
      <c r="AO1224" s="15"/>
      <c r="AP1224" s="15"/>
      <c r="AQ1224" s="15"/>
      <c r="AR1224" s="15"/>
      <c r="AS1224" s="15"/>
      <c r="AT1224" s="15"/>
      <c r="AU1224" s="15"/>
      <c r="AV1224" s="15"/>
      <c r="AW1224" s="15"/>
    </row>
    <row r="1225" spans="3:49" x14ac:dyDescent="0.2">
      <c r="C1225" s="15"/>
      <c r="D1225" s="15"/>
      <c r="E1225" s="15"/>
      <c r="F1225" s="15"/>
      <c r="G1225" s="15"/>
      <c r="H1225" s="15"/>
      <c r="I1225" s="15"/>
      <c r="J1225" s="15"/>
      <c r="K1225" s="15"/>
      <c r="L1225" s="28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5"/>
      <c r="AG1225" s="15"/>
      <c r="AH1225" s="15"/>
      <c r="AI1225" s="15"/>
      <c r="AJ1225" s="15"/>
      <c r="AK1225" s="15"/>
      <c r="AL1225" s="15"/>
      <c r="AM1225" s="15"/>
      <c r="AN1225" s="15"/>
      <c r="AO1225" s="15"/>
      <c r="AP1225" s="15"/>
      <c r="AQ1225" s="15"/>
      <c r="AR1225" s="15"/>
      <c r="AS1225" s="15"/>
      <c r="AT1225" s="15"/>
      <c r="AU1225" s="15"/>
      <c r="AV1225" s="15"/>
      <c r="AW1225" s="15"/>
    </row>
    <row r="1226" spans="3:49" x14ac:dyDescent="0.2">
      <c r="C1226" s="15"/>
      <c r="D1226" s="15"/>
      <c r="E1226" s="15"/>
      <c r="F1226" s="15"/>
      <c r="G1226" s="15"/>
      <c r="H1226" s="15"/>
      <c r="I1226" s="15"/>
      <c r="J1226" s="15"/>
      <c r="K1226" s="15"/>
      <c r="L1226" s="28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5"/>
      <c r="AG1226" s="15"/>
      <c r="AH1226" s="15"/>
      <c r="AI1226" s="15"/>
      <c r="AJ1226" s="15"/>
      <c r="AK1226" s="15"/>
      <c r="AL1226" s="15"/>
      <c r="AM1226" s="15"/>
      <c r="AN1226" s="15"/>
      <c r="AO1226" s="15"/>
      <c r="AP1226" s="15"/>
      <c r="AQ1226" s="15"/>
      <c r="AR1226" s="15"/>
      <c r="AS1226" s="15"/>
      <c r="AT1226" s="15"/>
      <c r="AU1226" s="15"/>
      <c r="AV1226" s="15"/>
      <c r="AW1226" s="15"/>
    </row>
    <row r="1227" spans="3:49" x14ac:dyDescent="0.2">
      <c r="C1227" s="15"/>
      <c r="D1227" s="15"/>
      <c r="E1227" s="15"/>
      <c r="F1227" s="15"/>
      <c r="G1227" s="15"/>
      <c r="H1227" s="15"/>
      <c r="I1227" s="15"/>
      <c r="J1227" s="15"/>
      <c r="K1227" s="15"/>
      <c r="L1227" s="28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5"/>
      <c r="AG1227" s="15"/>
      <c r="AH1227" s="15"/>
      <c r="AI1227" s="15"/>
      <c r="AJ1227" s="15"/>
      <c r="AK1227" s="15"/>
      <c r="AL1227" s="15"/>
      <c r="AM1227" s="15"/>
      <c r="AN1227" s="15"/>
      <c r="AO1227" s="15"/>
      <c r="AP1227" s="15"/>
      <c r="AQ1227" s="15"/>
      <c r="AR1227" s="15"/>
      <c r="AS1227" s="15"/>
      <c r="AT1227" s="15"/>
      <c r="AU1227" s="15"/>
      <c r="AV1227" s="15"/>
      <c r="AW1227" s="15"/>
    </row>
    <row r="1228" spans="3:49" x14ac:dyDescent="0.2">
      <c r="C1228" s="15"/>
      <c r="D1228" s="15"/>
      <c r="E1228" s="15"/>
      <c r="F1228" s="15"/>
      <c r="G1228" s="15"/>
      <c r="H1228" s="15"/>
      <c r="I1228" s="15"/>
      <c r="J1228" s="15"/>
      <c r="K1228" s="15"/>
      <c r="L1228" s="28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5"/>
      <c r="AG1228" s="15"/>
      <c r="AH1228" s="15"/>
      <c r="AI1228" s="15"/>
      <c r="AJ1228" s="15"/>
      <c r="AK1228" s="15"/>
      <c r="AL1228" s="15"/>
      <c r="AM1228" s="15"/>
      <c r="AN1228" s="15"/>
      <c r="AO1228" s="15"/>
      <c r="AP1228" s="15"/>
      <c r="AQ1228" s="15"/>
      <c r="AR1228" s="15"/>
      <c r="AS1228" s="15"/>
      <c r="AT1228" s="15"/>
      <c r="AU1228" s="15"/>
      <c r="AV1228" s="15"/>
      <c r="AW1228" s="15"/>
    </row>
    <row r="1229" spans="3:49" x14ac:dyDescent="0.2">
      <c r="C1229" s="15"/>
      <c r="D1229" s="15"/>
      <c r="E1229" s="15"/>
      <c r="F1229" s="15"/>
      <c r="G1229" s="15"/>
      <c r="H1229" s="15"/>
      <c r="I1229" s="15"/>
      <c r="J1229" s="15"/>
      <c r="K1229" s="15"/>
      <c r="L1229" s="28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5"/>
      <c r="AG1229" s="15"/>
      <c r="AH1229" s="15"/>
      <c r="AI1229" s="15"/>
      <c r="AJ1229" s="15"/>
      <c r="AK1229" s="15"/>
      <c r="AL1229" s="15"/>
      <c r="AM1229" s="15"/>
      <c r="AN1229" s="15"/>
      <c r="AO1229" s="15"/>
      <c r="AP1229" s="15"/>
      <c r="AQ1229" s="15"/>
      <c r="AR1229" s="15"/>
      <c r="AS1229" s="15"/>
      <c r="AT1229" s="15"/>
      <c r="AU1229" s="15"/>
      <c r="AV1229" s="15"/>
      <c r="AW1229" s="15"/>
    </row>
    <row r="1230" spans="3:49" x14ac:dyDescent="0.2">
      <c r="C1230" s="15"/>
      <c r="D1230" s="15"/>
      <c r="E1230" s="15"/>
      <c r="F1230" s="15"/>
      <c r="G1230" s="15"/>
      <c r="H1230" s="15"/>
      <c r="I1230" s="15"/>
      <c r="J1230" s="15"/>
      <c r="K1230" s="15"/>
      <c r="L1230" s="28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5"/>
      <c r="AG1230" s="15"/>
      <c r="AH1230" s="15"/>
      <c r="AI1230" s="15"/>
      <c r="AJ1230" s="15"/>
      <c r="AK1230" s="15"/>
      <c r="AL1230" s="15"/>
      <c r="AM1230" s="15"/>
      <c r="AN1230" s="15"/>
      <c r="AO1230" s="15"/>
      <c r="AP1230" s="15"/>
      <c r="AQ1230" s="15"/>
      <c r="AR1230" s="15"/>
      <c r="AS1230" s="15"/>
      <c r="AT1230" s="15"/>
      <c r="AU1230" s="15"/>
      <c r="AV1230" s="15"/>
      <c r="AW1230" s="15"/>
    </row>
    <row r="1231" spans="3:49" x14ac:dyDescent="0.2">
      <c r="C1231" s="15"/>
      <c r="D1231" s="15"/>
      <c r="E1231" s="15"/>
      <c r="F1231" s="15"/>
      <c r="G1231" s="15"/>
      <c r="H1231" s="15"/>
      <c r="I1231" s="15"/>
      <c r="J1231" s="15"/>
      <c r="K1231" s="15"/>
      <c r="L1231" s="28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5"/>
      <c r="AG1231" s="15"/>
      <c r="AH1231" s="15"/>
      <c r="AI1231" s="15"/>
      <c r="AJ1231" s="15"/>
      <c r="AK1231" s="15"/>
      <c r="AL1231" s="15"/>
      <c r="AM1231" s="15"/>
      <c r="AN1231" s="15"/>
      <c r="AO1231" s="15"/>
      <c r="AP1231" s="15"/>
      <c r="AQ1231" s="15"/>
      <c r="AR1231" s="15"/>
      <c r="AS1231" s="15"/>
      <c r="AT1231" s="15"/>
      <c r="AU1231" s="15"/>
      <c r="AV1231" s="15"/>
      <c r="AW1231" s="15"/>
    </row>
    <row r="1232" spans="3:49" x14ac:dyDescent="0.2">
      <c r="C1232" s="15"/>
      <c r="D1232" s="15"/>
      <c r="E1232" s="15"/>
      <c r="F1232" s="15"/>
      <c r="G1232" s="15"/>
      <c r="H1232" s="15"/>
      <c r="I1232" s="15"/>
      <c r="J1232" s="15"/>
      <c r="K1232" s="15"/>
      <c r="L1232" s="28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5"/>
      <c r="AG1232" s="15"/>
      <c r="AH1232" s="15"/>
      <c r="AI1232" s="15"/>
      <c r="AJ1232" s="15"/>
      <c r="AK1232" s="15"/>
      <c r="AL1232" s="15"/>
      <c r="AM1232" s="15"/>
      <c r="AN1232" s="15"/>
      <c r="AO1232" s="15"/>
      <c r="AP1232" s="15"/>
      <c r="AQ1232" s="15"/>
      <c r="AR1232" s="15"/>
      <c r="AS1232" s="15"/>
      <c r="AT1232" s="15"/>
      <c r="AU1232" s="15"/>
      <c r="AV1232" s="15"/>
      <c r="AW1232" s="15"/>
    </row>
    <row r="1233" spans="3:49" x14ac:dyDescent="0.2">
      <c r="C1233" s="15"/>
      <c r="D1233" s="15"/>
      <c r="E1233" s="15"/>
      <c r="F1233" s="15"/>
      <c r="G1233" s="15"/>
      <c r="H1233" s="15"/>
      <c r="I1233" s="15"/>
      <c r="J1233" s="15"/>
      <c r="K1233" s="15"/>
      <c r="L1233" s="28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5"/>
      <c r="AG1233" s="15"/>
      <c r="AH1233" s="15"/>
      <c r="AI1233" s="15"/>
      <c r="AJ1233" s="15"/>
      <c r="AK1233" s="15"/>
      <c r="AL1233" s="15"/>
      <c r="AM1233" s="15"/>
      <c r="AN1233" s="15"/>
      <c r="AO1233" s="15"/>
      <c r="AP1233" s="15"/>
      <c r="AQ1233" s="15"/>
      <c r="AR1233" s="15"/>
      <c r="AS1233" s="15"/>
      <c r="AT1233" s="15"/>
      <c r="AU1233" s="15"/>
      <c r="AV1233" s="15"/>
      <c r="AW1233" s="15"/>
    </row>
    <row r="1234" spans="3:49" x14ac:dyDescent="0.2">
      <c r="C1234" s="15"/>
      <c r="D1234" s="15"/>
      <c r="E1234" s="15"/>
      <c r="F1234" s="15"/>
      <c r="G1234" s="15"/>
      <c r="H1234" s="15"/>
      <c r="I1234" s="15"/>
      <c r="J1234" s="15"/>
      <c r="K1234" s="15"/>
      <c r="L1234" s="28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5"/>
      <c r="AG1234" s="15"/>
      <c r="AH1234" s="15"/>
      <c r="AI1234" s="15"/>
      <c r="AJ1234" s="15"/>
      <c r="AK1234" s="15"/>
      <c r="AL1234" s="15"/>
      <c r="AM1234" s="15"/>
      <c r="AN1234" s="15"/>
      <c r="AO1234" s="15"/>
      <c r="AP1234" s="15"/>
      <c r="AQ1234" s="15"/>
      <c r="AR1234" s="15"/>
      <c r="AS1234" s="15"/>
      <c r="AT1234" s="15"/>
      <c r="AU1234" s="15"/>
      <c r="AV1234" s="15"/>
      <c r="AW1234" s="15"/>
    </row>
    <row r="1235" spans="3:49" x14ac:dyDescent="0.2">
      <c r="C1235" s="15"/>
      <c r="D1235" s="15"/>
      <c r="E1235" s="15"/>
      <c r="F1235" s="15"/>
      <c r="G1235" s="15"/>
      <c r="H1235" s="15"/>
      <c r="I1235" s="15"/>
      <c r="J1235" s="15"/>
      <c r="K1235" s="15"/>
      <c r="L1235" s="28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5"/>
      <c r="AG1235" s="15"/>
      <c r="AH1235" s="15"/>
      <c r="AI1235" s="15"/>
      <c r="AJ1235" s="15"/>
      <c r="AK1235" s="15"/>
      <c r="AL1235" s="15"/>
      <c r="AM1235" s="15"/>
      <c r="AN1235" s="15"/>
      <c r="AO1235" s="15"/>
      <c r="AP1235" s="15"/>
      <c r="AQ1235" s="15"/>
      <c r="AR1235" s="15"/>
      <c r="AS1235" s="15"/>
      <c r="AT1235" s="15"/>
      <c r="AU1235" s="15"/>
      <c r="AV1235" s="15"/>
      <c r="AW1235" s="15"/>
    </row>
    <row r="1236" spans="3:49" x14ac:dyDescent="0.2">
      <c r="C1236" s="15"/>
      <c r="D1236" s="15"/>
      <c r="E1236" s="15"/>
      <c r="F1236" s="15"/>
      <c r="G1236" s="15"/>
      <c r="H1236" s="15"/>
      <c r="I1236" s="15"/>
      <c r="J1236" s="15"/>
      <c r="K1236" s="15"/>
      <c r="L1236" s="28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5"/>
      <c r="AG1236" s="15"/>
      <c r="AH1236" s="15"/>
      <c r="AI1236" s="15"/>
      <c r="AJ1236" s="15"/>
      <c r="AK1236" s="15"/>
      <c r="AL1236" s="15"/>
      <c r="AM1236" s="15"/>
      <c r="AN1236" s="15"/>
      <c r="AO1236" s="15"/>
      <c r="AP1236" s="15"/>
      <c r="AQ1236" s="15"/>
      <c r="AR1236" s="15"/>
      <c r="AS1236" s="15"/>
      <c r="AT1236" s="15"/>
      <c r="AU1236" s="15"/>
      <c r="AV1236" s="15"/>
      <c r="AW1236" s="15"/>
    </row>
    <row r="1237" spans="3:49" x14ac:dyDescent="0.2">
      <c r="C1237" s="15"/>
      <c r="D1237" s="15"/>
      <c r="E1237" s="15"/>
      <c r="F1237" s="15"/>
      <c r="G1237" s="15"/>
      <c r="H1237" s="15"/>
      <c r="I1237" s="15"/>
      <c r="J1237" s="15"/>
      <c r="K1237" s="15"/>
      <c r="L1237" s="28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5"/>
      <c r="AG1237" s="15"/>
      <c r="AH1237" s="15"/>
      <c r="AI1237" s="15"/>
      <c r="AJ1237" s="15"/>
      <c r="AK1237" s="15"/>
      <c r="AL1237" s="15"/>
      <c r="AM1237" s="15"/>
      <c r="AN1237" s="15"/>
      <c r="AO1237" s="15"/>
      <c r="AP1237" s="15"/>
      <c r="AQ1237" s="15"/>
      <c r="AR1237" s="15"/>
      <c r="AS1237" s="15"/>
      <c r="AT1237" s="15"/>
      <c r="AU1237" s="15"/>
      <c r="AV1237" s="15"/>
      <c r="AW1237" s="15"/>
    </row>
    <row r="1238" spans="3:49" x14ac:dyDescent="0.2">
      <c r="C1238" s="15"/>
      <c r="D1238" s="15"/>
      <c r="E1238" s="15"/>
      <c r="F1238" s="15"/>
      <c r="G1238" s="15"/>
      <c r="H1238" s="15"/>
      <c r="I1238" s="15"/>
      <c r="J1238" s="15"/>
      <c r="K1238" s="15"/>
      <c r="L1238" s="28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5"/>
      <c r="AG1238" s="15"/>
      <c r="AH1238" s="15"/>
      <c r="AI1238" s="15"/>
      <c r="AJ1238" s="15"/>
      <c r="AK1238" s="15"/>
      <c r="AL1238" s="15"/>
      <c r="AM1238" s="15"/>
      <c r="AN1238" s="15"/>
      <c r="AO1238" s="15"/>
      <c r="AP1238" s="15"/>
      <c r="AQ1238" s="15"/>
      <c r="AR1238" s="15"/>
      <c r="AS1238" s="15"/>
      <c r="AT1238" s="15"/>
      <c r="AU1238" s="15"/>
      <c r="AV1238" s="15"/>
      <c r="AW1238" s="15"/>
    </row>
    <row r="1239" spans="3:49" x14ac:dyDescent="0.2">
      <c r="C1239" s="15"/>
      <c r="D1239" s="15"/>
      <c r="E1239" s="15"/>
      <c r="F1239" s="15"/>
      <c r="G1239" s="15"/>
      <c r="H1239" s="15"/>
      <c r="I1239" s="15"/>
      <c r="J1239" s="15"/>
      <c r="K1239" s="15"/>
      <c r="L1239" s="28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5"/>
      <c r="AG1239" s="15"/>
      <c r="AH1239" s="15"/>
      <c r="AI1239" s="15"/>
      <c r="AJ1239" s="15"/>
      <c r="AK1239" s="15"/>
      <c r="AL1239" s="15"/>
      <c r="AM1239" s="15"/>
      <c r="AN1239" s="15"/>
      <c r="AO1239" s="15"/>
      <c r="AP1239" s="15"/>
      <c r="AQ1239" s="15"/>
      <c r="AR1239" s="15"/>
      <c r="AS1239" s="15"/>
      <c r="AT1239" s="15"/>
      <c r="AU1239" s="15"/>
      <c r="AV1239" s="15"/>
      <c r="AW1239" s="15"/>
    </row>
    <row r="1240" spans="3:49" x14ac:dyDescent="0.2">
      <c r="C1240" s="15"/>
      <c r="D1240" s="15"/>
      <c r="E1240" s="15"/>
      <c r="F1240" s="15"/>
      <c r="G1240" s="15"/>
      <c r="H1240" s="15"/>
      <c r="I1240" s="15"/>
      <c r="J1240" s="15"/>
      <c r="K1240" s="15"/>
      <c r="L1240" s="28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5"/>
      <c r="AG1240" s="15"/>
      <c r="AH1240" s="15"/>
      <c r="AI1240" s="15"/>
      <c r="AJ1240" s="15"/>
      <c r="AK1240" s="15"/>
      <c r="AL1240" s="15"/>
      <c r="AM1240" s="15"/>
      <c r="AN1240" s="15"/>
      <c r="AO1240" s="15"/>
      <c r="AP1240" s="15"/>
      <c r="AQ1240" s="15"/>
      <c r="AR1240" s="15"/>
      <c r="AS1240" s="15"/>
      <c r="AT1240" s="15"/>
      <c r="AU1240" s="15"/>
      <c r="AV1240" s="15"/>
      <c r="AW1240" s="15"/>
    </row>
    <row r="1241" spans="3:49" x14ac:dyDescent="0.2">
      <c r="C1241" s="15"/>
      <c r="D1241" s="15"/>
      <c r="E1241" s="15"/>
      <c r="F1241" s="15"/>
      <c r="G1241" s="15"/>
      <c r="H1241" s="15"/>
      <c r="I1241" s="15"/>
      <c r="J1241" s="15"/>
      <c r="K1241" s="15"/>
      <c r="L1241" s="28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5"/>
      <c r="AG1241" s="15"/>
      <c r="AH1241" s="15"/>
      <c r="AI1241" s="15"/>
      <c r="AJ1241" s="15"/>
      <c r="AK1241" s="15"/>
      <c r="AL1241" s="15"/>
      <c r="AM1241" s="15"/>
      <c r="AN1241" s="15"/>
      <c r="AO1241" s="15"/>
      <c r="AP1241" s="15"/>
      <c r="AQ1241" s="15"/>
      <c r="AR1241" s="15"/>
      <c r="AS1241" s="15"/>
      <c r="AT1241" s="15"/>
      <c r="AU1241" s="15"/>
      <c r="AV1241" s="15"/>
      <c r="AW1241" s="15"/>
    </row>
    <row r="1242" spans="3:49" x14ac:dyDescent="0.2">
      <c r="C1242" s="15"/>
      <c r="D1242" s="15"/>
      <c r="E1242" s="15"/>
      <c r="F1242" s="15"/>
      <c r="G1242" s="15"/>
      <c r="H1242" s="15"/>
      <c r="I1242" s="15"/>
      <c r="J1242" s="15"/>
      <c r="K1242" s="15"/>
      <c r="L1242" s="28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5"/>
      <c r="AG1242" s="15"/>
      <c r="AH1242" s="15"/>
      <c r="AI1242" s="15"/>
      <c r="AJ1242" s="15"/>
      <c r="AK1242" s="15"/>
      <c r="AL1242" s="15"/>
      <c r="AM1242" s="15"/>
      <c r="AN1242" s="15"/>
      <c r="AO1242" s="15"/>
      <c r="AP1242" s="15"/>
      <c r="AQ1242" s="15"/>
      <c r="AR1242" s="15"/>
      <c r="AS1242" s="15"/>
      <c r="AT1242" s="15"/>
      <c r="AU1242" s="15"/>
      <c r="AV1242" s="15"/>
      <c r="AW1242" s="15"/>
    </row>
    <row r="1243" spans="3:49" x14ac:dyDescent="0.2">
      <c r="C1243" s="15"/>
      <c r="D1243" s="15"/>
      <c r="E1243" s="15"/>
      <c r="F1243" s="15"/>
      <c r="G1243" s="15"/>
      <c r="H1243" s="15"/>
      <c r="I1243" s="15"/>
      <c r="J1243" s="15"/>
      <c r="K1243" s="15"/>
      <c r="L1243" s="28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5"/>
      <c r="AG1243" s="15"/>
      <c r="AH1243" s="15"/>
      <c r="AI1243" s="15"/>
      <c r="AJ1243" s="15"/>
      <c r="AK1243" s="15"/>
      <c r="AL1243" s="15"/>
      <c r="AM1243" s="15"/>
      <c r="AN1243" s="15"/>
      <c r="AO1243" s="15"/>
      <c r="AP1243" s="15"/>
      <c r="AQ1243" s="15"/>
      <c r="AR1243" s="15"/>
      <c r="AS1243" s="15"/>
      <c r="AT1243" s="15"/>
      <c r="AU1243" s="15"/>
      <c r="AV1243" s="15"/>
      <c r="AW1243" s="15"/>
    </row>
    <row r="1244" spans="3:49" x14ac:dyDescent="0.2">
      <c r="C1244" s="15"/>
      <c r="D1244" s="15"/>
      <c r="E1244" s="15"/>
      <c r="F1244" s="15"/>
      <c r="G1244" s="15"/>
      <c r="H1244" s="15"/>
      <c r="I1244" s="15"/>
      <c r="J1244" s="15"/>
      <c r="K1244" s="15"/>
      <c r="L1244" s="28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5"/>
      <c r="AG1244" s="15"/>
      <c r="AH1244" s="15"/>
      <c r="AI1244" s="15"/>
      <c r="AJ1244" s="15"/>
      <c r="AK1244" s="15"/>
      <c r="AL1244" s="15"/>
      <c r="AM1244" s="15"/>
      <c r="AN1244" s="15"/>
      <c r="AO1244" s="15"/>
      <c r="AP1244" s="15"/>
      <c r="AQ1244" s="15"/>
      <c r="AR1244" s="15"/>
      <c r="AS1244" s="15"/>
      <c r="AT1244" s="15"/>
      <c r="AU1244" s="15"/>
      <c r="AV1244" s="15"/>
      <c r="AW1244" s="15"/>
    </row>
    <row r="1245" spans="3:49" x14ac:dyDescent="0.2">
      <c r="C1245" s="15"/>
      <c r="D1245" s="15"/>
      <c r="E1245" s="15"/>
      <c r="F1245" s="15"/>
      <c r="G1245" s="15"/>
      <c r="H1245" s="15"/>
      <c r="I1245" s="15"/>
      <c r="J1245" s="15"/>
      <c r="K1245" s="15"/>
      <c r="L1245" s="28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5"/>
      <c r="AG1245" s="15"/>
      <c r="AH1245" s="15"/>
      <c r="AI1245" s="15"/>
      <c r="AJ1245" s="15"/>
      <c r="AK1245" s="15"/>
      <c r="AL1245" s="15"/>
      <c r="AM1245" s="15"/>
      <c r="AN1245" s="15"/>
      <c r="AO1245" s="15"/>
      <c r="AP1245" s="15"/>
      <c r="AQ1245" s="15"/>
      <c r="AR1245" s="15"/>
      <c r="AS1245" s="15"/>
      <c r="AT1245" s="15"/>
      <c r="AU1245" s="15"/>
      <c r="AV1245" s="15"/>
      <c r="AW1245" s="15"/>
    </row>
    <row r="1246" spans="3:49" x14ac:dyDescent="0.2">
      <c r="C1246" s="15"/>
      <c r="D1246" s="15"/>
      <c r="E1246" s="15"/>
      <c r="F1246" s="15"/>
      <c r="G1246" s="15"/>
      <c r="H1246" s="15"/>
      <c r="I1246" s="15"/>
      <c r="J1246" s="15"/>
      <c r="K1246" s="15"/>
      <c r="L1246" s="28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5"/>
      <c r="AG1246" s="15"/>
      <c r="AH1246" s="15"/>
      <c r="AI1246" s="15"/>
      <c r="AJ1246" s="15"/>
      <c r="AK1246" s="15"/>
      <c r="AL1246" s="15"/>
      <c r="AM1246" s="15"/>
      <c r="AN1246" s="15"/>
      <c r="AO1246" s="15"/>
      <c r="AP1246" s="15"/>
      <c r="AQ1246" s="15"/>
      <c r="AR1246" s="15"/>
      <c r="AS1246" s="15"/>
      <c r="AT1246" s="15"/>
      <c r="AU1246" s="15"/>
      <c r="AV1246" s="15"/>
      <c r="AW1246" s="15"/>
    </row>
    <row r="1247" spans="3:49" x14ac:dyDescent="0.2">
      <c r="C1247" s="15"/>
      <c r="D1247" s="15"/>
      <c r="E1247" s="15"/>
      <c r="F1247" s="15"/>
      <c r="G1247" s="15"/>
      <c r="H1247" s="15"/>
      <c r="I1247" s="15"/>
      <c r="J1247" s="15"/>
      <c r="K1247" s="15"/>
      <c r="L1247" s="28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5"/>
      <c r="AG1247" s="15"/>
      <c r="AH1247" s="15"/>
      <c r="AI1247" s="15"/>
      <c r="AJ1247" s="15"/>
      <c r="AK1247" s="15"/>
      <c r="AL1247" s="15"/>
      <c r="AM1247" s="15"/>
      <c r="AN1247" s="15"/>
      <c r="AO1247" s="15"/>
      <c r="AP1247" s="15"/>
      <c r="AQ1247" s="15"/>
      <c r="AR1247" s="15"/>
      <c r="AS1247" s="15"/>
      <c r="AT1247" s="15"/>
      <c r="AU1247" s="15"/>
      <c r="AV1247" s="15"/>
      <c r="AW1247" s="15"/>
    </row>
    <row r="1248" spans="3:49" x14ac:dyDescent="0.2">
      <c r="C1248" s="15"/>
      <c r="D1248" s="15"/>
      <c r="E1248" s="15"/>
      <c r="F1248" s="15"/>
      <c r="G1248" s="15"/>
      <c r="H1248" s="15"/>
      <c r="I1248" s="15"/>
      <c r="J1248" s="15"/>
      <c r="K1248" s="15"/>
      <c r="L1248" s="28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5"/>
      <c r="AG1248" s="15"/>
      <c r="AH1248" s="15"/>
      <c r="AI1248" s="15"/>
      <c r="AJ1248" s="15"/>
      <c r="AK1248" s="15"/>
      <c r="AL1248" s="15"/>
      <c r="AM1248" s="15"/>
      <c r="AN1248" s="15"/>
      <c r="AO1248" s="15"/>
      <c r="AP1248" s="15"/>
      <c r="AQ1248" s="15"/>
      <c r="AR1248" s="15"/>
      <c r="AS1248" s="15"/>
      <c r="AT1248" s="15"/>
      <c r="AU1248" s="15"/>
      <c r="AV1248" s="15"/>
      <c r="AW1248" s="15"/>
    </row>
    <row r="1249" spans="3:49" x14ac:dyDescent="0.2">
      <c r="C1249" s="15"/>
      <c r="D1249" s="15"/>
      <c r="E1249" s="15"/>
      <c r="F1249" s="15"/>
      <c r="G1249" s="15"/>
      <c r="H1249" s="15"/>
      <c r="I1249" s="15"/>
      <c r="J1249" s="15"/>
      <c r="K1249" s="15"/>
      <c r="L1249" s="28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5"/>
      <c r="AG1249" s="15"/>
      <c r="AH1249" s="15"/>
      <c r="AI1249" s="15"/>
      <c r="AJ1249" s="15"/>
      <c r="AK1249" s="15"/>
      <c r="AL1249" s="15"/>
      <c r="AM1249" s="15"/>
      <c r="AN1249" s="15"/>
      <c r="AO1249" s="15"/>
      <c r="AP1249" s="15"/>
      <c r="AQ1249" s="15"/>
      <c r="AR1249" s="15"/>
      <c r="AS1249" s="15"/>
      <c r="AT1249" s="15"/>
      <c r="AU1249" s="15"/>
      <c r="AV1249" s="15"/>
      <c r="AW1249" s="15"/>
    </row>
    <row r="1250" spans="3:49" x14ac:dyDescent="0.2">
      <c r="C1250" s="15"/>
      <c r="D1250" s="15"/>
      <c r="E1250" s="15"/>
      <c r="F1250" s="15"/>
      <c r="G1250" s="15"/>
      <c r="H1250" s="15"/>
      <c r="I1250" s="15"/>
      <c r="J1250" s="15"/>
      <c r="K1250" s="15"/>
      <c r="L1250" s="28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5"/>
      <c r="AG1250" s="15"/>
      <c r="AH1250" s="15"/>
      <c r="AI1250" s="15"/>
      <c r="AJ1250" s="15"/>
      <c r="AK1250" s="15"/>
      <c r="AL1250" s="15"/>
      <c r="AM1250" s="15"/>
      <c r="AN1250" s="15"/>
      <c r="AO1250" s="15"/>
      <c r="AP1250" s="15"/>
      <c r="AQ1250" s="15"/>
      <c r="AR1250" s="15"/>
      <c r="AS1250" s="15"/>
      <c r="AT1250" s="15"/>
      <c r="AU1250" s="15"/>
      <c r="AV1250" s="15"/>
      <c r="AW1250" s="15"/>
    </row>
    <row r="1251" spans="3:49" x14ac:dyDescent="0.2">
      <c r="C1251" s="15"/>
      <c r="D1251" s="15"/>
      <c r="E1251" s="15"/>
      <c r="F1251" s="15"/>
      <c r="G1251" s="15"/>
      <c r="H1251" s="15"/>
      <c r="I1251" s="15"/>
      <c r="J1251" s="15"/>
      <c r="K1251" s="15"/>
      <c r="L1251" s="28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5"/>
      <c r="AG1251" s="15"/>
      <c r="AH1251" s="15"/>
      <c r="AI1251" s="15"/>
      <c r="AJ1251" s="15"/>
      <c r="AK1251" s="15"/>
      <c r="AL1251" s="15"/>
      <c r="AM1251" s="15"/>
      <c r="AN1251" s="15"/>
      <c r="AO1251" s="15"/>
      <c r="AP1251" s="15"/>
      <c r="AQ1251" s="15"/>
      <c r="AR1251" s="15"/>
      <c r="AS1251" s="15"/>
      <c r="AT1251" s="15"/>
      <c r="AU1251" s="15"/>
      <c r="AV1251" s="15"/>
      <c r="AW1251" s="15"/>
    </row>
    <row r="1252" spans="3:49" x14ac:dyDescent="0.2">
      <c r="C1252" s="15"/>
      <c r="D1252" s="15"/>
      <c r="E1252" s="15"/>
      <c r="F1252" s="15"/>
      <c r="G1252" s="15"/>
      <c r="H1252" s="15"/>
      <c r="I1252" s="15"/>
      <c r="J1252" s="15"/>
      <c r="K1252" s="15"/>
      <c r="L1252" s="28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5"/>
      <c r="AG1252" s="15"/>
      <c r="AH1252" s="15"/>
      <c r="AI1252" s="15"/>
      <c r="AJ1252" s="15"/>
      <c r="AK1252" s="15"/>
      <c r="AL1252" s="15"/>
      <c r="AM1252" s="15"/>
      <c r="AN1252" s="15"/>
      <c r="AO1252" s="15"/>
      <c r="AP1252" s="15"/>
      <c r="AQ1252" s="15"/>
      <c r="AR1252" s="15"/>
      <c r="AS1252" s="15"/>
      <c r="AT1252" s="15"/>
      <c r="AU1252" s="15"/>
      <c r="AV1252" s="15"/>
      <c r="AW1252" s="15"/>
    </row>
    <row r="1253" spans="3:49" x14ac:dyDescent="0.2">
      <c r="C1253" s="15"/>
      <c r="D1253" s="15"/>
      <c r="E1253" s="15"/>
      <c r="F1253" s="15"/>
      <c r="G1253" s="15"/>
      <c r="H1253" s="15"/>
      <c r="I1253" s="15"/>
      <c r="J1253" s="15"/>
      <c r="K1253" s="15"/>
      <c r="L1253" s="28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5"/>
      <c r="AG1253" s="15"/>
      <c r="AH1253" s="15"/>
      <c r="AI1253" s="15"/>
      <c r="AJ1253" s="15"/>
      <c r="AK1253" s="15"/>
      <c r="AL1253" s="15"/>
      <c r="AM1253" s="15"/>
      <c r="AN1253" s="15"/>
      <c r="AO1253" s="15"/>
      <c r="AP1253" s="15"/>
      <c r="AQ1253" s="15"/>
      <c r="AR1253" s="15"/>
      <c r="AS1253" s="15"/>
      <c r="AT1253" s="15"/>
      <c r="AU1253" s="15"/>
      <c r="AV1253" s="15"/>
      <c r="AW1253" s="15"/>
    </row>
    <row r="1254" spans="3:49" x14ac:dyDescent="0.2">
      <c r="C1254" s="15"/>
      <c r="D1254" s="15"/>
      <c r="E1254" s="15"/>
      <c r="F1254" s="15"/>
      <c r="G1254" s="15"/>
      <c r="H1254" s="15"/>
      <c r="I1254" s="15"/>
      <c r="J1254" s="15"/>
      <c r="K1254" s="15"/>
      <c r="L1254" s="28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5"/>
      <c r="AG1254" s="15"/>
      <c r="AH1254" s="15"/>
      <c r="AI1254" s="15"/>
      <c r="AJ1254" s="15"/>
      <c r="AK1254" s="15"/>
      <c r="AL1254" s="15"/>
      <c r="AM1254" s="15"/>
      <c r="AN1254" s="15"/>
      <c r="AO1254" s="15"/>
      <c r="AP1254" s="15"/>
      <c r="AQ1254" s="15"/>
      <c r="AR1254" s="15"/>
      <c r="AS1254" s="15"/>
      <c r="AT1254" s="15"/>
      <c r="AU1254" s="15"/>
      <c r="AV1254" s="15"/>
      <c r="AW1254" s="15"/>
    </row>
    <row r="1255" spans="3:49" x14ac:dyDescent="0.2">
      <c r="C1255" s="15"/>
      <c r="D1255" s="15"/>
      <c r="E1255" s="15"/>
      <c r="F1255" s="15"/>
      <c r="G1255" s="15"/>
      <c r="H1255" s="15"/>
      <c r="I1255" s="15"/>
      <c r="J1255" s="15"/>
      <c r="K1255" s="15"/>
      <c r="L1255" s="28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5"/>
      <c r="AG1255" s="15"/>
      <c r="AH1255" s="15"/>
      <c r="AI1255" s="15"/>
      <c r="AJ1255" s="15"/>
      <c r="AK1255" s="15"/>
      <c r="AL1255" s="15"/>
      <c r="AM1255" s="15"/>
      <c r="AN1255" s="15"/>
      <c r="AO1255" s="15"/>
      <c r="AP1255" s="15"/>
      <c r="AQ1255" s="15"/>
      <c r="AR1255" s="15"/>
      <c r="AS1255" s="15"/>
      <c r="AT1255" s="15"/>
      <c r="AU1255" s="15"/>
      <c r="AV1255" s="15"/>
      <c r="AW1255" s="15"/>
    </row>
    <row r="1256" spans="3:49" x14ac:dyDescent="0.2">
      <c r="C1256" s="15"/>
      <c r="D1256" s="15"/>
      <c r="E1256" s="15"/>
      <c r="F1256" s="15"/>
      <c r="G1256" s="15"/>
      <c r="H1256" s="15"/>
      <c r="I1256" s="15"/>
      <c r="J1256" s="15"/>
      <c r="K1256" s="15"/>
      <c r="L1256" s="28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5"/>
      <c r="AG1256" s="15"/>
      <c r="AH1256" s="15"/>
      <c r="AI1256" s="15"/>
      <c r="AJ1256" s="15"/>
      <c r="AK1256" s="15"/>
      <c r="AL1256" s="15"/>
      <c r="AM1256" s="15"/>
      <c r="AN1256" s="15"/>
      <c r="AO1256" s="15"/>
      <c r="AP1256" s="15"/>
      <c r="AQ1256" s="15"/>
      <c r="AR1256" s="15"/>
      <c r="AS1256" s="15"/>
      <c r="AT1256" s="15"/>
      <c r="AU1256" s="15"/>
      <c r="AV1256" s="15"/>
      <c r="AW1256" s="15"/>
    </row>
    <row r="1257" spans="3:49" x14ac:dyDescent="0.2">
      <c r="C1257" s="15"/>
      <c r="D1257" s="15"/>
      <c r="E1257" s="15"/>
      <c r="F1257" s="15"/>
      <c r="G1257" s="15"/>
      <c r="H1257" s="15"/>
      <c r="I1257" s="15"/>
      <c r="J1257" s="15"/>
      <c r="K1257" s="15"/>
      <c r="L1257" s="28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5"/>
      <c r="AG1257" s="15"/>
      <c r="AH1257" s="15"/>
      <c r="AI1257" s="15"/>
      <c r="AJ1257" s="15"/>
      <c r="AK1257" s="15"/>
      <c r="AL1257" s="15"/>
      <c r="AM1257" s="15"/>
      <c r="AN1257" s="15"/>
      <c r="AO1257" s="15"/>
      <c r="AP1257" s="15"/>
      <c r="AQ1257" s="15"/>
      <c r="AR1257" s="15"/>
      <c r="AS1257" s="15"/>
      <c r="AT1257" s="15"/>
      <c r="AU1257" s="15"/>
      <c r="AV1257" s="15"/>
      <c r="AW1257" s="15"/>
    </row>
    <row r="1258" spans="3:49" x14ac:dyDescent="0.2">
      <c r="C1258" s="15"/>
      <c r="D1258" s="15"/>
      <c r="E1258" s="15"/>
      <c r="F1258" s="15"/>
      <c r="G1258" s="15"/>
      <c r="H1258" s="15"/>
      <c r="I1258" s="15"/>
      <c r="J1258" s="15"/>
      <c r="K1258" s="15"/>
      <c r="L1258" s="28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5"/>
      <c r="AG1258" s="15"/>
      <c r="AH1258" s="15"/>
      <c r="AI1258" s="15"/>
      <c r="AJ1258" s="15"/>
      <c r="AK1258" s="15"/>
      <c r="AL1258" s="15"/>
      <c r="AM1258" s="15"/>
      <c r="AN1258" s="15"/>
      <c r="AO1258" s="15"/>
      <c r="AP1258" s="15"/>
      <c r="AQ1258" s="15"/>
      <c r="AR1258" s="15"/>
      <c r="AS1258" s="15"/>
      <c r="AT1258" s="15"/>
      <c r="AU1258" s="15"/>
      <c r="AV1258" s="15"/>
      <c r="AW1258" s="15"/>
    </row>
    <row r="1259" spans="3:49" x14ac:dyDescent="0.2">
      <c r="C1259" s="15"/>
      <c r="D1259" s="15"/>
      <c r="E1259" s="15"/>
      <c r="F1259" s="15"/>
      <c r="G1259" s="15"/>
      <c r="H1259" s="15"/>
      <c r="I1259" s="15"/>
      <c r="J1259" s="15"/>
      <c r="K1259" s="15"/>
      <c r="L1259" s="28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5"/>
      <c r="AG1259" s="15"/>
      <c r="AH1259" s="15"/>
      <c r="AI1259" s="15"/>
      <c r="AJ1259" s="15"/>
      <c r="AK1259" s="15"/>
      <c r="AL1259" s="15"/>
      <c r="AM1259" s="15"/>
      <c r="AN1259" s="15"/>
      <c r="AO1259" s="15"/>
      <c r="AP1259" s="15"/>
      <c r="AQ1259" s="15"/>
      <c r="AR1259" s="15"/>
      <c r="AS1259" s="15"/>
      <c r="AT1259" s="15"/>
      <c r="AU1259" s="15"/>
      <c r="AV1259" s="15"/>
      <c r="AW1259" s="15"/>
    </row>
    <row r="1260" spans="3:49" x14ac:dyDescent="0.2">
      <c r="C1260" s="15"/>
      <c r="D1260" s="15"/>
      <c r="E1260" s="15"/>
      <c r="F1260" s="15"/>
      <c r="G1260" s="15"/>
      <c r="H1260" s="15"/>
      <c r="I1260" s="15"/>
      <c r="J1260" s="15"/>
      <c r="K1260" s="15"/>
      <c r="L1260" s="28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5"/>
      <c r="AG1260" s="15"/>
      <c r="AH1260" s="15"/>
      <c r="AI1260" s="15"/>
      <c r="AJ1260" s="15"/>
      <c r="AK1260" s="15"/>
      <c r="AL1260" s="15"/>
      <c r="AM1260" s="15"/>
      <c r="AN1260" s="15"/>
      <c r="AO1260" s="15"/>
      <c r="AP1260" s="15"/>
      <c r="AQ1260" s="15"/>
      <c r="AR1260" s="15"/>
      <c r="AS1260" s="15"/>
      <c r="AT1260" s="15"/>
      <c r="AU1260" s="15"/>
      <c r="AV1260" s="15"/>
      <c r="AW1260" s="15"/>
    </row>
    <row r="1261" spans="3:49" x14ac:dyDescent="0.2">
      <c r="C1261" s="15"/>
      <c r="D1261" s="15"/>
      <c r="E1261" s="15"/>
      <c r="F1261" s="15"/>
      <c r="G1261" s="15"/>
      <c r="H1261" s="15"/>
      <c r="I1261" s="15"/>
      <c r="J1261" s="15"/>
      <c r="K1261" s="15"/>
      <c r="L1261" s="28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5"/>
      <c r="AG1261" s="15"/>
      <c r="AH1261" s="15"/>
      <c r="AI1261" s="15"/>
      <c r="AJ1261" s="15"/>
      <c r="AK1261" s="15"/>
      <c r="AL1261" s="15"/>
      <c r="AM1261" s="15"/>
      <c r="AN1261" s="15"/>
      <c r="AO1261" s="15"/>
      <c r="AP1261" s="15"/>
      <c r="AQ1261" s="15"/>
      <c r="AR1261" s="15"/>
      <c r="AS1261" s="15"/>
      <c r="AT1261" s="15"/>
      <c r="AU1261" s="15"/>
      <c r="AV1261" s="15"/>
      <c r="AW1261" s="15"/>
    </row>
    <row r="1262" spans="3:49" x14ac:dyDescent="0.2">
      <c r="C1262" s="15"/>
      <c r="D1262" s="15"/>
      <c r="E1262" s="15"/>
      <c r="F1262" s="15"/>
      <c r="G1262" s="15"/>
      <c r="H1262" s="15"/>
      <c r="I1262" s="15"/>
      <c r="J1262" s="15"/>
      <c r="K1262" s="15"/>
      <c r="L1262" s="28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5"/>
      <c r="AG1262" s="15"/>
      <c r="AH1262" s="15"/>
      <c r="AI1262" s="15"/>
      <c r="AJ1262" s="15"/>
      <c r="AK1262" s="15"/>
      <c r="AL1262" s="15"/>
      <c r="AM1262" s="15"/>
      <c r="AN1262" s="15"/>
      <c r="AO1262" s="15"/>
      <c r="AP1262" s="15"/>
      <c r="AQ1262" s="15"/>
      <c r="AR1262" s="15"/>
      <c r="AS1262" s="15"/>
      <c r="AT1262" s="15"/>
      <c r="AU1262" s="15"/>
      <c r="AV1262" s="15"/>
      <c r="AW1262" s="15"/>
    </row>
    <row r="1263" spans="3:49" x14ac:dyDescent="0.2">
      <c r="C1263" s="15"/>
      <c r="D1263" s="15"/>
      <c r="E1263" s="15"/>
      <c r="F1263" s="15"/>
      <c r="G1263" s="15"/>
      <c r="H1263" s="15"/>
      <c r="I1263" s="15"/>
      <c r="J1263" s="15"/>
      <c r="K1263" s="15"/>
      <c r="L1263" s="28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5"/>
      <c r="AG1263" s="15"/>
      <c r="AH1263" s="15"/>
      <c r="AI1263" s="15"/>
      <c r="AJ1263" s="15"/>
      <c r="AK1263" s="15"/>
      <c r="AL1263" s="15"/>
      <c r="AM1263" s="15"/>
      <c r="AN1263" s="15"/>
      <c r="AO1263" s="15"/>
      <c r="AP1263" s="15"/>
      <c r="AQ1263" s="15"/>
      <c r="AR1263" s="15"/>
      <c r="AS1263" s="15"/>
      <c r="AT1263" s="15"/>
      <c r="AU1263" s="15"/>
      <c r="AV1263" s="15"/>
      <c r="AW1263" s="15"/>
    </row>
    <row r="1264" spans="3:49" x14ac:dyDescent="0.2">
      <c r="C1264" s="15"/>
      <c r="D1264" s="15"/>
      <c r="E1264" s="15"/>
      <c r="F1264" s="15"/>
      <c r="G1264" s="15"/>
      <c r="H1264" s="15"/>
      <c r="I1264" s="15"/>
      <c r="J1264" s="15"/>
      <c r="K1264" s="15"/>
      <c r="L1264" s="28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5"/>
      <c r="AG1264" s="15"/>
      <c r="AH1264" s="15"/>
      <c r="AI1264" s="15"/>
      <c r="AJ1264" s="15"/>
      <c r="AK1264" s="15"/>
      <c r="AL1264" s="15"/>
      <c r="AM1264" s="15"/>
      <c r="AN1264" s="15"/>
      <c r="AO1264" s="15"/>
      <c r="AP1264" s="15"/>
      <c r="AQ1264" s="15"/>
      <c r="AR1264" s="15"/>
      <c r="AS1264" s="15"/>
      <c r="AT1264" s="15"/>
      <c r="AU1264" s="15"/>
      <c r="AV1264" s="15"/>
      <c r="AW1264" s="15"/>
    </row>
    <row r="1265" spans="3:49" x14ac:dyDescent="0.2">
      <c r="C1265" s="15"/>
      <c r="D1265" s="15"/>
      <c r="E1265" s="15"/>
      <c r="F1265" s="15"/>
      <c r="G1265" s="15"/>
      <c r="H1265" s="15"/>
      <c r="I1265" s="15"/>
      <c r="J1265" s="15"/>
      <c r="K1265" s="15"/>
      <c r="L1265" s="28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5"/>
      <c r="AG1265" s="15"/>
      <c r="AH1265" s="15"/>
      <c r="AI1265" s="15"/>
      <c r="AJ1265" s="15"/>
      <c r="AK1265" s="15"/>
      <c r="AL1265" s="15"/>
      <c r="AM1265" s="15"/>
      <c r="AN1265" s="15"/>
      <c r="AO1265" s="15"/>
      <c r="AP1265" s="15"/>
      <c r="AQ1265" s="15"/>
      <c r="AR1265" s="15"/>
      <c r="AS1265" s="15"/>
      <c r="AT1265" s="15"/>
      <c r="AU1265" s="15"/>
      <c r="AV1265" s="15"/>
      <c r="AW1265" s="15"/>
    </row>
    <row r="1266" spans="3:49" x14ac:dyDescent="0.2">
      <c r="C1266" s="15"/>
      <c r="D1266" s="15"/>
      <c r="E1266" s="15"/>
      <c r="F1266" s="15"/>
      <c r="G1266" s="15"/>
      <c r="H1266" s="15"/>
      <c r="I1266" s="15"/>
      <c r="J1266" s="15"/>
      <c r="K1266" s="15"/>
      <c r="L1266" s="28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5"/>
      <c r="AG1266" s="15"/>
      <c r="AH1266" s="15"/>
      <c r="AI1266" s="15"/>
      <c r="AJ1266" s="15"/>
      <c r="AK1266" s="15"/>
      <c r="AL1266" s="15"/>
      <c r="AM1266" s="15"/>
      <c r="AN1266" s="15"/>
      <c r="AO1266" s="15"/>
      <c r="AP1266" s="15"/>
      <c r="AQ1266" s="15"/>
      <c r="AR1266" s="15"/>
      <c r="AS1266" s="15"/>
      <c r="AT1266" s="15"/>
      <c r="AU1266" s="15"/>
      <c r="AV1266" s="15"/>
      <c r="AW1266" s="15"/>
    </row>
    <row r="1267" spans="3:49" x14ac:dyDescent="0.2">
      <c r="C1267" s="15"/>
      <c r="D1267" s="15"/>
      <c r="E1267" s="15"/>
      <c r="F1267" s="15"/>
      <c r="G1267" s="15"/>
      <c r="H1267" s="15"/>
      <c r="I1267" s="15"/>
      <c r="J1267" s="15"/>
      <c r="K1267" s="15"/>
      <c r="L1267" s="28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5"/>
      <c r="AG1267" s="15"/>
      <c r="AH1267" s="15"/>
      <c r="AI1267" s="15"/>
      <c r="AJ1267" s="15"/>
      <c r="AK1267" s="15"/>
      <c r="AL1267" s="15"/>
      <c r="AM1267" s="15"/>
      <c r="AN1267" s="15"/>
      <c r="AO1267" s="15"/>
      <c r="AP1267" s="15"/>
      <c r="AQ1267" s="15"/>
      <c r="AR1267" s="15"/>
      <c r="AS1267" s="15"/>
      <c r="AT1267" s="15"/>
      <c r="AU1267" s="15"/>
      <c r="AV1267" s="15"/>
      <c r="AW1267" s="15"/>
    </row>
    <row r="1268" spans="3:49" x14ac:dyDescent="0.2">
      <c r="C1268" s="15"/>
      <c r="D1268" s="15"/>
      <c r="E1268" s="15"/>
      <c r="F1268" s="15"/>
      <c r="G1268" s="15"/>
      <c r="H1268" s="15"/>
      <c r="I1268" s="15"/>
      <c r="J1268" s="15"/>
      <c r="K1268" s="15"/>
      <c r="L1268" s="28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5"/>
      <c r="AG1268" s="15"/>
      <c r="AH1268" s="15"/>
      <c r="AI1268" s="15"/>
      <c r="AJ1268" s="15"/>
      <c r="AK1268" s="15"/>
      <c r="AL1268" s="15"/>
      <c r="AM1268" s="15"/>
      <c r="AN1268" s="15"/>
      <c r="AO1268" s="15"/>
      <c r="AP1268" s="15"/>
      <c r="AQ1268" s="15"/>
      <c r="AR1268" s="15"/>
      <c r="AS1268" s="15"/>
      <c r="AT1268" s="15"/>
      <c r="AU1268" s="15"/>
      <c r="AV1268" s="15"/>
      <c r="AW1268" s="15"/>
    </row>
    <row r="1269" spans="3:49" x14ac:dyDescent="0.2">
      <c r="C1269" s="15"/>
      <c r="D1269" s="15"/>
      <c r="E1269" s="15"/>
      <c r="F1269" s="15"/>
      <c r="G1269" s="15"/>
      <c r="H1269" s="15"/>
      <c r="I1269" s="15"/>
      <c r="J1269" s="15"/>
      <c r="K1269" s="15"/>
      <c r="L1269" s="28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5"/>
      <c r="AG1269" s="15"/>
      <c r="AH1269" s="15"/>
      <c r="AI1269" s="15"/>
      <c r="AJ1269" s="15"/>
      <c r="AK1269" s="15"/>
      <c r="AL1269" s="15"/>
      <c r="AM1269" s="15"/>
      <c r="AN1269" s="15"/>
      <c r="AO1269" s="15"/>
      <c r="AP1269" s="15"/>
      <c r="AQ1269" s="15"/>
      <c r="AR1269" s="15"/>
      <c r="AS1269" s="15"/>
      <c r="AT1269" s="15"/>
      <c r="AU1269" s="15"/>
      <c r="AV1269" s="15"/>
      <c r="AW1269" s="15"/>
    </row>
    <row r="1270" spans="3:49" x14ac:dyDescent="0.2">
      <c r="C1270" s="15"/>
      <c r="D1270" s="15"/>
      <c r="E1270" s="15"/>
      <c r="F1270" s="15"/>
      <c r="G1270" s="15"/>
      <c r="H1270" s="15"/>
      <c r="I1270" s="15"/>
      <c r="J1270" s="15"/>
      <c r="K1270" s="15"/>
      <c r="L1270" s="28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5"/>
      <c r="AG1270" s="15"/>
      <c r="AH1270" s="15"/>
      <c r="AI1270" s="15"/>
      <c r="AJ1270" s="15"/>
      <c r="AK1270" s="15"/>
      <c r="AL1270" s="15"/>
      <c r="AM1270" s="15"/>
      <c r="AN1270" s="15"/>
      <c r="AO1270" s="15"/>
      <c r="AP1270" s="15"/>
      <c r="AQ1270" s="15"/>
      <c r="AR1270" s="15"/>
      <c r="AS1270" s="15"/>
      <c r="AT1270" s="15"/>
      <c r="AU1270" s="15"/>
      <c r="AV1270" s="15"/>
      <c r="AW1270" s="15"/>
    </row>
    <row r="1271" spans="3:49" x14ac:dyDescent="0.2">
      <c r="C1271" s="15"/>
      <c r="D1271" s="15"/>
      <c r="E1271" s="15"/>
      <c r="F1271" s="15"/>
      <c r="G1271" s="15"/>
      <c r="H1271" s="15"/>
      <c r="I1271" s="15"/>
      <c r="J1271" s="15"/>
      <c r="K1271" s="15"/>
      <c r="L1271" s="28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5"/>
      <c r="AG1271" s="15"/>
      <c r="AH1271" s="15"/>
      <c r="AI1271" s="15"/>
      <c r="AJ1271" s="15"/>
      <c r="AK1271" s="15"/>
      <c r="AL1271" s="15"/>
      <c r="AM1271" s="15"/>
      <c r="AN1271" s="15"/>
      <c r="AO1271" s="15"/>
      <c r="AP1271" s="15"/>
      <c r="AQ1271" s="15"/>
      <c r="AR1271" s="15"/>
      <c r="AS1271" s="15"/>
      <c r="AT1271" s="15"/>
      <c r="AU1271" s="15"/>
      <c r="AV1271" s="15"/>
      <c r="AW1271" s="15"/>
    </row>
    <row r="1272" spans="3:49" x14ac:dyDescent="0.2">
      <c r="C1272" s="15"/>
      <c r="D1272" s="15"/>
      <c r="E1272" s="15"/>
      <c r="F1272" s="15"/>
      <c r="G1272" s="15"/>
      <c r="H1272" s="15"/>
      <c r="I1272" s="15"/>
      <c r="J1272" s="15"/>
      <c r="K1272" s="15"/>
      <c r="L1272" s="28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5"/>
      <c r="AG1272" s="15"/>
      <c r="AH1272" s="15"/>
      <c r="AI1272" s="15"/>
      <c r="AJ1272" s="15"/>
      <c r="AK1272" s="15"/>
      <c r="AL1272" s="15"/>
      <c r="AM1272" s="15"/>
      <c r="AN1272" s="15"/>
      <c r="AO1272" s="15"/>
      <c r="AP1272" s="15"/>
      <c r="AQ1272" s="15"/>
      <c r="AR1272" s="15"/>
      <c r="AS1272" s="15"/>
      <c r="AT1272" s="15"/>
      <c r="AU1272" s="15"/>
      <c r="AV1272" s="15"/>
      <c r="AW1272" s="15"/>
    </row>
    <row r="1273" spans="3:49" x14ac:dyDescent="0.2">
      <c r="C1273" s="15"/>
      <c r="D1273" s="15"/>
      <c r="E1273" s="15"/>
      <c r="F1273" s="15"/>
      <c r="G1273" s="15"/>
      <c r="H1273" s="15"/>
      <c r="I1273" s="15"/>
      <c r="J1273" s="15"/>
      <c r="K1273" s="15"/>
      <c r="L1273" s="28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5"/>
      <c r="AG1273" s="15"/>
      <c r="AH1273" s="15"/>
      <c r="AI1273" s="15"/>
      <c r="AJ1273" s="15"/>
      <c r="AK1273" s="15"/>
      <c r="AL1273" s="15"/>
      <c r="AM1273" s="15"/>
      <c r="AN1273" s="15"/>
      <c r="AO1273" s="15"/>
      <c r="AP1273" s="15"/>
      <c r="AQ1273" s="15"/>
      <c r="AR1273" s="15"/>
      <c r="AS1273" s="15"/>
      <c r="AT1273" s="15"/>
      <c r="AU1273" s="15"/>
      <c r="AV1273" s="15"/>
      <c r="AW1273" s="15"/>
    </row>
    <row r="1274" spans="3:49" x14ac:dyDescent="0.2">
      <c r="C1274" s="15"/>
      <c r="D1274" s="15"/>
      <c r="E1274" s="15"/>
      <c r="F1274" s="15"/>
      <c r="G1274" s="15"/>
      <c r="H1274" s="15"/>
      <c r="I1274" s="15"/>
      <c r="J1274" s="15"/>
      <c r="K1274" s="15"/>
      <c r="L1274" s="28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5"/>
      <c r="AG1274" s="15"/>
      <c r="AH1274" s="15"/>
      <c r="AI1274" s="15"/>
      <c r="AJ1274" s="15"/>
      <c r="AK1274" s="15"/>
      <c r="AL1274" s="15"/>
      <c r="AM1274" s="15"/>
      <c r="AN1274" s="15"/>
      <c r="AO1274" s="15"/>
      <c r="AP1274" s="15"/>
      <c r="AQ1274" s="15"/>
      <c r="AR1274" s="15"/>
      <c r="AS1274" s="15"/>
      <c r="AT1274" s="15"/>
      <c r="AU1274" s="15"/>
      <c r="AV1274" s="15"/>
      <c r="AW1274" s="15"/>
    </row>
    <row r="1275" spans="3:49" x14ac:dyDescent="0.2">
      <c r="C1275" s="15"/>
      <c r="D1275" s="15"/>
      <c r="E1275" s="15"/>
      <c r="F1275" s="15"/>
      <c r="G1275" s="15"/>
      <c r="H1275" s="15"/>
      <c r="I1275" s="15"/>
      <c r="J1275" s="15"/>
      <c r="K1275" s="15"/>
      <c r="L1275" s="28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5"/>
      <c r="AG1275" s="15"/>
      <c r="AH1275" s="15"/>
      <c r="AI1275" s="15"/>
      <c r="AJ1275" s="15"/>
      <c r="AK1275" s="15"/>
      <c r="AL1275" s="15"/>
      <c r="AM1275" s="15"/>
      <c r="AN1275" s="15"/>
      <c r="AO1275" s="15"/>
      <c r="AP1275" s="15"/>
      <c r="AQ1275" s="15"/>
      <c r="AR1275" s="15"/>
      <c r="AS1275" s="15"/>
      <c r="AT1275" s="15"/>
      <c r="AU1275" s="15"/>
      <c r="AV1275" s="15"/>
      <c r="AW1275" s="15"/>
    </row>
    <row r="1276" spans="3:49" x14ac:dyDescent="0.2">
      <c r="C1276" s="15"/>
      <c r="D1276" s="15"/>
      <c r="E1276" s="15"/>
      <c r="F1276" s="15"/>
      <c r="G1276" s="15"/>
      <c r="H1276" s="15"/>
      <c r="I1276" s="15"/>
      <c r="J1276" s="15"/>
      <c r="K1276" s="15"/>
      <c r="L1276" s="28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5"/>
      <c r="AG1276" s="15"/>
      <c r="AH1276" s="15"/>
      <c r="AI1276" s="15"/>
      <c r="AJ1276" s="15"/>
      <c r="AK1276" s="15"/>
      <c r="AL1276" s="15"/>
      <c r="AM1276" s="15"/>
      <c r="AN1276" s="15"/>
      <c r="AO1276" s="15"/>
      <c r="AP1276" s="15"/>
      <c r="AQ1276" s="15"/>
      <c r="AR1276" s="15"/>
      <c r="AS1276" s="15"/>
      <c r="AT1276" s="15"/>
      <c r="AU1276" s="15"/>
      <c r="AV1276" s="15"/>
      <c r="AW1276" s="15"/>
    </row>
    <row r="1277" spans="3:49" x14ac:dyDescent="0.2">
      <c r="C1277" s="15"/>
      <c r="D1277" s="15"/>
      <c r="E1277" s="15"/>
      <c r="F1277" s="15"/>
      <c r="G1277" s="15"/>
      <c r="H1277" s="15"/>
      <c r="I1277" s="15"/>
      <c r="J1277" s="15"/>
      <c r="K1277" s="15"/>
      <c r="L1277" s="28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5"/>
      <c r="AG1277" s="15"/>
      <c r="AH1277" s="15"/>
      <c r="AI1277" s="15"/>
      <c r="AJ1277" s="15"/>
      <c r="AK1277" s="15"/>
      <c r="AL1277" s="15"/>
      <c r="AM1277" s="15"/>
      <c r="AN1277" s="15"/>
      <c r="AO1277" s="15"/>
      <c r="AP1277" s="15"/>
      <c r="AQ1277" s="15"/>
      <c r="AR1277" s="15"/>
      <c r="AS1277" s="15"/>
      <c r="AT1277" s="15"/>
      <c r="AU1277" s="15"/>
      <c r="AV1277" s="15"/>
      <c r="AW1277" s="15"/>
    </row>
    <row r="1278" spans="3:49" x14ac:dyDescent="0.2">
      <c r="C1278" s="15"/>
      <c r="D1278" s="15"/>
      <c r="E1278" s="15"/>
      <c r="F1278" s="15"/>
      <c r="G1278" s="15"/>
      <c r="H1278" s="15"/>
      <c r="I1278" s="15"/>
      <c r="J1278" s="15"/>
      <c r="K1278" s="15"/>
      <c r="L1278" s="28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5"/>
      <c r="AG1278" s="15"/>
      <c r="AH1278" s="15"/>
      <c r="AI1278" s="15"/>
      <c r="AJ1278" s="15"/>
      <c r="AK1278" s="15"/>
      <c r="AL1278" s="15"/>
      <c r="AM1278" s="15"/>
      <c r="AN1278" s="15"/>
      <c r="AO1278" s="15"/>
      <c r="AP1278" s="15"/>
      <c r="AQ1278" s="15"/>
      <c r="AR1278" s="15"/>
      <c r="AS1278" s="15"/>
      <c r="AT1278" s="15"/>
      <c r="AU1278" s="15"/>
      <c r="AV1278" s="15"/>
      <c r="AW1278" s="15"/>
    </row>
    <row r="1279" spans="3:49" x14ac:dyDescent="0.2">
      <c r="C1279" s="15"/>
      <c r="D1279" s="15"/>
      <c r="E1279" s="15"/>
      <c r="F1279" s="15"/>
      <c r="G1279" s="15"/>
      <c r="H1279" s="15"/>
      <c r="I1279" s="15"/>
      <c r="J1279" s="15"/>
      <c r="K1279" s="15"/>
      <c r="L1279" s="28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5"/>
      <c r="AG1279" s="15"/>
      <c r="AH1279" s="15"/>
      <c r="AI1279" s="15"/>
      <c r="AJ1279" s="15"/>
      <c r="AK1279" s="15"/>
      <c r="AL1279" s="15"/>
      <c r="AM1279" s="15"/>
      <c r="AN1279" s="15"/>
      <c r="AO1279" s="15"/>
      <c r="AP1279" s="15"/>
      <c r="AQ1279" s="15"/>
      <c r="AR1279" s="15"/>
      <c r="AS1279" s="15"/>
      <c r="AT1279" s="15"/>
      <c r="AU1279" s="15"/>
      <c r="AV1279" s="15"/>
      <c r="AW1279" s="15"/>
    </row>
    <row r="1280" spans="3:49" x14ac:dyDescent="0.2">
      <c r="C1280" s="15"/>
      <c r="D1280" s="15"/>
      <c r="E1280" s="15"/>
      <c r="F1280" s="15"/>
      <c r="G1280" s="15"/>
      <c r="H1280" s="15"/>
      <c r="I1280" s="15"/>
      <c r="J1280" s="15"/>
      <c r="K1280" s="15"/>
      <c r="L1280" s="28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5"/>
      <c r="AG1280" s="15"/>
      <c r="AH1280" s="15"/>
      <c r="AI1280" s="15"/>
      <c r="AJ1280" s="15"/>
      <c r="AK1280" s="15"/>
      <c r="AL1280" s="15"/>
      <c r="AM1280" s="15"/>
      <c r="AN1280" s="15"/>
      <c r="AO1280" s="15"/>
      <c r="AP1280" s="15"/>
      <c r="AQ1280" s="15"/>
      <c r="AR1280" s="15"/>
      <c r="AS1280" s="15"/>
      <c r="AT1280" s="15"/>
      <c r="AU1280" s="15"/>
      <c r="AV1280" s="15"/>
      <c r="AW1280" s="15"/>
    </row>
    <row r="1281" spans="3:49" x14ac:dyDescent="0.2">
      <c r="C1281" s="15"/>
      <c r="D1281" s="15"/>
      <c r="E1281" s="15"/>
      <c r="F1281" s="15"/>
      <c r="G1281" s="15"/>
      <c r="H1281" s="15"/>
      <c r="I1281" s="15"/>
      <c r="J1281" s="15"/>
      <c r="K1281" s="15"/>
      <c r="L1281" s="28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5"/>
      <c r="AG1281" s="15"/>
      <c r="AH1281" s="15"/>
      <c r="AI1281" s="15"/>
      <c r="AJ1281" s="15"/>
      <c r="AK1281" s="15"/>
      <c r="AL1281" s="15"/>
      <c r="AM1281" s="15"/>
      <c r="AN1281" s="15"/>
      <c r="AO1281" s="15"/>
      <c r="AP1281" s="15"/>
      <c r="AQ1281" s="15"/>
      <c r="AR1281" s="15"/>
      <c r="AS1281" s="15"/>
      <c r="AT1281" s="15"/>
      <c r="AU1281" s="15"/>
      <c r="AV1281" s="15"/>
      <c r="AW1281" s="15"/>
    </row>
    <row r="1282" spans="3:49" x14ac:dyDescent="0.2">
      <c r="C1282" s="15"/>
      <c r="D1282" s="15"/>
      <c r="E1282" s="15"/>
      <c r="F1282" s="15"/>
      <c r="G1282" s="15"/>
      <c r="H1282" s="15"/>
      <c r="I1282" s="15"/>
      <c r="J1282" s="15"/>
      <c r="K1282" s="15"/>
      <c r="L1282" s="28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5"/>
      <c r="AG1282" s="15"/>
      <c r="AH1282" s="15"/>
      <c r="AI1282" s="15"/>
      <c r="AJ1282" s="15"/>
      <c r="AK1282" s="15"/>
      <c r="AL1282" s="15"/>
      <c r="AM1282" s="15"/>
      <c r="AN1282" s="15"/>
      <c r="AO1282" s="15"/>
      <c r="AP1282" s="15"/>
      <c r="AQ1282" s="15"/>
      <c r="AR1282" s="15"/>
      <c r="AS1282" s="15"/>
      <c r="AT1282" s="15"/>
      <c r="AU1282" s="15"/>
      <c r="AV1282" s="15"/>
      <c r="AW1282" s="15"/>
    </row>
    <row r="1283" spans="3:49" x14ac:dyDescent="0.2">
      <c r="C1283" s="15"/>
      <c r="D1283" s="15"/>
      <c r="E1283" s="15"/>
      <c r="F1283" s="15"/>
      <c r="G1283" s="15"/>
      <c r="H1283" s="15"/>
      <c r="I1283" s="15"/>
      <c r="J1283" s="15"/>
      <c r="K1283" s="15"/>
      <c r="L1283" s="28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5"/>
      <c r="AG1283" s="15"/>
      <c r="AH1283" s="15"/>
      <c r="AI1283" s="15"/>
      <c r="AJ1283" s="15"/>
      <c r="AK1283" s="15"/>
      <c r="AL1283" s="15"/>
      <c r="AM1283" s="15"/>
      <c r="AN1283" s="15"/>
      <c r="AO1283" s="15"/>
      <c r="AP1283" s="15"/>
      <c r="AQ1283" s="15"/>
      <c r="AR1283" s="15"/>
      <c r="AS1283" s="15"/>
      <c r="AT1283" s="15"/>
      <c r="AU1283" s="15"/>
      <c r="AV1283" s="15"/>
      <c r="AW1283" s="15"/>
    </row>
    <row r="1284" spans="3:49" x14ac:dyDescent="0.2">
      <c r="C1284" s="15"/>
      <c r="D1284" s="15"/>
      <c r="E1284" s="15"/>
      <c r="F1284" s="15"/>
      <c r="G1284" s="15"/>
      <c r="H1284" s="15"/>
      <c r="I1284" s="15"/>
      <c r="J1284" s="15"/>
      <c r="K1284" s="15"/>
      <c r="L1284" s="28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5"/>
      <c r="AG1284" s="15"/>
      <c r="AH1284" s="15"/>
      <c r="AI1284" s="15"/>
      <c r="AJ1284" s="15"/>
      <c r="AK1284" s="15"/>
      <c r="AL1284" s="15"/>
      <c r="AM1284" s="15"/>
      <c r="AN1284" s="15"/>
      <c r="AO1284" s="15"/>
      <c r="AP1284" s="15"/>
      <c r="AQ1284" s="15"/>
      <c r="AR1284" s="15"/>
      <c r="AS1284" s="15"/>
      <c r="AT1284" s="15"/>
      <c r="AU1284" s="15"/>
      <c r="AV1284" s="15"/>
      <c r="AW1284" s="15"/>
    </row>
    <row r="1285" spans="3:49" x14ac:dyDescent="0.2">
      <c r="C1285" s="15"/>
      <c r="D1285" s="15"/>
      <c r="E1285" s="15"/>
      <c r="F1285" s="15"/>
      <c r="G1285" s="15"/>
      <c r="H1285" s="15"/>
      <c r="I1285" s="15"/>
      <c r="J1285" s="15"/>
      <c r="K1285" s="15"/>
      <c r="L1285" s="28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5"/>
      <c r="AG1285" s="15"/>
      <c r="AH1285" s="15"/>
      <c r="AI1285" s="15"/>
      <c r="AJ1285" s="15"/>
      <c r="AK1285" s="15"/>
      <c r="AL1285" s="15"/>
      <c r="AM1285" s="15"/>
      <c r="AN1285" s="15"/>
      <c r="AO1285" s="15"/>
      <c r="AP1285" s="15"/>
      <c r="AQ1285" s="15"/>
      <c r="AR1285" s="15"/>
      <c r="AS1285" s="15"/>
      <c r="AT1285" s="15"/>
      <c r="AU1285" s="15"/>
      <c r="AV1285" s="15"/>
      <c r="AW1285" s="15"/>
    </row>
    <row r="1286" spans="3:49" x14ac:dyDescent="0.2">
      <c r="C1286" s="15"/>
      <c r="D1286" s="15"/>
      <c r="E1286" s="15"/>
      <c r="F1286" s="15"/>
      <c r="G1286" s="15"/>
      <c r="H1286" s="15"/>
      <c r="I1286" s="15"/>
      <c r="J1286" s="15"/>
      <c r="K1286" s="15"/>
      <c r="L1286" s="28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5"/>
      <c r="AG1286" s="15"/>
      <c r="AH1286" s="15"/>
      <c r="AI1286" s="15"/>
      <c r="AJ1286" s="15"/>
      <c r="AK1286" s="15"/>
      <c r="AL1286" s="15"/>
      <c r="AM1286" s="15"/>
      <c r="AN1286" s="15"/>
      <c r="AO1286" s="15"/>
      <c r="AP1286" s="15"/>
      <c r="AQ1286" s="15"/>
      <c r="AR1286" s="15"/>
      <c r="AS1286" s="15"/>
      <c r="AT1286" s="15"/>
      <c r="AU1286" s="15"/>
      <c r="AV1286" s="15"/>
      <c r="AW1286" s="15"/>
    </row>
    <row r="1287" spans="3:49" x14ac:dyDescent="0.2">
      <c r="C1287" s="15"/>
      <c r="D1287" s="15"/>
      <c r="E1287" s="15"/>
      <c r="F1287" s="15"/>
      <c r="G1287" s="15"/>
      <c r="H1287" s="15"/>
      <c r="I1287" s="15"/>
      <c r="J1287" s="15"/>
      <c r="K1287" s="15"/>
      <c r="L1287" s="28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5"/>
      <c r="AG1287" s="15"/>
      <c r="AH1287" s="15"/>
      <c r="AI1287" s="15"/>
      <c r="AJ1287" s="15"/>
      <c r="AK1287" s="15"/>
      <c r="AL1287" s="15"/>
      <c r="AM1287" s="15"/>
      <c r="AN1287" s="15"/>
      <c r="AO1287" s="15"/>
      <c r="AP1287" s="15"/>
      <c r="AQ1287" s="15"/>
      <c r="AR1287" s="15"/>
      <c r="AS1287" s="15"/>
      <c r="AT1287" s="15"/>
      <c r="AU1287" s="15"/>
      <c r="AV1287" s="15"/>
      <c r="AW1287" s="15"/>
    </row>
    <row r="1288" spans="3:49" x14ac:dyDescent="0.2">
      <c r="C1288" s="15"/>
      <c r="D1288" s="15"/>
      <c r="E1288" s="15"/>
      <c r="F1288" s="15"/>
      <c r="G1288" s="15"/>
      <c r="H1288" s="15"/>
      <c r="I1288" s="15"/>
      <c r="J1288" s="15"/>
      <c r="K1288" s="15"/>
      <c r="L1288" s="28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5"/>
      <c r="AG1288" s="15"/>
      <c r="AH1288" s="15"/>
      <c r="AI1288" s="15"/>
      <c r="AJ1288" s="15"/>
      <c r="AK1288" s="15"/>
      <c r="AL1288" s="15"/>
      <c r="AM1288" s="15"/>
      <c r="AN1288" s="15"/>
      <c r="AO1288" s="15"/>
      <c r="AP1288" s="15"/>
      <c r="AQ1288" s="15"/>
      <c r="AR1288" s="15"/>
      <c r="AS1288" s="15"/>
      <c r="AT1288" s="15"/>
      <c r="AU1288" s="15"/>
      <c r="AV1288" s="15"/>
      <c r="AW1288" s="15"/>
    </row>
    <row r="1289" spans="3:49" x14ac:dyDescent="0.2">
      <c r="C1289" s="15"/>
      <c r="D1289" s="15"/>
      <c r="E1289" s="15"/>
      <c r="F1289" s="15"/>
      <c r="G1289" s="15"/>
      <c r="H1289" s="15"/>
      <c r="I1289" s="15"/>
      <c r="J1289" s="15"/>
      <c r="K1289" s="15"/>
      <c r="L1289" s="28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5"/>
      <c r="AG1289" s="15"/>
      <c r="AH1289" s="15"/>
      <c r="AI1289" s="15"/>
      <c r="AJ1289" s="15"/>
      <c r="AK1289" s="15"/>
      <c r="AL1289" s="15"/>
      <c r="AM1289" s="15"/>
      <c r="AN1289" s="15"/>
      <c r="AO1289" s="15"/>
      <c r="AP1289" s="15"/>
      <c r="AQ1289" s="15"/>
      <c r="AR1289" s="15"/>
      <c r="AS1289" s="15"/>
      <c r="AT1289" s="15"/>
      <c r="AU1289" s="15"/>
      <c r="AV1289" s="15"/>
      <c r="AW1289" s="15"/>
    </row>
    <row r="1290" spans="3:49" x14ac:dyDescent="0.2">
      <c r="C1290" s="15"/>
      <c r="D1290" s="15"/>
      <c r="E1290" s="15"/>
      <c r="F1290" s="15"/>
      <c r="G1290" s="15"/>
      <c r="H1290" s="15"/>
      <c r="I1290" s="15"/>
      <c r="J1290" s="15"/>
      <c r="K1290" s="15"/>
      <c r="L1290" s="28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5"/>
      <c r="AG1290" s="15"/>
      <c r="AH1290" s="15"/>
      <c r="AI1290" s="15"/>
      <c r="AJ1290" s="15"/>
      <c r="AK1290" s="15"/>
      <c r="AL1290" s="15"/>
      <c r="AM1290" s="15"/>
      <c r="AN1290" s="15"/>
      <c r="AO1290" s="15"/>
      <c r="AP1290" s="15"/>
      <c r="AQ1290" s="15"/>
      <c r="AR1290" s="15"/>
      <c r="AS1290" s="15"/>
      <c r="AT1290" s="15"/>
      <c r="AU1290" s="15"/>
      <c r="AV1290" s="15"/>
      <c r="AW1290" s="15"/>
    </row>
    <row r="1291" spans="3:49" x14ac:dyDescent="0.2">
      <c r="C1291" s="15"/>
      <c r="D1291" s="15"/>
      <c r="E1291" s="15"/>
      <c r="F1291" s="15"/>
      <c r="G1291" s="15"/>
      <c r="H1291" s="15"/>
      <c r="I1291" s="15"/>
      <c r="J1291" s="15"/>
      <c r="K1291" s="15"/>
      <c r="L1291" s="28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5"/>
      <c r="AG1291" s="15"/>
      <c r="AH1291" s="15"/>
      <c r="AI1291" s="15"/>
      <c r="AJ1291" s="15"/>
      <c r="AK1291" s="15"/>
      <c r="AL1291" s="15"/>
      <c r="AM1291" s="15"/>
      <c r="AN1291" s="15"/>
      <c r="AO1291" s="15"/>
      <c r="AP1291" s="15"/>
      <c r="AQ1291" s="15"/>
      <c r="AR1291" s="15"/>
      <c r="AS1291" s="15"/>
      <c r="AT1291" s="15"/>
      <c r="AU1291" s="15"/>
      <c r="AV1291" s="15"/>
      <c r="AW1291" s="15"/>
    </row>
    <row r="1292" spans="3:49" x14ac:dyDescent="0.2">
      <c r="C1292" s="15"/>
      <c r="D1292" s="15"/>
      <c r="E1292" s="15"/>
      <c r="F1292" s="15"/>
      <c r="G1292" s="15"/>
      <c r="H1292" s="15"/>
      <c r="I1292" s="15"/>
      <c r="J1292" s="15"/>
      <c r="K1292" s="15"/>
      <c r="L1292" s="28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5"/>
      <c r="AG1292" s="15"/>
      <c r="AH1292" s="15"/>
      <c r="AI1292" s="15"/>
      <c r="AJ1292" s="15"/>
      <c r="AK1292" s="15"/>
      <c r="AL1292" s="15"/>
      <c r="AM1292" s="15"/>
      <c r="AN1292" s="15"/>
      <c r="AO1292" s="15"/>
      <c r="AP1292" s="15"/>
      <c r="AQ1292" s="15"/>
      <c r="AR1292" s="15"/>
      <c r="AS1292" s="15"/>
      <c r="AT1292" s="15"/>
      <c r="AU1292" s="15"/>
      <c r="AV1292" s="15"/>
      <c r="AW1292" s="15"/>
    </row>
    <row r="1293" spans="3:49" x14ac:dyDescent="0.2">
      <c r="C1293" s="15"/>
      <c r="D1293" s="15"/>
      <c r="E1293" s="15"/>
      <c r="F1293" s="15"/>
      <c r="G1293" s="15"/>
      <c r="H1293" s="15"/>
      <c r="I1293" s="15"/>
      <c r="J1293" s="15"/>
      <c r="K1293" s="15"/>
      <c r="L1293" s="28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5"/>
      <c r="AG1293" s="15"/>
      <c r="AH1293" s="15"/>
      <c r="AI1293" s="15"/>
      <c r="AJ1293" s="15"/>
      <c r="AK1293" s="15"/>
      <c r="AL1293" s="15"/>
      <c r="AM1293" s="15"/>
      <c r="AN1293" s="15"/>
      <c r="AO1293" s="15"/>
      <c r="AP1293" s="15"/>
      <c r="AQ1293" s="15"/>
      <c r="AR1293" s="15"/>
      <c r="AS1293" s="15"/>
      <c r="AT1293" s="15"/>
      <c r="AU1293" s="15"/>
      <c r="AV1293" s="15"/>
      <c r="AW1293" s="15"/>
    </row>
    <row r="1294" spans="3:49" x14ac:dyDescent="0.2">
      <c r="C1294" s="15"/>
      <c r="D1294" s="15"/>
      <c r="E1294" s="15"/>
      <c r="F1294" s="15"/>
      <c r="G1294" s="15"/>
      <c r="H1294" s="15"/>
      <c r="I1294" s="15"/>
      <c r="J1294" s="15"/>
      <c r="K1294" s="15"/>
      <c r="L1294" s="28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5"/>
      <c r="AG1294" s="15"/>
      <c r="AH1294" s="15"/>
      <c r="AI1294" s="15"/>
      <c r="AJ1294" s="15"/>
      <c r="AK1294" s="15"/>
      <c r="AL1294" s="15"/>
      <c r="AM1294" s="15"/>
      <c r="AN1294" s="15"/>
      <c r="AO1294" s="15"/>
      <c r="AP1294" s="15"/>
      <c r="AQ1294" s="15"/>
      <c r="AR1294" s="15"/>
      <c r="AS1294" s="15"/>
      <c r="AT1294" s="15"/>
      <c r="AU1294" s="15"/>
      <c r="AV1294" s="15"/>
      <c r="AW1294" s="15"/>
    </row>
    <row r="1295" spans="3:49" x14ac:dyDescent="0.2">
      <c r="C1295" s="15"/>
      <c r="D1295" s="15"/>
      <c r="E1295" s="15"/>
      <c r="F1295" s="15"/>
      <c r="G1295" s="15"/>
      <c r="H1295" s="15"/>
      <c r="I1295" s="15"/>
      <c r="J1295" s="15"/>
      <c r="K1295" s="15"/>
      <c r="L1295" s="28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5"/>
      <c r="AG1295" s="15"/>
      <c r="AH1295" s="15"/>
      <c r="AI1295" s="15"/>
      <c r="AJ1295" s="15"/>
      <c r="AK1295" s="15"/>
      <c r="AL1295" s="15"/>
      <c r="AM1295" s="15"/>
      <c r="AN1295" s="15"/>
      <c r="AO1295" s="15"/>
      <c r="AP1295" s="15"/>
      <c r="AQ1295" s="15"/>
      <c r="AR1295" s="15"/>
      <c r="AS1295" s="15"/>
      <c r="AT1295" s="15"/>
      <c r="AU1295" s="15"/>
      <c r="AV1295" s="15"/>
      <c r="AW1295" s="15"/>
    </row>
    <row r="1296" spans="3:49" x14ac:dyDescent="0.2">
      <c r="C1296" s="15"/>
      <c r="D1296" s="15"/>
      <c r="E1296" s="15"/>
      <c r="F1296" s="15"/>
      <c r="G1296" s="15"/>
      <c r="H1296" s="15"/>
      <c r="I1296" s="15"/>
      <c r="J1296" s="15"/>
      <c r="K1296" s="15"/>
      <c r="L1296" s="28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5"/>
      <c r="AG1296" s="15"/>
      <c r="AH1296" s="15"/>
      <c r="AI1296" s="15"/>
      <c r="AJ1296" s="15"/>
      <c r="AK1296" s="15"/>
      <c r="AL1296" s="15"/>
      <c r="AM1296" s="15"/>
      <c r="AN1296" s="15"/>
      <c r="AO1296" s="15"/>
      <c r="AP1296" s="15"/>
      <c r="AQ1296" s="15"/>
      <c r="AR1296" s="15"/>
      <c r="AS1296" s="15"/>
      <c r="AT1296" s="15"/>
      <c r="AU1296" s="15"/>
      <c r="AV1296" s="15"/>
      <c r="AW1296" s="15"/>
    </row>
    <row r="1297" spans="3:49" x14ac:dyDescent="0.2">
      <c r="C1297" s="15"/>
      <c r="D1297" s="15"/>
      <c r="E1297" s="15"/>
      <c r="F1297" s="15"/>
      <c r="G1297" s="15"/>
      <c r="H1297" s="15"/>
      <c r="I1297" s="15"/>
      <c r="J1297" s="15"/>
      <c r="K1297" s="15"/>
      <c r="L1297" s="28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5"/>
      <c r="AG1297" s="15"/>
      <c r="AH1297" s="15"/>
      <c r="AI1297" s="15"/>
      <c r="AJ1297" s="15"/>
      <c r="AK1297" s="15"/>
      <c r="AL1297" s="15"/>
      <c r="AM1297" s="15"/>
      <c r="AN1297" s="15"/>
      <c r="AO1297" s="15"/>
      <c r="AP1297" s="15"/>
      <c r="AQ1297" s="15"/>
      <c r="AR1297" s="15"/>
      <c r="AS1297" s="15"/>
      <c r="AT1297" s="15"/>
      <c r="AU1297" s="15"/>
      <c r="AV1297" s="15"/>
      <c r="AW1297" s="15"/>
    </row>
    <row r="1298" spans="3:49" x14ac:dyDescent="0.2">
      <c r="C1298" s="15"/>
      <c r="D1298" s="15"/>
      <c r="E1298" s="15"/>
      <c r="F1298" s="15"/>
      <c r="G1298" s="15"/>
      <c r="H1298" s="15"/>
      <c r="I1298" s="15"/>
      <c r="J1298" s="15"/>
      <c r="K1298" s="15"/>
      <c r="L1298" s="28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5"/>
      <c r="AG1298" s="15"/>
      <c r="AH1298" s="15"/>
      <c r="AI1298" s="15"/>
      <c r="AJ1298" s="15"/>
      <c r="AK1298" s="15"/>
      <c r="AL1298" s="15"/>
      <c r="AM1298" s="15"/>
      <c r="AN1298" s="15"/>
      <c r="AO1298" s="15"/>
      <c r="AP1298" s="15"/>
      <c r="AQ1298" s="15"/>
      <c r="AR1298" s="15"/>
      <c r="AS1298" s="15"/>
      <c r="AT1298" s="15"/>
      <c r="AU1298" s="15"/>
      <c r="AV1298" s="15"/>
      <c r="AW1298" s="15"/>
    </row>
    <row r="1299" spans="3:49" x14ac:dyDescent="0.2">
      <c r="C1299" s="15"/>
      <c r="D1299" s="15"/>
      <c r="E1299" s="15"/>
      <c r="F1299" s="15"/>
      <c r="G1299" s="15"/>
      <c r="H1299" s="15"/>
      <c r="I1299" s="15"/>
      <c r="J1299" s="15"/>
      <c r="K1299" s="15"/>
      <c r="L1299" s="28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5"/>
      <c r="AG1299" s="15"/>
      <c r="AH1299" s="15"/>
      <c r="AI1299" s="15"/>
      <c r="AJ1299" s="15"/>
      <c r="AK1299" s="15"/>
      <c r="AL1299" s="15"/>
      <c r="AM1299" s="15"/>
      <c r="AN1299" s="15"/>
      <c r="AO1299" s="15"/>
      <c r="AP1299" s="15"/>
      <c r="AQ1299" s="15"/>
      <c r="AR1299" s="15"/>
      <c r="AS1299" s="15"/>
      <c r="AT1299" s="15"/>
      <c r="AU1299" s="15"/>
      <c r="AV1299" s="15"/>
      <c r="AW1299" s="15"/>
    </row>
    <row r="1300" spans="3:49" x14ac:dyDescent="0.2">
      <c r="C1300" s="15"/>
      <c r="D1300" s="15"/>
      <c r="E1300" s="15"/>
      <c r="F1300" s="15"/>
      <c r="G1300" s="15"/>
      <c r="H1300" s="15"/>
      <c r="I1300" s="15"/>
      <c r="J1300" s="15"/>
      <c r="K1300" s="15"/>
      <c r="L1300" s="28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5"/>
      <c r="AG1300" s="15"/>
      <c r="AH1300" s="15"/>
      <c r="AI1300" s="15"/>
      <c r="AJ1300" s="15"/>
      <c r="AK1300" s="15"/>
      <c r="AL1300" s="15"/>
      <c r="AM1300" s="15"/>
      <c r="AN1300" s="15"/>
      <c r="AO1300" s="15"/>
      <c r="AP1300" s="15"/>
      <c r="AQ1300" s="15"/>
      <c r="AR1300" s="15"/>
      <c r="AS1300" s="15"/>
      <c r="AT1300" s="15"/>
      <c r="AU1300" s="15"/>
      <c r="AV1300" s="15"/>
      <c r="AW1300" s="15"/>
    </row>
    <row r="1301" spans="3:49" x14ac:dyDescent="0.2">
      <c r="C1301" s="15"/>
      <c r="D1301" s="15"/>
      <c r="E1301" s="15"/>
      <c r="F1301" s="15"/>
      <c r="G1301" s="15"/>
      <c r="H1301" s="15"/>
      <c r="I1301" s="15"/>
      <c r="J1301" s="15"/>
      <c r="K1301" s="15"/>
      <c r="L1301" s="28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5"/>
      <c r="AG1301" s="15"/>
      <c r="AH1301" s="15"/>
      <c r="AI1301" s="15"/>
      <c r="AJ1301" s="15"/>
      <c r="AK1301" s="15"/>
      <c r="AL1301" s="15"/>
      <c r="AM1301" s="15"/>
      <c r="AN1301" s="15"/>
      <c r="AO1301" s="15"/>
      <c r="AP1301" s="15"/>
      <c r="AQ1301" s="15"/>
      <c r="AR1301" s="15"/>
      <c r="AS1301" s="15"/>
      <c r="AT1301" s="15"/>
      <c r="AU1301" s="15"/>
      <c r="AV1301" s="15"/>
      <c r="AW1301" s="15"/>
    </row>
    <row r="1302" spans="3:49" x14ac:dyDescent="0.2">
      <c r="C1302" s="15"/>
      <c r="D1302" s="15"/>
      <c r="E1302" s="15"/>
      <c r="F1302" s="15"/>
      <c r="G1302" s="15"/>
      <c r="H1302" s="15"/>
      <c r="I1302" s="15"/>
      <c r="J1302" s="15"/>
      <c r="K1302" s="15"/>
      <c r="L1302" s="28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5"/>
      <c r="AG1302" s="15"/>
      <c r="AH1302" s="15"/>
      <c r="AI1302" s="15"/>
      <c r="AJ1302" s="15"/>
      <c r="AK1302" s="15"/>
      <c r="AL1302" s="15"/>
      <c r="AM1302" s="15"/>
      <c r="AN1302" s="15"/>
      <c r="AO1302" s="15"/>
      <c r="AP1302" s="15"/>
      <c r="AQ1302" s="15"/>
      <c r="AR1302" s="15"/>
      <c r="AS1302" s="15"/>
      <c r="AT1302" s="15"/>
      <c r="AU1302" s="15"/>
      <c r="AV1302" s="15"/>
      <c r="AW1302" s="15"/>
    </row>
    <row r="1303" spans="3:49" x14ac:dyDescent="0.2">
      <c r="C1303" s="15"/>
      <c r="D1303" s="15"/>
      <c r="E1303" s="15"/>
      <c r="F1303" s="15"/>
      <c r="G1303" s="15"/>
      <c r="H1303" s="15"/>
      <c r="I1303" s="15"/>
      <c r="J1303" s="15"/>
      <c r="K1303" s="15"/>
      <c r="L1303" s="28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5"/>
      <c r="AG1303" s="15"/>
      <c r="AH1303" s="15"/>
      <c r="AI1303" s="15"/>
      <c r="AJ1303" s="15"/>
      <c r="AK1303" s="15"/>
      <c r="AL1303" s="15"/>
      <c r="AM1303" s="15"/>
      <c r="AN1303" s="15"/>
      <c r="AO1303" s="15"/>
      <c r="AP1303" s="15"/>
      <c r="AQ1303" s="15"/>
      <c r="AR1303" s="15"/>
      <c r="AS1303" s="15"/>
      <c r="AT1303" s="15"/>
      <c r="AU1303" s="15"/>
      <c r="AV1303" s="15"/>
      <c r="AW1303" s="15"/>
    </row>
    <row r="1304" spans="3:49" x14ac:dyDescent="0.2">
      <c r="C1304" s="15"/>
      <c r="D1304" s="15"/>
      <c r="E1304" s="15"/>
      <c r="F1304" s="15"/>
      <c r="G1304" s="15"/>
      <c r="H1304" s="15"/>
      <c r="I1304" s="15"/>
      <c r="J1304" s="15"/>
      <c r="K1304" s="15"/>
      <c r="L1304" s="28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5"/>
      <c r="AG1304" s="15"/>
      <c r="AH1304" s="15"/>
      <c r="AI1304" s="15"/>
      <c r="AJ1304" s="15"/>
      <c r="AK1304" s="15"/>
      <c r="AL1304" s="15"/>
      <c r="AM1304" s="15"/>
      <c r="AN1304" s="15"/>
      <c r="AO1304" s="15"/>
      <c r="AP1304" s="15"/>
      <c r="AQ1304" s="15"/>
      <c r="AR1304" s="15"/>
      <c r="AS1304" s="15"/>
      <c r="AT1304" s="15"/>
      <c r="AU1304" s="15"/>
      <c r="AV1304" s="15"/>
      <c r="AW1304" s="15"/>
    </row>
    <row r="1305" spans="3:49" x14ac:dyDescent="0.2">
      <c r="C1305" s="15"/>
      <c r="D1305" s="15"/>
      <c r="E1305" s="15"/>
      <c r="F1305" s="15"/>
      <c r="G1305" s="15"/>
      <c r="H1305" s="15"/>
      <c r="I1305" s="15"/>
      <c r="J1305" s="15"/>
      <c r="K1305" s="15"/>
      <c r="L1305" s="28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5"/>
      <c r="AG1305" s="15"/>
      <c r="AH1305" s="15"/>
      <c r="AI1305" s="15"/>
      <c r="AJ1305" s="15"/>
      <c r="AK1305" s="15"/>
      <c r="AL1305" s="15"/>
      <c r="AM1305" s="15"/>
      <c r="AN1305" s="15"/>
      <c r="AO1305" s="15"/>
      <c r="AP1305" s="15"/>
      <c r="AQ1305" s="15"/>
      <c r="AR1305" s="15"/>
      <c r="AS1305" s="15"/>
      <c r="AT1305" s="15"/>
      <c r="AU1305" s="15"/>
      <c r="AV1305" s="15"/>
      <c r="AW1305" s="15"/>
    </row>
    <row r="1306" spans="3:49" x14ac:dyDescent="0.2">
      <c r="C1306" s="15"/>
      <c r="D1306" s="15"/>
      <c r="E1306" s="15"/>
      <c r="F1306" s="15"/>
      <c r="G1306" s="15"/>
      <c r="H1306" s="15"/>
      <c r="I1306" s="15"/>
      <c r="J1306" s="15"/>
      <c r="K1306" s="15"/>
      <c r="L1306" s="28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5"/>
      <c r="AG1306" s="15"/>
      <c r="AH1306" s="15"/>
      <c r="AI1306" s="15"/>
      <c r="AJ1306" s="15"/>
      <c r="AK1306" s="15"/>
      <c r="AL1306" s="15"/>
      <c r="AM1306" s="15"/>
      <c r="AN1306" s="15"/>
      <c r="AO1306" s="15"/>
      <c r="AP1306" s="15"/>
      <c r="AQ1306" s="15"/>
      <c r="AR1306" s="15"/>
      <c r="AS1306" s="15"/>
      <c r="AT1306" s="15"/>
      <c r="AU1306" s="15"/>
      <c r="AV1306" s="15"/>
      <c r="AW1306" s="15"/>
    </row>
    <row r="1307" spans="3:49" x14ac:dyDescent="0.2">
      <c r="C1307" s="15"/>
      <c r="D1307" s="15"/>
      <c r="E1307" s="15"/>
      <c r="F1307" s="15"/>
      <c r="G1307" s="15"/>
      <c r="H1307" s="15"/>
      <c r="I1307" s="15"/>
      <c r="J1307" s="15"/>
      <c r="K1307" s="15"/>
      <c r="L1307" s="28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5"/>
      <c r="AG1307" s="15"/>
      <c r="AH1307" s="15"/>
      <c r="AI1307" s="15"/>
      <c r="AJ1307" s="15"/>
      <c r="AK1307" s="15"/>
      <c r="AL1307" s="15"/>
      <c r="AM1307" s="15"/>
      <c r="AN1307" s="15"/>
      <c r="AO1307" s="15"/>
      <c r="AP1307" s="15"/>
      <c r="AQ1307" s="15"/>
      <c r="AR1307" s="15"/>
      <c r="AS1307" s="15"/>
      <c r="AT1307" s="15"/>
      <c r="AU1307" s="15"/>
      <c r="AV1307" s="15"/>
      <c r="AW1307" s="15"/>
    </row>
    <row r="1308" spans="3:49" x14ac:dyDescent="0.2">
      <c r="C1308" s="15"/>
      <c r="D1308" s="15"/>
      <c r="E1308" s="15"/>
      <c r="F1308" s="15"/>
      <c r="G1308" s="15"/>
      <c r="H1308" s="15"/>
      <c r="I1308" s="15"/>
      <c r="J1308" s="15"/>
      <c r="K1308" s="15"/>
      <c r="L1308" s="28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5"/>
      <c r="AG1308" s="15"/>
      <c r="AH1308" s="15"/>
      <c r="AI1308" s="15"/>
      <c r="AJ1308" s="15"/>
      <c r="AK1308" s="15"/>
      <c r="AL1308" s="15"/>
      <c r="AM1308" s="15"/>
      <c r="AN1308" s="15"/>
      <c r="AO1308" s="15"/>
      <c r="AP1308" s="15"/>
      <c r="AQ1308" s="15"/>
      <c r="AR1308" s="15"/>
      <c r="AS1308" s="15"/>
      <c r="AT1308" s="15"/>
      <c r="AU1308" s="15"/>
      <c r="AV1308" s="15"/>
      <c r="AW1308" s="15"/>
    </row>
    <row r="1309" spans="3:49" x14ac:dyDescent="0.2">
      <c r="C1309" s="15"/>
      <c r="D1309" s="15"/>
      <c r="E1309" s="15"/>
      <c r="F1309" s="15"/>
      <c r="G1309" s="15"/>
      <c r="H1309" s="15"/>
      <c r="I1309" s="15"/>
      <c r="J1309" s="15"/>
      <c r="K1309" s="15"/>
      <c r="L1309" s="28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5"/>
      <c r="AG1309" s="15"/>
      <c r="AH1309" s="15"/>
      <c r="AI1309" s="15"/>
      <c r="AJ1309" s="15"/>
      <c r="AK1309" s="15"/>
      <c r="AL1309" s="15"/>
      <c r="AM1309" s="15"/>
      <c r="AN1309" s="15"/>
      <c r="AO1309" s="15"/>
      <c r="AP1309" s="15"/>
      <c r="AQ1309" s="15"/>
      <c r="AR1309" s="15"/>
      <c r="AS1309" s="15"/>
      <c r="AT1309" s="15"/>
      <c r="AU1309" s="15"/>
      <c r="AV1309" s="15"/>
      <c r="AW1309" s="15"/>
    </row>
    <row r="1310" spans="3:49" x14ac:dyDescent="0.2">
      <c r="C1310" s="15"/>
      <c r="D1310" s="15"/>
      <c r="E1310" s="15"/>
      <c r="F1310" s="15"/>
      <c r="G1310" s="15"/>
      <c r="H1310" s="15"/>
      <c r="I1310" s="15"/>
      <c r="J1310" s="15"/>
      <c r="K1310" s="15"/>
      <c r="L1310" s="28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5"/>
      <c r="AG1310" s="15"/>
      <c r="AH1310" s="15"/>
      <c r="AI1310" s="15"/>
      <c r="AJ1310" s="15"/>
      <c r="AK1310" s="15"/>
      <c r="AL1310" s="15"/>
      <c r="AM1310" s="15"/>
      <c r="AN1310" s="15"/>
      <c r="AO1310" s="15"/>
      <c r="AP1310" s="15"/>
      <c r="AQ1310" s="15"/>
      <c r="AR1310" s="15"/>
      <c r="AS1310" s="15"/>
      <c r="AT1310" s="15"/>
      <c r="AU1310" s="15"/>
      <c r="AV1310" s="15"/>
      <c r="AW1310" s="15"/>
    </row>
    <row r="1311" spans="3:49" x14ac:dyDescent="0.2">
      <c r="C1311" s="15"/>
      <c r="D1311" s="15"/>
      <c r="E1311" s="15"/>
      <c r="F1311" s="15"/>
      <c r="G1311" s="15"/>
      <c r="H1311" s="15"/>
      <c r="I1311" s="15"/>
      <c r="J1311" s="15"/>
      <c r="K1311" s="15"/>
      <c r="L1311" s="28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5"/>
      <c r="AG1311" s="15"/>
      <c r="AH1311" s="15"/>
      <c r="AI1311" s="15"/>
      <c r="AJ1311" s="15"/>
      <c r="AK1311" s="15"/>
      <c r="AL1311" s="15"/>
      <c r="AM1311" s="15"/>
      <c r="AN1311" s="15"/>
      <c r="AO1311" s="15"/>
      <c r="AP1311" s="15"/>
      <c r="AQ1311" s="15"/>
      <c r="AR1311" s="15"/>
      <c r="AS1311" s="15"/>
      <c r="AT1311" s="15"/>
      <c r="AU1311" s="15"/>
      <c r="AV1311" s="15"/>
      <c r="AW1311" s="15"/>
    </row>
    <row r="1312" spans="3:49" x14ac:dyDescent="0.2">
      <c r="C1312" s="15"/>
      <c r="D1312" s="15"/>
      <c r="E1312" s="15"/>
      <c r="F1312" s="15"/>
      <c r="G1312" s="15"/>
      <c r="H1312" s="15"/>
      <c r="I1312" s="15"/>
      <c r="J1312" s="15"/>
      <c r="K1312" s="15"/>
      <c r="L1312" s="28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5"/>
      <c r="AG1312" s="15"/>
      <c r="AH1312" s="15"/>
      <c r="AI1312" s="15"/>
      <c r="AJ1312" s="15"/>
      <c r="AK1312" s="15"/>
      <c r="AL1312" s="15"/>
      <c r="AM1312" s="15"/>
      <c r="AN1312" s="15"/>
      <c r="AO1312" s="15"/>
      <c r="AP1312" s="15"/>
      <c r="AQ1312" s="15"/>
      <c r="AR1312" s="15"/>
      <c r="AS1312" s="15"/>
      <c r="AT1312" s="15"/>
      <c r="AU1312" s="15"/>
      <c r="AV1312" s="15"/>
      <c r="AW1312" s="15"/>
    </row>
    <row r="1313" spans="3:49" x14ac:dyDescent="0.2">
      <c r="C1313" s="15"/>
      <c r="D1313" s="15"/>
      <c r="E1313" s="15"/>
      <c r="F1313" s="15"/>
      <c r="G1313" s="15"/>
      <c r="H1313" s="15"/>
      <c r="I1313" s="15"/>
      <c r="J1313" s="15"/>
      <c r="K1313" s="15"/>
      <c r="L1313" s="28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5"/>
      <c r="AG1313" s="15"/>
      <c r="AH1313" s="15"/>
      <c r="AI1313" s="15"/>
      <c r="AJ1313" s="15"/>
      <c r="AK1313" s="15"/>
      <c r="AL1313" s="15"/>
      <c r="AM1313" s="15"/>
      <c r="AN1313" s="15"/>
      <c r="AO1313" s="15"/>
      <c r="AP1313" s="15"/>
      <c r="AQ1313" s="15"/>
      <c r="AR1313" s="15"/>
      <c r="AS1313" s="15"/>
      <c r="AT1313" s="15"/>
      <c r="AU1313" s="15"/>
      <c r="AV1313" s="15"/>
      <c r="AW1313" s="15"/>
    </row>
    <row r="1314" spans="3:49" x14ac:dyDescent="0.2">
      <c r="C1314" s="15"/>
      <c r="D1314" s="15"/>
      <c r="E1314" s="15"/>
      <c r="F1314" s="15"/>
      <c r="G1314" s="15"/>
      <c r="H1314" s="15"/>
      <c r="I1314" s="15"/>
      <c r="J1314" s="15"/>
      <c r="K1314" s="15"/>
      <c r="L1314" s="28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5"/>
      <c r="AG1314" s="15"/>
      <c r="AH1314" s="15"/>
      <c r="AI1314" s="15"/>
      <c r="AJ1314" s="15"/>
      <c r="AK1314" s="15"/>
      <c r="AL1314" s="15"/>
      <c r="AM1314" s="15"/>
      <c r="AN1314" s="15"/>
      <c r="AO1314" s="15"/>
      <c r="AP1314" s="15"/>
      <c r="AQ1314" s="15"/>
      <c r="AR1314" s="15"/>
      <c r="AS1314" s="15"/>
      <c r="AT1314" s="15"/>
      <c r="AU1314" s="15"/>
      <c r="AV1314" s="15"/>
      <c r="AW1314" s="15"/>
    </row>
    <row r="1315" spans="3:49" x14ac:dyDescent="0.2">
      <c r="C1315" s="15"/>
      <c r="D1315" s="15"/>
      <c r="E1315" s="15"/>
      <c r="F1315" s="15"/>
      <c r="G1315" s="15"/>
      <c r="H1315" s="15"/>
      <c r="I1315" s="15"/>
      <c r="J1315" s="15"/>
      <c r="K1315" s="15"/>
      <c r="L1315" s="28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5"/>
      <c r="AG1315" s="15"/>
      <c r="AH1315" s="15"/>
      <c r="AI1315" s="15"/>
      <c r="AJ1315" s="15"/>
      <c r="AK1315" s="15"/>
      <c r="AL1315" s="15"/>
      <c r="AM1315" s="15"/>
      <c r="AN1315" s="15"/>
      <c r="AO1315" s="15"/>
      <c r="AP1315" s="15"/>
      <c r="AQ1315" s="15"/>
      <c r="AR1315" s="15"/>
      <c r="AS1315" s="15"/>
      <c r="AT1315" s="15"/>
      <c r="AU1315" s="15"/>
      <c r="AV1315" s="15"/>
      <c r="AW1315" s="15"/>
    </row>
    <row r="1316" spans="3:49" x14ac:dyDescent="0.2">
      <c r="C1316" s="15"/>
      <c r="D1316" s="15"/>
      <c r="E1316" s="15"/>
      <c r="F1316" s="15"/>
      <c r="G1316" s="15"/>
      <c r="H1316" s="15"/>
      <c r="I1316" s="15"/>
      <c r="J1316" s="15"/>
      <c r="K1316" s="15"/>
      <c r="L1316" s="28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5"/>
      <c r="AG1316" s="15"/>
      <c r="AH1316" s="15"/>
      <c r="AI1316" s="15"/>
      <c r="AJ1316" s="15"/>
      <c r="AK1316" s="15"/>
      <c r="AL1316" s="15"/>
      <c r="AM1316" s="15"/>
      <c r="AN1316" s="15"/>
      <c r="AO1316" s="15"/>
      <c r="AP1316" s="15"/>
      <c r="AQ1316" s="15"/>
      <c r="AR1316" s="15"/>
      <c r="AS1316" s="15"/>
      <c r="AT1316" s="15"/>
      <c r="AU1316" s="15"/>
      <c r="AV1316" s="15"/>
      <c r="AW1316" s="15"/>
    </row>
    <row r="1317" spans="3:49" x14ac:dyDescent="0.2">
      <c r="C1317" s="15"/>
      <c r="D1317" s="15"/>
      <c r="E1317" s="15"/>
      <c r="F1317" s="15"/>
      <c r="G1317" s="15"/>
      <c r="H1317" s="15"/>
      <c r="I1317" s="15"/>
      <c r="J1317" s="15"/>
      <c r="K1317" s="15"/>
      <c r="L1317" s="28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5"/>
      <c r="AG1317" s="15"/>
      <c r="AH1317" s="15"/>
      <c r="AI1317" s="15"/>
      <c r="AJ1317" s="15"/>
      <c r="AK1317" s="15"/>
      <c r="AL1317" s="15"/>
      <c r="AM1317" s="15"/>
      <c r="AN1317" s="15"/>
      <c r="AO1317" s="15"/>
      <c r="AP1317" s="15"/>
      <c r="AQ1317" s="15"/>
      <c r="AR1317" s="15"/>
      <c r="AS1317" s="15"/>
      <c r="AT1317" s="15"/>
      <c r="AU1317" s="15"/>
      <c r="AV1317" s="15"/>
      <c r="AW1317" s="15"/>
    </row>
    <row r="1318" spans="3:49" x14ac:dyDescent="0.2">
      <c r="C1318" s="15"/>
      <c r="D1318" s="15"/>
      <c r="E1318" s="15"/>
      <c r="F1318" s="15"/>
      <c r="G1318" s="15"/>
      <c r="H1318" s="15"/>
      <c r="I1318" s="15"/>
      <c r="J1318" s="15"/>
      <c r="K1318" s="15"/>
      <c r="L1318" s="28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5"/>
      <c r="AG1318" s="15"/>
      <c r="AH1318" s="15"/>
      <c r="AI1318" s="15"/>
      <c r="AJ1318" s="15"/>
      <c r="AK1318" s="15"/>
      <c r="AL1318" s="15"/>
      <c r="AM1318" s="15"/>
      <c r="AN1318" s="15"/>
      <c r="AO1318" s="15"/>
      <c r="AP1318" s="15"/>
      <c r="AQ1318" s="15"/>
      <c r="AR1318" s="15"/>
      <c r="AS1318" s="15"/>
      <c r="AT1318" s="15"/>
      <c r="AU1318" s="15"/>
      <c r="AV1318" s="15"/>
      <c r="AW1318" s="15"/>
    </row>
    <row r="1319" spans="3:49" x14ac:dyDescent="0.2">
      <c r="C1319" s="15"/>
      <c r="D1319" s="15"/>
      <c r="E1319" s="15"/>
      <c r="F1319" s="15"/>
      <c r="G1319" s="15"/>
      <c r="H1319" s="15"/>
      <c r="I1319" s="15"/>
      <c r="J1319" s="15"/>
      <c r="K1319" s="15"/>
      <c r="L1319" s="28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5"/>
      <c r="AG1319" s="15"/>
      <c r="AH1319" s="15"/>
      <c r="AI1319" s="15"/>
      <c r="AJ1319" s="15"/>
      <c r="AK1319" s="15"/>
      <c r="AL1319" s="15"/>
      <c r="AM1319" s="15"/>
      <c r="AN1319" s="15"/>
      <c r="AO1319" s="15"/>
      <c r="AP1319" s="15"/>
      <c r="AQ1319" s="15"/>
      <c r="AR1319" s="15"/>
      <c r="AS1319" s="15"/>
      <c r="AT1319" s="15"/>
      <c r="AU1319" s="15"/>
      <c r="AV1319" s="15"/>
      <c r="AW1319" s="15"/>
    </row>
    <row r="1320" spans="3:49" x14ac:dyDescent="0.2">
      <c r="C1320" s="15"/>
      <c r="D1320" s="15"/>
      <c r="E1320" s="15"/>
      <c r="F1320" s="15"/>
      <c r="G1320" s="15"/>
      <c r="H1320" s="15"/>
      <c r="I1320" s="15"/>
      <c r="J1320" s="15"/>
      <c r="K1320" s="15"/>
      <c r="L1320" s="28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5"/>
      <c r="AG1320" s="15"/>
      <c r="AH1320" s="15"/>
      <c r="AI1320" s="15"/>
      <c r="AJ1320" s="15"/>
      <c r="AK1320" s="15"/>
      <c r="AL1320" s="15"/>
      <c r="AM1320" s="15"/>
      <c r="AN1320" s="15"/>
      <c r="AO1320" s="15"/>
      <c r="AP1320" s="15"/>
      <c r="AQ1320" s="15"/>
      <c r="AR1320" s="15"/>
      <c r="AS1320" s="15"/>
      <c r="AT1320" s="15"/>
      <c r="AU1320" s="15"/>
      <c r="AV1320" s="15"/>
      <c r="AW1320" s="15"/>
    </row>
    <row r="1321" spans="3:49" x14ac:dyDescent="0.2">
      <c r="C1321" s="15"/>
      <c r="D1321" s="15"/>
      <c r="E1321" s="15"/>
      <c r="F1321" s="15"/>
      <c r="G1321" s="15"/>
      <c r="H1321" s="15"/>
      <c r="I1321" s="15"/>
      <c r="J1321" s="15"/>
      <c r="K1321" s="15"/>
      <c r="L1321" s="28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5"/>
      <c r="AG1321" s="15"/>
      <c r="AH1321" s="15"/>
      <c r="AI1321" s="15"/>
      <c r="AJ1321" s="15"/>
      <c r="AK1321" s="15"/>
      <c r="AL1321" s="15"/>
      <c r="AM1321" s="15"/>
      <c r="AN1321" s="15"/>
      <c r="AO1321" s="15"/>
      <c r="AP1321" s="15"/>
      <c r="AQ1321" s="15"/>
      <c r="AR1321" s="15"/>
      <c r="AS1321" s="15"/>
      <c r="AT1321" s="15"/>
      <c r="AU1321" s="15"/>
      <c r="AV1321" s="15"/>
      <c r="AW1321" s="15"/>
    </row>
    <row r="1322" spans="3:49" x14ac:dyDescent="0.2">
      <c r="C1322" s="15"/>
      <c r="D1322" s="15"/>
      <c r="E1322" s="15"/>
      <c r="F1322" s="15"/>
      <c r="G1322" s="15"/>
      <c r="H1322" s="15"/>
      <c r="I1322" s="15"/>
      <c r="J1322" s="15"/>
      <c r="K1322" s="15"/>
      <c r="L1322" s="28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5"/>
      <c r="AG1322" s="15"/>
      <c r="AH1322" s="15"/>
      <c r="AI1322" s="15"/>
      <c r="AJ1322" s="15"/>
      <c r="AK1322" s="15"/>
      <c r="AL1322" s="15"/>
      <c r="AM1322" s="15"/>
      <c r="AN1322" s="15"/>
      <c r="AO1322" s="15"/>
      <c r="AP1322" s="15"/>
      <c r="AQ1322" s="15"/>
      <c r="AR1322" s="15"/>
      <c r="AS1322" s="15"/>
      <c r="AT1322" s="15"/>
      <c r="AU1322" s="15"/>
      <c r="AV1322" s="15"/>
      <c r="AW1322" s="15"/>
    </row>
    <row r="1323" spans="3:49" x14ac:dyDescent="0.2">
      <c r="C1323" s="15"/>
      <c r="D1323" s="15"/>
      <c r="E1323" s="15"/>
      <c r="F1323" s="15"/>
      <c r="G1323" s="15"/>
      <c r="H1323" s="15"/>
      <c r="I1323" s="15"/>
      <c r="J1323" s="15"/>
      <c r="K1323" s="15"/>
      <c r="L1323" s="28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5"/>
      <c r="AG1323" s="15"/>
      <c r="AH1323" s="15"/>
      <c r="AI1323" s="15"/>
      <c r="AJ1323" s="15"/>
      <c r="AK1323" s="15"/>
      <c r="AL1323" s="15"/>
      <c r="AM1323" s="15"/>
      <c r="AN1323" s="15"/>
      <c r="AO1323" s="15"/>
      <c r="AP1323" s="15"/>
      <c r="AQ1323" s="15"/>
      <c r="AR1323" s="15"/>
      <c r="AS1323" s="15"/>
      <c r="AT1323" s="15"/>
      <c r="AU1323" s="15"/>
      <c r="AV1323" s="15"/>
      <c r="AW1323" s="15"/>
    </row>
    <row r="1324" spans="3:49" x14ac:dyDescent="0.2">
      <c r="C1324" s="15"/>
      <c r="D1324" s="15"/>
      <c r="E1324" s="15"/>
      <c r="F1324" s="15"/>
      <c r="G1324" s="15"/>
      <c r="H1324" s="15"/>
      <c r="I1324" s="15"/>
      <c r="J1324" s="15"/>
      <c r="K1324" s="15"/>
      <c r="L1324" s="28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5"/>
      <c r="AG1324" s="15"/>
      <c r="AH1324" s="15"/>
      <c r="AI1324" s="15"/>
      <c r="AJ1324" s="15"/>
      <c r="AK1324" s="15"/>
      <c r="AL1324" s="15"/>
      <c r="AM1324" s="15"/>
      <c r="AN1324" s="15"/>
      <c r="AO1324" s="15"/>
      <c r="AP1324" s="15"/>
      <c r="AQ1324" s="15"/>
      <c r="AR1324" s="15"/>
      <c r="AS1324" s="15"/>
      <c r="AT1324" s="15"/>
      <c r="AU1324" s="15"/>
      <c r="AV1324" s="15"/>
      <c r="AW1324" s="15"/>
    </row>
    <row r="1325" spans="3:49" x14ac:dyDescent="0.2">
      <c r="C1325" s="15"/>
      <c r="D1325" s="15"/>
      <c r="E1325" s="15"/>
      <c r="F1325" s="15"/>
      <c r="G1325" s="15"/>
      <c r="H1325" s="15"/>
      <c r="I1325" s="15"/>
      <c r="J1325" s="15"/>
      <c r="K1325" s="15"/>
      <c r="L1325" s="28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5"/>
      <c r="AG1325" s="15"/>
      <c r="AH1325" s="15"/>
      <c r="AI1325" s="15"/>
      <c r="AJ1325" s="15"/>
      <c r="AK1325" s="15"/>
      <c r="AL1325" s="15"/>
      <c r="AM1325" s="15"/>
      <c r="AN1325" s="15"/>
      <c r="AO1325" s="15"/>
      <c r="AP1325" s="15"/>
      <c r="AQ1325" s="15"/>
      <c r="AR1325" s="15"/>
      <c r="AS1325" s="15"/>
      <c r="AT1325" s="15"/>
      <c r="AU1325" s="15"/>
      <c r="AV1325" s="15"/>
      <c r="AW1325" s="15"/>
    </row>
    <row r="1326" spans="3:49" x14ac:dyDescent="0.2">
      <c r="C1326" s="15"/>
      <c r="D1326" s="15"/>
      <c r="E1326" s="15"/>
      <c r="F1326" s="15"/>
      <c r="G1326" s="15"/>
      <c r="H1326" s="15"/>
      <c r="I1326" s="15"/>
      <c r="J1326" s="15"/>
      <c r="K1326" s="15"/>
      <c r="L1326" s="28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5"/>
      <c r="AG1326" s="15"/>
      <c r="AH1326" s="15"/>
      <c r="AI1326" s="15"/>
      <c r="AJ1326" s="15"/>
      <c r="AK1326" s="15"/>
      <c r="AL1326" s="15"/>
      <c r="AM1326" s="15"/>
      <c r="AN1326" s="15"/>
      <c r="AO1326" s="15"/>
      <c r="AP1326" s="15"/>
      <c r="AQ1326" s="15"/>
      <c r="AR1326" s="15"/>
      <c r="AS1326" s="15"/>
      <c r="AT1326" s="15"/>
      <c r="AU1326" s="15"/>
      <c r="AV1326" s="15"/>
      <c r="AW1326" s="15"/>
    </row>
    <row r="1327" spans="3:49" x14ac:dyDescent="0.2">
      <c r="C1327" s="15"/>
      <c r="D1327" s="15"/>
      <c r="E1327" s="15"/>
      <c r="F1327" s="15"/>
      <c r="G1327" s="15"/>
      <c r="H1327" s="15"/>
      <c r="I1327" s="15"/>
      <c r="J1327" s="15"/>
      <c r="K1327" s="15"/>
      <c r="L1327" s="28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5"/>
      <c r="AG1327" s="15"/>
      <c r="AH1327" s="15"/>
      <c r="AI1327" s="15"/>
      <c r="AJ1327" s="15"/>
      <c r="AK1327" s="15"/>
      <c r="AL1327" s="15"/>
      <c r="AM1327" s="15"/>
      <c r="AN1327" s="15"/>
      <c r="AO1327" s="15"/>
      <c r="AP1327" s="15"/>
      <c r="AQ1327" s="15"/>
      <c r="AR1327" s="15"/>
      <c r="AS1327" s="15"/>
      <c r="AT1327" s="15"/>
      <c r="AU1327" s="15"/>
      <c r="AV1327" s="15"/>
      <c r="AW1327" s="15"/>
    </row>
    <row r="1328" spans="3:49" x14ac:dyDescent="0.2">
      <c r="C1328" s="15"/>
      <c r="D1328" s="15"/>
      <c r="E1328" s="15"/>
      <c r="F1328" s="15"/>
      <c r="G1328" s="15"/>
      <c r="H1328" s="15"/>
      <c r="I1328" s="15"/>
      <c r="J1328" s="15"/>
      <c r="K1328" s="15"/>
      <c r="L1328" s="28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5"/>
      <c r="AG1328" s="15"/>
      <c r="AH1328" s="15"/>
      <c r="AI1328" s="15"/>
      <c r="AJ1328" s="15"/>
      <c r="AK1328" s="15"/>
      <c r="AL1328" s="15"/>
      <c r="AM1328" s="15"/>
      <c r="AN1328" s="15"/>
      <c r="AO1328" s="15"/>
      <c r="AP1328" s="15"/>
      <c r="AQ1328" s="15"/>
      <c r="AR1328" s="15"/>
      <c r="AS1328" s="15"/>
      <c r="AT1328" s="15"/>
      <c r="AU1328" s="15"/>
      <c r="AV1328" s="15"/>
      <c r="AW1328" s="15"/>
    </row>
    <row r="1329" spans="3:49" x14ac:dyDescent="0.2">
      <c r="C1329" s="15"/>
      <c r="D1329" s="15"/>
      <c r="E1329" s="15"/>
      <c r="F1329" s="15"/>
      <c r="G1329" s="15"/>
      <c r="H1329" s="15"/>
      <c r="I1329" s="15"/>
      <c r="J1329" s="15"/>
      <c r="K1329" s="15"/>
      <c r="L1329" s="28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5"/>
      <c r="AG1329" s="15"/>
      <c r="AH1329" s="15"/>
      <c r="AI1329" s="15"/>
      <c r="AJ1329" s="15"/>
      <c r="AK1329" s="15"/>
      <c r="AL1329" s="15"/>
      <c r="AM1329" s="15"/>
      <c r="AN1329" s="15"/>
      <c r="AO1329" s="15"/>
      <c r="AP1329" s="15"/>
      <c r="AQ1329" s="15"/>
      <c r="AR1329" s="15"/>
      <c r="AS1329" s="15"/>
      <c r="AT1329" s="15"/>
      <c r="AU1329" s="15"/>
      <c r="AV1329" s="15"/>
      <c r="AW1329" s="15"/>
    </row>
    <row r="1330" spans="3:49" x14ac:dyDescent="0.2">
      <c r="C1330" s="15"/>
      <c r="D1330" s="15"/>
      <c r="E1330" s="15"/>
      <c r="F1330" s="15"/>
      <c r="G1330" s="15"/>
      <c r="H1330" s="15"/>
      <c r="I1330" s="15"/>
      <c r="J1330" s="15"/>
      <c r="K1330" s="15"/>
      <c r="L1330" s="28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5"/>
      <c r="AG1330" s="15"/>
      <c r="AH1330" s="15"/>
      <c r="AI1330" s="15"/>
      <c r="AJ1330" s="15"/>
      <c r="AK1330" s="15"/>
      <c r="AL1330" s="15"/>
      <c r="AM1330" s="15"/>
      <c r="AN1330" s="15"/>
      <c r="AO1330" s="15"/>
      <c r="AP1330" s="15"/>
      <c r="AQ1330" s="15"/>
      <c r="AR1330" s="15"/>
      <c r="AS1330" s="15"/>
      <c r="AT1330" s="15"/>
      <c r="AU1330" s="15"/>
      <c r="AV1330" s="15"/>
      <c r="AW1330" s="15"/>
    </row>
    <row r="1331" spans="3:49" x14ac:dyDescent="0.2">
      <c r="C1331" s="15"/>
      <c r="D1331" s="15"/>
      <c r="E1331" s="15"/>
      <c r="F1331" s="15"/>
      <c r="G1331" s="15"/>
      <c r="H1331" s="15"/>
      <c r="I1331" s="15"/>
      <c r="J1331" s="15"/>
      <c r="K1331" s="15"/>
      <c r="L1331" s="28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5"/>
      <c r="AG1331" s="15"/>
      <c r="AH1331" s="15"/>
      <c r="AI1331" s="15"/>
      <c r="AJ1331" s="15"/>
      <c r="AK1331" s="15"/>
      <c r="AL1331" s="15"/>
      <c r="AM1331" s="15"/>
      <c r="AN1331" s="15"/>
      <c r="AO1331" s="15"/>
      <c r="AP1331" s="15"/>
      <c r="AQ1331" s="15"/>
      <c r="AR1331" s="15"/>
      <c r="AS1331" s="15"/>
      <c r="AT1331" s="15"/>
      <c r="AU1331" s="15"/>
      <c r="AV1331" s="15"/>
      <c r="AW1331" s="15"/>
    </row>
    <row r="1332" spans="3:49" x14ac:dyDescent="0.2">
      <c r="C1332" s="15"/>
      <c r="D1332" s="15"/>
      <c r="E1332" s="15"/>
      <c r="F1332" s="15"/>
      <c r="G1332" s="15"/>
      <c r="H1332" s="15"/>
      <c r="I1332" s="15"/>
      <c r="J1332" s="15"/>
      <c r="K1332" s="15"/>
      <c r="L1332" s="28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5"/>
      <c r="AG1332" s="15"/>
      <c r="AH1332" s="15"/>
      <c r="AI1332" s="15"/>
      <c r="AJ1332" s="15"/>
      <c r="AK1332" s="15"/>
      <c r="AL1332" s="15"/>
      <c r="AM1332" s="15"/>
      <c r="AN1332" s="15"/>
      <c r="AO1332" s="15"/>
      <c r="AP1332" s="15"/>
      <c r="AQ1332" s="15"/>
      <c r="AR1332" s="15"/>
      <c r="AS1332" s="15"/>
      <c r="AT1332" s="15"/>
      <c r="AU1332" s="15"/>
      <c r="AV1332" s="15"/>
      <c r="AW1332" s="15"/>
    </row>
    <row r="1333" spans="3:49" x14ac:dyDescent="0.2">
      <c r="C1333" s="15"/>
      <c r="D1333" s="15"/>
      <c r="E1333" s="15"/>
      <c r="F1333" s="15"/>
      <c r="G1333" s="15"/>
      <c r="H1333" s="15"/>
      <c r="I1333" s="15"/>
      <c r="J1333" s="15"/>
      <c r="K1333" s="15"/>
      <c r="L1333" s="28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5"/>
      <c r="AG1333" s="15"/>
      <c r="AH1333" s="15"/>
      <c r="AI1333" s="15"/>
      <c r="AJ1333" s="15"/>
      <c r="AK1333" s="15"/>
      <c r="AL1333" s="15"/>
      <c r="AM1333" s="15"/>
      <c r="AN1333" s="15"/>
      <c r="AO1333" s="15"/>
      <c r="AP1333" s="15"/>
      <c r="AQ1333" s="15"/>
      <c r="AR1333" s="15"/>
      <c r="AS1333" s="15"/>
      <c r="AT1333" s="15"/>
      <c r="AU1333" s="15"/>
      <c r="AV1333" s="15"/>
      <c r="AW1333" s="15"/>
    </row>
    <row r="1334" spans="3:49" x14ac:dyDescent="0.2">
      <c r="C1334" s="15"/>
      <c r="D1334" s="15"/>
      <c r="E1334" s="15"/>
      <c r="F1334" s="15"/>
      <c r="G1334" s="15"/>
      <c r="H1334" s="15"/>
      <c r="I1334" s="15"/>
      <c r="J1334" s="15"/>
      <c r="K1334" s="15"/>
      <c r="L1334" s="28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5"/>
      <c r="AG1334" s="15"/>
      <c r="AH1334" s="15"/>
      <c r="AI1334" s="15"/>
      <c r="AJ1334" s="15"/>
      <c r="AK1334" s="15"/>
      <c r="AL1334" s="15"/>
      <c r="AM1334" s="15"/>
      <c r="AN1334" s="15"/>
      <c r="AO1334" s="15"/>
      <c r="AP1334" s="15"/>
      <c r="AQ1334" s="15"/>
      <c r="AR1334" s="15"/>
      <c r="AS1334" s="15"/>
      <c r="AT1334" s="15"/>
      <c r="AU1334" s="15"/>
      <c r="AV1334" s="15"/>
      <c r="AW1334" s="15"/>
    </row>
    <row r="1335" spans="3:49" x14ac:dyDescent="0.2">
      <c r="C1335" s="15"/>
      <c r="D1335" s="15"/>
      <c r="E1335" s="15"/>
      <c r="F1335" s="15"/>
      <c r="G1335" s="15"/>
      <c r="H1335" s="15"/>
      <c r="I1335" s="15"/>
      <c r="J1335" s="15"/>
      <c r="K1335" s="15"/>
      <c r="L1335" s="28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5"/>
      <c r="AG1335" s="15"/>
      <c r="AH1335" s="15"/>
      <c r="AI1335" s="15"/>
      <c r="AJ1335" s="15"/>
      <c r="AK1335" s="15"/>
      <c r="AL1335" s="15"/>
      <c r="AM1335" s="15"/>
      <c r="AN1335" s="15"/>
      <c r="AO1335" s="15"/>
      <c r="AP1335" s="15"/>
      <c r="AQ1335" s="15"/>
      <c r="AR1335" s="15"/>
      <c r="AS1335" s="15"/>
      <c r="AT1335" s="15"/>
      <c r="AU1335" s="15"/>
      <c r="AV1335" s="15"/>
      <c r="AW1335" s="15"/>
    </row>
    <row r="1336" spans="3:49" x14ac:dyDescent="0.2">
      <c r="C1336" s="15"/>
      <c r="D1336" s="15"/>
      <c r="E1336" s="15"/>
      <c r="F1336" s="15"/>
      <c r="G1336" s="15"/>
      <c r="H1336" s="15"/>
      <c r="I1336" s="15"/>
      <c r="J1336" s="15"/>
      <c r="K1336" s="15"/>
      <c r="L1336" s="28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5"/>
      <c r="AG1336" s="15"/>
      <c r="AH1336" s="15"/>
      <c r="AI1336" s="15"/>
      <c r="AJ1336" s="15"/>
      <c r="AK1336" s="15"/>
      <c r="AL1336" s="15"/>
      <c r="AM1336" s="15"/>
      <c r="AN1336" s="15"/>
      <c r="AO1336" s="15"/>
      <c r="AP1336" s="15"/>
      <c r="AQ1336" s="15"/>
      <c r="AR1336" s="15"/>
      <c r="AS1336" s="15"/>
      <c r="AT1336" s="15"/>
      <c r="AU1336" s="15"/>
      <c r="AV1336" s="15"/>
      <c r="AW1336" s="15"/>
    </row>
    <row r="1337" spans="3:49" x14ac:dyDescent="0.2">
      <c r="C1337" s="15"/>
      <c r="D1337" s="15"/>
      <c r="E1337" s="15"/>
      <c r="F1337" s="15"/>
      <c r="G1337" s="15"/>
      <c r="H1337" s="15"/>
      <c r="I1337" s="15"/>
      <c r="J1337" s="15"/>
      <c r="K1337" s="15"/>
      <c r="L1337" s="28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5"/>
      <c r="AG1337" s="15"/>
      <c r="AH1337" s="15"/>
      <c r="AI1337" s="15"/>
      <c r="AJ1337" s="15"/>
      <c r="AK1337" s="15"/>
      <c r="AL1337" s="15"/>
      <c r="AM1337" s="15"/>
      <c r="AN1337" s="15"/>
      <c r="AO1337" s="15"/>
      <c r="AP1337" s="15"/>
      <c r="AQ1337" s="15"/>
      <c r="AR1337" s="15"/>
      <c r="AS1337" s="15"/>
      <c r="AT1337" s="15"/>
      <c r="AU1337" s="15"/>
      <c r="AV1337" s="15"/>
      <c r="AW1337" s="15"/>
    </row>
    <row r="1338" spans="3:49" x14ac:dyDescent="0.2">
      <c r="C1338" s="15"/>
      <c r="D1338" s="15"/>
      <c r="E1338" s="15"/>
      <c r="F1338" s="15"/>
      <c r="G1338" s="15"/>
      <c r="H1338" s="15"/>
      <c r="I1338" s="15"/>
      <c r="J1338" s="15"/>
      <c r="K1338" s="15"/>
      <c r="L1338" s="28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5"/>
      <c r="AG1338" s="15"/>
      <c r="AH1338" s="15"/>
      <c r="AI1338" s="15"/>
      <c r="AJ1338" s="15"/>
      <c r="AK1338" s="15"/>
      <c r="AL1338" s="15"/>
      <c r="AM1338" s="15"/>
      <c r="AN1338" s="15"/>
      <c r="AO1338" s="15"/>
      <c r="AP1338" s="15"/>
      <c r="AQ1338" s="15"/>
      <c r="AR1338" s="15"/>
      <c r="AS1338" s="15"/>
      <c r="AT1338" s="15"/>
      <c r="AU1338" s="15"/>
      <c r="AV1338" s="15"/>
      <c r="AW1338" s="15"/>
    </row>
    <row r="1339" spans="3:49" x14ac:dyDescent="0.2">
      <c r="C1339" s="15"/>
      <c r="D1339" s="15"/>
      <c r="E1339" s="15"/>
      <c r="F1339" s="15"/>
      <c r="G1339" s="15"/>
      <c r="H1339" s="15"/>
      <c r="I1339" s="15"/>
      <c r="J1339" s="15"/>
      <c r="K1339" s="15"/>
      <c r="L1339" s="28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5"/>
      <c r="AG1339" s="15"/>
      <c r="AH1339" s="15"/>
      <c r="AI1339" s="15"/>
      <c r="AJ1339" s="15"/>
      <c r="AK1339" s="15"/>
      <c r="AL1339" s="15"/>
      <c r="AM1339" s="15"/>
      <c r="AN1339" s="15"/>
      <c r="AO1339" s="15"/>
      <c r="AP1339" s="15"/>
      <c r="AQ1339" s="15"/>
      <c r="AR1339" s="15"/>
      <c r="AS1339" s="15"/>
      <c r="AT1339" s="15"/>
      <c r="AU1339" s="15"/>
      <c r="AV1339" s="15"/>
      <c r="AW1339" s="15"/>
    </row>
    <row r="1340" spans="3:49" x14ac:dyDescent="0.2">
      <c r="C1340" s="15"/>
      <c r="D1340" s="15"/>
      <c r="E1340" s="15"/>
      <c r="F1340" s="15"/>
      <c r="G1340" s="15"/>
      <c r="H1340" s="15"/>
      <c r="I1340" s="15"/>
      <c r="J1340" s="15"/>
      <c r="K1340" s="15"/>
      <c r="L1340" s="28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5"/>
      <c r="AG1340" s="15"/>
      <c r="AH1340" s="15"/>
      <c r="AI1340" s="15"/>
      <c r="AJ1340" s="15"/>
      <c r="AK1340" s="15"/>
      <c r="AL1340" s="15"/>
      <c r="AM1340" s="15"/>
      <c r="AN1340" s="15"/>
      <c r="AO1340" s="15"/>
      <c r="AP1340" s="15"/>
      <c r="AQ1340" s="15"/>
      <c r="AR1340" s="15"/>
      <c r="AS1340" s="15"/>
      <c r="AT1340" s="15"/>
      <c r="AU1340" s="15"/>
      <c r="AV1340" s="15"/>
      <c r="AW1340" s="15"/>
    </row>
    <row r="1341" spans="3:49" x14ac:dyDescent="0.2">
      <c r="C1341" s="15"/>
      <c r="D1341" s="15"/>
      <c r="E1341" s="15"/>
      <c r="F1341" s="15"/>
      <c r="G1341" s="15"/>
      <c r="H1341" s="15"/>
      <c r="I1341" s="15"/>
      <c r="J1341" s="15"/>
      <c r="K1341" s="15"/>
      <c r="L1341" s="28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5"/>
      <c r="AG1341" s="15"/>
      <c r="AH1341" s="15"/>
      <c r="AI1341" s="15"/>
      <c r="AJ1341" s="15"/>
      <c r="AK1341" s="15"/>
      <c r="AL1341" s="15"/>
      <c r="AM1341" s="15"/>
      <c r="AN1341" s="15"/>
      <c r="AO1341" s="15"/>
      <c r="AP1341" s="15"/>
      <c r="AQ1341" s="15"/>
      <c r="AR1341" s="15"/>
      <c r="AS1341" s="15"/>
      <c r="AT1341" s="15"/>
      <c r="AU1341" s="15"/>
      <c r="AV1341" s="15"/>
      <c r="AW1341" s="15"/>
    </row>
    <row r="1342" spans="3:49" x14ac:dyDescent="0.2">
      <c r="C1342" s="15"/>
      <c r="D1342" s="15"/>
      <c r="E1342" s="15"/>
      <c r="F1342" s="15"/>
      <c r="G1342" s="15"/>
      <c r="H1342" s="15"/>
      <c r="I1342" s="15"/>
      <c r="J1342" s="15"/>
      <c r="K1342" s="15"/>
      <c r="L1342" s="28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5"/>
      <c r="AG1342" s="15"/>
      <c r="AH1342" s="15"/>
      <c r="AI1342" s="15"/>
      <c r="AJ1342" s="15"/>
      <c r="AK1342" s="15"/>
      <c r="AL1342" s="15"/>
      <c r="AM1342" s="15"/>
      <c r="AN1342" s="15"/>
      <c r="AO1342" s="15"/>
      <c r="AP1342" s="15"/>
      <c r="AQ1342" s="15"/>
      <c r="AR1342" s="15"/>
      <c r="AS1342" s="15"/>
      <c r="AT1342" s="15"/>
      <c r="AU1342" s="15"/>
      <c r="AV1342" s="15"/>
      <c r="AW1342" s="15"/>
    </row>
    <row r="1343" spans="3:49" x14ac:dyDescent="0.2">
      <c r="C1343" s="15"/>
      <c r="D1343" s="15"/>
      <c r="E1343" s="15"/>
      <c r="F1343" s="15"/>
      <c r="G1343" s="15"/>
      <c r="H1343" s="15"/>
      <c r="I1343" s="15"/>
      <c r="J1343" s="15"/>
      <c r="K1343" s="15"/>
      <c r="L1343" s="28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5"/>
      <c r="AG1343" s="15"/>
      <c r="AH1343" s="15"/>
      <c r="AI1343" s="15"/>
      <c r="AJ1343" s="15"/>
      <c r="AK1343" s="15"/>
      <c r="AL1343" s="15"/>
      <c r="AM1343" s="15"/>
      <c r="AN1343" s="15"/>
      <c r="AO1343" s="15"/>
      <c r="AP1343" s="15"/>
      <c r="AQ1343" s="15"/>
      <c r="AR1343" s="15"/>
      <c r="AS1343" s="15"/>
      <c r="AT1343" s="15"/>
      <c r="AU1343" s="15"/>
      <c r="AV1343" s="15"/>
      <c r="AW1343" s="15"/>
    </row>
    <row r="1344" spans="3:49" x14ac:dyDescent="0.2">
      <c r="C1344" s="15"/>
      <c r="D1344" s="15"/>
      <c r="E1344" s="15"/>
      <c r="F1344" s="15"/>
      <c r="G1344" s="15"/>
      <c r="H1344" s="15"/>
      <c r="I1344" s="15"/>
      <c r="J1344" s="15"/>
      <c r="K1344" s="15"/>
      <c r="L1344" s="28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5"/>
      <c r="AG1344" s="15"/>
      <c r="AH1344" s="15"/>
      <c r="AI1344" s="15"/>
      <c r="AJ1344" s="15"/>
      <c r="AK1344" s="15"/>
      <c r="AL1344" s="15"/>
      <c r="AM1344" s="15"/>
      <c r="AN1344" s="15"/>
      <c r="AO1344" s="15"/>
      <c r="AP1344" s="15"/>
      <c r="AQ1344" s="15"/>
      <c r="AR1344" s="15"/>
      <c r="AS1344" s="15"/>
      <c r="AT1344" s="15"/>
      <c r="AU1344" s="15"/>
      <c r="AV1344" s="15"/>
      <c r="AW1344" s="15"/>
    </row>
    <row r="1345" spans="3:49" x14ac:dyDescent="0.2">
      <c r="C1345" s="15"/>
      <c r="D1345" s="15"/>
      <c r="E1345" s="15"/>
      <c r="F1345" s="15"/>
      <c r="G1345" s="15"/>
      <c r="H1345" s="15"/>
      <c r="I1345" s="15"/>
      <c r="J1345" s="15"/>
      <c r="K1345" s="15"/>
      <c r="L1345" s="28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5"/>
      <c r="AG1345" s="15"/>
      <c r="AH1345" s="15"/>
      <c r="AI1345" s="15"/>
      <c r="AJ1345" s="15"/>
      <c r="AK1345" s="15"/>
      <c r="AL1345" s="15"/>
      <c r="AM1345" s="15"/>
      <c r="AN1345" s="15"/>
      <c r="AO1345" s="15"/>
      <c r="AP1345" s="15"/>
      <c r="AQ1345" s="15"/>
      <c r="AR1345" s="15"/>
      <c r="AS1345" s="15"/>
      <c r="AT1345" s="15"/>
      <c r="AU1345" s="15"/>
      <c r="AV1345" s="15"/>
      <c r="AW1345" s="15"/>
    </row>
    <row r="1346" spans="3:49" x14ac:dyDescent="0.2">
      <c r="C1346" s="15"/>
      <c r="D1346" s="15"/>
      <c r="E1346" s="15"/>
      <c r="F1346" s="15"/>
      <c r="G1346" s="15"/>
      <c r="H1346" s="15"/>
      <c r="I1346" s="15"/>
      <c r="J1346" s="15"/>
      <c r="K1346" s="15"/>
      <c r="L1346" s="28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5"/>
      <c r="AG1346" s="15"/>
      <c r="AH1346" s="15"/>
      <c r="AI1346" s="15"/>
      <c r="AJ1346" s="15"/>
      <c r="AK1346" s="15"/>
      <c r="AL1346" s="15"/>
      <c r="AM1346" s="15"/>
      <c r="AN1346" s="15"/>
      <c r="AO1346" s="15"/>
      <c r="AP1346" s="15"/>
      <c r="AQ1346" s="15"/>
      <c r="AR1346" s="15"/>
      <c r="AS1346" s="15"/>
      <c r="AT1346" s="15"/>
      <c r="AU1346" s="15"/>
      <c r="AV1346" s="15"/>
      <c r="AW1346" s="15"/>
    </row>
    <row r="1347" spans="3:49" x14ac:dyDescent="0.2">
      <c r="C1347" s="15"/>
      <c r="D1347" s="15"/>
      <c r="E1347" s="15"/>
      <c r="F1347" s="15"/>
      <c r="G1347" s="15"/>
      <c r="H1347" s="15"/>
      <c r="I1347" s="15"/>
      <c r="J1347" s="15"/>
      <c r="K1347" s="15"/>
      <c r="L1347" s="28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5"/>
      <c r="AG1347" s="15"/>
      <c r="AH1347" s="15"/>
      <c r="AI1347" s="15"/>
      <c r="AJ1347" s="15"/>
      <c r="AK1347" s="15"/>
      <c r="AL1347" s="15"/>
      <c r="AM1347" s="15"/>
      <c r="AN1347" s="15"/>
      <c r="AO1347" s="15"/>
      <c r="AP1347" s="15"/>
      <c r="AQ1347" s="15"/>
      <c r="AR1347" s="15"/>
      <c r="AS1347" s="15"/>
      <c r="AT1347" s="15"/>
      <c r="AU1347" s="15"/>
      <c r="AV1347" s="15"/>
      <c r="AW1347" s="15"/>
    </row>
    <row r="1348" spans="3:49" x14ac:dyDescent="0.2">
      <c r="C1348" s="15"/>
      <c r="D1348" s="15"/>
      <c r="E1348" s="15"/>
      <c r="F1348" s="15"/>
      <c r="G1348" s="15"/>
      <c r="H1348" s="15"/>
      <c r="I1348" s="15"/>
      <c r="J1348" s="15"/>
      <c r="K1348" s="15"/>
      <c r="L1348" s="28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5"/>
      <c r="AG1348" s="15"/>
      <c r="AH1348" s="15"/>
      <c r="AI1348" s="15"/>
      <c r="AJ1348" s="15"/>
      <c r="AK1348" s="15"/>
      <c r="AL1348" s="15"/>
      <c r="AM1348" s="15"/>
      <c r="AN1348" s="15"/>
      <c r="AO1348" s="15"/>
      <c r="AP1348" s="15"/>
      <c r="AQ1348" s="15"/>
      <c r="AR1348" s="15"/>
      <c r="AS1348" s="15"/>
      <c r="AT1348" s="15"/>
      <c r="AU1348" s="15"/>
      <c r="AV1348" s="15"/>
      <c r="AW1348" s="15"/>
    </row>
    <row r="1349" spans="3:49" x14ac:dyDescent="0.2">
      <c r="C1349" s="15"/>
      <c r="D1349" s="15"/>
      <c r="E1349" s="15"/>
      <c r="F1349" s="15"/>
      <c r="G1349" s="15"/>
      <c r="H1349" s="15"/>
      <c r="I1349" s="15"/>
      <c r="J1349" s="15"/>
      <c r="K1349" s="15"/>
      <c r="L1349" s="28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5"/>
      <c r="AG1349" s="15"/>
      <c r="AH1349" s="15"/>
      <c r="AI1349" s="15"/>
      <c r="AJ1349" s="15"/>
      <c r="AK1349" s="15"/>
      <c r="AL1349" s="15"/>
      <c r="AM1349" s="15"/>
      <c r="AN1349" s="15"/>
      <c r="AO1349" s="15"/>
      <c r="AP1349" s="15"/>
      <c r="AQ1349" s="15"/>
      <c r="AR1349" s="15"/>
      <c r="AS1349" s="15"/>
      <c r="AT1349" s="15"/>
      <c r="AU1349" s="15"/>
      <c r="AV1349" s="15"/>
      <c r="AW1349" s="15"/>
    </row>
    <row r="1350" spans="3:49" x14ac:dyDescent="0.2">
      <c r="C1350" s="15"/>
      <c r="D1350" s="15"/>
      <c r="E1350" s="15"/>
      <c r="F1350" s="15"/>
      <c r="G1350" s="15"/>
      <c r="H1350" s="15"/>
      <c r="I1350" s="15"/>
      <c r="J1350" s="15"/>
      <c r="K1350" s="15"/>
      <c r="L1350" s="28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5"/>
      <c r="AG1350" s="15"/>
      <c r="AH1350" s="15"/>
      <c r="AI1350" s="15"/>
      <c r="AJ1350" s="15"/>
      <c r="AK1350" s="15"/>
      <c r="AL1350" s="15"/>
      <c r="AM1350" s="15"/>
      <c r="AN1350" s="15"/>
      <c r="AO1350" s="15"/>
      <c r="AP1350" s="15"/>
      <c r="AQ1350" s="15"/>
      <c r="AR1350" s="15"/>
      <c r="AS1350" s="15"/>
      <c r="AT1350" s="15"/>
      <c r="AU1350" s="15"/>
      <c r="AV1350" s="15"/>
      <c r="AW1350" s="15"/>
    </row>
    <row r="1351" spans="3:49" x14ac:dyDescent="0.2">
      <c r="C1351" s="15"/>
      <c r="D1351" s="15"/>
      <c r="E1351" s="15"/>
      <c r="F1351" s="15"/>
      <c r="G1351" s="15"/>
      <c r="H1351" s="15"/>
      <c r="I1351" s="15"/>
      <c r="J1351" s="15"/>
      <c r="K1351" s="15"/>
      <c r="L1351" s="28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5"/>
      <c r="AG1351" s="15"/>
      <c r="AH1351" s="15"/>
      <c r="AI1351" s="15"/>
      <c r="AJ1351" s="15"/>
      <c r="AK1351" s="15"/>
      <c r="AL1351" s="15"/>
      <c r="AM1351" s="15"/>
      <c r="AN1351" s="15"/>
      <c r="AO1351" s="15"/>
      <c r="AP1351" s="15"/>
      <c r="AQ1351" s="15"/>
      <c r="AR1351" s="15"/>
      <c r="AS1351" s="15"/>
      <c r="AT1351" s="15"/>
      <c r="AU1351" s="15"/>
      <c r="AV1351" s="15"/>
      <c r="AW1351" s="15"/>
    </row>
    <row r="1352" spans="3:49" x14ac:dyDescent="0.2">
      <c r="C1352" s="15"/>
      <c r="D1352" s="15"/>
      <c r="E1352" s="15"/>
      <c r="F1352" s="15"/>
      <c r="G1352" s="15"/>
      <c r="H1352" s="15"/>
      <c r="I1352" s="15"/>
      <c r="J1352" s="15"/>
      <c r="K1352" s="15"/>
      <c r="L1352" s="28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5"/>
      <c r="AG1352" s="15"/>
      <c r="AH1352" s="15"/>
      <c r="AI1352" s="15"/>
      <c r="AJ1352" s="15"/>
      <c r="AK1352" s="15"/>
      <c r="AL1352" s="15"/>
      <c r="AM1352" s="15"/>
      <c r="AN1352" s="15"/>
      <c r="AO1352" s="15"/>
      <c r="AP1352" s="15"/>
      <c r="AQ1352" s="15"/>
      <c r="AR1352" s="15"/>
      <c r="AS1352" s="15"/>
      <c r="AT1352" s="15"/>
      <c r="AU1352" s="15"/>
      <c r="AV1352" s="15"/>
      <c r="AW1352" s="15"/>
    </row>
    <row r="1353" spans="3:49" x14ac:dyDescent="0.2">
      <c r="C1353" s="15"/>
      <c r="D1353" s="15"/>
      <c r="E1353" s="15"/>
      <c r="F1353" s="15"/>
      <c r="G1353" s="15"/>
      <c r="H1353" s="15"/>
      <c r="I1353" s="15"/>
      <c r="J1353" s="15"/>
      <c r="K1353" s="15"/>
      <c r="L1353" s="28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5"/>
      <c r="AG1353" s="15"/>
      <c r="AH1353" s="15"/>
      <c r="AI1353" s="15"/>
      <c r="AJ1353" s="15"/>
      <c r="AK1353" s="15"/>
      <c r="AL1353" s="15"/>
      <c r="AM1353" s="15"/>
      <c r="AN1353" s="15"/>
      <c r="AO1353" s="15"/>
      <c r="AP1353" s="15"/>
      <c r="AQ1353" s="15"/>
      <c r="AR1353" s="15"/>
      <c r="AS1353" s="15"/>
      <c r="AT1353" s="15"/>
      <c r="AU1353" s="15"/>
      <c r="AV1353" s="15"/>
      <c r="AW1353" s="15"/>
    </row>
    <row r="1354" spans="3:49" x14ac:dyDescent="0.2">
      <c r="C1354" s="15"/>
      <c r="D1354" s="15"/>
      <c r="E1354" s="15"/>
      <c r="F1354" s="15"/>
      <c r="G1354" s="15"/>
      <c r="H1354" s="15"/>
      <c r="I1354" s="15"/>
      <c r="J1354" s="15"/>
      <c r="K1354" s="15"/>
      <c r="L1354" s="28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5"/>
      <c r="AG1354" s="15"/>
      <c r="AH1354" s="15"/>
      <c r="AI1354" s="15"/>
      <c r="AJ1354" s="15"/>
      <c r="AK1354" s="15"/>
      <c r="AL1354" s="15"/>
      <c r="AM1354" s="15"/>
      <c r="AN1354" s="15"/>
      <c r="AO1354" s="15"/>
      <c r="AP1354" s="15"/>
      <c r="AQ1354" s="15"/>
      <c r="AR1354" s="15"/>
      <c r="AS1354" s="15"/>
      <c r="AT1354" s="15"/>
      <c r="AU1354" s="15"/>
      <c r="AV1354" s="15"/>
      <c r="AW1354" s="15"/>
    </row>
    <row r="1355" spans="3:49" x14ac:dyDescent="0.2">
      <c r="C1355" s="15"/>
      <c r="D1355" s="15"/>
      <c r="E1355" s="15"/>
      <c r="F1355" s="15"/>
      <c r="G1355" s="15"/>
      <c r="H1355" s="15"/>
      <c r="I1355" s="15"/>
      <c r="J1355" s="15"/>
      <c r="K1355" s="15"/>
      <c r="L1355" s="28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5"/>
      <c r="AG1355" s="15"/>
      <c r="AH1355" s="15"/>
      <c r="AI1355" s="15"/>
      <c r="AJ1355" s="15"/>
      <c r="AK1355" s="15"/>
      <c r="AL1355" s="15"/>
      <c r="AM1355" s="15"/>
      <c r="AN1355" s="15"/>
      <c r="AO1355" s="15"/>
      <c r="AP1355" s="15"/>
      <c r="AQ1355" s="15"/>
      <c r="AR1355" s="15"/>
      <c r="AS1355" s="15"/>
      <c r="AT1355" s="15"/>
      <c r="AU1355" s="15"/>
      <c r="AV1355" s="15"/>
      <c r="AW1355" s="15"/>
    </row>
    <row r="1356" spans="3:49" x14ac:dyDescent="0.2">
      <c r="C1356" s="15"/>
      <c r="D1356" s="15"/>
      <c r="E1356" s="15"/>
      <c r="F1356" s="15"/>
      <c r="G1356" s="15"/>
      <c r="H1356" s="15"/>
      <c r="I1356" s="15"/>
      <c r="J1356" s="15"/>
      <c r="K1356" s="15"/>
      <c r="L1356" s="28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5"/>
      <c r="AG1356" s="15"/>
      <c r="AH1356" s="15"/>
      <c r="AI1356" s="15"/>
      <c r="AJ1356" s="15"/>
      <c r="AK1356" s="15"/>
      <c r="AL1356" s="15"/>
      <c r="AM1356" s="15"/>
      <c r="AN1356" s="15"/>
      <c r="AO1356" s="15"/>
      <c r="AP1356" s="15"/>
      <c r="AQ1356" s="15"/>
      <c r="AR1356" s="15"/>
      <c r="AS1356" s="15"/>
      <c r="AT1356" s="15"/>
      <c r="AU1356" s="15"/>
      <c r="AV1356" s="15"/>
      <c r="AW1356" s="15"/>
    </row>
    <row r="1357" spans="3:49" x14ac:dyDescent="0.2">
      <c r="C1357" s="15"/>
      <c r="D1357" s="15"/>
      <c r="E1357" s="15"/>
      <c r="F1357" s="15"/>
      <c r="G1357" s="15"/>
      <c r="H1357" s="15"/>
      <c r="I1357" s="15"/>
      <c r="J1357" s="15"/>
      <c r="K1357" s="15"/>
      <c r="L1357" s="28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5"/>
      <c r="AG1357" s="15"/>
      <c r="AH1357" s="15"/>
      <c r="AI1357" s="15"/>
      <c r="AJ1357" s="15"/>
      <c r="AK1357" s="15"/>
      <c r="AL1357" s="15"/>
      <c r="AM1357" s="15"/>
      <c r="AN1357" s="15"/>
      <c r="AO1357" s="15"/>
      <c r="AP1357" s="15"/>
      <c r="AQ1357" s="15"/>
      <c r="AR1357" s="15"/>
      <c r="AS1357" s="15"/>
      <c r="AT1357" s="15"/>
      <c r="AU1357" s="15"/>
      <c r="AV1357" s="15"/>
      <c r="AW1357" s="15"/>
    </row>
    <row r="1358" spans="3:49" x14ac:dyDescent="0.2">
      <c r="C1358" s="15"/>
      <c r="D1358" s="15"/>
      <c r="E1358" s="15"/>
      <c r="F1358" s="15"/>
      <c r="G1358" s="15"/>
      <c r="H1358" s="15"/>
      <c r="I1358" s="15"/>
      <c r="J1358" s="15"/>
      <c r="K1358" s="15"/>
      <c r="L1358" s="28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5"/>
      <c r="AG1358" s="15"/>
      <c r="AH1358" s="15"/>
      <c r="AI1358" s="15"/>
      <c r="AJ1358" s="15"/>
      <c r="AK1358" s="15"/>
      <c r="AL1358" s="15"/>
      <c r="AM1358" s="15"/>
      <c r="AN1358" s="15"/>
      <c r="AO1358" s="15"/>
      <c r="AP1358" s="15"/>
      <c r="AQ1358" s="15"/>
      <c r="AR1358" s="15"/>
      <c r="AS1358" s="15"/>
      <c r="AT1358" s="15"/>
      <c r="AU1358" s="15"/>
      <c r="AV1358" s="15"/>
      <c r="AW1358" s="15"/>
    </row>
    <row r="1359" spans="3:49" x14ac:dyDescent="0.2">
      <c r="C1359" s="15"/>
      <c r="D1359" s="15"/>
      <c r="E1359" s="15"/>
      <c r="F1359" s="15"/>
      <c r="G1359" s="15"/>
      <c r="H1359" s="15"/>
      <c r="I1359" s="15"/>
      <c r="J1359" s="15"/>
      <c r="K1359" s="15"/>
      <c r="L1359" s="28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5"/>
      <c r="AG1359" s="15"/>
      <c r="AH1359" s="15"/>
      <c r="AI1359" s="15"/>
      <c r="AJ1359" s="15"/>
      <c r="AK1359" s="15"/>
      <c r="AL1359" s="15"/>
      <c r="AM1359" s="15"/>
      <c r="AN1359" s="15"/>
      <c r="AO1359" s="15"/>
      <c r="AP1359" s="15"/>
      <c r="AQ1359" s="15"/>
      <c r="AR1359" s="15"/>
      <c r="AS1359" s="15"/>
      <c r="AT1359" s="15"/>
      <c r="AU1359" s="15"/>
      <c r="AV1359" s="15"/>
      <c r="AW1359" s="15"/>
    </row>
    <row r="1360" spans="3:49" x14ac:dyDescent="0.2">
      <c r="C1360" s="15"/>
      <c r="D1360" s="15"/>
      <c r="E1360" s="15"/>
      <c r="F1360" s="15"/>
      <c r="G1360" s="15"/>
      <c r="H1360" s="15"/>
      <c r="I1360" s="15"/>
      <c r="J1360" s="15"/>
      <c r="K1360" s="15"/>
      <c r="L1360" s="28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5"/>
      <c r="AG1360" s="15"/>
      <c r="AH1360" s="15"/>
      <c r="AI1360" s="15"/>
      <c r="AJ1360" s="15"/>
      <c r="AK1360" s="15"/>
      <c r="AL1360" s="15"/>
      <c r="AM1360" s="15"/>
      <c r="AN1360" s="15"/>
      <c r="AO1360" s="15"/>
      <c r="AP1360" s="15"/>
      <c r="AQ1360" s="15"/>
      <c r="AR1360" s="15"/>
      <c r="AS1360" s="15"/>
      <c r="AT1360" s="15"/>
      <c r="AU1360" s="15"/>
      <c r="AV1360" s="15"/>
      <c r="AW1360" s="15"/>
    </row>
    <row r="1361" spans="3:49" x14ac:dyDescent="0.2">
      <c r="C1361" s="15"/>
      <c r="D1361" s="15"/>
      <c r="E1361" s="15"/>
      <c r="F1361" s="15"/>
      <c r="G1361" s="15"/>
      <c r="H1361" s="15"/>
      <c r="I1361" s="15"/>
      <c r="J1361" s="15"/>
      <c r="K1361" s="15"/>
      <c r="L1361" s="28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5"/>
      <c r="AG1361" s="15"/>
      <c r="AH1361" s="15"/>
      <c r="AI1361" s="15"/>
      <c r="AJ1361" s="15"/>
      <c r="AK1361" s="15"/>
      <c r="AL1361" s="15"/>
      <c r="AM1361" s="15"/>
      <c r="AN1361" s="15"/>
      <c r="AO1361" s="15"/>
      <c r="AP1361" s="15"/>
      <c r="AQ1361" s="15"/>
      <c r="AR1361" s="15"/>
      <c r="AS1361" s="15"/>
      <c r="AT1361" s="15"/>
      <c r="AU1361" s="15"/>
      <c r="AV1361" s="15"/>
      <c r="AW1361" s="15"/>
    </row>
    <row r="1362" spans="3:49" x14ac:dyDescent="0.2">
      <c r="C1362" s="15"/>
      <c r="D1362" s="15"/>
      <c r="E1362" s="15"/>
      <c r="F1362" s="15"/>
      <c r="G1362" s="15"/>
      <c r="H1362" s="15"/>
      <c r="I1362" s="15"/>
      <c r="J1362" s="15"/>
      <c r="K1362" s="15"/>
      <c r="L1362" s="28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5"/>
      <c r="AG1362" s="15"/>
      <c r="AH1362" s="15"/>
      <c r="AI1362" s="15"/>
      <c r="AJ1362" s="15"/>
      <c r="AK1362" s="15"/>
      <c r="AL1362" s="15"/>
      <c r="AM1362" s="15"/>
      <c r="AN1362" s="15"/>
      <c r="AO1362" s="15"/>
      <c r="AP1362" s="15"/>
      <c r="AQ1362" s="15"/>
      <c r="AR1362" s="15"/>
      <c r="AS1362" s="15"/>
      <c r="AT1362" s="15"/>
      <c r="AU1362" s="15"/>
      <c r="AV1362" s="15"/>
      <c r="AW1362" s="15"/>
    </row>
    <row r="1363" spans="3:49" x14ac:dyDescent="0.2">
      <c r="C1363" s="15"/>
      <c r="D1363" s="15"/>
      <c r="E1363" s="15"/>
      <c r="F1363" s="15"/>
      <c r="G1363" s="15"/>
      <c r="H1363" s="15"/>
      <c r="I1363" s="15"/>
      <c r="J1363" s="15"/>
      <c r="K1363" s="15"/>
      <c r="L1363" s="28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5"/>
      <c r="AG1363" s="15"/>
      <c r="AH1363" s="15"/>
      <c r="AI1363" s="15"/>
      <c r="AJ1363" s="15"/>
      <c r="AK1363" s="15"/>
      <c r="AL1363" s="15"/>
      <c r="AM1363" s="15"/>
      <c r="AN1363" s="15"/>
      <c r="AO1363" s="15"/>
      <c r="AP1363" s="15"/>
      <c r="AQ1363" s="15"/>
      <c r="AR1363" s="15"/>
      <c r="AS1363" s="15"/>
      <c r="AT1363" s="15"/>
      <c r="AU1363" s="15"/>
      <c r="AV1363" s="15"/>
      <c r="AW1363" s="15"/>
    </row>
    <row r="1364" spans="3:49" x14ac:dyDescent="0.2">
      <c r="C1364" s="15"/>
      <c r="D1364" s="15"/>
      <c r="E1364" s="15"/>
      <c r="F1364" s="15"/>
      <c r="G1364" s="15"/>
      <c r="H1364" s="15"/>
      <c r="I1364" s="15"/>
      <c r="J1364" s="15"/>
      <c r="K1364" s="15"/>
      <c r="L1364" s="28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5"/>
      <c r="AG1364" s="15"/>
      <c r="AH1364" s="15"/>
      <c r="AI1364" s="15"/>
      <c r="AJ1364" s="15"/>
      <c r="AK1364" s="15"/>
      <c r="AL1364" s="15"/>
      <c r="AM1364" s="15"/>
      <c r="AN1364" s="15"/>
      <c r="AO1364" s="15"/>
      <c r="AP1364" s="15"/>
      <c r="AQ1364" s="15"/>
      <c r="AR1364" s="15"/>
      <c r="AS1364" s="15"/>
      <c r="AT1364" s="15"/>
      <c r="AU1364" s="15"/>
      <c r="AV1364" s="15"/>
      <c r="AW1364" s="15"/>
    </row>
    <row r="1365" spans="3:49" x14ac:dyDescent="0.2">
      <c r="C1365" s="15"/>
      <c r="D1365" s="15"/>
      <c r="E1365" s="15"/>
      <c r="F1365" s="15"/>
      <c r="G1365" s="15"/>
      <c r="H1365" s="15"/>
      <c r="I1365" s="15"/>
      <c r="J1365" s="15"/>
      <c r="K1365" s="15"/>
      <c r="L1365" s="28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5"/>
      <c r="AG1365" s="15"/>
      <c r="AH1365" s="15"/>
      <c r="AI1365" s="15"/>
      <c r="AJ1365" s="15"/>
      <c r="AK1365" s="15"/>
      <c r="AL1365" s="15"/>
      <c r="AM1365" s="15"/>
      <c r="AN1365" s="15"/>
      <c r="AO1365" s="15"/>
      <c r="AP1365" s="15"/>
      <c r="AQ1365" s="15"/>
      <c r="AR1365" s="15"/>
      <c r="AS1365" s="15"/>
      <c r="AT1365" s="15"/>
      <c r="AU1365" s="15"/>
      <c r="AV1365" s="15"/>
      <c r="AW1365" s="15"/>
    </row>
    <row r="1366" spans="3:49" x14ac:dyDescent="0.2">
      <c r="C1366" s="15"/>
      <c r="D1366" s="15"/>
      <c r="E1366" s="15"/>
      <c r="F1366" s="15"/>
      <c r="G1366" s="15"/>
      <c r="H1366" s="15"/>
      <c r="I1366" s="15"/>
      <c r="J1366" s="15"/>
      <c r="K1366" s="15"/>
      <c r="L1366" s="28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5"/>
      <c r="AG1366" s="15"/>
      <c r="AH1366" s="15"/>
      <c r="AI1366" s="15"/>
      <c r="AJ1366" s="15"/>
      <c r="AK1366" s="15"/>
      <c r="AL1366" s="15"/>
      <c r="AM1366" s="15"/>
      <c r="AN1366" s="15"/>
      <c r="AO1366" s="15"/>
      <c r="AP1366" s="15"/>
      <c r="AQ1366" s="15"/>
      <c r="AR1366" s="15"/>
      <c r="AS1366" s="15"/>
      <c r="AT1366" s="15"/>
      <c r="AU1366" s="15"/>
      <c r="AV1366" s="15"/>
      <c r="AW1366" s="15"/>
    </row>
    <row r="1367" spans="3:49" x14ac:dyDescent="0.2">
      <c r="C1367" s="15"/>
      <c r="D1367" s="15"/>
      <c r="E1367" s="15"/>
      <c r="F1367" s="15"/>
      <c r="G1367" s="15"/>
      <c r="H1367" s="15"/>
      <c r="I1367" s="15"/>
      <c r="J1367" s="15"/>
      <c r="K1367" s="15"/>
      <c r="L1367" s="28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5"/>
      <c r="AG1367" s="15"/>
      <c r="AH1367" s="15"/>
      <c r="AI1367" s="15"/>
      <c r="AJ1367" s="15"/>
      <c r="AK1367" s="15"/>
      <c r="AL1367" s="15"/>
      <c r="AM1367" s="15"/>
      <c r="AN1367" s="15"/>
      <c r="AO1367" s="15"/>
      <c r="AP1367" s="15"/>
      <c r="AQ1367" s="15"/>
      <c r="AR1367" s="15"/>
      <c r="AS1367" s="15"/>
      <c r="AT1367" s="15"/>
      <c r="AU1367" s="15"/>
      <c r="AV1367" s="15"/>
      <c r="AW1367" s="15"/>
    </row>
    <row r="1368" spans="3:49" x14ac:dyDescent="0.2">
      <c r="C1368" s="15"/>
      <c r="D1368" s="15"/>
      <c r="E1368" s="15"/>
      <c r="F1368" s="15"/>
      <c r="G1368" s="15"/>
      <c r="H1368" s="15"/>
      <c r="I1368" s="15"/>
      <c r="J1368" s="15"/>
      <c r="K1368" s="15"/>
      <c r="L1368" s="28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5"/>
      <c r="AG1368" s="15"/>
      <c r="AH1368" s="15"/>
      <c r="AI1368" s="15"/>
      <c r="AJ1368" s="15"/>
      <c r="AK1368" s="15"/>
      <c r="AL1368" s="15"/>
      <c r="AM1368" s="15"/>
      <c r="AN1368" s="15"/>
      <c r="AO1368" s="15"/>
      <c r="AP1368" s="15"/>
      <c r="AQ1368" s="15"/>
      <c r="AR1368" s="15"/>
      <c r="AS1368" s="15"/>
      <c r="AT1368" s="15"/>
      <c r="AU1368" s="15"/>
      <c r="AV1368" s="15"/>
      <c r="AW1368" s="15"/>
    </row>
    <row r="1369" spans="3:49" x14ac:dyDescent="0.2">
      <c r="C1369" s="15"/>
      <c r="D1369" s="15"/>
      <c r="E1369" s="15"/>
      <c r="F1369" s="15"/>
      <c r="G1369" s="15"/>
      <c r="H1369" s="15"/>
      <c r="I1369" s="15"/>
      <c r="J1369" s="15"/>
      <c r="K1369" s="15"/>
      <c r="L1369" s="28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5"/>
      <c r="AG1369" s="15"/>
      <c r="AH1369" s="15"/>
      <c r="AI1369" s="15"/>
      <c r="AJ1369" s="15"/>
      <c r="AK1369" s="15"/>
      <c r="AL1369" s="15"/>
      <c r="AM1369" s="15"/>
      <c r="AN1369" s="15"/>
      <c r="AO1369" s="15"/>
      <c r="AP1369" s="15"/>
      <c r="AQ1369" s="15"/>
      <c r="AR1369" s="15"/>
      <c r="AS1369" s="15"/>
      <c r="AT1369" s="15"/>
      <c r="AU1369" s="15"/>
      <c r="AV1369" s="15"/>
      <c r="AW1369" s="15"/>
    </row>
    <row r="1370" spans="3:49" x14ac:dyDescent="0.2">
      <c r="C1370" s="15"/>
      <c r="D1370" s="15"/>
      <c r="E1370" s="15"/>
      <c r="F1370" s="15"/>
      <c r="G1370" s="15"/>
      <c r="H1370" s="15"/>
      <c r="I1370" s="15"/>
      <c r="J1370" s="15"/>
      <c r="K1370" s="15"/>
      <c r="L1370" s="28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5"/>
      <c r="AG1370" s="15"/>
      <c r="AH1370" s="15"/>
      <c r="AI1370" s="15"/>
      <c r="AJ1370" s="15"/>
      <c r="AK1370" s="15"/>
      <c r="AL1370" s="15"/>
      <c r="AM1370" s="15"/>
      <c r="AN1370" s="15"/>
      <c r="AO1370" s="15"/>
      <c r="AP1370" s="15"/>
      <c r="AQ1370" s="15"/>
      <c r="AR1370" s="15"/>
      <c r="AS1370" s="15"/>
      <c r="AT1370" s="15"/>
      <c r="AU1370" s="15"/>
      <c r="AV1370" s="15"/>
      <c r="AW1370" s="15"/>
    </row>
    <row r="1371" spans="3:49" x14ac:dyDescent="0.2">
      <c r="C1371" s="15"/>
      <c r="D1371" s="15"/>
      <c r="E1371" s="15"/>
      <c r="F1371" s="15"/>
      <c r="G1371" s="15"/>
      <c r="H1371" s="15"/>
      <c r="I1371" s="15"/>
      <c r="J1371" s="15"/>
      <c r="K1371" s="15"/>
      <c r="L1371" s="28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5"/>
      <c r="AG1371" s="15"/>
      <c r="AH1371" s="15"/>
      <c r="AI1371" s="15"/>
      <c r="AJ1371" s="15"/>
      <c r="AK1371" s="15"/>
      <c r="AL1371" s="15"/>
      <c r="AM1371" s="15"/>
      <c r="AN1371" s="15"/>
      <c r="AO1371" s="15"/>
      <c r="AP1371" s="15"/>
      <c r="AQ1371" s="15"/>
      <c r="AR1371" s="15"/>
      <c r="AS1371" s="15"/>
      <c r="AT1371" s="15"/>
      <c r="AU1371" s="15"/>
      <c r="AV1371" s="15"/>
      <c r="AW1371" s="15"/>
    </row>
    <row r="1372" spans="3:49" x14ac:dyDescent="0.2">
      <c r="C1372" s="15"/>
      <c r="D1372" s="15"/>
      <c r="E1372" s="15"/>
      <c r="F1372" s="15"/>
      <c r="G1372" s="15"/>
      <c r="H1372" s="15"/>
      <c r="I1372" s="15"/>
      <c r="J1372" s="15"/>
      <c r="K1372" s="15"/>
      <c r="L1372" s="28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5"/>
      <c r="AG1372" s="15"/>
      <c r="AH1372" s="15"/>
      <c r="AI1372" s="15"/>
      <c r="AJ1372" s="15"/>
      <c r="AK1372" s="15"/>
      <c r="AL1372" s="15"/>
      <c r="AM1372" s="15"/>
      <c r="AN1372" s="15"/>
      <c r="AO1372" s="15"/>
      <c r="AP1372" s="15"/>
      <c r="AQ1372" s="15"/>
      <c r="AR1372" s="15"/>
      <c r="AS1372" s="15"/>
      <c r="AT1372" s="15"/>
      <c r="AU1372" s="15"/>
      <c r="AV1372" s="15"/>
      <c r="AW1372" s="15"/>
    </row>
    <row r="1373" spans="3:49" x14ac:dyDescent="0.2">
      <c r="C1373" s="15"/>
      <c r="D1373" s="15"/>
      <c r="E1373" s="15"/>
      <c r="F1373" s="15"/>
      <c r="G1373" s="15"/>
      <c r="H1373" s="15"/>
      <c r="I1373" s="15"/>
      <c r="J1373" s="15"/>
      <c r="K1373" s="15"/>
      <c r="L1373" s="28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5"/>
      <c r="AG1373" s="15"/>
      <c r="AH1373" s="15"/>
      <c r="AI1373" s="15"/>
      <c r="AJ1373" s="15"/>
      <c r="AK1373" s="15"/>
      <c r="AL1373" s="15"/>
      <c r="AM1373" s="15"/>
      <c r="AN1373" s="15"/>
      <c r="AO1373" s="15"/>
      <c r="AP1373" s="15"/>
      <c r="AQ1373" s="15"/>
      <c r="AR1373" s="15"/>
      <c r="AS1373" s="15"/>
      <c r="AT1373" s="15"/>
      <c r="AU1373" s="15"/>
      <c r="AV1373" s="15"/>
      <c r="AW1373" s="15"/>
    </row>
    <row r="1374" spans="3:49" x14ac:dyDescent="0.2">
      <c r="C1374" s="15"/>
      <c r="D1374" s="15"/>
      <c r="E1374" s="15"/>
      <c r="F1374" s="15"/>
      <c r="G1374" s="15"/>
      <c r="H1374" s="15"/>
      <c r="I1374" s="15"/>
      <c r="J1374" s="15"/>
      <c r="K1374" s="15"/>
      <c r="L1374" s="28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5"/>
      <c r="AG1374" s="15"/>
      <c r="AH1374" s="15"/>
      <c r="AI1374" s="15"/>
      <c r="AJ1374" s="15"/>
      <c r="AK1374" s="15"/>
      <c r="AL1374" s="15"/>
      <c r="AM1374" s="15"/>
      <c r="AN1374" s="15"/>
      <c r="AO1374" s="15"/>
      <c r="AP1374" s="15"/>
      <c r="AQ1374" s="15"/>
      <c r="AR1374" s="15"/>
      <c r="AS1374" s="15"/>
      <c r="AT1374" s="15"/>
      <c r="AU1374" s="15"/>
      <c r="AV1374" s="15"/>
      <c r="AW1374" s="15"/>
    </row>
    <row r="1375" spans="3:49" x14ac:dyDescent="0.2">
      <c r="C1375" s="15"/>
      <c r="D1375" s="15"/>
      <c r="E1375" s="15"/>
      <c r="F1375" s="15"/>
      <c r="G1375" s="15"/>
      <c r="H1375" s="15"/>
      <c r="I1375" s="15"/>
      <c r="J1375" s="15"/>
      <c r="K1375" s="15"/>
      <c r="L1375" s="28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5"/>
      <c r="AG1375" s="15"/>
      <c r="AH1375" s="15"/>
      <c r="AI1375" s="15"/>
      <c r="AJ1375" s="15"/>
      <c r="AK1375" s="15"/>
      <c r="AL1375" s="15"/>
      <c r="AM1375" s="15"/>
      <c r="AN1375" s="15"/>
      <c r="AO1375" s="15"/>
      <c r="AP1375" s="15"/>
      <c r="AQ1375" s="15"/>
      <c r="AR1375" s="15"/>
      <c r="AS1375" s="15"/>
      <c r="AT1375" s="15"/>
      <c r="AU1375" s="15"/>
      <c r="AV1375" s="15"/>
      <c r="AW1375" s="15"/>
    </row>
    <row r="1376" spans="3:49" x14ac:dyDescent="0.2">
      <c r="C1376" s="15"/>
      <c r="D1376" s="15"/>
      <c r="E1376" s="15"/>
      <c r="F1376" s="15"/>
      <c r="G1376" s="15"/>
      <c r="H1376" s="15"/>
      <c r="I1376" s="15"/>
      <c r="J1376" s="15"/>
      <c r="K1376" s="15"/>
      <c r="L1376" s="28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5"/>
      <c r="AG1376" s="15"/>
      <c r="AH1376" s="15"/>
      <c r="AI1376" s="15"/>
      <c r="AJ1376" s="15"/>
      <c r="AK1376" s="15"/>
      <c r="AL1376" s="15"/>
      <c r="AM1376" s="15"/>
      <c r="AN1376" s="15"/>
      <c r="AO1376" s="15"/>
      <c r="AP1376" s="15"/>
      <c r="AQ1376" s="15"/>
      <c r="AR1376" s="15"/>
      <c r="AS1376" s="15"/>
      <c r="AT1376" s="15"/>
      <c r="AU1376" s="15"/>
      <c r="AV1376" s="15"/>
      <c r="AW1376" s="15"/>
    </row>
    <row r="1377" spans="3:49" x14ac:dyDescent="0.2">
      <c r="C1377" s="15"/>
      <c r="D1377" s="15"/>
      <c r="E1377" s="15"/>
      <c r="F1377" s="15"/>
      <c r="G1377" s="15"/>
      <c r="H1377" s="15"/>
      <c r="I1377" s="15"/>
      <c r="J1377" s="15"/>
      <c r="K1377" s="15"/>
      <c r="L1377" s="28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5"/>
      <c r="AG1377" s="15"/>
      <c r="AH1377" s="15"/>
      <c r="AI1377" s="15"/>
      <c r="AJ1377" s="15"/>
      <c r="AK1377" s="15"/>
      <c r="AL1377" s="15"/>
      <c r="AM1377" s="15"/>
      <c r="AN1377" s="15"/>
      <c r="AO1377" s="15"/>
      <c r="AP1377" s="15"/>
      <c r="AQ1377" s="15"/>
      <c r="AR1377" s="15"/>
      <c r="AS1377" s="15"/>
      <c r="AT1377" s="15"/>
      <c r="AU1377" s="15"/>
      <c r="AV1377" s="15"/>
      <c r="AW1377" s="15"/>
    </row>
    <row r="1378" spans="3:49" x14ac:dyDescent="0.2">
      <c r="C1378" s="15"/>
      <c r="D1378" s="15"/>
      <c r="E1378" s="15"/>
      <c r="F1378" s="15"/>
      <c r="G1378" s="15"/>
      <c r="H1378" s="15"/>
      <c r="I1378" s="15"/>
      <c r="J1378" s="15"/>
      <c r="K1378" s="15"/>
      <c r="L1378" s="28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5"/>
      <c r="AG1378" s="15"/>
      <c r="AH1378" s="15"/>
      <c r="AI1378" s="15"/>
      <c r="AJ1378" s="15"/>
      <c r="AK1378" s="15"/>
      <c r="AL1378" s="15"/>
      <c r="AM1378" s="15"/>
      <c r="AN1378" s="15"/>
      <c r="AO1378" s="15"/>
      <c r="AP1378" s="15"/>
      <c r="AQ1378" s="15"/>
      <c r="AR1378" s="15"/>
      <c r="AS1378" s="15"/>
      <c r="AT1378" s="15"/>
      <c r="AU1378" s="15"/>
      <c r="AV1378" s="15"/>
      <c r="AW1378" s="15"/>
    </row>
    <row r="1379" spans="3:49" x14ac:dyDescent="0.2">
      <c r="C1379" s="15"/>
      <c r="D1379" s="15"/>
      <c r="E1379" s="15"/>
      <c r="F1379" s="15"/>
      <c r="G1379" s="15"/>
      <c r="H1379" s="15"/>
      <c r="I1379" s="15"/>
      <c r="J1379" s="15"/>
      <c r="K1379" s="15"/>
      <c r="L1379" s="28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5"/>
      <c r="AG1379" s="15"/>
      <c r="AH1379" s="15"/>
      <c r="AI1379" s="15"/>
      <c r="AJ1379" s="15"/>
      <c r="AK1379" s="15"/>
      <c r="AL1379" s="15"/>
      <c r="AM1379" s="15"/>
      <c r="AN1379" s="15"/>
      <c r="AO1379" s="15"/>
      <c r="AP1379" s="15"/>
      <c r="AQ1379" s="15"/>
      <c r="AR1379" s="15"/>
      <c r="AS1379" s="15"/>
      <c r="AT1379" s="15"/>
      <c r="AU1379" s="15"/>
      <c r="AV1379" s="15"/>
      <c r="AW1379" s="15"/>
    </row>
    <row r="1380" spans="3:49" x14ac:dyDescent="0.2">
      <c r="C1380" s="15"/>
      <c r="D1380" s="15"/>
      <c r="E1380" s="15"/>
      <c r="F1380" s="15"/>
      <c r="G1380" s="15"/>
      <c r="H1380" s="15"/>
      <c r="I1380" s="15"/>
      <c r="J1380" s="15"/>
      <c r="K1380" s="15"/>
      <c r="L1380" s="28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5"/>
      <c r="AG1380" s="15"/>
      <c r="AH1380" s="15"/>
      <c r="AI1380" s="15"/>
      <c r="AJ1380" s="15"/>
      <c r="AK1380" s="15"/>
      <c r="AL1380" s="15"/>
      <c r="AM1380" s="15"/>
      <c r="AN1380" s="15"/>
      <c r="AO1380" s="15"/>
      <c r="AP1380" s="15"/>
      <c r="AQ1380" s="15"/>
      <c r="AR1380" s="15"/>
      <c r="AS1380" s="15"/>
      <c r="AT1380" s="15"/>
      <c r="AU1380" s="15"/>
      <c r="AV1380" s="15"/>
      <c r="AW1380" s="15"/>
    </row>
    <row r="1381" spans="3:49" x14ac:dyDescent="0.2">
      <c r="C1381" s="15"/>
      <c r="D1381" s="15"/>
      <c r="E1381" s="15"/>
      <c r="F1381" s="15"/>
      <c r="G1381" s="15"/>
      <c r="H1381" s="15"/>
      <c r="I1381" s="15"/>
      <c r="J1381" s="15"/>
      <c r="K1381" s="15"/>
      <c r="L1381" s="28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5"/>
      <c r="AG1381" s="15"/>
      <c r="AH1381" s="15"/>
      <c r="AI1381" s="15"/>
      <c r="AJ1381" s="15"/>
      <c r="AK1381" s="15"/>
      <c r="AL1381" s="15"/>
      <c r="AM1381" s="15"/>
      <c r="AN1381" s="15"/>
      <c r="AO1381" s="15"/>
      <c r="AP1381" s="15"/>
      <c r="AQ1381" s="15"/>
      <c r="AR1381" s="15"/>
      <c r="AS1381" s="15"/>
      <c r="AT1381" s="15"/>
      <c r="AU1381" s="15"/>
      <c r="AV1381" s="15"/>
      <c r="AW1381" s="15"/>
    </row>
    <row r="1382" spans="3:49" x14ac:dyDescent="0.2">
      <c r="C1382" s="15"/>
      <c r="D1382" s="15"/>
      <c r="E1382" s="15"/>
      <c r="F1382" s="15"/>
      <c r="G1382" s="15"/>
      <c r="H1382" s="15"/>
      <c r="I1382" s="15"/>
      <c r="J1382" s="15"/>
      <c r="K1382" s="15"/>
      <c r="L1382" s="28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5"/>
      <c r="AG1382" s="15"/>
      <c r="AH1382" s="15"/>
      <c r="AI1382" s="15"/>
      <c r="AJ1382" s="15"/>
      <c r="AK1382" s="15"/>
      <c r="AL1382" s="15"/>
      <c r="AM1382" s="15"/>
      <c r="AN1382" s="15"/>
      <c r="AO1382" s="15"/>
      <c r="AP1382" s="15"/>
      <c r="AQ1382" s="15"/>
      <c r="AR1382" s="15"/>
      <c r="AS1382" s="15"/>
      <c r="AT1382" s="15"/>
      <c r="AU1382" s="15"/>
      <c r="AV1382" s="15"/>
      <c r="AW1382" s="15"/>
    </row>
    <row r="1383" spans="3:49" x14ac:dyDescent="0.2">
      <c r="C1383" s="15"/>
      <c r="D1383" s="15"/>
      <c r="E1383" s="15"/>
      <c r="F1383" s="15"/>
      <c r="G1383" s="15"/>
      <c r="H1383" s="15"/>
      <c r="I1383" s="15"/>
      <c r="J1383" s="15"/>
      <c r="K1383" s="15"/>
      <c r="L1383" s="28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5"/>
      <c r="AG1383" s="15"/>
      <c r="AH1383" s="15"/>
      <c r="AI1383" s="15"/>
      <c r="AJ1383" s="15"/>
      <c r="AK1383" s="15"/>
      <c r="AL1383" s="15"/>
      <c r="AM1383" s="15"/>
      <c r="AN1383" s="15"/>
      <c r="AO1383" s="15"/>
      <c r="AP1383" s="15"/>
      <c r="AQ1383" s="15"/>
      <c r="AR1383" s="15"/>
      <c r="AS1383" s="15"/>
      <c r="AT1383" s="15"/>
      <c r="AU1383" s="15"/>
      <c r="AV1383" s="15"/>
      <c r="AW1383" s="15"/>
    </row>
    <row r="1384" spans="3:49" x14ac:dyDescent="0.2">
      <c r="C1384" s="15"/>
      <c r="D1384" s="15"/>
      <c r="E1384" s="15"/>
      <c r="F1384" s="15"/>
      <c r="G1384" s="15"/>
      <c r="H1384" s="15"/>
      <c r="I1384" s="15"/>
      <c r="J1384" s="15"/>
      <c r="K1384" s="15"/>
      <c r="L1384" s="28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5"/>
      <c r="AG1384" s="15"/>
      <c r="AH1384" s="15"/>
      <c r="AI1384" s="15"/>
      <c r="AJ1384" s="15"/>
      <c r="AK1384" s="15"/>
      <c r="AL1384" s="15"/>
      <c r="AM1384" s="15"/>
      <c r="AN1384" s="15"/>
      <c r="AO1384" s="15"/>
      <c r="AP1384" s="15"/>
      <c r="AQ1384" s="15"/>
      <c r="AR1384" s="15"/>
      <c r="AS1384" s="15"/>
      <c r="AT1384" s="15"/>
      <c r="AU1384" s="15"/>
      <c r="AV1384" s="15"/>
      <c r="AW1384" s="15"/>
    </row>
    <row r="1385" spans="3:49" x14ac:dyDescent="0.2">
      <c r="C1385" s="15"/>
      <c r="D1385" s="15"/>
      <c r="E1385" s="15"/>
      <c r="F1385" s="15"/>
      <c r="G1385" s="15"/>
      <c r="H1385" s="15"/>
      <c r="I1385" s="15"/>
      <c r="J1385" s="15"/>
      <c r="K1385" s="15"/>
      <c r="L1385" s="28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5"/>
      <c r="AG1385" s="15"/>
      <c r="AH1385" s="15"/>
      <c r="AI1385" s="15"/>
      <c r="AJ1385" s="15"/>
      <c r="AK1385" s="15"/>
      <c r="AL1385" s="15"/>
      <c r="AM1385" s="15"/>
      <c r="AN1385" s="15"/>
      <c r="AO1385" s="15"/>
      <c r="AP1385" s="15"/>
      <c r="AQ1385" s="15"/>
      <c r="AR1385" s="15"/>
      <c r="AS1385" s="15"/>
      <c r="AT1385" s="15"/>
      <c r="AU1385" s="15"/>
      <c r="AV1385" s="15"/>
      <c r="AW1385" s="15"/>
    </row>
    <row r="1386" spans="3:49" x14ac:dyDescent="0.2">
      <c r="C1386" s="15"/>
      <c r="D1386" s="15"/>
      <c r="E1386" s="15"/>
      <c r="F1386" s="15"/>
      <c r="G1386" s="15"/>
      <c r="H1386" s="15"/>
      <c r="I1386" s="15"/>
      <c r="J1386" s="15"/>
      <c r="K1386" s="15"/>
      <c r="L1386" s="28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5"/>
      <c r="AG1386" s="15"/>
      <c r="AH1386" s="15"/>
      <c r="AI1386" s="15"/>
      <c r="AJ1386" s="15"/>
      <c r="AK1386" s="15"/>
      <c r="AL1386" s="15"/>
      <c r="AM1386" s="15"/>
      <c r="AN1386" s="15"/>
      <c r="AO1386" s="15"/>
      <c r="AP1386" s="15"/>
      <c r="AQ1386" s="15"/>
      <c r="AR1386" s="15"/>
      <c r="AS1386" s="15"/>
      <c r="AT1386" s="15"/>
      <c r="AU1386" s="15"/>
      <c r="AV1386" s="15"/>
      <c r="AW1386" s="15"/>
    </row>
    <row r="1387" spans="3:49" x14ac:dyDescent="0.2">
      <c r="C1387" s="15"/>
      <c r="D1387" s="15"/>
      <c r="E1387" s="15"/>
      <c r="F1387" s="15"/>
      <c r="G1387" s="15"/>
      <c r="H1387" s="15"/>
      <c r="I1387" s="15"/>
      <c r="J1387" s="15"/>
      <c r="K1387" s="15"/>
      <c r="L1387" s="28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5"/>
      <c r="AG1387" s="15"/>
      <c r="AH1387" s="15"/>
      <c r="AI1387" s="15"/>
      <c r="AJ1387" s="15"/>
      <c r="AK1387" s="15"/>
      <c r="AL1387" s="15"/>
      <c r="AM1387" s="15"/>
      <c r="AN1387" s="15"/>
      <c r="AO1387" s="15"/>
      <c r="AP1387" s="15"/>
      <c r="AQ1387" s="15"/>
      <c r="AR1387" s="15"/>
      <c r="AS1387" s="15"/>
      <c r="AT1387" s="15"/>
      <c r="AU1387" s="15"/>
      <c r="AV1387" s="15"/>
      <c r="AW1387" s="15"/>
    </row>
    <row r="1388" spans="3:49" x14ac:dyDescent="0.2">
      <c r="C1388" s="15"/>
      <c r="D1388" s="15"/>
      <c r="E1388" s="15"/>
      <c r="F1388" s="15"/>
      <c r="G1388" s="15"/>
      <c r="H1388" s="15"/>
      <c r="I1388" s="15"/>
      <c r="J1388" s="15"/>
      <c r="K1388" s="15"/>
      <c r="L1388" s="28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5"/>
      <c r="AG1388" s="15"/>
      <c r="AH1388" s="15"/>
      <c r="AI1388" s="15"/>
      <c r="AJ1388" s="15"/>
      <c r="AK1388" s="15"/>
      <c r="AL1388" s="15"/>
      <c r="AM1388" s="15"/>
      <c r="AN1388" s="15"/>
      <c r="AO1388" s="15"/>
      <c r="AP1388" s="15"/>
      <c r="AQ1388" s="15"/>
      <c r="AR1388" s="15"/>
      <c r="AS1388" s="15"/>
      <c r="AT1388" s="15"/>
      <c r="AU1388" s="15"/>
      <c r="AV1388" s="15"/>
      <c r="AW1388" s="15"/>
    </row>
    <row r="1389" spans="3:49" x14ac:dyDescent="0.2">
      <c r="C1389" s="15"/>
      <c r="D1389" s="15"/>
      <c r="E1389" s="15"/>
      <c r="F1389" s="15"/>
      <c r="G1389" s="15"/>
      <c r="H1389" s="15"/>
      <c r="I1389" s="15"/>
      <c r="J1389" s="15"/>
      <c r="K1389" s="15"/>
      <c r="L1389" s="28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5"/>
      <c r="AG1389" s="15"/>
      <c r="AH1389" s="15"/>
      <c r="AI1389" s="15"/>
      <c r="AJ1389" s="15"/>
      <c r="AK1389" s="15"/>
      <c r="AL1389" s="15"/>
      <c r="AM1389" s="15"/>
      <c r="AN1389" s="15"/>
      <c r="AO1389" s="15"/>
      <c r="AP1389" s="15"/>
      <c r="AQ1389" s="15"/>
      <c r="AR1389" s="15"/>
      <c r="AS1389" s="15"/>
      <c r="AT1389" s="15"/>
      <c r="AU1389" s="15"/>
      <c r="AV1389" s="15"/>
      <c r="AW1389" s="15"/>
    </row>
    <row r="1390" spans="3:49" x14ac:dyDescent="0.2">
      <c r="C1390" s="15"/>
      <c r="D1390" s="15"/>
      <c r="E1390" s="15"/>
      <c r="F1390" s="15"/>
      <c r="G1390" s="15"/>
      <c r="H1390" s="15"/>
      <c r="I1390" s="15"/>
      <c r="J1390" s="15"/>
      <c r="K1390" s="15"/>
      <c r="L1390" s="28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5"/>
      <c r="AG1390" s="15"/>
      <c r="AH1390" s="15"/>
      <c r="AI1390" s="15"/>
      <c r="AJ1390" s="15"/>
      <c r="AK1390" s="15"/>
      <c r="AL1390" s="15"/>
      <c r="AM1390" s="15"/>
      <c r="AN1390" s="15"/>
      <c r="AO1390" s="15"/>
      <c r="AP1390" s="15"/>
      <c r="AQ1390" s="15"/>
      <c r="AR1390" s="15"/>
      <c r="AS1390" s="15"/>
      <c r="AT1390" s="15"/>
      <c r="AU1390" s="15"/>
      <c r="AV1390" s="15"/>
      <c r="AW1390" s="15"/>
    </row>
    <row r="1391" spans="3:49" x14ac:dyDescent="0.2">
      <c r="C1391" s="15"/>
      <c r="D1391" s="15"/>
      <c r="E1391" s="15"/>
      <c r="F1391" s="15"/>
      <c r="G1391" s="15"/>
      <c r="H1391" s="15"/>
      <c r="I1391" s="15"/>
      <c r="J1391" s="15"/>
      <c r="K1391" s="15"/>
      <c r="L1391" s="28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5"/>
      <c r="AG1391" s="15"/>
      <c r="AH1391" s="15"/>
      <c r="AI1391" s="15"/>
      <c r="AJ1391" s="15"/>
      <c r="AK1391" s="15"/>
      <c r="AL1391" s="15"/>
      <c r="AM1391" s="15"/>
      <c r="AN1391" s="15"/>
      <c r="AO1391" s="15"/>
      <c r="AP1391" s="15"/>
      <c r="AQ1391" s="15"/>
      <c r="AR1391" s="15"/>
      <c r="AS1391" s="15"/>
      <c r="AT1391" s="15"/>
      <c r="AU1391" s="15"/>
      <c r="AV1391" s="15"/>
      <c r="AW1391" s="15"/>
    </row>
    <row r="1392" spans="3:49" x14ac:dyDescent="0.2">
      <c r="C1392" s="15"/>
      <c r="D1392" s="15"/>
      <c r="E1392" s="15"/>
      <c r="F1392" s="15"/>
      <c r="G1392" s="15"/>
      <c r="H1392" s="15"/>
      <c r="I1392" s="15"/>
      <c r="J1392" s="15"/>
      <c r="K1392" s="15"/>
      <c r="L1392" s="28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5"/>
      <c r="AG1392" s="15"/>
      <c r="AH1392" s="15"/>
      <c r="AI1392" s="15"/>
      <c r="AJ1392" s="15"/>
      <c r="AK1392" s="15"/>
      <c r="AL1392" s="15"/>
      <c r="AM1392" s="15"/>
      <c r="AN1392" s="15"/>
      <c r="AO1392" s="15"/>
      <c r="AP1392" s="15"/>
      <c r="AQ1392" s="15"/>
      <c r="AR1392" s="15"/>
      <c r="AS1392" s="15"/>
      <c r="AT1392" s="15"/>
      <c r="AU1392" s="15"/>
      <c r="AV1392" s="15"/>
      <c r="AW1392" s="15"/>
    </row>
    <row r="1393" spans="3:49" x14ac:dyDescent="0.2">
      <c r="C1393" s="15"/>
      <c r="D1393" s="15"/>
      <c r="E1393" s="15"/>
      <c r="F1393" s="15"/>
      <c r="G1393" s="15"/>
      <c r="H1393" s="15"/>
      <c r="I1393" s="15"/>
      <c r="J1393" s="15"/>
      <c r="K1393" s="15"/>
      <c r="L1393" s="28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5"/>
      <c r="AG1393" s="15"/>
      <c r="AH1393" s="15"/>
      <c r="AI1393" s="15"/>
      <c r="AJ1393" s="15"/>
      <c r="AK1393" s="15"/>
      <c r="AL1393" s="15"/>
      <c r="AM1393" s="15"/>
      <c r="AN1393" s="15"/>
      <c r="AO1393" s="15"/>
      <c r="AP1393" s="15"/>
      <c r="AQ1393" s="15"/>
      <c r="AR1393" s="15"/>
      <c r="AS1393" s="15"/>
      <c r="AT1393" s="15"/>
      <c r="AU1393" s="15"/>
      <c r="AV1393" s="15"/>
      <c r="AW1393" s="15"/>
    </row>
    <row r="1394" spans="3:49" x14ac:dyDescent="0.2">
      <c r="C1394" s="15"/>
      <c r="D1394" s="15"/>
      <c r="E1394" s="15"/>
      <c r="F1394" s="15"/>
      <c r="G1394" s="15"/>
      <c r="H1394" s="15"/>
      <c r="I1394" s="15"/>
      <c r="J1394" s="15"/>
      <c r="K1394" s="15"/>
      <c r="L1394" s="28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5"/>
      <c r="AG1394" s="15"/>
      <c r="AH1394" s="15"/>
      <c r="AI1394" s="15"/>
      <c r="AJ1394" s="15"/>
      <c r="AK1394" s="15"/>
      <c r="AL1394" s="15"/>
      <c r="AM1394" s="15"/>
      <c r="AN1394" s="15"/>
      <c r="AO1394" s="15"/>
      <c r="AP1394" s="15"/>
      <c r="AQ1394" s="15"/>
      <c r="AR1394" s="15"/>
      <c r="AS1394" s="15"/>
      <c r="AT1394" s="15"/>
      <c r="AU1394" s="15"/>
      <c r="AV1394" s="15"/>
      <c r="AW1394" s="15"/>
    </row>
    <row r="1395" spans="3:49" x14ac:dyDescent="0.2">
      <c r="C1395" s="15"/>
      <c r="D1395" s="15"/>
      <c r="E1395" s="15"/>
      <c r="F1395" s="15"/>
      <c r="G1395" s="15"/>
      <c r="H1395" s="15"/>
      <c r="I1395" s="15"/>
      <c r="J1395" s="15"/>
      <c r="K1395" s="15"/>
      <c r="L1395" s="28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5"/>
      <c r="AG1395" s="15"/>
      <c r="AH1395" s="15"/>
      <c r="AI1395" s="15"/>
      <c r="AJ1395" s="15"/>
      <c r="AK1395" s="15"/>
      <c r="AL1395" s="15"/>
      <c r="AM1395" s="15"/>
      <c r="AN1395" s="15"/>
      <c r="AO1395" s="15"/>
      <c r="AP1395" s="15"/>
      <c r="AQ1395" s="15"/>
      <c r="AR1395" s="15"/>
      <c r="AS1395" s="15"/>
      <c r="AT1395" s="15"/>
      <c r="AU1395" s="15"/>
      <c r="AV1395" s="15"/>
      <c r="AW1395" s="15"/>
    </row>
    <row r="1396" spans="3:49" x14ac:dyDescent="0.2">
      <c r="C1396" s="15"/>
      <c r="D1396" s="15"/>
      <c r="E1396" s="15"/>
      <c r="F1396" s="15"/>
      <c r="G1396" s="15"/>
      <c r="H1396" s="15"/>
      <c r="I1396" s="15"/>
      <c r="J1396" s="15"/>
      <c r="K1396" s="15"/>
      <c r="L1396" s="28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5"/>
      <c r="AG1396" s="15"/>
      <c r="AH1396" s="15"/>
      <c r="AI1396" s="15"/>
      <c r="AJ1396" s="15"/>
      <c r="AK1396" s="15"/>
      <c r="AL1396" s="15"/>
      <c r="AM1396" s="15"/>
      <c r="AN1396" s="15"/>
      <c r="AO1396" s="15"/>
      <c r="AP1396" s="15"/>
      <c r="AQ1396" s="15"/>
      <c r="AR1396" s="15"/>
      <c r="AS1396" s="15"/>
      <c r="AT1396" s="15"/>
      <c r="AU1396" s="15"/>
      <c r="AV1396" s="15"/>
      <c r="AW1396" s="15"/>
    </row>
    <row r="1397" spans="3:49" x14ac:dyDescent="0.2">
      <c r="C1397" s="15"/>
      <c r="D1397" s="15"/>
      <c r="E1397" s="15"/>
      <c r="F1397" s="15"/>
      <c r="G1397" s="15"/>
      <c r="H1397" s="15"/>
      <c r="I1397" s="15"/>
      <c r="J1397" s="15"/>
      <c r="K1397" s="15"/>
      <c r="L1397" s="28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5"/>
      <c r="AG1397" s="15"/>
      <c r="AH1397" s="15"/>
      <c r="AI1397" s="15"/>
      <c r="AJ1397" s="15"/>
      <c r="AK1397" s="15"/>
      <c r="AL1397" s="15"/>
      <c r="AM1397" s="15"/>
      <c r="AN1397" s="15"/>
      <c r="AO1397" s="15"/>
      <c r="AP1397" s="15"/>
      <c r="AQ1397" s="15"/>
      <c r="AR1397" s="15"/>
      <c r="AS1397" s="15"/>
      <c r="AT1397" s="15"/>
      <c r="AU1397" s="15"/>
      <c r="AV1397" s="15"/>
      <c r="AW1397" s="15"/>
    </row>
    <row r="1398" spans="3:49" x14ac:dyDescent="0.2">
      <c r="C1398" s="15"/>
      <c r="D1398" s="15"/>
      <c r="E1398" s="15"/>
      <c r="F1398" s="15"/>
      <c r="G1398" s="15"/>
      <c r="H1398" s="15"/>
      <c r="I1398" s="15"/>
      <c r="J1398" s="15"/>
      <c r="K1398" s="15"/>
      <c r="L1398" s="28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5"/>
      <c r="AG1398" s="15"/>
      <c r="AH1398" s="15"/>
      <c r="AI1398" s="15"/>
      <c r="AJ1398" s="15"/>
      <c r="AK1398" s="15"/>
      <c r="AL1398" s="15"/>
      <c r="AM1398" s="15"/>
      <c r="AN1398" s="15"/>
      <c r="AO1398" s="15"/>
      <c r="AP1398" s="15"/>
      <c r="AQ1398" s="15"/>
      <c r="AR1398" s="15"/>
      <c r="AS1398" s="15"/>
      <c r="AT1398" s="15"/>
      <c r="AU1398" s="15"/>
      <c r="AV1398" s="15"/>
      <c r="AW1398" s="15"/>
    </row>
    <row r="1399" spans="3:49" x14ac:dyDescent="0.2">
      <c r="C1399" s="15"/>
      <c r="D1399" s="15"/>
      <c r="E1399" s="15"/>
      <c r="F1399" s="15"/>
      <c r="G1399" s="15"/>
      <c r="H1399" s="15"/>
      <c r="I1399" s="15"/>
      <c r="J1399" s="15"/>
      <c r="K1399" s="15"/>
      <c r="L1399" s="28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5"/>
      <c r="AG1399" s="15"/>
      <c r="AH1399" s="15"/>
      <c r="AI1399" s="15"/>
      <c r="AJ1399" s="15"/>
      <c r="AK1399" s="15"/>
      <c r="AL1399" s="15"/>
      <c r="AM1399" s="15"/>
      <c r="AN1399" s="15"/>
      <c r="AO1399" s="15"/>
      <c r="AP1399" s="15"/>
      <c r="AQ1399" s="15"/>
      <c r="AR1399" s="15"/>
      <c r="AS1399" s="15"/>
      <c r="AT1399" s="15"/>
      <c r="AU1399" s="15"/>
      <c r="AV1399" s="15"/>
      <c r="AW1399" s="15"/>
    </row>
    <row r="1400" spans="3:49" x14ac:dyDescent="0.2">
      <c r="C1400" s="15"/>
      <c r="D1400" s="15"/>
      <c r="E1400" s="15"/>
      <c r="F1400" s="15"/>
      <c r="G1400" s="15"/>
      <c r="H1400" s="15"/>
      <c r="I1400" s="15"/>
      <c r="J1400" s="15"/>
      <c r="K1400" s="15"/>
      <c r="L1400" s="28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5"/>
      <c r="AG1400" s="15"/>
      <c r="AH1400" s="15"/>
      <c r="AI1400" s="15"/>
      <c r="AJ1400" s="15"/>
      <c r="AK1400" s="15"/>
      <c r="AL1400" s="15"/>
      <c r="AM1400" s="15"/>
      <c r="AN1400" s="15"/>
      <c r="AO1400" s="15"/>
      <c r="AP1400" s="15"/>
      <c r="AQ1400" s="15"/>
      <c r="AR1400" s="15"/>
      <c r="AS1400" s="15"/>
      <c r="AT1400" s="15"/>
      <c r="AU1400" s="15"/>
      <c r="AV1400" s="15"/>
      <c r="AW1400" s="15"/>
    </row>
    <row r="1401" spans="3:49" x14ac:dyDescent="0.2">
      <c r="C1401" s="15"/>
      <c r="D1401" s="15"/>
      <c r="E1401" s="15"/>
      <c r="F1401" s="15"/>
      <c r="G1401" s="15"/>
      <c r="H1401" s="15"/>
      <c r="I1401" s="15"/>
      <c r="J1401" s="15"/>
      <c r="K1401" s="15"/>
      <c r="L1401" s="28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5"/>
      <c r="AG1401" s="15"/>
      <c r="AH1401" s="15"/>
      <c r="AI1401" s="15"/>
      <c r="AJ1401" s="15"/>
      <c r="AK1401" s="15"/>
      <c r="AL1401" s="15"/>
      <c r="AM1401" s="15"/>
      <c r="AN1401" s="15"/>
      <c r="AO1401" s="15"/>
      <c r="AP1401" s="15"/>
      <c r="AQ1401" s="15"/>
      <c r="AR1401" s="15"/>
      <c r="AS1401" s="15"/>
      <c r="AT1401" s="15"/>
      <c r="AU1401" s="15"/>
      <c r="AV1401" s="15"/>
      <c r="AW1401" s="15"/>
    </row>
    <row r="1402" spans="3:49" x14ac:dyDescent="0.2">
      <c r="C1402" s="15"/>
      <c r="D1402" s="15"/>
      <c r="E1402" s="15"/>
      <c r="F1402" s="15"/>
      <c r="G1402" s="15"/>
      <c r="H1402" s="15"/>
      <c r="I1402" s="15"/>
      <c r="J1402" s="15"/>
      <c r="K1402" s="15"/>
      <c r="L1402" s="28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5"/>
      <c r="AG1402" s="15"/>
      <c r="AH1402" s="15"/>
      <c r="AI1402" s="15"/>
      <c r="AJ1402" s="15"/>
      <c r="AK1402" s="15"/>
      <c r="AL1402" s="15"/>
      <c r="AM1402" s="15"/>
      <c r="AN1402" s="15"/>
      <c r="AO1402" s="15"/>
      <c r="AP1402" s="15"/>
      <c r="AQ1402" s="15"/>
      <c r="AR1402" s="15"/>
      <c r="AS1402" s="15"/>
      <c r="AT1402" s="15"/>
      <c r="AU1402" s="15"/>
      <c r="AV1402" s="15"/>
      <c r="AW1402" s="15"/>
    </row>
    <row r="1403" spans="3:49" x14ac:dyDescent="0.2">
      <c r="C1403" s="15"/>
      <c r="D1403" s="15"/>
      <c r="E1403" s="15"/>
      <c r="F1403" s="15"/>
      <c r="G1403" s="15"/>
      <c r="H1403" s="15"/>
      <c r="I1403" s="15"/>
      <c r="J1403" s="15"/>
      <c r="K1403" s="15"/>
      <c r="L1403" s="28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5"/>
      <c r="AG1403" s="15"/>
      <c r="AH1403" s="15"/>
      <c r="AI1403" s="15"/>
      <c r="AJ1403" s="15"/>
      <c r="AK1403" s="15"/>
      <c r="AL1403" s="15"/>
      <c r="AM1403" s="15"/>
      <c r="AN1403" s="15"/>
      <c r="AO1403" s="15"/>
      <c r="AP1403" s="15"/>
      <c r="AQ1403" s="15"/>
      <c r="AR1403" s="15"/>
      <c r="AS1403" s="15"/>
      <c r="AT1403" s="15"/>
      <c r="AU1403" s="15"/>
      <c r="AV1403" s="15"/>
      <c r="AW1403" s="15"/>
    </row>
    <row r="1404" spans="3:49" x14ac:dyDescent="0.2">
      <c r="C1404" s="15"/>
      <c r="D1404" s="15"/>
      <c r="E1404" s="15"/>
      <c r="F1404" s="15"/>
      <c r="G1404" s="15"/>
      <c r="H1404" s="15"/>
      <c r="I1404" s="15"/>
      <c r="J1404" s="15"/>
      <c r="K1404" s="15"/>
      <c r="L1404" s="28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5"/>
      <c r="AG1404" s="15"/>
      <c r="AH1404" s="15"/>
      <c r="AI1404" s="15"/>
      <c r="AJ1404" s="15"/>
      <c r="AK1404" s="15"/>
      <c r="AL1404" s="15"/>
      <c r="AM1404" s="15"/>
      <c r="AN1404" s="15"/>
      <c r="AO1404" s="15"/>
      <c r="AP1404" s="15"/>
      <c r="AQ1404" s="15"/>
      <c r="AR1404" s="15"/>
      <c r="AS1404" s="15"/>
      <c r="AT1404" s="15"/>
      <c r="AU1404" s="15"/>
      <c r="AV1404" s="15"/>
      <c r="AW1404" s="15"/>
    </row>
    <row r="1405" spans="3:49" x14ac:dyDescent="0.2">
      <c r="C1405" s="15"/>
      <c r="D1405" s="15"/>
      <c r="E1405" s="15"/>
      <c r="F1405" s="15"/>
      <c r="G1405" s="15"/>
      <c r="H1405" s="15"/>
      <c r="I1405" s="15"/>
      <c r="J1405" s="15"/>
      <c r="K1405" s="15"/>
      <c r="L1405" s="28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5"/>
      <c r="AG1405" s="15"/>
      <c r="AH1405" s="15"/>
      <c r="AI1405" s="15"/>
      <c r="AJ1405" s="15"/>
      <c r="AK1405" s="15"/>
      <c r="AL1405" s="15"/>
      <c r="AM1405" s="15"/>
      <c r="AN1405" s="15"/>
      <c r="AO1405" s="15"/>
      <c r="AP1405" s="15"/>
      <c r="AQ1405" s="15"/>
      <c r="AR1405" s="15"/>
      <c r="AS1405" s="15"/>
      <c r="AT1405" s="15"/>
      <c r="AU1405" s="15"/>
      <c r="AV1405" s="15"/>
      <c r="AW1405" s="15"/>
    </row>
    <row r="1406" spans="3:49" x14ac:dyDescent="0.2">
      <c r="C1406" s="15"/>
      <c r="D1406" s="15"/>
      <c r="E1406" s="15"/>
      <c r="F1406" s="15"/>
      <c r="G1406" s="15"/>
      <c r="H1406" s="15"/>
      <c r="I1406" s="15"/>
      <c r="J1406" s="15"/>
      <c r="K1406" s="15"/>
      <c r="L1406" s="28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5"/>
      <c r="AG1406" s="15"/>
      <c r="AH1406" s="15"/>
      <c r="AI1406" s="15"/>
      <c r="AJ1406" s="15"/>
      <c r="AK1406" s="15"/>
      <c r="AL1406" s="15"/>
      <c r="AM1406" s="15"/>
      <c r="AN1406" s="15"/>
      <c r="AO1406" s="15"/>
      <c r="AP1406" s="15"/>
      <c r="AQ1406" s="15"/>
      <c r="AR1406" s="15"/>
      <c r="AS1406" s="15"/>
      <c r="AT1406" s="15"/>
      <c r="AU1406" s="15"/>
      <c r="AV1406" s="15"/>
      <c r="AW1406" s="15"/>
    </row>
    <row r="1407" spans="3:49" x14ac:dyDescent="0.2">
      <c r="C1407" s="15"/>
      <c r="D1407" s="15"/>
      <c r="E1407" s="15"/>
      <c r="F1407" s="15"/>
      <c r="G1407" s="15"/>
      <c r="H1407" s="15"/>
      <c r="I1407" s="15"/>
      <c r="J1407" s="15"/>
      <c r="K1407" s="15"/>
      <c r="L1407" s="28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5"/>
      <c r="AG1407" s="15"/>
      <c r="AH1407" s="15"/>
      <c r="AI1407" s="15"/>
      <c r="AJ1407" s="15"/>
      <c r="AK1407" s="15"/>
      <c r="AL1407" s="15"/>
      <c r="AM1407" s="15"/>
      <c r="AN1407" s="15"/>
      <c r="AO1407" s="15"/>
      <c r="AP1407" s="15"/>
      <c r="AQ1407" s="15"/>
      <c r="AR1407" s="15"/>
      <c r="AS1407" s="15"/>
      <c r="AT1407" s="15"/>
      <c r="AU1407" s="15"/>
      <c r="AV1407" s="15"/>
      <c r="AW1407" s="15"/>
    </row>
    <row r="1408" spans="3:49" x14ac:dyDescent="0.2">
      <c r="C1408" s="15"/>
      <c r="D1408" s="15"/>
      <c r="E1408" s="15"/>
      <c r="F1408" s="15"/>
      <c r="G1408" s="15"/>
      <c r="H1408" s="15"/>
      <c r="I1408" s="15"/>
      <c r="J1408" s="15"/>
      <c r="K1408" s="15"/>
      <c r="L1408" s="28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5"/>
      <c r="AG1408" s="15"/>
      <c r="AH1408" s="15"/>
      <c r="AI1408" s="15"/>
      <c r="AJ1408" s="15"/>
      <c r="AK1408" s="15"/>
      <c r="AL1408" s="15"/>
      <c r="AM1408" s="15"/>
      <c r="AN1408" s="15"/>
      <c r="AO1408" s="15"/>
      <c r="AP1408" s="15"/>
      <c r="AQ1408" s="15"/>
      <c r="AR1408" s="15"/>
      <c r="AS1408" s="15"/>
      <c r="AT1408" s="15"/>
      <c r="AU1408" s="15"/>
      <c r="AV1408" s="15"/>
      <c r="AW1408" s="15"/>
    </row>
    <row r="1409" spans="3:49" x14ac:dyDescent="0.2">
      <c r="C1409" s="15"/>
      <c r="D1409" s="15"/>
      <c r="E1409" s="15"/>
      <c r="F1409" s="15"/>
      <c r="G1409" s="15"/>
      <c r="H1409" s="15"/>
      <c r="I1409" s="15"/>
      <c r="J1409" s="15"/>
      <c r="K1409" s="15"/>
      <c r="L1409" s="28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5"/>
      <c r="AG1409" s="15"/>
      <c r="AH1409" s="15"/>
      <c r="AI1409" s="15"/>
      <c r="AJ1409" s="15"/>
      <c r="AK1409" s="15"/>
      <c r="AL1409" s="15"/>
      <c r="AM1409" s="15"/>
      <c r="AN1409" s="15"/>
      <c r="AO1409" s="15"/>
      <c r="AP1409" s="15"/>
      <c r="AQ1409" s="15"/>
      <c r="AR1409" s="15"/>
      <c r="AS1409" s="15"/>
      <c r="AT1409" s="15"/>
      <c r="AU1409" s="15"/>
      <c r="AV1409" s="15"/>
      <c r="AW1409" s="15"/>
    </row>
    <row r="1410" spans="3:49" x14ac:dyDescent="0.2">
      <c r="C1410" s="15"/>
      <c r="D1410" s="15"/>
      <c r="E1410" s="15"/>
      <c r="F1410" s="15"/>
      <c r="G1410" s="15"/>
      <c r="H1410" s="15"/>
      <c r="I1410" s="15"/>
      <c r="J1410" s="15"/>
      <c r="K1410" s="15"/>
      <c r="L1410" s="28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5"/>
      <c r="AG1410" s="15"/>
      <c r="AH1410" s="15"/>
      <c r="AI1410" s="15"/>
      <c r="AJ1410" s="15"/>
      <c r="AK1410" s="15"/>
      <c r="AL1410" s="15"/>
      <c r="AM1410" s="15"/>
      <c r="AN1410" s="15"/>
      <c r="AO1410" s="15"/>
      <c r="AP1410" s="15"/>
      <c r="AQ1410" s="15"/>
      <c r="AR1410" s="15"/>
      <c r="AS1410" s="15"/>
      <c r="AT1410" s="15"/>
      <c r="AU1410" s="15"/>
      <c r="AV1410" s="15"/>
      <c r="AW1410" s="15"/>
    </row>
    <row r="1411" spans="3:49" x14ac:dyDescent="0.2">
      <c r="C1411" s="15"/>
      <c r="D1411" s="15"/>
      <c r="E1411" s="15"/>
      <c r="F1411" s="15"/>
      <c r="G1411" s="15"/>
      <c r="H1411" s="15"/>
      <c r="I1411" s="15"/>
      <c r="J1411" s="15"/>
      <c r="K1411" s="15"/>
      <c r="L1411" s="28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5"/>
      <c r="AG1411" s="15"/>
      <c r="AH1411" s="15"/>
      <c r="AI1411" s="15"/>
      <c r="AJ1411" s="15"/>
      <c r="AK1411" s="15"/>
      <c r="AL1411" s="15"/>
      <c r="AM1411" s="15"/>
      <c r="AN1411" s="15"/>
      <c r="AO1411" s="15"/>
      <c r="AP1411" s="15"/>
      <c r="AQ1411" s="15"/>
      <c r="AR1411" s="15"/>
      <c r="AS1411" s="15"/>
      <c r="AT1411" s="15"/>
      <c r="AU1411" s="15"/>
      <c r="AV1411" s="15"/>
      <c r="AW1411" s="15"/>
    </row>
    <row r="1412" spans="3:49" x14ac:dyDescent="0.2">
      <c r="C1412" s="15"/>
      <c r="D1412" s="15"/>
      <c r="E1412" s="15"/>
      <c r="F1412" s="15"/>
      <c r="G1412" s="15"/>
      <c r="H1412" s="15"/>
      <c r="I1412" s="15"/>
      <c r="J1412" s="15"/>
      <c r="K1412" s="15"/>
      <c r="L1412" s="28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5"/>
      <c r="AG1412" s="15"/>
      <c r="AH1412" s="15"/>
      <c r="AI1412" s="15"/>
      <c r="AJ1412" s="15"/>
      <c r="AK1412" s="15"/>
      <c r="AL1412" s="15"/>
      <c r="AM1412" s="15"/>
      <c r="AN1412" s="15"/>
      <c r="AO1412" s="15"/>
      <c r="AP1412" s="15"/>
      <c r="AQ1412" s="15"/>
      <c r="AR1412" s="15"/>
      <c r="AS1412" s="15"/>
      <c r="AT1412" s="15"/>
      <c r="AU1412" s="15"/>
      <c r="AV1412" s="15"/>
      <c r="AW1412" s="15"/>
    </row>
    <row r="1413" spans="3:49" x14ac:dyDescent="0.2">
      <c r="C1413" s="15"/>
      <c r="D1413" s="15"/>
      <c r="E1413" s="15"/>
      <c r="F1413" s="15"/>
      <c r="G1413" s="15"/>
      <c r="H1413" s="15"/>
      <c r="I1413" s="15"/>
      <c r="J1413" s="15"/>
      <c r="K1413" s="15"/>
      <c r="L1413" s="28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5"/>
      <c r="AG1413" s="15"/>
      <c r="AH1413" s="15"/>
      <c r="AI1413" s="15"/>
      <c r="AJ1413" s="15"/>
      <c r="AK1413" s="15"/>
      <c r="AL1413" s="15"/>
      <c r="AM1413" s="15"/>
      <c r="AN1413" s="15"/>
      <c r="AO1413" s="15"/>
      <c r="AP1413" s="15"/>
      <c r="AQ1413" s="15"/>
      <c r="AR1413" s="15"/>
      <c r="AS1413" s="15"/>
      <c r="AT1413" s="15"/>
      <c r="AU1413" s="15"/>
      <c r="AV1413" s="15"/>
      <c r="AW1413" s="15"/>
    </row>
    <row r="1414" spans="3:49" x14ac:dyDescent="0.2">
      <c r="C1414" s="15"/>
      <c r="D1414" s="15"/>
      <c r="E1414" s="15"/>
      <c r="F1414" s="15"/>
      <c r="G1414" s="15"/>
      <c r="H1414" s="15"/>
      <c r="I1414" s="15"/>
      <c r="J1414" s="15"/>
      <c r="K1414" s="15"/>
      <c r="L1414" s="28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5"/>
      <c r="AG1414" s="15"/>
      <c r="AH1414" s="15"/>
      <c r="AI1414" s="15"/>
      <c r="AJ1414" s="15"/>
      <c r="AK1414" s="15"/>
      <c r="AL1414" s="15"/>
      <c r="AM1414" s="15"/>
      <c r="AN1414" s="15"/>
      <c r="AO1414" s="15"/>
      <c r="AP1414" s="15"/>
      <c r="AQ1414" s="15"/>
      <c r="AR1414" s="15"/>
      <c r="AS1414" s="15"/>
      <c r="AT1414" s="15"/>
      <c r="AU1414" s="15"/>
      <c r="AV1414" s="15"/>
      <c r="AW1414" s="15"/>
    </row>
    <row r="1415" spans="3:49" x14ac:dyDescent="0.2">
      <c r="C1415" s="15"/>
      <c r="D1415" s="15"/>
      <c r="E1415" s="15"/>
      <c r="F1415" s="15"/>
      <c r="G1415" s="15"/>
      <c r="H1415" s="15"/>
      <c r="I1415" s="15"/>
      <c r="J1415" s="15"/>
      <c r="K1415" s="15"/>
      <c r="L1415" s="28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5"/>
      <c r="AG1415" s="15"/>
      <c r="AH1415" s="15"/>
      <c r="AI1415" s="15"/>
      <c r="AJ1415" s="15"/>
      <c r="AK1415" s="15"/>
      <c r="AL1415" s="15"/>
      <c r="AM1415" s="15"/>
      <c r="AN1415" s="15"/>
      <c r="AO1415" s="15"/>
      <c r="AP1415" s="15"/>
      <c r="AQ1415" s="15"/>
      <c r="AR1415" s="15"/>
      <c r="AS1415" s="15"/>
      <c r="AT1415" s="15"/>
      <c r="AU1415" s="15"/>
      <c r="AV1415" s="15"/>
      <c r="AW1415" s="15"/>
    </row>
    <row r="1416" spans="3:49" x14ac:dyDescent="0.2">
      <c r="C1416" s="15"/>
      <c r="D1416" s="15"/>
      <c r="E1416" s="15"/>
      <c r="F1416" s="15"/>
      <c r="G1416" s="15"/>
      <c r="H1416" s="15"/>
      <c r="I1416" s="15"/>
      <c r="J1416" s="15"/>
      <c r="K1416" s="15"/>
      <c r="L1416" s="28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5"/>
      <c r="AG1416" s="15"/>
      <c r="AH1416" s="15"/>
      <c r="AI1416" s="15"/>
      <c r="AJ1416" s="15"/>
      <c r="AK1416" s="15"/>
      <c r="AL1416" s="15"/>
      <c r="AM1416" s="15"/>
      <c r="AN1416" s="15"/>
      <c r="AO1416" s="15"/>
      <c r="AP1416" s="15"/>
      <c r="AQ1416" s="15"/>
      <c r="AR1416" s="15"/>
      <c r="AS1416" s="15"/>
      <c r="AT1416" s="15"/>
      <c r="AU1416" s="15"/>
      <c r="AV1416" s="15"/>
      <c r="AW1416" s="15"/>
    </row>
    <row r="1417" spans="3:49" x14ac:dyDescent="0.2">
      <c r="C1417" s="15"/>
      <c r="D1417" s="15"/>
      <c r="E1417" s="15"/>
      <c r="F1417" s="15"/>
      <c r="G1417" s="15"/>
      <c r="H1417" s="15"/>
      <c r="I1417" s="15"/>
      <c r="J1417" s="15"/>
      <c r="K1417" s="15"/>
      <c r="L1417" s="28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5"/>
      <c r="AG1417" s="15"/>
      <c r="AH1417" s="15"/>
      <c r="AI1417" s="15"/>
      <c r="AJ1417" s="15"/>
      <c r="AK1417" s="15"/>
      <c r="AL1417" s="15"/>
      <c r="AM1417" s="15"/>
      <c r="AN1417" s="15"/>
      <c r="AO1417" s="15"/>
      <c r="AP1417" s="15"/>
      <c r="AQ1417" s="15"/>
      <c r="AR1417" s="15"/>
      <c r="AS1417" s="15"/>
      <c r="AT1417" s="15"/>
      <c r="AU1417" s="15"/>
      <c r="AV1417" s="15"/>
      <c r="AW1417" s="15"/>
    </row>
    <row r="1418" spans="3:49" x14ac:dyDescent="0.2">
      <c r="C1418" s="15"/>
      <c r="D1418" s="15"/>
      <c r="E1418" s="15"/>
      <c r="F1418" s="15"/>
      <c r="G1418" s="15"/>
      <c r="H1418" s="15"/>
      <c r="I1418" s="15"/>
      <c r="J1418" s="15"/>
      <c r="K1418" s="15"/>
      <c r="L1418" s="28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5"/>
      <c r="AG1418" s="15"/>
      <c r="AH1418" s="15"/>
      <c r="AI1418" s="15"/>
      <c r="AJ1418" s="15"/>
      <c r="AK1418" s="15"/>
      <c r="AL1418" s="15"/>
      <c r="AM1418" s="15"/>
      <c r="AN1418" s="15"/>
      <c r="AO1418" s="15"/>
      <c r="AP1418" s="15"/>
      <c r="AQ1418" s="15"/>
      <c r="AR1418" s="15"/>
      <c r="AS1418" s="15"/>
      <c r="AT1418" s="15"/>
      <c r="AU1418" s="15"/>
      <c r="AV1418" s="15"/>
      <c r="AW1418" s="15"/>
    </row>
    <row r="1419" spans="3:49" x14ac:dyDescent="0.2">
      <c r="C1419" s="15"/>
      <c r="D1419" s="15"/>
      <c r="E1419" s="15"/>
      <c r="F1419" s="15"/>
      <c r="G1419" s="15"/>
      <c r="H1419" s="15"/>
      <c r="I1419" s="15"/>
      <c r="J1419" s="15"/>
      <c r="K1419" s="15"/>
      <c r="L1419" s="28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5"/>
      <c r="AG1419" s="15"/>
      <c r="AH1419" s="15"/>
      <c r="AI1419" s="15"/>
      <c r="AJ1419" s="15"/>
      <c r="AK1419" s="15"/>
      <c r="AL1419" s="15"/>
      <c r="AM1419" s="15"/>
      <c r="AN1419" s="15"/>
      <c r="AO1419" s="15"/>
      <c r="AP1419" s="15"/>
      <c r="AQ1419" s="15"/>
      <c r="AR1419" s="15"/>
      <c r="AS1419" s="15"/>
      <c r="AT1419" s="15"/>
      <c r="AU1419" s="15"/>
      <c r="AV1419" s="15"/>
      <c r="AW1419" s="15"/>
    </row>
    <row r="1420" spans="3:49" x14ac:dyDescent="0.2">
      <c r="C1420" s="15"/>
      <c r="D1420" s="15"/>
      <c r="E1420" s="15"/>
      <c r="F1420" s="15"/>
      <c r="G1420" s="15"/>
      <c r="H1420" s="15"/>
      <c r="I1420" s="15"/>
      <c r="J1420" s="15"/>
      <c r="K1420" s="15"/>
      <c r="L1420" s="28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5"/>
      <c r="AG1420" s="15"/>
      <c r="AH1420" s="15"/>
      <c r="AI1420" s="15"/>
      <c r="AJ1420" s="15"/>
      <c r="AK1420" s="15"/>
      <c r="AL1420" s="15"/>
      <c r="AM1420" s="15"/>
      <c r="AN1420" s="15"/>
      <c r="AO1420" s="15"/>
      <c r="AP1420" s="15"/>
      <c r="AQ1420" s="15"/>
      <c r="AR1420" s="15"/>
      <c r="AS1420" s="15"/>
      <c r="AT1420" s="15"/>
      <c r="AU1420" s="15"/>
      <c r="AV1420" s="15"/>
      <c r="AW1420" s="15"/>
    </row>
    <row r="1421" spans="3:49" x14ac:dyDescent="0.2">
      <c r="C1421" s="15"/>
      <c r="D1421" s="15"/>
      <c r="E1421" s="15"/>
      <c r="F1421" s="15"/>
      <c r="G1421" s="15"/>
      <c r="H1421" s="15"/>
      <c r="I1421" s="15"/>
      <c r="J1421" s="15"/>
      <c r="K1421" s="15"/>
      <c r="L1421" s="28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5"/>
      <c r="AG1421" s="15"/>
      <c r="AH1421" s="15"/>
      <c r="AI1421" s="15"/>
      <c r="AJ1421" s="15"/>
      <c r="AK1421" s="15"/>
      <c r="AL1421" s="15"/>
      <c r="AM1421" s="15"/>
      <c r="AN1421" s="15"/>
      <c r="AO1421" s="15"/>
      <c r="AP1421" s="15"/>
      <c r="AQ1421" s="15"/>
      <c r="AR1421" s="15"/>
      <c r="AS1421" s="15"/>
      <c r="AT1421" s="15"/>
      <c r="AU1421" s="15"/>
      <c r="AV1421" s="15"/>
      <c r="AW1421" s="15"/>
    </row>
    <row r="1422" spans="3:49" x14ac:dyDescent="0.2">
      <c r="C1422" s="15"/>
      <c r="D1422" s="15"/>
      <c r="E1422" s="15"/>
      <c r="F1422" s="15"/>
      <c r="G1422" s="15"/>
      <c r="H1422" s="15"/>
      <c r="I1422" s="15"/>
      <c r="J1422" s="15"/>
      <c r="K1422" s="15"/>
      <c r="L1422" s="28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5"/>
      <c r="AG1422" s="15"/>
      <c r="AH1422" s="15"/>
      <c r="AI1422" s="15"/>
      <c r="AJ1422" s="15"/>
      <c r="AK1422" s="15"/>
      <c r="AL1422" s="15"/>
      <c r="AM1422" s="15"/>
      <c r="AN1422" s="15"/>
      <c r="AO1422" s="15"/>
      <c r="AP1422" s="15"/>
      <c r="AQ1422" s="15"/>
      <c r="AR1422" s="15"/>
      <c r="AS1422" s="15"/>
      <c r="AT1422" s="15"/>
      <c r="AU1422" s="15"/>
      <c r="AV1422" s="15"/>
      <c r="AW1422" s="15"/>
    </row>
    <row r="1423" spans="3:49" x14ac:dyDescent="0.2">
      <c r="C1423" s="15"/>
      <c r="D1423" s="15"/>
      <c r="E1423" s="15"/>
      <c r="F1423" s="15"/>
      <c r="G1423" s="15"/>
      <c r="H1423" s="15"/>
      <c r="I1423" s="15"/>
      <c r="J1423" s="15"/>
      <c r="K1423" s="15"/>
      <c r="L1423" s="28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5"/>
      <c r="AG1423" s="15"/>
      <c r="AH1423" s="15"/>
      <c r="AI1423" s="15"/>
      <c r="AJ1423" s="15"/>
      <c r="AK1423" s="15"/>
      <c r="AL1423" s="15"/>
      <c r="AM1423" s="15"/>
      <c r="AN1423" s="15"/>
      <c r="AO1423" s="15"/>
      <c r="AP1423" s="15"/>
      <c r="AQ1423" s="15"/>
      <c r="AR1423" s="15"/>
      <c r="AS1423" s="15"/>
      <c r="AT1423" s="15"/>
      <c r="AU1423" s="15"/>
      <c r="AV1423" s="15"/>
      <c r="AW1423" s="15"/>
    </row>
    <row r="1424" spans="3:49" x14ac:dyDescent="0.2">
      <c r="C1424" s="15"/>
      <c r="D1424" s="15"/>
      <c r="E1424" s="15"/>
      <c r="F1424" s="15"/>
      <c r="G1424" s="15"/>
      <c r="H1424" s="15"/>
      <c r="I1424" s="15"/>
      <c r="J1424" s="15"/>
      <c r="K1424" s="15"/>
      <c r="L1424" s="28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5"/>
      <c r="AG1424" s="15"/>
      <c r="AH1424" s="15"/>
      <c r="AI1424" s="15"/>
      <c r="AJ1424" s="15"/>
      <c r="AK1424" s="15"/>
      <c r="AL1424" s="15"/>
      <c r="AM1424" s="15"/>
      <c r="AN1424" s="15"/>
      <c r="AO1424" s="15"/>
      <c r="AP1424" s="15"/>
      <c r="AQ1424" s="15"/>
      <c r="AR1424" s="15"/>
      <c r="AS1424" s="15"/>
      <c r="AT1424" s="15"/>
      <c r="AU1424" s="15"/>
      <c r="AV1424" s="15"/>
      <c r="AW1424" s="15"/>
    </row>
    <row r="1425" spans="3:49" x14ac:dyDescent="0.2">
      <c r="C1425" s="15"/>
      <c r="D1425" s="15"/>
      <c r="E1425" s="15"/>
      <c r="F1425" s="15"/>
      <c r="G1425" s="15"/>
      <c r="H1425" s="15"/>
      <c r="I1425" s="15"/>
      <c r="J1425" s="15"/>
      <c r="K1425" s="15"/>
      <c r="L1425" s="28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5"/>
      <c r="AG1425" s="15"/>
      <c r="AH1425" s="15"/>
      <c r="AI1425" s="15"/>
      <c r="AJ1425" s="15"/>
      <c r="AK1425" s="15"/>
      <c r="AL1425" s="15"/>
      <c r="AM1425" s="15"/>
      <c r="AN1425" s="15"/>
      <c r="AO1425" s="15"/>
      <c r="AP1425" s="15"/>
      <c r="AQ1425" s="15"/>
      <c r="AR1425" s="15"/>
      <c r="AS1425" s="15"/>
      <c r="AT1425" s="15"/>
      <c r="AU1425" s="15"/>
      <c r="AV1425" s="15"/>
      <c r="AW1425" s="15"/>
    </row>
    <row r="1426" spans="3:49" x14ac:dyDescent="0.2">
      <c r="C1426" s="15"/>
      <c r="D1426" s="15"/>
      <c r="E1426" s="15"/>
      <c r="F1426" s="15"/>
      <c r="G1426" s="15"/>
      <c r="H1426" s="15"/>
      <c r="I1426" s="15"/>
      <c r="J1426" s="15"/>
      <c r="K1426" s="15"/>
      <c r="L1426" s="28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5"/>
      <c r="AG1426" s="15"/>
      <c r="AH1426" s="15"/>
      <c r="AI1426" s="15"/>
      <c r="AJ1426" s="15"/>
      <c r="AK1426" s="15"/>
      <c r="AL1426" s="15"/>
      <c r="AM1426" s="15"/>
      <c r="AN1426" s="15"/>
      <c r="AO1426" s="15"/>
      <c r="AP1426" s="15"/>
      <c r="AQ1426" s="15"/>
      <c r="AR1426" s="15"/>
      <c r="AS1426" s="15"/>
      <c r="AT1426" s="15"/>
      <c r="AU1426" s="15"/>
      <c r="AV1426" s="15"/>
      <c r="AW1426" s="15"/>
    </row>
    <row r="1427" spans="3:49" x14ac:dyDescent="0.2">
      <c r="C1427" s="15"/>
      <c r="D1427" s="15"/>
      <c r="E1427" s="15"/>
      <c r="F1427" s="15"/>
      <c r="G1427" s="15"/>
      <c r="H1427" s="15"/>
      <c r="I1427" s="15"/>
      <c r="J1427" s="15"/>
      <c r="K1427" s="15"/>
      <c r="L1427" s="28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5"/>
      <c r="AG1427" s="15"/>
      <c r="AH1427" s="15"/>
      <c r="AI1427" s="15"/>
      <c r="AJ1427" s="15"/>
      <c r="AK1427" s="15"/>
      <c r="AL1427" s="15"/>
      <c r="AM1427" s="15"/>
      <c r="AN1427" s="15"/>
      <c r="AO1427" s="15"/>
      <c r="AP1427" s="15"/>
      <c r="AQ1427" s="15"/>
      <c r="AR1427" s="15"/>
      <c r="AS1427" s="15"/>
      <c r="AT1427" s="15"/>
      <c r="AU1427" s="15"/>
      <c r="AV1427" s="15"/>
      <c r="AW1427" s="15"/>
    </row>
    <row r="1428" spans="3:49" x14ac:dyDescent="0.2">
      <c r="C1428" s="15"/>
      <c r="D1428" s="15"/>
      <c r="E1428" s="15"/>
      <c r="F1428" s="15"/>
      <c r="G1428" s="15"/>
      <c r="H1428" s="15"/>
      <c r="I1428" s="15"/>
      <c r="J1428" s="15"/>
      <c r="K1428" s="15"/>
      <c r="L1428" s="28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5"/>
      <c r="AG1428" s="15"/>
      <c r="AH1428" s="15"/>
      <c r="AI1428" s="15"/>
      <c r="AJ1428" s="15"/>
      <c r="AK1428" s="15"/>
      <c r="AL1428" s="15"/>
      <c r="AM1428" s="15"/>
      <c r="AN1428" s="15"/>
      <c r="AO1428" s="15"/>
      <c r="AP1428" s="15"/>
      <c r="AQ1428" s="15"/>
      <c r="AR1428" s="15"/>
      <c r="AS1428" s="15"/>
      <c r="AT1428" s="15"/>
      <c r="AU1428" s="15"/>
      <c r="AV1428" s="15"/>
      <c r="AW1428" s="15"/>
    </row>
    <row r="1429" spans="3:49" x14ac:dyDescent="0.2">
      <c r="C1429" s="15"/>
      <c r="D1429" s="15"/>
      <c r="E1429" s="15"/>
      <c r="F1429" s="15"/>
      <c r="G1429" s="15"/>
      <c r="H1429" s="15"/>
      <c r="I1429" s="15"/>
      <c r="J1429" s="15"/>
      <c r="K1429" s="15"/>
      <c r="L1429" s="28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5"/>
      <c r="AG1429" s="15"/>
      <c r="AH1429" s="15"/>
      <c r="AI1429" s="15"/>
      <c r="AJ1429" s="15"/>
      <c r="AK1429" s="15"/>
      <c r="AL1429" s="15"/>
      <c r="AM1429" s="15"/>
      <c r="AN1429" s="15"/>
      <c r="AO1429" s="15"/>
      <c r="AP1429" s="15"/>
      <c r="AQ1429" s="15"/>
      <c r="AR1429" s="15"/>
      <c r="AS1429" s="15"/>
      <c r="AT1429" s="15"/>
      <c r="AU1429" s="15"/>
      <c r="AV1429" s="15"/>
      <c r="AW1429" s="15"/>
    </row>
    <row r="1430" spans="3:49" x14ac:dyDescent="0.2">
      <c r="C1430" s="15"/>
      <c r="D1430" s="15"/>
      <c r="E1430" s="15"/>
      <c r="F1430" s="15"/>
      <c r="G1430" s="15"/>
      <c r="H1430" s="15"/>
      <c r="I1430" s="15"/>
      <c r="J1430" s="15"/>
      <c r="K1430" s="15"/>
      <c r="L1430" s="28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5"/>
      <c r="AG1430" s="15"/>
      <c r="AH1430" s="15"/>
      <c r="AI1430" s="15"/>
      <c r="AJ1430" s="15"/>
      <c r="AK1430" s="15"/>
      <c r="AL1430" s="15"/>
      <c r="AM1430" s="15"/>
      <c r="AN1430" s="15"/>
      <c r="AO1430" s="15"/>
      <c r="AP1430" s="15"/>
      <c r="AQ1430" s="15"/>
      <c r="AR1430" s="15"/>
      <c r="AS1430" s="15"/>
      <c r="AT1430" s="15"/>
      <c r="AU1430" s="15"/>
      <c r="AV1430" s="15"/>
      <c r="AW1430" s="15"/>
    </row>
    <row r="1431" spans="3:49" x14ac:dyDescent="0.2">
      <c r="C1431" s="15"/>
      <c r="D1431" s="15"/>
      <c r="E1431" s="15"/>
      <c r="F1431" s="15"/>
      <c r="G1431" s="15"/>
      <c r="H1431" s="15"/>
      <c r="I1431" s="15"/>
      <c r="J1431" s="15"/>
      <c r="K1431" s="15"/>
      <c r="L1431" s="28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5"/>
      <c r="AG1431" s="15"/>
      <c r="AH1431" s="15"/>
      <c r="AI1431" s="15"/>
      <c r="AJ1431" s="15"/>
      <c r="AK1431" s="15"/>
      <c r="AL1431" s="15"/>
      <c r="AM1431" s="15"/>
      <c r="AN1431" s="15"/>
      <c r="AO1431" s="15"/>
      <c r="AP1431" s="15"/>
      <c r="AQ1431" s="15"/>
      <c r="AR1431" s="15"/>
      <c r="AS1431" s="15"/>
      <c r="AT1431" s="15"/>
      <c r="AU1431" s="15"/>
      <c r="AV1431" s="15"/>
      <c r="AW1431" s="15"/>
    </row>
    <row r="1432" spans="3:49" x14ac:dyDescent="0.2">
      <c r="C1432" s="15"/>
      <c r="D1432" s="15"/>
      <c r="E1432" s="15"/>
      <c r="F1432" s="15"/>
      <c r="G1432" s="15"/>
      <c r="H1432" s="15"/>
      <c r="I1432" s="15"/>
      <c r="J1432" s="15"/>
      <c r="K1432" s="15"/>
      <c r="L1432" s="28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5"/>
      <c r="AG1432" s="15"/>
      <c r="AH1432" s="15"/>
      <c r="AI1432" s="15"/>
      <c r="AJ1432" s="15"/>
      <c r="AK1432" s="15"/>
      <c r="AL1432" s="15"/>
      <c r="AM1432" s="15"/>
      <c r="AN1432" s="15"/>
      <c r="AO1432" s="15"/>
      <c r="AP1432" s="15"/>
      <c r="AQ1432" s="15"/>
      <c r="AR1432" s="15"/>
      <c r="AS1432" s="15"/>
      <c r="AT1432" s="15"/>
      <c r="AU1432" s="15"/>
      <c r="AV1432" s="15"/>
      <c r="AW1432" s="15"/>
    </row>
    <row r="1433" spans="3:49" x14ac:dyDescent="0.2">
      <c r="C1433" s="15"/>
      <c r="D1433" s="15"/>
      <c r="E1433" s="15"/>
      <c r="F1433" s="15"/>
      <c r="G1433" s="15"/>
      <c r="H1433" s="15"/>
      <c r="I1433" s="15"/>
      <c r="J1433" s="15"/>
      <c r="K1433" s="15"/>
      <c r="L1433" s="28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5"/>
      <c r="AG1433" s="15"/>
      <c r="AH1433" s="15"/>
      <c r="AI1433" s="15"/>
      <c r="AJ1433" s="15"/>
      <c r="AK1433" s="15"/>
      <c r="AL1433" s="15"/>
      <c r="AM1433" s="15"/>
      <c r="AN1433" s="15"/>
      <c r="AO1433" s="15"/>
      <c r="AP1433" s="15"/>
      <c r="AQ1433" s="15"/>
      <c r="AR1433" s="15"/>
      <c r="AS1433" s="15"/>
      <c r="AT1433" s="15"/>
      <c r="AU1433" s="15"/>
      <c r="AV1433" s="15"/>
      <c r="AW1433" s="15"/>
    </row>
    <row r="1434" spans="3:49" x14ac:dyDescent="0.2">
      <c r="C1434" s="15"/>
      <c r="D1434" s="15"/>
      <c r="E1434" s="15"/>
      <c r="F1434" s="15"/>
      <c r="G1434" s="15"/>
      <c r="H1434" s="15"/>
      <c r="I1434" s="15"/>
      <c r="J1434" s="15"/>
      <c r="K1434" s="15"/>
      <c r="L1434" s="28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5"/>
      <c r="AG1434" s="15"/>
      <c r="AH1434" s="15"/>
      <c r="AI1434" s="15"/>
      <c r="AJ1434" s="15"/>
      <c r="AK1434" s="15"/>
      <c r="AL1434" s="15"/>
      <c r="AM1434" s="15"/>
      <c r="AN1434" s="15"/>
      <c r="AO1434" s="15"/>
      <c r="AP1434" s="15"/>
      <c r="AQ1434" s="15"/>
      <c r="AR1434" s="15"/>
      <c r="AS1434" s="15"/>
      <c r="AT1434" s="15"/>
      <c r="AU1434" s="15"/>
      <c r="AV1434" s="15"/>
      <c r="AW1434" s="15"/>
    </row>
    <row r="1435" spans="3:49" x14ac:dyDescent="0.2">
      <c r="C1435" s="15"/>
      <c r="D1435" s="15"/>
      <c r="E1435" s="15"/>
      <c r="F1435" s="15"/>
      <c r="G1435" s="15"/>
      <c r="H1435" s="15"/>
      <c r="I1435" s="15"/>
      <c r="J1435" s="15"/>
      <c r="K1435" s="15"/>
      <c r="L1435" s="28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5"/>
      <c r="AG1435" s="15"/>
      <c r="AH1435" s="15"/>
      <c r="AI1435" s="15"/>
      <c r="AJ1435" s="15"/>
      <c r="AK1435" s="15"/>
      <c r="AL1435" s="15"/>
      <c r="AM1435" s="15"/>
      <c r="AN1435" s="15"/>
      <c r="AO1435" s="15"/>
      <c r="AP1435" s="15"/>
      <c r="AQ1435" s="15"/>
      <c r="AR1435" s="15"/>
      <c r="AS1435" s="15"/>
      <c r="AT1435" s="15"/>
      <c r="AU1435" s="15"/>
      <c r="AV1435" s="15"/>
      <c r="AW1435" s="15"/>
    </row>
    <row r="1436" spans="3:49" x14ac:dyDescent="0.2">
      <c r="C1436" s="15"/>
      <c r="D1436" s="15"/>
      <c r="E1436" s="15"/>
      <c r="F1436" s="15"/>
      <c r="G1436" s="15"/>
      <c r="H1436" s="15"/>
      <c r="I1436" s="15"/>
      <c r="J1436" s="15"/>
      <c r="K1436" s="15"/>
      <c r="L1436" s="28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5"/>
      <c r="AG1436" s="15"/>
      <c r="AH1436" s="15"/>
      <c r="AI1436" s="15"/>
      <c r="AJ1436" s="15"/>
      <c r="AK1436" s="15"/>
      <c r="AL1436" s="15"/>
      <c r="AM1436" s="15"/>
      <c r="AN1436" s="15"/>
      <c r="AO1436" s="15"/>
      <c r="AP1436" s="15"/>
      <c r="AQ1436" s="15"/>
      <c r="AR1436" s="15"/>
      <c r="AS1436" s="15"/>
      <c r="AT1436" s="15"/>
      <c r="AU1436" s="15"/>
      <c r="AV1436" s="15"/>
      <c r="AW1436" s="15"/>
    </row>
    <row r="1437" spans="3:49" x14ac:dyDescent="0.2">
      <c r="C1437" s="15"/>
      <c r="D1437" s="15"/>
      <c r="E1437" s="15"/>
      <c r="F1437" s="15"/>
      <c r="G1437" s="15"/>
      <c r="H1437" s="15"/>
      <c r="I1437" s="15"/>
      <c r="J1437" s="15"/>
      <c r="K1437" s="15"/>
      <c r="L1437" s="28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5"/>
      <c r="AG1437" s="15"/>
      <c r="AH1437" s="15"/>
      <c r="AI1437" s="15"/>
      <c r="AJ1437" s="15"/>
      <c r="AK1437" s="15"/>
      <c r="AL1437" s="15"/>
      <c r="AM1437" s="15"/>
      <c r="AN1437" s="15"/>
      <c r="AO1437" s="15"/>
      <c r="AP1437" s="15"/>
      <c r="AQ1437" s="15"/>
      <c r="AR1437" s="15"/>
      <c r="AS1437" s="15"/>
      <c r="AT1437" s="15"/>
      <c r="AU1437" s="15"/>
      <c r="AV1437" s="15"/>
      <c r="AW1437" s="15"/>
    </row>
    <row r="1438" spans="3:49" x14ac:dyDescent="0.2">
      <c r="C1438" s="15"/>
      <c r="D1438" s="15"/>
      <c r="E1438" s="15"/>
      <c r="F1438" s="15"/>
      <c r="G1438" s="15"/>
      <c r="H1438" s="15"/>
      <c r="I1438" s="15"/>
      <c r="J1438" s="15"/>
      <c r="K1438" s="15"/>
      <c r="L1438" s="28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5"/>
      <c r="AG1438" s="15"/>
      <c r="AH1438" s="15"/>
      <c r="AI1438" s="15"/>
      <c r="AJ1438" s="15"/>
      <c r="AK1438" s="15"/>
      <c r="AL1438" s="15"/>
      <c r="AM1438" s="15"/>
      <c r="AN1438" s="15"/>
      <c r="AO1438" s="15"/>
      <c r="AP1438" s="15"/>
      <c r="AQ1438" s="15"/>
      <c r="AR1438" s="15"/>
      <c r="AS1438" s="15"/>
      <c r="AT1438" s="15"/>
      <c r="AU1438" s="15"/>
      <c r="AV1438" s="15"/>
      <c r="AW1438" s="15"/>
    </row>
    <row r="1439" spans="3:49" x14ac:dyDescent="0.2">
      <c r="C1439" s="15"/>
      <c r="D1439" s="15"/>
      <c r="E1439" s="15"/>
      <c r="F1439" s="15"/>
      <c r="G1439" s="15"/>
      <c r="H1439" s="15"/>
      <c r="I1439" s="15"/>
      <c r="J1439" s="15"/>
      <c r="K1439" s="15"/>
      <c r="L1439" s="28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5"/>
      <c r="AG1439" s="15"/>
      <c r="AH1439" s="15"/>
      <c r="AI1439" s="15"/>
      <c r="AJ1439" s="15"/>
      <c r="AK1439" s="15"/>
      <c r="AL1439" s="15"/>
      <c r="AM1439" s="15"/>
      <c r="AN1439" s="15"/>
      <c r="AO1439" s="15"/>
      <c r="AP1439" s="15"/>
      <c r="AQ1439" s="15"/>
      <c r="AR1439" s="15"/>
      <c r="AS1439" s="15"/>
      <c r="AT1439" s="15"/>
      <c r="AU1439" s="15"/>
      <c r="AV1439" s="15"/>
      <c r="AW1439" s="15"/>
    </row>
    <row r="1440" spans="3:49" x14ac:dyDescent="0.2">
      <c r="C1440" s="15"/>
      <c r="D1440" s="15"/>
      <c r="E1440" s="15"/>
      <c r="F1440" s="15"/>
      <c r="G1440" s="15"/>
      <c r="H1440" s="15"/>
      <c r="I1440" s="15"/>
      <c r="J1440" s="15"/>
      <c r="K1440" s="15"/>
      <c r="L1440" s="28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5"/>
      <c r="AG1440" s="15"/>
      <c r="AH1440" s="15"/>
      <c r="AI1440" s="15"/>
      <c r="AJ1440" s="15"/>
      <c r="AK1440" s="15"/>
      <c r="AL1440" s="15"/>
      <c r="AM1440" s="15"/>
      <c r="AN1440" s="15"/>
      <c r="AO1440" s="15"/>
      <c r="AP1440" s="15"/>
      <c r="AQ1440" s="15"/>
      <c r="AR1440" s="15"/>
      <c r="AS1440" s="15"/>
      <c r="AT1440" s="15"/>
      <c r="AU1440" s="15"/>
      <c r="AV1440" s="15"/>
      <c r="AW1440" s="15"/>
    </row>
    <row r="1441" spans="3:49" x14ac:dyDescent="0.2">
      <c r="C1441" s="15"/>
      <c r="D1441" s="15"/>
      <c r="E1441" s="15"/>
      <c r="F1441" s="15"/>
      <c r="G1441" s="15"/>
      <c r="H1441" s="15"/>
      <c r="I1441" s="15"/>
      <c r="J1441" s="15"/>
      <c r="K1441" s="15"/>
      <c r="L1441" s="28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5"/>
      <c r="AG1441" s="15"/>
      <c r="AH1441" s="15"/>
      <c r="AI1441" s="15"/>
      <c r="AJ1441" s="15"/>
      <c r="AK1441" s="15"/>
      <c r="AL1441" s="15"/>
      <c r="AM1441" s="15"/>
      <c r="AN1441" s="15"/>
      <c r="AO1441" s="15"/>
      <c r="AP1441" s="15"/>
      <c r="AQ1441" s="15"/>
      <c r="AR1441" s="15"/>
      <c r="AS1441" s="15"/>
      <c r="AT1441" s="15"/>
      <c r="AU1441" s="15"/>
      <c r="AV1441" s="15"/>
      <c r="AW1441" s="15"/>
    </row>
    <row r="1442" spans="3:49" x14ac:dyDescent="0.2">
      <c r="C1442" s="15"/>
      <c r="D1442" s="15"/>
      <c r="E1442" s="15"/>
      <c r="F1442" s="15"/>
      <c r="G1442" s="15"/>
      <c r="H1442" s="15"/>
      <c r="I1442" s="15"/>
      <c r="J1442" s="15"/>
      <c r="K1442" s="15"/>
      <c r="L1442" s="28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5"/>
      <c r="AG1442" s="15"/>
      <c r="AH1442" s="15"/>
      <c r="AI1442" s="15"/>
      <c r="AJ1442" s="15"/>
      <c r="AK1442" s="15"/>
      <c r="AL1442" s="15"/>
      <c r="AM1442" s="15"/>
      <c r="AN1442" s="15"/>
      <c r="AO1442" s="15"/>
      <c r="AP1442" s="15"/>
      <c r="AQ1442" s="15"/>
      <c r="AR1442" s="15"/>
      <c r="AS1442" s="15"/>
      <c r="AT1442" s="15"/>
      <c r="AU1442" s="15"/>
      <c r="AV1442" s="15"/>
      <c r="AW1442" s="15"/>
    </row>
    <row r="1443" spans="3:49" x14ac:dyDescent="0.2">
      <c r="C1443" s="15"/>
      <c r="D1443" s="15"/>
      <c r="E1443" s="15"/>
      <c r="F1443" s="15"/>
      <c r="G1443" s="15"/>
      <c r="H1443" s="15"/>
      <c r="I1443" s="15"/>
      <c r="J1443" s="15"/>
      <c r="K1443" s="15"/>
      <c r="L1443" s="28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5"/>
      <c r="AG1443" s="15"/>
      <c r="AH1443" s="15"/>
      <c r="AI1443" s="15"/>
      <c r="AJ1443" s="15"/>
      <c r="AK1443" s="15"/>
      <c r="AL1443" s="15"/>
      <c r="AM1443" s="15"/>
      <c r="AN1443" s="15"/>
      <c r="AO1443" s="15"/>
      <c r="AP1443" s="15"/>
      <c r="AQ1443" s="15"/>
      <c r="AR1443" s="15"/>
      <c r="AS1443" s="15"/>
      <c r="AT1443" s="15"/>
      <c r="AU1443" s="15"/>
      <c r="AV1443" s="15"/>
      <c r="AW1443" s="15"/>
    </row>
    <row r="1444" spans="3:49" x14ac:dyDescent="0.2">
      <c r="C1444" s="15"/>
      <c r="D1444" s="15"/>
      <c r="E1444" s="15"/>
      <c r="F1444" s="15"/>
      <c r="G1444" s="15"/>
      <c r="H1444" s="15"/>
      <c r="I1444" s="15"/>
      <c r="J1444" s="15"/>
      <c r="K1444" s="15"/>
      <c r="L1444" s="28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5"/>
      <c r="AG1444" s="15"/>
      <c r="AH1444" s="15"/>
      <c r="AI1444" s="15"/>
      <c r="AJ1444" s="15"/>
      <c r="AK1444" s="15"/>
      <c r="AL1444" s="15"/>
      <c r="AM1444" s="15"/>
      <c r="AN1444" s="15"/>
      <c r="AO1444" s="15"/>
      <c r="AP1444" s="15"/>
      <c r="AQ1444" s="15"/>
      <c r="AR1444" s="15"/>
      <c r="AS1444" s="15"/>
      <c r="AT1444" s="15"/>
      <c r="AU1444" s="15"/>
      <c r="AV1444" s="15"/>
      <c r="AW1444" s="15"/>
    </row>
    <row r="1445" spans="3:49" x14ac:dyDescent="0.2">
      <c r="C1445" s="15"/>
      <c r="D1445" s="15"/>
      <c r="E1445" s="15"/>
      <c r="F1445" s="15"/>
      <c r="G1445" s="15"/>
      <c r="H1445" s="15"/>
      <c r="I1445" s="15"/>
      <c r="J1445" s="15"/>
      <c r="K1445" s="15"/>
      <c r="L1445" s="28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5"/>
      <c r="AG1445" s="15"/>
      <c r="AH1445" s="15"/>
      <c r="AI1445" s="15"/>
      <c r="AJ1445" s="15"/>
      <c r="AK1445" s="15"/>
      <c r="AL1445" s="15"/>
      <c r="AM1445" s="15"/>
      <c r="AN1445" s="15"/>
      <c r="AO1445" s="15"/>
      <c r="AP1445" s="15"/>
      <c r="AQ1445" s="15"/>
      <c r="AR1445" s="15"/>
      <c r="AS1445" s="15"/>
      <c r="AT1445" s="15"/>
      <c r="AU1445" s="15"/>
      <c r="AV1445" s="15"/>
      <c r="AW1445" s="15"/>
    </row>
    <row r="1446" spans="3:49" x14ac:dyDescent="0.2">
      <c r="C1446" s="15"/>
      <c r="D1446" s="15"/>
      <c r="E1446" s="15"/>
      <c r="F1446" s="15"/>
      <c r="G1446" s="15"/>
      <c r="H1446" s="15"/>
      <c r="I1446" s="15"/>
      <c r="J1446" s="15"/>
      <c r="K1446" s="15"/>
      <c r="L1446" s="28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5"/>
      <c r="AG1446" s="15"/>
      <c r="AH1446" s="15"/>
      <c r="AI1446" s="15"/>
      <c r="AJ1446" s="15"/>
      <c r="AK1446" s="15"/>
      <c r="AL1446" s="15"/>
      <c r="AM1446" s="15"/>
      <c r="AN1446" s="15"/>
      <c r="AO1446" s="15"/>
      <c r="AP1446" s="15"/>
      <c r="AQ1446" s="15"/>
      <c r="AR1446" s="15"/>
      <c r="AS1446" s="15"/>
      <c r="AT1446" s="15"/>
      <c r="AU1446" s="15"/>
      <c r="AV1446" s="15"/>
      <c r="AW1446" s="15"/>
    </row>
    <row r="1447" spans="3:49" x14ac:dyDescent="0.2">
      <c r="C1447" s="15"/>
      <c r="D1447" s="15"/>
      <c r="E1447" s="15"/>
      <c r="F1447" s="15"/>
      <c r="G1447" s="15"/>
      <c r="H1447" s="15"/>
      <c r="I1447" s="15"/>
      <c r="J1447" s="15"/>
      <c r="K1447" s="15"/>
      <c r="L1447" s="28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5"/>
      <c r="AG1447" s="15"/>
      <c r="AH1447" s="15"/>
      <c r="AI1447" s="15"/>
      <c r="AJ1447" s="15"/>
      <c r="AK1447" s="15"/>
      <c r="AL1447" s="15"/>
      <c r="AM1447" s="15"/>
      <c r="AN1447" s="15"/>
      <c r="AO1447" s="15"/>
      <c r="AP1447" s="15"/>
      <c r="AQ1447" s="15"/>
      <c r="AR1447" s="15"/>
      <c r="AS1447" s="15"/>
      <c r="AT1447" s="15"/>
      <c r="AU1447" s="15"/>
      <c r="AV1447" s="15"/>
      <c r="AW1447" s="15"/>
    </row>
    <row r="1448" spans="3:49" x14ac:dyDescent="0.2">
      <c r="C1448" s="15"/>
      <c r="D1448" s="15"/>
      <c r="E1448" s="15"/>
      <c r="F1448" s="15"/>
      <c r="G1448" s="15"/>
      <c r="H1448" s="15"/>
      <c r="I1448" s="15"/>
      <c r="J1448" s="15"/>
      <c r="K1448" s="15"/>
      <c r="L1448" s="28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5"/>
      <c r="AG1448" s="15"/>
      <c r="AH1448" s="15"/>
      <c r="AI1448" s="15"/>
      <c r="AJ1448" s="15"/>
      <c r="AK1448" s="15"/>
      <c r="AL1448" s="15"/>
      <c r="AM1448" s="15"/>
      <c r="AN1448" s="15"/>
      <c r="AO1448" s="15"/>
      <c r="AP1448" s="15"/>
      <c r="AQ1448" s="15"/>
      <c r="AR1448" s="15"/>
      <c r="AS1448" s="15"/>
      <c r="AT1448" s="15"/>
      <c r="AU1448" s="15"/>
      <c r="AV1448" s="15"/>
      <c r="AW1448" s="15"/>
    </row>
    <row r="1449" spans="3:49" x14ac:dyDescent="0.2">
      <c r="C1449" s="15"/>
      <c r="D1449" s="15"/>
      <c r="E1449" s="15"/>
      <c r="F1449" s="15"/>
      <c r="G1449" s="15"/>
      <c r="H1449" s="15"/>
      <c r="I1449" s="15"/>
      <c r="J1449" s="15"/>
      <c r="K1449" s="15"/>
      <c r="L1449" s="28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5"/>
      <c r="AG1449" s="15"/>
      <c r="AH1449" s="15"/>
      <c r="AI1449" s="15"/>
      <c r="AJ1449" s="15"/>
      <c r="AK1449" s="15"/>
      <c r="AL1449" s="15"/>
      <c r="AM1449" s="15"/>
      <c r="AN1449" s="15"/>
      <c r="AO1449" s="15"/>
      <c r="AP1449" s="15"/>
      <c r="AQ1449" s="15"/>
      <c r="AR1449" s="15"/>
      <c r="AS1449" s="15"/>
      <c r="AT1449" s="15"/>
      <c r="AU1449" s="15"/>
      <c r="AV1449" s="15"/>
      <c r="AW1449" s="15"/>
    </row>
    <row r="1450" spans="3:49" x14ac:dyDescent="0.2">
      <c r="C1450" s="15"/>
      <c r="D1450" s="15"/>
      <c r="E1450" s="15"/>
      <c r="F1450" s="15"/>
      <c r="G1450" s="15"/>
      <c r="H1450" s="15"/>
      <c r="I1450" s="15"/>
      <c r="J1450" s="15"/>
      <c r="K1450" s="15"/>
      <c r="L1450" s="28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5"/>
      <c r="AG1450" s="15"/>
      <c r="AH1450" s="15"/>
      <c r="AI1450" s="15"/>
      <c r="AJ1450" s="15"/>
      <c r="AK1450" s="15"/>
      <c r="AL1450" s="15"/>
      <c r="AM1450" s="15"/>
      <c r="AN1450" s="15"/>
      <c r="AO1450" s="15"/>
      <c r="AP1450" s="15"/>
      <c r="AQ1450" s="15"/>
      <c r="AR1450" s="15"/>
      <c r="AS1450" s="15"/>
      <c r="AT1450" s="15"/>
      <c r="AU1450" s="15"/>
      <c r="AV1450" s="15"/>
      <c r="AW1450" s="15"/>
    </row>
    <row r="1451" spans="3:49" x14ac:dyDescent="0.2">
      <c r="C1451" s="15"/>
      <c r="D1451" s="15"/>
      <c r="E1451" s="15"/>
      <c r="F1451" s="15"/>
      <c r="G1451" s="15"/>
      <c r="H1451" s="15"/>
      <c r="I1451" s="15"/>
      <c r="J1451" s="15"/>
      <c r="K1451" s="15"/>
      <c r="L1451" s="28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5"/>
      <c r="AG1451" s="15"/>
      <c r="AH1451" s="15"/>
      <c r="AI1451" s="15"/>
      <c r="AJ1451" s="15"/>
      <c r="AK1451" s="15"/>
      <c r="AL1451" s="15"/>
      <c r="AM1451" s="15"/>
      <c r="AN1451" s="15"/>
      <c r="AO1451" s="15"/>
      <c r="AP1451" s="15"/>
      <c r="AQ1451" s="15"/>
      <c r="AR1451" s="15"/>
      <c r="AS1451" s="15"/>
      <c r="AT1451" s="15"/>
      <c r="AU1451" s="15"/>
      <c r="AV1451" s="15"/>
      <c r="AW1451" s="15"/>
    </row>
    <row r="1452" spans="3:49" x14ac:dyDescent="0.2">
      <c r="C1452" s="15"/>
      <c r="D1452" s="15"/>
      <c r="E1452" s="15"/>
      <c r="F1452" s="15"/>
      <c r="G1452" s="15"/>
      <c r="H1452" s="15"/>
      <c r="I1452" s="15"/>
      <c r="J1452" s="15"/>
      <c r="K1452" s="15"/>
      <c r="L1452" s="28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5"/>
      <c r="AG1452" s="15"/>
      <c r="AH1452" s="15"/>
      <c r="AI1452" s="15"/>
      <c r="AJ1452" s="15"/>
      <c r="AK1452" s="15"/>
      <c r="AL1452" s="15"/>
      <c r="AM1452" s="15"/>
      <c r="AN1452" s="15"/>
      <c r="AO1452" s="15"/>
      <c r="AP1452" s="15"/>
      <c r="AQ1452" s="15"/>
      <c r="AR1452" s="15"/>
      <c r="AS1452" s="15"/>
      <c r="AT1452" s="15"/>
      <c r="AU1452" s="15"/>
      <c r="AV1452" s="15"/>
      <c r="AW1452" s="15"/>
    </row>
    <row r="1453" spans="3:49" x14ac:dyDescent="0.2">
      <c r="C1453" s="15"/>
      <c r="D1453" s="15"/>
      <c r="E1453" s="15"/>
      <c r="F1453" s="15"/>
      <c r="G1453" s="15"/>
      <c r="H1453" s="15"/>
      <c r="I1453" s="15"/>
      <c r="J1453" s="15"/>
      <c r="K1453" s="15"/>
      <c r="L1453" s="28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5"/>
      <c r="AG1453" s="15"/>
      <c r="AH1453" s="15"/>
      <c r="AI1453" s="15"/>
      <c r="AJ1453" s="15"/>
      <c r="AK1453" s="15"/>
      <c r="AL1453" s="15"/>
      <c r="AM1453" s="15"/>
      <c r="AN1453" s="15"/>
      <c r="AO1453" s="15"/>
      <c r="AP1453" s="15"/>
      <c r="AQ1453" s="15"/>
      <c r="AR1453" s="15"/>
      <c r="AS1453" s="15"/>
      <c r="AT1453" s="15"/>
      <c r="AU1453" s="15"/>
      <c r="AV1453" s="15"/>
      <c r="AW1453" s="15"/>
    </row>
    <row r="1454" spans="3:49" x14ac:dyDescent="0.2">
      <c r="C1454" s="15"/>
      <c r="D1454" s="15"/>
      <c r="E1454" s="15"/>
      <c r="F1454" s="15"/>
      <c r="G1454" s="15"/>
      <c r="H1454" s="15"/>
      <c r="I1454" s="15"/>
      <c r="J1454" s="15"/>
      <c r="K1454" s="15"/>
      <c r="L1454" s="28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5"/>
      <c r="AG1454" s="15"/>
      <c r="AH1454" s="15"/>
      <c r="AI1454" s="15"/>
      <c r="AJ1454" s="15"/>
      <c r="AK1454" s="15"/>
      <c r="AL1454" s="15"/>
      <c r="AM1454" s="15"/>
      <c r="AN1454" s="15"/>
      <c r="AO1454" s="15"/>
      <c r="AP1454" s="15"/>
      <c r="AQ1454" s="15"/>
      <c r="AR1454" s="15"/>
      <c r="AS1454" s="15"/>
      <c r="AT1454" s="15"/>
      <c r="AU1454" s="15"/>
      <c r="AV1454" s="15"/>
      <c r="AW1454" s="15"/>
    </row>
    <row r="1455" spans="3:49" x14ac:dyDescent="0.2">
      <c r="C1455" s="15"/>
      <c r="D1455" s="15"/>
      <c r="E1455" s="15"/>
      <c r="F1455" s="15"/>
      <c r="G1455" s="15"/>
      <c r="H1455" s="15"/>
      <c r="I1455" s="15"/>
      <c r="J1455" s="15"/>
      <c r="K1455" s="15"/>
      <c r="L1455" s="28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5"/>
      <c r="AG1455" s="15"/>
      <c r="AH1455" s="15"/>
      <c r="AI1455" s="15"/>
      <c r="AJ1455" s="15"/>
      <c r="AK1455" s="15"/>
      <c r="AL1455" s="15"/>
      <c r="AM1455" s="15"/>
      <c r="AN1455" s="15"/>
      <c r="AO1455" s="15"/>
      <c r="AP1455" s="15"/>
      <c r="AQ1455" s="15"/>
      <c r="AR1455" s="15"/>
      <c r="AS1455" s="15"/>
      <c r="AT1455" s="15"/>
      <c r="AU1455" s="15"/>
      <c r="AV1455" s="15"/>
      <c r="AW1455" s="15"/>
    </row>
    <row r="1456" spans="3:49" x14ac:dyDescent="0.2">
      <c r="C1456" s="15"/>
      <c r="D1456" s="15"/>
      <c r="E1456" s="15"/>
      <c r="F1456" s="15"/>
      <c r="G1456" s="15"/>
      <c r="H1456" s="15"/>
      <c r="I1456" s="15"/>
      <c r="J1456" s="15"/>
      <c r="K1456" s="15"/>
      <c r="L1456" s="28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5"/>
      <c r="AG1456" s="15"/>
      <c r="AH1456" s="15"/>
      <c r="AI1456" s="15"/>
      <c r="AJ1456" s="15"/>
      <c r="AK1456" s="15"/>
      <c r="AL1456" s="15"/>
      <c r="AM1456" s="15"/>
      <c r="AN1456" s="15"/>
      <c r="AO1456" s="15"/>
      <c r="AP1456" s="15"/>
      <c r="AQ1456" s="15"/>
      <c r="AR1456" s="15"/>
      <c r="AS1456" s="15"/>
      <c r="AT1456" s="15"/>
      <c r="AU1456" s="15"/>
      <c r="AV1456" s="15"/>
      <c r="AW1456" s="15"/>
    </row>
    <row r="1457" spans="3:49" x14ac:dyDescent="0.2">
      <c r="C1457" s="15"/>
      <c r="D1457" s="15"/>
      <c r="E1457" s="15"/>
      <c r="F1457" s="15"/>
      <c r="G1457" s="15"/>
      <c r="H1457" s="15"/>
      <c r="I1457" s="15"/>
      <c r="J1457" s="15"/>
      <c r="K1457" s="15"/>
      <c r="L1457" s="28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5"/>
      <c r="AG1457" s="15"/>
      <c r="AH1457" s="15"/>
      <c r="AI1457" s="15"/>
      <c r="AJ1457" s="15"/>
      <c r="AK1457" s="15"/>
      <c r="AL1457" s="15"/>
      <c r="AM1457" s="15"/>
      <c r="AN1457" s="15"/>
      <c r="AO1457" s="15"/>
      <c r="AP1457" s="15"/>
      <c r="AQ1457" s="15"/>
      <c r="AR1457" s="15"/>
      <c r="AS1457" s="15"/>
      <c r="AT1457" s="15"/>
      <c r="AU1457" s="15"/>
      <c r="AV1457" s="15"/>
      <c r="AW1457" s="15"/>
    </row>
    <row r="1458" spans="3:49" x14ac:dyDescent="0.2">
      <c r="C1458" s="15"/>
      <c r="D1458" s="15"/>
      <c r="E1458" s="15"/>
      <c r="F1458" s="15"/>
      <c r="G1458" s="15"/>
      <c r="H1458" s="15"/>
      <c r="I1458" s="15"/>
      <c r="J1458" s="15"/>
      <c r="K1458" s="15"/>
      <c r="L1458" s="28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5"/>
      <c r="AG1458" s="15"/>
      <c r="AH1458" s="15"/>
      <c r="AI1458" s="15"/>
      <c r="AJ1458" s="15"/>
      <c r="AK1458" s="15"/>
      <c r="AL1458" s="15"/>
      <c r="AM1458" s="15"/>
      <c r="AN1458" s="15"/>
      <c r="AO1458" s="15"/>
      <c r="AP1458" s="15"/>
      <c r="AQ1458" s="15"/>
      <c r="AR1458" s="15"/>
      <c r="AS1458" s="15"/>
      <c r="AT1458" s="15"/>
      <c r="AU1458" s="15"/>
      <c r="AV1458" s="15"/>
      <c r="AW1458" s="15"/>
    </row>
    <row r="1459" spans="3:49" x14ac:dyDescent="0.2">
      <c r="C1459" s="15"/>
      <c r="D1459" s="15"/>
      <c r="E1459" s="15"/>
      <c r="F1459" s="15"/>
      <c r="G1459" s="15"/>
      <c r="H1459" s="15"/>
      <c r="I1459" s="15"/>
      <c r="J1459" s="15"/>
      <c r="K1459" s="15"/>
      <c r="L1459" s="28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5"/>
      <c r="AG1459" s="15"/>
      <c r="AH1459" s="15"/>
      <c r="AI1459" s="15"/>
      <c r="AJ1459" s="15"/>
      <c r="AK1459" s="15"/>
      <c r="AL1459" s="15"/>
      <c r="AM1459" s="15"/>
      <c r="AN1459" s="15"/>
      <c r="AO1459" s="15"/>
      <c r="AP1459" s="15"/>
      <c r="AQ1459" s="15"/>
      <c r="AR1459" s="15"/>
      <c r="AS1459" s="15"/>
      <c r="AT1459" s="15"/>
      <c r="AU1459" s="15"/>
      <c r="AV1459" s="15"/>
      <c r="AW1459" s="15"/>
    </row>
    <row r="1460" spans="3:49" x14ac:dyDescent="0.2">
      <c r="C1460" s="15"/>
      <c r="D1460" s="15"/>
      <c r="E1460" s="15"/>
      <c r="F1460" s="15"/>
      <c r="G1460" s="15"/>
      <c r="H1460" s="15"/>
      <c r="I1460" s="15"/>
      <c r="J1460" s="15"/>
      <c r="K1460" s="15"/>
      <c r="L1460" s="28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5"/>
      <c r="AG1460" s="15"/>
      <c r="AH1460" s="15"/>
      <c r="AI1460" s="15"/>
      <c r="AJ1460" s="15"/>
      <c r="AK1460" s="15"/>
      <c r="AL1460" s="15"/>
      <c r="AM1460" s="15"/>
      <c r="AN1460" s="15"/>
      <c r="AO1460" s="15"/>
      <c r="AP1460" s="15"/>
      <c r="AQ1460" s="15"/>
      <c r="AR1460" s="15"/>
      <c r="AS1460" s="15"/>
      <c r="AT1460" s="15"/>
      <c r="AU1460" s="15"/>
      <c r="AV1460" s="15"/>
      <c r="AW1460" s="15"/>
    </row>
    <row r="1461" spans="3:49" x14ac:dyDescent="0.2">
      <c r="C1461" s="15"/>
      <c r="D1461" s="15"/>
      <c r="E1461" s="15"/>
      <c r="F1461" s="15"/>
      <c r="G1461" s="15"/>
      <c r="H1461" s="15"/>
      <c r="I1461" s="15"/>
      <c r="J1461" s="15"/>
      <c r="K1461" s="15"/>
      <c r="L1461" s="28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5"/>
      <c r="AG1461" s="15"/>
      <c r="AH1461" s="15"/>
      <c r="AI1461" s="15"/>
      <c r="AJ1461" s="15"/>
      <c r="AK1461" s="15"/>
      <c r="AL1461" s="15"/>
      <c r="AM1461" s="15"/>
      <c r="AN1461" s="15"/>
      <c r="AO1461" s="15"/>
      <c r="AP1461" s="15"/>
      <c r="AQ1461" s="15"/>
      <c r="AR1461" s="15"/>
      <c r="AS1461" s="15"/>
      <c r="AT1461" s="15"/>
      <c r="AU1461" s="15"/>
      <c r="AV1461" s="15"/>
      <c r="AW1461" s="15"/>
    </row>
    <row r="1462" spans="3:49" x14ac:dyDescent="0.2">
      <c r="C1462" s="15"/>
      <c r="D1462" s="15"/>
      <c r="E1462" s="15"/>
      <c r="F1462" s="15"/>
      <c r="G1462" s="15"/>
      <c r="H1462" s="15"/>
      <c r="I1462" s="15"/>
      <c r="J1462" s="15"/>
      <c r="K1462" s="15"/>
      <c r="L1462" s="28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5"/>
      <c r="AG1462" s="15"/>
      <c r="AH1462" s="15"/>
      <c r="AI1462" s="15"/>
      <c r="AJ1462" s="15"/>
      <c r="AK1462" s="15"/>
      <c r="AL1462" s="15"/>
      <c r="AM1462" s="15"/>
      <c r="AN1462" s="15"/>
      <c r="AO1462" s="15"/>
      <c r="AP1462" s="15"/>
      <c r="AQ1462" s="15"/>
      <c r="AR1462" s="15"/>
      <c r="AS1462" s="15"/>
      <c r="AT1462" s="15"/>
      <c r="AU1462" s="15"/>
      <c r="AV1462" s="15"/>
      <c r="AW1462" s="15"/>
    </row>
    <row r="1463" spans="3:49" x14ac:dyDescent="0.2">
      <c r="C1463" s="15"/>
      <c r="D1463" s="15"/>
      <c r="E1463" s="15"/>
      <c r="F1463" s="15"/>
      <c r="G1463" s="15"/>
      <c r="H1463" s="15"/>
      <c r="I1463" s="15"/>
      <c r="J1463" s="15"/>
      <c r="K1463" s="15"/>
      <c r="L1463" s="28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5"/>
      <c r="AG1463" s="15"/>
      <c r="AH1463" s="15"/>
      <c r="AI1463" s="15"/>
      <c r="AJ1463" s="15"/>
      <c r="AK1463" s="15"/>
      <c r="AL1463" s="15"/>
      <c r="AM1463" s="15"/>
      <c r="AN1463" s="15"/>
      <c r="AO1463" s="15"/>
      <c r="AP1463" s="15"/>
      <c r="AQ1463" s="15"/>
      <c r="AR1463" s="15"/>
      <c r="AS1463" s="15"/>
      <c r="AT1463" s="15"/>
      <c r="AU1463" s="15"/>
      <c r="AV1463" s="15"/>
      <c r="AW1463" s="15"/>
    </row>
    <row r="1464" spans="3:49" x14ac:dyDescent="0.2">
      <c r="C1464" s="15"/>
      <c r="D1464" s="15"/>
      <c r="E1464" s="15"/>
      <c r="F1464" s="15"/>
      <c r="G1464" s="15"/>
      <c r="H1464" s="15"/>
      <c r="I1464" s="15"/>
      <c r="J1464" s="15"/>
      <c r="K1464" s="15"/>
      <c r="L1464" s="28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5"/>
      <c r="AG1464" s="15"/>
      <c r="AH1464" s="15"/>
      <c r="AI1464" s="15"/>
      <c r="AJ1464" s="15"/>
      <c r="AK1464" s="15"/>
      <c r="AL1464" s="15"/>
      <c r="AM1464" s="15"/>
      <c r="AN1464" s="15"/>
      <c r="AO1464" s="15"/>
      <c r="AP1464" s="15"/>
      <c r="AQ1464" s="15"/>
      <c r="AR1464" s="15"/>
      <c r="AS1464" s="15"/>
      <c r="AT1464" s="15"/>
      <c r="AU1464" s="15"/>
      <c r="AV1464" s="15"/>
      <c r="AW1464" s="15"/>
    </row>
    <row r="1465" spans="3:49" x14ac:dyDescent="0.2">
      <c r="C1465" s="15"/>
      <c r="D1465" s="15"/>
      <c r="E1465" s="15"/>
      <c r="F1465" s="15"/>
      <c r="G1465" s="15"/>
      <c r="H1465" s="15"/>
      <c r="I1465" s="15"/>
      <c r="J1465" s="15"/>
      <c r="K1465" s="15"/>
      <c r="L1465" s="28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5"/>
      <c r="AG1465" s="15"/>
      <c r="AH1465" s="15"/>
      <c r="AI1465" s="15"/>
      <c r="AJ1465" s="15"/>
      <c r="AK1465" s="15"/>
      <c r="AL1465" s="15"/>
      <c r="AM1465" s="15"/>
      <c r="AN1465" s="15"/>
      <c r="AO1465" s="15"/>
      <c r="AP1465" s="15"/>
      <c r="AQ1465" s="15"/>
      <c r="AR1465" s="15"/>
      <c r="AS1465" s="15"/>
      <c r="AT1465" s="15"/>
      <c r="AU1465" s="15"/>
      <c r="AV1465" s="15"/>
      <c r="AW1465" s="15"/>
    </row>
    <row r="1466" spans="3:49" x14ac:dyDescent="0.2">
      <c r="C1466" s="15"/>
      <c r="D1466" s="15"/>
      <c r="E1466" s="15"/>
      <c r="F1466" s="15"/>
      <c r="G1466" s="15"/>
      <c r="H1466" s="15"/>
      <c r="I1466" s="15"/>
      <c r="J1466" s="15"/>
      <c r="K1466" s="15"/>
      <c r="L1466" s="28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5"/>
      <c r="AG1466" s="15"/>
      <c r="AH1466" s="15"/>
      <c r="AI1466" s="15"/>
      <c r="AJ1466" s="15"/>
      <c r="AK1466" s="15"/>
      <c r="AL1466" s="15"/>
      <c r="AM1466" s="15"/>
      <c r="AN1466" s="15"/>
      <c r="AO1466" s="15"/>
      <c r="AP1466" s="15"/>
      <c r="AQ1466" s="15"/>
      <c r="AR1466" s="15"/>
      <c r="AS1466" s="15"/>
      <c r="AT1466" s="15"/>
      <c r="AU1466" s="15"/>
      <c r="AV1466" s="15"/>
      <c r="AW1466" s="15"/>
    </row>
    <row r="1467" spans="3:49" x14ac:dyDescent="0.2">
      <c r="C1467" s="15"/>
      <c r="D1467" s="15"/>
      <c r="E1467" s="15"/>
      <c r="F1467" s="15"/>
      <c r="G1467" s="15"/>
      <c r="H1467" s="15"/>
      <c r="I1467" s="15"/>
      <c r="J1467" s="15"/>
      <c r="K1467" s="15"/>
      <c r="L1467" s="28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5"/>
      <c r="AG1467" s="15"/>
      <c r="AH1467" s="15"/>
      <c r="AI1467" s="15"/>
      <c r="AJ1467" s="15"/>
      <c r="AK1467" s="15"/>
      <c r="AL1467" s="15"/>
      <c r="AM1467" s="15"/>
      <c r="AN1467" s="15"/>
      <c r="AO1467" s="15"/>
      <c r="AP1467" s="15"/>
      <c r="AQ1467" s="15"/>
      <c r="AR1467" s="15"/>
      <c r="AS1467" s="15"/>
      <c r="AT1467" s="15"/>
      <c r="AU1467" s="15"/>
      <c r="AV1467" s="15"/>
      <c r="AW1467" s="15"/>
    </row>
    <row r="1468" spans="3:49" x14ac:dyDescent="0.2">
      <c r="C1468" s="15"/>
      <c r="D1468" s="15"/>
      <c r="E1468" s="15"/>
      <c r="F1468" s="15"/>
      <c r="G1468" s="15"/>
      <c r="H1468" s="15"/>
      <c r="I1468" s="15"/>
      <c r="J1468" s="15"/>
      <c r="K1468" s="15"/>
      <c r="L1468" s="28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5"/>
      <c r="AG1468" s="15"/>
      <c r="AH1468" s="15"/>
      <c r="AI1468" s="15"/>
      <c r="AJ1468" s="15"/>
      <c r="AK1468" s="15"/>
      <c r="AL1468" s="15"/>
      <c r="AM1468" s="15"/>
      <c r="AN1468" s="15"/>
      <c r="AO1468" s="15"/>
      <c r="AP1468" s="15"/>
      <c r="AQ1468" s="15"/>
      <c r="AR1468" s="15"/>
      <c r="AS1468" s="15"/>
      <c r="AT1468" s="15"/>
      <c r="AU1468" s="15"/>
      <c r="AV1468" s="15"/>
      <c r="AW1468" s="15"/>
    </row>
    <row r="1469" spans="3:49" x14ac:dyDescent="0.2">
      <c r="C1469" s="15"/>
      <c r="D1469" s="15"/>
      <c r="E1469" s="15"/>
      <c r="F1469" s="15"/>
      <c r="G1469" s="15"/>
      <c r="H1469" s="15"/>
      <c r="I1469" s="15"/>
      <c r="J1469" s="15"/>
      <c r="K1469" s="15"/>
      <c r="L1469" s="28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5"/>
      <c r="AG1469" s="15"/>
      <c r="AH1469" s="15"/>
      <c r="AI1469" s="15"/>
      <c r="AJ1469" s="15"/>
      <c r="AK1469" s="15"/>
      <c r="AL1469" s="15"/>
      <c r="AM1469" s="15"/>
      <c r="AN1469" s="15"/>
      <c r="AO1469" s="15"/>
      <c r="AP1469" s="15"/>
      <c r="AQ1469" s="15"/>
      <c r="AR1469" s="15"/>
      <c r="AS1469" s="15"/>
      <c r="AT1469" s="15"/>
      <c r="AU1469" s="15"/>
      <c r="AV1469" s="15"/>
      <c r="AW1469" s="15"/>
    </row>
    <row r="1470" spans="3:49" x14ac:dyDescent="0.2">
      <c r="C1470" s="15"/>
      <c r="D1470" s="15"/>
      <c r="E1470" s="15"/>
      <c r="F1470" s="15"/>
      <c r="G1470" s="15"/>
      <c r="H1470" s="15"/>
      <c r="I1470" s="15"/>
      <c r="J1470" s="15"/>
      <c r="K1470" s="15"/>
      <c r="L1470" s="28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5"/>
      <c r="AG1470" s="15"/>
      <c r="AH1470" s="15"/>
      <c r="AI1470" s="15"/>
      <c r="AJ1470" s="15"/>
      <c r="AK1470" s="15"/>
      <c r="AL1470" s="15"/>
      <c r="AM1470" s="15"/>
      <c r="AN1470" s="15"/>
      <c r="AO1470" s="15"/>
      <c r="AP1470" s="15"/>
      <c r="AQ1470" s="15"/>
      <c r="AR1470" s="15"/>
      <c r="AS1470" s="15"/>
      <c r="AT1470" s="15"/>
      <c r="AU1470" s="15"/>
      <c r="AV1470" s="15"/>
      <c r="AW1470" s="15"/>
    </row>
    <row r="1471" spans="3:49" x14ac:dyDescent="0.2">
      <c r="C1471" s="15"/>
      <c r="D1471" s="15"/>
      <c r="E1471" s="15"/>
      <c r="F1471" s="15"/>
      <c r="G1471" s="15"/>
      <c r="H1471" s="15"/>
      <c r="I1471" s="15"/>
      <c r="J1471" s="15"/>
      <c r="K1471" s="15"/>
      <c r="L1471" s="28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5"/>
      <c r="AG1471" s="15"/>
      <c r="AH1471" s="15"/>
      <c r="AI1471" s="15"/>
      <c r="AJ1471" s="15"/>
      <c r="AK1471" s="15"/>
      <c r="AL1471" s="15"/>
      <c r="AM1471" s="15"/>
      <c r="AN1471" s="15"/>
      <c r="AO1471" s="15"/>
      <c r="AP1471" s="15"/>
      <c r="AQ1471" s="15"/>
      <c r="AR1471" s="15"/>
      <c r="AS1471" s="15"/>
      <c r="AT1471" s="15"/>
      <c r="AU1471" s="15"/>
      <c r="AV1471" s="15"/>
      <c r="AW1471" s="15"/>
    </row>
    <row r="1472" spans="3:49" x14ac:dyDescent="0.2">
      <c r="C1472" s="15"/>
      <c r="D1472" s="15"/>
      <c r="E1472" s="15"/>
      <c r="F1472" s="15"/>
      <c r="G1472" s="15"/>
      <c r="H1472" s="15"/>
      <c r="I1472" s="15"/>
      <c r="J1472" s="15"/>
      <c r="K1472" s="15"/>
      <c r="L1472" s="28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5"/>
      <c r="AG1472" s="15"/>
      <c r="AH1472" s="15"/>
      <c r="AI1472" s="15"/>
      <c r="AJ1472" s="15"/>
      <c r="AK1472" s="15"/>
      <c r="AL1472" s="15"/>
      <c r="AM1472" s="15"/>
      <c r="AN1472" s="15"/>
      <c r="AO1472" s="15"/>
      <c r="AP1472" s="15"/>
      <c r="AQ1472" s="15"/>
      <c r="AR1472" s="15"/>
      <c r="AS1472" s="15"/>
      <c r="AT1472" s="15"/>
      <c r="AU1472" s="15"/>
      <c r="AV1472" s="15"/>
      <c r="AW1472" s="15"/>
    </row>
    <row r="1473" spans="3:49" x14ac:dyDescent="0.2">
      <c r="C1473" s="15"/>
      <c r="D1473" s="15"/>
      <c r="E1473" s="15"/>
      <c r="F1473" s="15"/>
      <c r="G1473" s="15"/>
      <c r="H1473" s="15"/>
      <c r="I1473" s="15"/>
      <c r="J1473" s="15"/>
      <c r="K1473" s="15"/>
      <c r="L1473" s="28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5"/>
      <c r="AG1473" s="15"/>
      <c r="AH1473" s="15"/>
      <c r="AI1473" s="15"/>
      <c r="AJ1473" s="15"/>
      <c r="AK1473" s="15"/>
      <c r="AL1473" s="15"/>
      <c r="AM1473" s="15"/>
      <c r="AN1473" s="15"/>
      <c r="AO1473" s="15"/>
      <c r="AP1473" s="15"/>
      <c r="AQ1473" s="15"/>
      <c r="AR1473" s="15"/>
      <c r="AS1473" s="15"/>
      <c r="AT1473" s="15"/>
      <c r="AU1473" s="15"/>
      <c r="AV1473" s="15"/>
      <c r="AW1473" s="15"/>
    </row>
    <row r="1474" spans="3:49" x14ac:dyDescent="0.2">
      <c r="C1474" s="15"/>
      <c r="D1474" s="15"/>
      <c r="E1474" s="15"/>
      <c r="F1474" s="15"/>
      <c r="G1474" s="15"/>
      <c r="H1474" s="15"/>
      <c r="I1474" s="15"/>
      <c r="J1474" s="15"/>
      <c r="K1474" s="15"/>
      <c r="L1474" s="28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5"/>
      <c r="AG1474" s="15"/>
      <c r="AH1474" s="15"/>
      <c r="AI1474" s="15"/>
      <c r="AJ1474" s="15"/>
      <c r="AK1474" s="15"/>
      <c r="AL1474" s="15"/>
      <c r="AM1474" s="15"/>
      <c r="AN1474" s="15"/>
      <c r="AO1474" s="15"/>
      <c r="AP1474" s="15"/>
      <c r="AQ1474" s="15"/>
      <c r="AR1474" s="15"/>
      <c r="AS1474" s="15"/>
      <c r="AT1474" s="15"/>
      <c r="AU1474" s="15"/>
      <c r="AV1474" s="15"/>
      <c r="AW1474" s="15"/>
    </row>
    <row r="1475" spans="3:49" x14ac:dyDescent="0.2">
      <c r="C1475" s="15"/>
      <c r="D1475" s="15"/>
      <c r="E1475" s="15"/>
      <c r="F1475" s="15"/>
      <c r="G1475" s="15"/>
      <c r="H1475" s="15"/>
      <c r="I1475" s="15"/>
      <c r="J1475" s="15"/>
      <c r="K1475" s="15"/>
      <c r="L1475" s="28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5"/>
      <c r="AG1475" s="15"/>
      <c r="AH1475" s="15"/>
      <c r="AI1475" s="15"/>
      <c r="AJ1475" s="15"/>
      <c r="AK1475" s="15"/>
      <c r="AL1475" s="15"/>
      <c r="AM1475" s="15"/>
      <c r="AN1475" s="15"/>
      <c r="AO1475" s="15"/>
      <c r="AP1475" s="15"/>
      <c r="AQ1475" s="15"/>
      <c r="AR1475" s="15"/>
      <c r="AS1475" s="15"/>
      <c r="AT1475" s="15"/>
      <c r="AU1475" s="15"/>
      <c r="AV1475" s="15"/>
      <c r="AW1475" s="15"/>
    </row>
    <row r="1476" spans="3:49" x14ac:dyDescent="0.2">
      <c r="C1476" s="15"/>
      <c r="D1476" s="15"/>
      <c r="E1476" s="15"/>
      <c r="F1476" s="15"/>
      <c r="G1476" s="15"/>
      <c r="H1476" s="15"/>
      <c r="I1476" s="15"/>
      <c r="J1476" s="15"/>
      <c r="K1476" s="15"/>
      <c r="L1476" s="28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5"/>
      <c r="AG1476" s="15"/>
      <c r="AH1476" s="15"/>
      <c r="AI1476" s="15"/>
      <c r="AJ1476" s="15"/>
      <c r="AK1476" s="15"/>
      <c r="AL1476" s="15"/>
      <c r="AM1476" s="15"/>
      <c r="AN1476" s="15"/>
      <c r="AO1476" s="15"/>
      <c r="AP1476" s="15"/>
      <c r="AQ1476" s="15"/>
      <c r="AR1476" s="15"/>
      <c r="AS1476" s="15"/>
      <c r="AT1476" s="15"/>
      <c r="AU1476" s="15"/>
      <c r="AV1476" s="15"/>
      <c r="AW1476" s="15"/>
    </row>
    <row r="1477" spans="3:49" x14ac:dyDescent="0.2">
      <c r="C1477" s="15"/>
      <c r="D1477" s="15"/>
      <c r="E1477" s="15"/>
      <c r="F1477" s="15"/>
      <c r="G1477" s="15"/>
      <c r="H1477" s="15"/>
      <c r="I1477" s="15"/>
      <c r="J1477" s="15"/>
      <c r="K1477" s="15"/>
      <c r="L1477" s="28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5"/>
      <c r="AG1477" s="15"/>
      <c r="AH1477" s="15"/>
      <c r="AI1477" s="15"/>
      <c r="AJ1477" s="15"/>
      <c r="AK1477" s="15"/>
      <c r="AL1477" s="15"/>
      <c r="AM1477" s="15"/>
      <c r="AN1477" s="15"/>
      <c r="AO1477" s="15"/>
      <c r="AP1477" s="15"/>
      <c r="AQ1477" s="15"/>
      <c r="AR1477" s="15"/>
      <c r="AS1477" s="15"/>
      <c r="AT1477" s="15"/>
      <c r="AU1477" s="15"/>
      <c r="AV1477" s="15"/>
      <c r="AW1477" s="15"/>
    </row>
    <row r="1478" spans="3:49" x14ac:dyDescent="0.2">
      <c r="C1478" s="15"/>
      <c r="D1478" s="15"/>
      <c r="E1478" s="15"/>
      <c r="F1478" s="15"/>
      <c r="G1478" s="15"/>
      <c r="H1478" s="15"/>
      <c r="I1478" s="15"/>
      <c r="J1478" s="15"/>
      <c r="K1478" s="15"/>
      <c r="L1478" s="28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5"/>
      <c r="AG1478" s="15"/>
      <c r="AH1478" s="15"/>
      <c r="AI1478" s="15"/>
      <c r="AJ1478" s="15"/>
      <c r="AK1478" s="15"/>
      <c r="AL1478" s="15"/>
      <c r="AM1478" s="15"/>
      <c r="AN1478" s="15"/>
      <c r="AO1478" s="15"/>
      <c r="AP1478" s="15"/>
      <c r="AQ1478" s="15"/>
      <c r="AR1478" s="15"/>
      <c r="AS1478" s="15"/>
      <c r="AT1478" s="15"/>
      <c r="AU1478" s="15"/>
      <c r="AV1478" s="15"/>
      <c r="AW1478" s="15"/>
    </row>
    <row r="1479" spans="3:49" x14ac:dyDescent="0.2">
      <c r="C1479" s="15"/>
      <c r="D1479" s="15"/>
      <c r="E1479" s="15"/>
      <c r="F1479" s="15"/>
      <c r="G1479" s="15"/>
      <c r="H1479" s="15"/>
      <c r="I1479" s="15"/>
      <c r="J1479" s="15"/>
      <c r="K1479" s="15"/>
      <c r="L1479" s="28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5"/>
      <c r="AG1479" s="15"/>
      <c r="AH1479" s="15"/>
      <c r="AI1479" s="15"/>
      <c r="AJ1479" s="15"/>
      <c r="AK1479" s="15"/>
      <c r="AL1479" s="15"/>
      <c r="AM1479" s="15"/>
      <c r="AN1479" s="15"/>
      <c r="AO1479" s="15"/>
      <c r="AP1479" s="15"/>
      <c r="AQ1479" s="15"/>
      <c r="AR1479" s="15"/>
      <c r="AS1479" s="15"/>
      <c r="AT1479" s="15"/>
      <c r="AU1479" s="15"/>
      <c r="AV1479" s="15"/>
      <c r="AW1479" s="15"/>
    </row>
    <row r="1480" spans="3:49" x14ac:dyDescent="0.2">
      <c r="C1480" s="15"/>
      <c r="D1480" s="15"/>
      <c r="E1480" s="15"/>
      <c r="F1480" s="15"/>
      <c r="G1480" s="15"/>
      <c r="H1480" s="15"/>
      <c r="I1480" s="15"/>
      <c r="J1480" s="15"/>
      <c r="K1480" s="15"/>
      <c r="L1480" s="28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5"/>
      <c r="AG1480" s="15"/>
      <c r="AH1480" s="15"/>
      <c r="AI1480" s="15"/>
      <c r="AJ1480" s="15"/>
      <c r="AK1480" s="15"/>
      <c r="AL1480" s="15"/>
      <c r="AM1480" s="15"/>
      <c r="AN1480" s="15"/>
      <c r="AO1480" s="15"/>
      <c r="AP1480" s="15"/>
      <c r="AQ1480" s="15"/>
      <c r="AR1480" s="15"/>
      <c r="AS1480" s="15"/>
      <c r="AT1480" s="15"/>
      <c r="AU1480" s="15"/>
      <c r="AV1480" s="15"/>
      <c r="AW1480" s="15"/>
    </row>
    <row r="1481" spans="3:49" x14ac:dyDescent="0.2">
      <c r="C1481" s="15"/>
      <c r="D1481" s="15"/>
      <c r="E1481" s="15"/>
      <c r="F1481" s="15"/>
      <c r="G1481" s="15"/>
      <c r="H1481" s="15"/>
      <c r="I1481" s="15"/>
      <c r="J1481" s="15"/>
      <c r="K1481" s="15"/>
      <c r="L1481" s="28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5"/>
      <c r="AG1481" s="15"/>
      <c r="AH1481" s="15"/>
      <c r="AI1481" s="15"/>
      <c r="AJ1481" s="15"/>
      <c r="AK1481" s="15"/>
      <c r="AL1481" s="15"/>
      <c r="AM1481" s="15"/>
      <c r="AN1481" s="15"/>
      <c r="AO1481" s="15"/>
      <c r="AP1481" s="15"/>
      <c r="AQ1481" s="15"/>
      <c r="AR1481" s="15"/>
      <c r="AS1481" s="15"/>
      <c r="AT1481" s="15"/>
      <c r="AU1481" s="15"/>
      <c r="AV1481" s="15"/>
      <c r="AW1481" s="15"/>
    </row>
    <row r="1482" spans="3:49" x14ac:dyDescent="0.2">
      <c r="C1482" s="15"/>
      <c r="D1482" s="15"/>
      <c r="E1482" s="15"/>
      <c r="F1482" s="15"/>
      <c r="G1482" s="15"/>
      <c r="H1482" s="15"/>
      <c r="I1482" s="15"/>
      <c r="J1482" s="15"/>
      <c r="K1482" s="15"/>
      <c r="L1482" s="28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5"/>
      <c r="AG1482" s="15"/>
      <c r="AH1482" s="15"/>
      <c r="AI1482" s="15"/>
      <c r="AJ1482" s="15"/>
      <c r="AK1482" s="15"/>
      <c r="AL1482" s="15"/>
      <c r="AM1482" s="15"/>
      <c r="AN1482" s="15"/>
      <c r="AO1482" s="15"/>
      <c r="AP1482" s="15"/>
      <c r="AQ1482" s="15"/>
      <c r="AR1482" s="15"/>
      <c r="AS1482" s="15"/>
      <c r="AT1482" s="15"/>
      <c r="AU1482" s="15"/>
      <c r="AV1482" s="15"/>
      <c r="AW1482" s="15"/>
    </row>
    <row r="1483" spans="3:49" x14ac:dyDescent="0.2">
      <c r="C1483" s="15"/>
      <c r="D1483" s="15"/>
      <c r="E1483" s="15"/>
      <c r="F1483" s="15"/>
      <c r="G1483" s="15"/>
      <c r="H1483" s="15"/>
      <c r="I1483" s="15"/>
      <c r="J1483" s="15"/>
      <c r="K1483" s="15"/>
      <c r="L1483" s="28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5"/>
      <c r="AG1483" s="15"/>
      <c r="AH1483" s="15"/>
      <c r="AI1483" s="15"/>
      <c r="AJ1483" s="15"/>
      <c r="AK1483" s="15"/>
      <c r="AL1483" s="15"/>
      <c r="AM1483" s="15"/>
      <c r="AN1483" s="15"/>
      <c r="AO1483" s="15"/>
      <c r="AP1483" s="15"/>
      <c r="AQ1483" s="15"/>
      <c r="AR1483" s="15"/>
      <c r="AS1483" s="15"/>
      <c r="AT1483" s="15"/>
      <c r="AU1483" s="15"/>
      <c r="AV1483" s="15"/>
      <c r="AW1483" s="15"/>
    </row>
    <row r="1484" spans="3:49" x14ac:dyDescent="0.2">
      <c r="C1484" s="15"/>
      <c r="D1484" s="15"/>
      <c r="E1484" s="15"/>
      <c r="F1484" s="15"/>
      <c r="G1484" s="15"/>
      <c r="H1484" s="15"/>
      <c r="I1484" s="15"/>
      <c r="J1484" s="15"/>
      <c r="K1484" s="15"/>
      <c r="L1484" s="28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5"/>
      <c r="AG1484" s="15"/>
      <c r="AH1484" s="15"/>
      <c r="AI1484" s="15"/>
      <c r="AJ1484" s="15"/>
      <c r="AK1484" s="15"/>
      <c r="AL1484" s="15"/>
      <c r="AM1484" s="15"/>
      <c r="AN1484" s="15"/>
      <c r="AO1484" s="15"/>
      <c r="AP1484" s="15"/>
      <c r="AQ1484" s="15"/>
      <c r="AR1484" s="15"/>
      <c r="AS1484" s="15"/>
      <c r="AT1484" s="15"/>
      <c r="AU1484" s="15"/>
      <c r="AV1484" s="15"/>
      <c r="AW1484" s="15"/>
    </row>
    <row r="1485" spans="3:49" x14ac:dyDescent="0.2">
      <c r="C1485" s="15"/>
      <c r="D1485" s="15"/>
      <c r="E1485" s="15"/>
      <c r="F1485" s="15"/>
      <c r="G1485" s="15"/>
      <c r="H1485" s="15"/>
      <c r="I1485" s="15"/>
      <c r="J1485" s="15"/>
      <c r="K1485" s="15"/>
      <c r="L1485" s="28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5"/>
      <c r="AG1485" s="15"/>
      <c r="AH1485" s="15"/>
      <c r="AI1485" s="15"/>
      <c r="AJ1485" s="15"/>
      <c r="AK1485" s="15"/>
      <c r="AL1485" s="15"/>
      <c r="AM1485" s="15"/>
      <c r="AN1485" s="15"/>
      <c r="AO1485" s="15"/>
      <c r="AP1485" s="15"/>
      <c r="AQ1485" s="15"/>
      <c r="AR1485" s="15"/>
      <c r="AS1485" s="15"/>
      <c r="AT1485" s="15"/>
      <c r="AU1485" s="15"/>
      <c r="AV1485" s="15"/>
      <c r="AW1485" s="15"/>
    </row>
    <row r="1486" spans="3:49" x14ac:dyDescent="0.2">
      <c r="C1486" s="15"/>
      <c r="D1486" s="15"/>
      <c r="E1486" s="15"/>
      <c r="F1486" s="15"/>
      <c r="G1486" s="15"/>
      <c r="H1486" s="15"/>
      <c r="I1486" s="15"/>
      <c r="J1486" s="15"/>
      <c r="K1486" s="15"/>
      <c r="L1486" s="28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5"/>
      <c r="AG1486" s="15"/>
      <c r="AH1486" s="15"/>
      <c r="AI1486" s="15"/>
      <c r="AJ1486" s="15"/>
      <c r="AK1486" s="15"/>
      <c r="AL1486" s="15"/>
      <c r="AM1486" s="15"/>
      <c r="AN1486" s="15"/>
      <c r="AO1486" s="15"/>
      <c r="AP1486" s="15"/>
      <c r="AQ1486" s="15"/>
      <c r="AR1486" s="15"/>
      <c r="AS1486" s="15"/>
      <c r="AT1486" s="15"/>
      <c r="AU1486" s="15"/>
      <c r="AV1486" s="15"/>
      <c r="AW1486" s="15"/>
    </row>
    <row r="1487" spans="3:49" x14ac:dyDescent="0.2">
      <c r="C1487" s="15"/>
      <c r="D1487" s="15"/>
      <c r="E1487" s="15"/>
      <c r="F1487" s="15"/>
      <c r="G1487" s="15"/>
      <c r="H1487" s="15"/>
      <c r="I1487" s="15"/>
      <c r="J1487" s="15"/>
      <c r="K1487" s="15"/>
      <c r="L1487" s="28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5"/>
      <c r="AG1487" s="15"/>
      <c r="AH1487" s="15"/>
      <c r="AI1487" s="15"/>
      <c r="AJ1487" s="15"/>
      <c r="AK1487" s="15"/>
      <c r="AL1487" s="15"/>
      <c r="AM1487" s="15"/>
      <c r="AN1487" s="15"/>
      <c r="AO1487" s="15"/>
      <c r="AP1487" s="15"/>
      <c r="AQ1487" s="15"/>
      <c r="AR1487" s="15"/>
      <c r="AS1487" s="15"/>
      <c r="AT1487" s="15"/>
      <c r="AU1487" s="15"/>
      <c r="AV1487" s="15"/>
      <c r="AW1487" s="15"/>
    </row>
    <row r="1488" spans="3:49" x14ac:dyDescent="0.2">
      <c r="C1488" s="15"/>
      <c r="D1488" s="15"/>
      <c r="E1488" s="15"/>
      <c r="F1488" s="15"/>
      <c r="G1488" s="15"/>
      <c r="H1488" s="15"/>
      <c r="I1488" s="15"/>
      <c r="J1488" s="15"/>
      <c r="K1488" s="15"/>
      <c r="L1488" s="28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5"/>
      <c r="AG1488" s="15"/>
      <c r="AH1488" s="15"/>
      <c r="AI1488" s="15"/>
      <c r="AJ1488" s="15"/>
      <c r="AK1488" s="15"/>
      <c r="AL1488" s="15"/>
      <c r="AM1488" s="15"/>
      <c r="AN1488" s="15"/>
      <c r="AO1488" s="15"/>
      <c r="AP1488" s="15"/>
      <c r="AQ1488" s="15"/>
      <c r="AR1488" s="15"/>
      <c r="AS1488" s="15"/>
      <c r="AT1488" s="15"/>
      <c r="AU1488" s="15"/>
      <c r="AV1488" s="15"/>
      <c r="AW1488" s="15"/>
    </row>
    <row r="1489" spans="3:49" x14ac:dyDescent="0.2">
      <c r="C1489" s="15"/>
      <c r="D1489" s="15"/>
      <c r="E1489" s="15"/>
      <c r="F1489" s="15"/>
      <c r="G1489" s="15"/>
      <c r="H1489" s="15"/>
      <c r="I1489" s="15"/>
      <c r="J1489" s="15"/>
      <c r="K1489" s="15"/>
      <c r="L1489" s="28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5"/>
      <c r="AG1489" s="15"/>
      <c r="AH1489" s="15"/>
      <c r="AI1489" s="15"/>
      <c r="AJ1489" s="15"/>
      <c r="AK1489" s="15"/>
      <c r="AL1489" s="15"/>
      <c r="AM1489" s="15"/>
      <c r="AN1489" s="15"/>
      <c r="AO1489" s="15"/>
      <c r="AP1489" s="15"/>
      <c r="AQ1489" s="15"/>
      <c r="AR1489" s="15"/>
      <c r="AS1489" s="15"/>
      <c r="AT1489" s="15"/>
      <c r="AU1489" s="15"/>
      <c r="AV1489" s="15"/>
      <c r="AW1489" s="15"/>
    </row>
    <row r="1490" spans="3:49" x14ac:dyDescent="0.2">
      <c r="C1490" s="15"/>
      <c r="D1490" s="15"/>
      <c r="E1490" s="15"/>
      <c r="F1490" s="15"/>
      <c r="G1490" s="15"/>
      <c r="H1490" s="15"/>
      <c r="I1490" s="15"/>
      <c r="J1490" s="15"/>
      <c r="K1490" s="15"/>
      <c r="L1490" s="28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5"/>
      <c r="AG1490" s="15"/>
      <c r="AH1490" s="15"/>
      <c r="AI1490" s="15"/>
      <c r="AJ1490" s="15"/>
      <c r="AK1490" s="15"/>
      <c r="AL1490" s="15"/>
      <c r="AM1490" s="15"/>
      <c r="AN1490" s="15"/>
      <c r="AO1490" s="15"/>
      <c r="AP1490" s="15"/>
      <c r="AQ1490" s="15"/>
      <c r="AR1490" s="15"/>
      <c r="AS1490" s="15"/>
      <c r="AT1490" s="15"/>
      <c r="AU1490" s="15"/>
      <c r="AV1490" s="15"/>
      <c r="AW1490" s="15"/>
    </row>
    <row r="1491" spans="3:49" x14ac:dyDescent="0.2">
      <c r="C1491" s="15"/>
      <c r="D1491" s="15"/>
      <c r="E1491" s="15"/>
      <c r="F1491" s="15"/>
      <c r="G1491" s="15"/>
      <c r="H1491" s="15"/>
      <c r="I1491" s="15"/>
      <c r="J1491" s="15"/>
      <c r="K1491" s="15"/>
      <c r="L1491" s="28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5"/>
      <c r="AG1491" s="15"/>
      <c r="AH1491" s="15"/>
      <c r="AI1491" s="15"/>
      <c r="AJ1491" s="15"/>
      <c r="AK1491" s="15"/>
      <c r="AL1491" s="15"/>
      <c r="AM1491" s="15"/>
      <c r="AN1491" s="15"/>
      <c r="AO1491" s="15"/>
      <c r="AP1491" s="15"/>
      <c r="AQ1491" s="15"/>
      <c r="AR1491" s="15"/>
      <c r="AS1491" s="15"/>
      <c r="AT1491" s="15"/>
      <c r="AU1491" s="15"/>
      <c r="AV1491" s="15"/>
      <c r="AW1491" s="15"/>
    </row>
    <row r="1492" spans="3:49" x14ac:dyDescent="0.2">
      <c r="C1492" s="15"/>
      <c r="D1492" s="15"/>
      <c r="E1492" s="15"/>
      <c r="F1492" s="15"/>
      <c r="G1492" s="15"/>
      <c r="H1492" s="15"/>
      <c r="I1492" s="15"/>
      <c r="J1492" s="15"/>
      <c r="K1492" s="15"/>
      <c r="L1492" s="28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5"/>
      <c r="AG1492" s="15"/>
      <c r="AH1492" s="15"/>
      <c r="AI1492" s="15"/>
      <c r="AJ1492" s="15"/>
      <c r="AK1492" s="15"/>
      <c r="AL1492" s="15"/>
      <c r="AM1492" s="15"/>
      <c r="AN1492" s="15"/>
      <c r="AO1492" s="15"/>
      <c r="AP1492" s="15"/>
      <c r="AQ1492" s="15"/>
      <c r="AR1492" s="15"/>
      <c r="AS1492" s="15"/>
      <c r="AT1492" s="15"/>
      <c r="AU1492" s="15"/>
      <c r="AV1492" s="15"/>
      <c r="AW1492" s="15"/>
    </row>
    <row r="1493" spans="3:49" x14ac:dyDescent="0.2">
      <c r="C1493" s="15"/>
      <c r="D1493" s="15"/>
      <c r="E1493" s="15"/>
      <c r="F1493" s="15"/>
      <c r="G1493" s="15"/>
      <c r="H1493" s="15"/>
      <c r="I1493" s="15"/>
      <c r="J1493" s="15"/>
      <c r="K1493" s="15"/>
      <c r="L1493" s="28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5"/>
      <c r="AG1493" s="15"/>
      <c r="AH1493" s="15"/>
      <c r="AI1493" s="15"/>
      <c r="AJ1493" s="15"/>
      <c r="AK1493" s="15"/>
      <c r="AL1493" s="15"/>
      <c r="AM1493" s="15"/>
      <c r="AN1493" s="15"/>
      <c r="AO1493" s="15"/>
      <c r="AP1493" s="15"/>
      <c r="AQ1493" s="15"/>
      <c r="AR1493" s="15"/>
      <c r="AS1493" s="15"/>
      <c r="AT1493" s="15"/>
      <c r="AU1493" s="15"/>
      <c r="AV1493" s="15"/>
      <c r="AW1493" s="15"/>
    </row>
    <row r="1494" spans="3:49" x14ac:dyDescent="0.2">
      <c r="C1494" s="15"/>
      <c r="D1494" s="15"/>
      <c r="E1494" s="15"/>
      <c r="F1494" s="15"/>
      <c r="G1494" s="15"/>
      <c r="H1494" s="15"/>
      <c r="I1494" s="15"/>
      <c r="J1494" s="15"/>
      <c r="K1494" s="15"/>
      <c r="L1494" s="28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5"/>
      <c r="AG1494" s="15"/>
      <c r="AH1494" s="15"/>
      <c r="AI1494" s="15"/>
      <c r="AJ1494" s="15"/>
      <c r="AK1494" s="15"/>
      <c r="AL1494" s="15"/>
      <c r="AM1494" s="15"/>
      <c r="AN1494" s="15"/>
      <c r="AO1494" s="15"/>
      <c r="AP1494" s="15"/>
      <c r="AQ1494" s="15"/>
      <c r="AR1494" s="15"/>
      <c r="AS1494" s="15"/>
      <c r="AT1494" s="15"/>
      <c r="AU1494" s="15"/>
      <c r="AV1494" s="15"/>
      <c r="AW1494" s="15"/>
    </row>
    <row r="1495" spans="3:49" x14ac:dyDescent="0.2">
      <c r="C1495" s="15"/>
      <c r="D1495" s="15"/>
      <c r="E1495" s="15"/>
      <c r="F1495" s="15"/>
      <c r="G1495" s="15"/>
      <c r="H1495" s="15"/>
      <c r="I1495" s="15"/>
      <c r="J1495" s="15"/>
      <c r="K1495" s="15"/>
      <c r="L1495" s="28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5"/>
      <c r="AG1495" s="15"/>
      <c r="AH1495" s="15"/>
      <c r="AI1495" s="15"/>
      <c r="AJ1495" s="15"/>
      <c r="AK1495" s="15"/>
      <c r="AL1495" s="15"/>
      <c r="AM1495" s="15"/>
      <c r="AN1495" s="15"/>
      <c r="AO1495" s="15"/>
      <c r="AP1495" s="15"/>
      <c r="AQ1495" s="15"/>
      <c r="AR1495" s="15"/>
      <c r="AS1495" s="15"/>
      <c r="AT1495" s="15"/>
      <c r="AU1495" s="15"/>
      <c r="AV1495" s="15"/>
      <c r="AW1495" s="15"/>
    </row>
    <row r="1496" spans="3:49" x14ac:dyDescent="0.2">
      <c r="C1496" s="15"/>
      <c r="D1496" s="15"/>
      <c r="E1496" s="15"/>
      <c r="F1496" s="15"/>
      <c r="G1496" s="15"/>
      <c r="H1496" s="15"/>
      <c r="I1496" s="15"/>
      <c r="J1496" s="15"/>
      <c r="K1496" s="15"/>
      <c r="L1496" s="28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5"/>
      <c r="AG1496" s="15"/>
      <c r="AH1496" s="15"/>
      <c r="AI1496" s="15"/>
      <c r="AJ1496" s="15"/>
      <c r="AK1496" s="15"/>
      <c r="AL1496" s="15"/>
      <c r="AM1496" s="15"/>
      <c r="AN1496" s="15"/>
      <c r="AO1496" s="15"/>
      <c r="AP1496" s="15"/>
      <c r="AQ1496" s="15"/>
      <c r="AR1496" s="15"/>
      <c r="AS1496" s="15"/>
      <c r="AT1496" s="15"/>
      <c r="AU1496" s="15"/>
      <c r="AV1496" s="15"/>
      <c r="AW1496" s="15"/>
    </row>
    <row r="1497" spans="3:49" x14ac:dyDescent="0.2">
      <c r="C1497" s="15"/>
      <c r="D1497" s="15"/>
      <c r="E1497" s="15"/>
      <c r="F1497" s="15"/>
      <c r="G1497" s="15"/>
      <c r="H1497" s="15"/>
      <c r="I1497" s="15"/>
      <c r="J1497" s="15"/>
      <c r="K1497" s="15"/>
      <c r="L1497" s="28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5"/>
      <c r="AG1497" s="15"/>
      <c r="AH1497" s="15"/>
      <c r="AI1497" s="15"/>
      <c r="AJ1497" s="15"/>
      <c r="AK1497" s="15"/>
      <c r="AL1497" s="15"/>
      <c r="AM1497" s="15"/>
      <c r="AN1497" s="15"/>
      <c r="AO1497" s="15"/>
      <c r="AP1497" s="15"/>
      <c r="AQ1497" s="15"/>
      <c r="AR1497" s="15"/>
      <c r="AS1497" s="15"/>
      <c r="AT1497" s="15"/>
      <c r="AU1497" s="15"/>
      <c r="AV1497" s="15"/>
      <c r="AW1497" s="15"/>
    </row>
    <row r="1498" spans="3:49" x14ac:dyDescent="0.2">
      <c r="C1498" s="15"/>
      <c r="D1498" s="15"/>
      <c r="E1498" s="15"/>
      <c r="F1498" s="15"/>
      <c r="G1498" s="15"/>
      <c r="H1498" s="15"/>
      <c r="I1498" s="15"/>
      <c r="J1498" s="15"/>
      <c r="K1498" s="15"/>
      <c r="L1498" s="28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5"/>
      <c r="AG1498" s="15"/>
      <c r="AH1498" s="15"/>
      <c r="AI1498" s="15"/>
      <c r="AJ1498" s="15"/>
      <c r="AK1498" s="15"/>
      <c r="AL1498" s="15"/>
      <c r="AM1498" s="15"/>
      <c r="AN1498" s="15"/>
      <c r="AO1498" s="15"/>
      <c r="AP1498" s="15"/>
      <c r="AQ1498" s="15"/>
      <c r="AR1498" s="15"/>
      <c r="AS1498" s="15"/>
      <c r="AT1498" s="15"/>
      <c r="AU1498" s="15"/>
      <c r="AV1498" s="15"/>
      <c r="AW1498" s="15"/>
    </row>
    <row r="1499" spans="3:49" x14ac:dyDescent="0.2">
      <c r="C1499" s="15"/>
      <c r="D1499" s="15"/>
      <c r="E1499" s="15"/>
      <c r="F1499" s="15"/>
      <c r="G1499" s="15"/>
      <c r="H1499" s="15"/>
      <c r="I1499" s="15"/>
      <c r="J1499" s="15"/>
      <c r="K1499" s="15"/>
      <c r="L1499" s="28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5"/>
      <c r="AG1499" s="15"/>
      <c r="AH1499" s="15"/>
      <c r="AI1499" s="15"/>
      <c r="AJ1499" s="15"/>
      <c r="AK1499" s="15"/>
      <c r="AL1499" s="15"/>
      <c r="AM1499" s="15"/>
      <c r="AN1499" s="15"/>
      <c r="AO1499" s="15"/>
      <c r="AP1499" s="15"/>
      <c r="AQ1499" s="15"/>
      <c r="AR1499" s="15"/>
      <c r="AS1499" s="15"/>
      <c r="AT1499" s="15"/>
      <c r="AU1499" s="15"/>
      <c r="AV1499" s="15"/>
      <c r="AW1499" s="15"/>
    </row>
    <row r="1500" spans="3:49" x14ac:dyDescent="0.2">
      <c r="C1500" s="15"/>
      <c r="D1500" s="15"/>
      <c r="E1500" s="15"/>
      <c r="F1500" s="15"/>
      <c r="G1500" s="15"/>
      <c r="H1500" s="15"/>
      <c r="I1500" s="15"/>
      <c r="J1500" s="15"/>
      <c r="K1500" s="15"/>
      <c r="L1500" s="28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5"/>
      <c r="AG1500" s="15"/>
      <c r="AH1500" s="15"/>
      <c r="AI1500" s="15"/>
      <c r="AJ1500" s="15"/>
      <c r="AK1500" s="15"/>
      <c r="AL1500" s="15"/>
      <c r="AM1500" s="15"/>
      <c r="AN1500" s="15"/>
      <c r="AO1500" s="15"/>
      <c r="AP1500" s="15"/>
      <c r="AQ1500" s="15"/>
      <c r="AR1500" s="15"/>
      <c r="AS1500" s="15"/>
      <c r="AT1500" s="15"/>
      <c r="AU1500" s="15"/>
      <c r="AV1500" s="15"/>
      <c r="AW1500" s="15"/>
    </row>
    <row r="1501" spans="3:49" x14ac:dyDescent="0.2">
      <c r="C1501" s="15"/>
      <c r="D1501" s="15"/>
      <c r="E1501" s="15"/>
      <c r="F1501" s="15"/>
      <c r="G1501" s="15"/>
      <c r="H1501" s="15"/>
      <c r="I1501" s="15"/>
      <c r="J1501" s="15"/>
      <c r="K1501" s="15"/>
      <c r="L1501" s="28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5"/>
      <c r="AG1501" s="15"/>
      <c r="AH1501" s="15"/>
      <c r="AI1501" s="15"/>
      <c r="AJ1501" s="15"/>
      <c r="AK1501" s="15"/>
      <c r="AL1501" s="15"/>
      <c r="AM1501" s="15"/>
      <c r="AN1501" s="15"/>
      <c r="AO1501" s="15"/>
      <c r="AP1501" s="15"/>
      <c r="AQ1501" s="15"/>
      <c r="AR1501" s="15"/>
      <c r="AS1501" s="15"/>
      <c r="AT1501" s="15"/>
      <c r="AU1501" s="15"/>
      <c r="AV1501" s="15"/>
      <c r="AW1501" s="15"/>
    </row>
    <row r="1502" spans="3:49" x14ac:dyDescent="0.2">
      <c r="C1502" s="15"/>
      <c r="D1502" s="15"/>
      <c r="E1502" s="15"/>
      <c r="F1502" s="15"/>
      <c r="G1502" s="15"/>
      <c r="H1502" s="15"/>
      <c r="I1502" s="15"/>
      <c r="J1502" s="15"/>
      <c r="K1502" s="15"/>
      <c r="L1502" s="28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5"/>
      <c r="AG1502" s="15"/>
      <c r="AH1502" s="15"/>
      <c r="AI1502" s="15"/>
      <c r="AJ1502" s="15"/>
      <c r="AK1502" s="15"/>
      <c r="AL1502" s="15"/>
      <c r="AM1502" s="15"/>
      <c r="AN1502" s="15"/>
      <c r="AO1502" s="15"/>
      <c r="AP1502" s="15"/>
      <c r="AQ1502" s="15"/>
      <c r="AR1502" s="15"/>
      <c r="AS1502" s="15"/>
      <c r="AT1502" s="15"/>
      <c r="AU1502" s="15"/>
      <c r="AV1502" s="15"/>
      <c r="AW1502" s="15"/>
    </row>
    <row r="1503" spans="3:49" x14ac:dyDescent="0.2">
      <c r="C1503" s="15"/>
      <c r="D1503" s="15"/>
      <c r="E1503" s="15"/>
      <c r="F1503" s="15"/>
      <c r="G1503" s="15"/>
      <c r="H1503" s="15"/>
      <c r="I1503" s="15"/>
      <c r="J1503" s="15"/>
      <c r="K1503" s="15"/>
      <c r="L1503" s="28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5"/>
      <c r="AG1503" s="15"/>
      <c r="AH1503" s="15"/>
      <c r="AI1503" s="15"/>
      <c r="AJ1503" s="15"/>
      <c r="AK1503" s="15"/>
      <c r="AL1503" s="15"/>
      <c r="AM1503" s="15"/>
      <c r="AN1503" s="15"/>
      <c r="AO1503" s="15"/>
      <c r="AP1503" s="15"/>
      <c r="AQ1503" s="15"/>
      <c r="AR1503" s="15"/>
      <c r="AS1503" s="15"/>
      <c r="AT1503" s="15"/>
      <c r="AU1503" s="15"/>
      <c r="AV1503" s="15"/>
      <c r="AW1503" s="15"/>
    </row>
    <row r="1504" spans="3:49" x14ac:dyDescent="0.2">
      <c r="C1504" s="15"/>
      <c r="D1504" s="15"/>
      <c r="E1504" s="15"/>
      <c r="F1504" s="15"/>
      <c r="G1504" s="15"/>
      <c r="H1504" s="15"/>
      <c r="I1504" s="15"/>
      <c r="J1504" s="15"/>
      <c r="K1504" s="15"/>
      <c r="L1504" s="28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5"/>
      <c r="AG1504" s="15"/>
      <c r="AH1504" s="15"/>
      <c r="AI1504" s="15"/>
      <c r="AJ1504" s="15"/>
      <c r="AK1504" s="15"/>
      <c r="AL1504" s="15"/>
      <c r="AM1504" s="15"/>
      <c r="AN1504" s="15"/>
      <c r="AO1504" s="15"/>
      <c r="AP1504" s="15"/>
      <c r="AQ1504" s="15"/>
      <c r="AR1504" s="15"/>
      <c r="AS1504" s="15"/>
      <c r="AT1504" s="15"/>
      <c r="AU1504" s="15"/>
      <c r="AV1504" s="15"/>
      <c r="AW1504" s="15"/>
    </row>
    <row r="1505" spans="3:49" x14ac:dyDescent="0.2">
      <c r="C1505" s="15"/>
      <c r="D1505" s="15"/>
      <c r="E1505" s="15"/>
      <c r="F1505" s="15"/>
      <c r="G1505" s="15"/>
      <c r="H1505" s="15"/>
      <c r="I1505" s="15"/>
      <c r="J1505" s="15"/>
      <c r="K1505" s="15"/>
      <c r="L1505" s="28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5"/>
      <c r="AG1505" s="15"/>
      <c r="AH1505" s="15"/>
      <c r="AI1505" s="15"/>
      <c r="AJ1505" s="15"/>
      <c r="AK1505" s="15"/>
      <c r="AL1505" s="15"/>
      <c r="AM1505" s="15"/>
      <c r="AN1505" s="15"/>
      <c r="AO1505" s="15"/>
      <c r="AP1505" s="15"/>
      <c r="AQ1505" s="15"/>
      <c r="AR1505" s="15"/>
      <c r="AS1505" s="15"/>
      <c r="AT1505" s="15"/>
      <c r="AU1505" s="15"/>
      <c r="AV1505" s="15"/>
      <c r="AW1505" s="15"/>
    </row>
    <row r="1506" spans="3:49" x14ac:dyDescent="0.2">
      <c r="C1506" s="15"/>
      <c r="D1506" s="15"/>
      <c r="E1506" s="15"/>
      <c r="F1506" s="15"/>
      <c r="G1506" s="15"/>
      <c r="H1506" s="15"/>
      <c r="I1506" s="15"/>
      <c r="J1506" s="15"/>
      <c r="K1506" s="15"/>
      <c r="L1506" s="28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5"/>
      <c r="AG1506" s="15"/>
      <c r="AH1506" s="15"/>
      <c r="AI1506" s="15"/>
      <c r="AJ1506" s="15"/>
      <c r="AK1506" s="15"/>
      <c r="AL1506" s="15"/>
      <c r="AM1506" s="15"/>
      <c r="AN1506" s="15"/>
      <c r="AO1506" s="15"/>
      <c r="AP1506" s="15"/>
      <c r="AQ1506" s="15"/>
      <c r="AR1506" s="15"/>
      <c r="AS1506" s="15"/>
      <c r="AT1506" s="15"/>
      <c r="AU1506" s="15"/>
      <c r="AV1506" s="15"/>
      <c r="AW1506" s="15"/>
    </row>
    <row r="1507" spans="3:49" x14ac:dyDescent="0.2">
      <c r="C1507" s="15"/>
      <c r="D1507" s="15"/>
      <c r="E1507" s="15"/>
      <c r="F1507" s="15"/>
      <c r="G1507" s="15"/>
      <c r="H1507" s="15"/>
      <c r="I1507" s="15"/>
      <c r="J1507" s="15"/>
      <c r="K1507" s="15"/>
      <c r="L1507" s="28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5"/>
      <c r="AG1507" s="15"/>
      <c r="AH1507" s="15"/>
      <c r="AI1507" s="15"/>
      <c r="AJ1507" s="15"/>
      <c r="AK1507" s="15"/>
      <c r="AL1507" s="15"/>
      <c r="AM1507" s="15"/>
      <c r="AN1507" s="15"/>
      <c r="AO1507" s="15"/>
      <c r="AP1507" s="15"/>
      <c r="AQ1507" s="15"/>
      <c r="AR1507" s="15"/>
      <c r="AS1507" s="15"/>
      <c r="AT1507" s="15"/>
      <c r="AU1507" s="15"/>
      <c r="AV1507" s="15"/>
      <c r="AW1507" s="15"/>
    </row>
    <row r="1508" spans="3:49" x14ac:dyDescent="0.2">
      <c r="C1508" s="15"/>
      <c r="D1508" s="15"/>
      <c r="E1508" s="15"/>
      <c r="F1508" s="15"/>
      <c r="G1508" s="15"/>
      <c r="H1508" s="15"/>
      <c r="I1508" s="15"/>
      <c r="J1508" s="15"/>
      <c r="K1508" s="15"/>
      <c r="L1508" s="28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5"/>
      <c r="AG1508" s="15"/>
      <c r="AH1508" s="15"/>
      <c r="AI1508" s="15"/>
      <c r="AJ1508" s="15"/>
      <c r="AK1508" s="15"/>
      <c r="AL1508" s="15"/>
      <c r="AM1508" s="15"/>
      <c r="AN1508" s="15"/>
      <c r="AO1508" s="15"/>
      <c r="AP1508" s="15"/>
      <c r="AQ1508" s="15"/>
      <c r="AR1508" s="15"/>
      <c r="AS1508" s="15"/>
      <c r="AT1508" s="15"/>
      <c r="AU1508" s="15"/>
      <c r="AV1508" s="15"/>
      <c r="AW1508" s="15"/>
    </row>
    <row r="1509" spans="3:49" x14ac:dyDescent="0.2">
      <c r="C1509" s="15"/>
      <c r="D1509" s="15"/>
      <c r="E1509" s="15"/>
      <c r="F1509" s="15"/>
      <c r="G1509" s="15"/>
      <c r="H1509" s="15"/>
      <c r="I1509" s="15"/>
      <c r="J1509" s="15"/>
      <c r="K1509" s="15"/>
      <c r="L1509" s="28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5"/>
      <c r="AG1509" s="15"/>
      <c r="AH1509" s="15"/>
      <c r="AI1509" s="15"/>
      <c r="AJ1509" s="15"/>
      <c r="AK1509" s="15"/>
      <c r="AL1509" s="15"/>
      <c r="AM1509" s="15"/>
      <c r="AN1509" s="15"/>
      <c r="AO1509" s="15"/>
      <c r="AP1509" s="15"/>
      <c r="AQ1509" s="15"/>
      <c r="AR1509" s="15"/>
      <c r="AS1509" s="15"/>
      <c r="AT1509" s="15"/>
      <c r="AU1509" s="15"/>
      <c r="AV1509" s="15"/>
      <c r="AW1509" s="15"/>
    </row>
    <row r="1510" spans="3:49" x14ac:dyDescent="0.2">
      <c r="C1510" s="15"/>
      <c r="D1510" s="15"/>
      <c r="E1510" s="15"/>
      <c r="F1510" s="15"/>
      <c r="G1510" s="15"/>
      <c r="H1510" s="15"/>
      <c r="I1510" s="15"/>
      <c r="J1510" s="15"/>
      <c r="K1510" s="15"/>
      <c r="L1510" s="28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5"/>
      <c r="AG1510" s="15"/>
      <c r="AH1510" s="15"/>
      <c r="AI1510" s="15"/>
      <c r="AJ1510" s="15"/>
      <c r="AK1510" s="15"/>
      <c r="AL1510" s="15"/>
      <c r="AM1510" s="15"/>
      <c r="AN1510" s="15"/>
      <c r="AO1510" s="15"/>
      <c r="AP1510" s="15"/>
      <c r="AQ1510" s="15"/>
      <c r="AR1510" s="15"/>
      <c r="AS1510" s="15"/>
      <c r="AT1510" s="15"/>
      <c r="AU1510" s="15"/>
      <c r="AV1510" s="15"/>
      <c r="AW1510" s="15"/>
    </row>
    <row r="1511" spans="3:49" x14ac:dyDescent="0.2">
      <c r="C1511" s="15"/>
      <c r="D1511" s="15"/>
      <c r="E1511" s="15"/>
      <c r="F1511" s="15"/>
      <c r="G1511" s="15"/>
      <c r="H1511" s="15"/>
      <c r="I1511" s="15"/>
      <c r="J1511" s="15"/>
      <c r="K1511" s="15"/>
      <c r="L1511" s="28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5"/>
      <c r="AG1511" s="15"/>
      <c r="AH1511" s="15"/>
      <c r="AI1511" s="15"/>
      <c r="AJ1511" s="15"/>
      <c r="AK1511" s="15"/>
      <c r="AL1511" s="15"/>
      <c r="AM1511" s="15"/>
      <c r="AN1511" s="15"/>
      <c r="AO1511" s="15"/>
      <c r="AP1511" s="15"/>
      <c r="AQ1511" s="15"/>
      <c r="AR1511" s="15"/>
      <c r="AS1511" s="15"/>
      <c r="AT1511" s="15"/>
      <c r="AU1511" s="15"/>
      <c r="AV1511" s="15"/>
      <c r="AW1511" s="15"/>
    </row>
    <row r="1512" spans="3:49" x14ac:dyDescent="0.2">
      <c r="C1512" s="15"/>
      <c r="D1512" s="15"/>
      <c r="E1512" s="15"/>
      <c r="F1512" s="15"/>
      <c r="G1512" s="15"/>
      <c r="H1512" s="15"/>
      <c r="I1512" s="15"/>
      <c r="J1512" s="15"/>
      <c r="K1512" s="15"/>
      <c r="L1512" s="28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5"/>
      <c r="AG1512" s="15"/>
      <c r="AH1512" s="15"/>
      <c r="AI1512" s="15"/>
      <c r="AJ1512" s="15"/>
      <c r="AK1512" s="15"/>
      <c r="AL1512" s="15"/>
      <c r="AM1512" s="15"/>
      <c r="AN1512" s="15"/>
      <c r="AO1512" s="15"/>
      <c r="AP1512" s="15"/>
      <c r="AQ1512" s="15"/>
      <c r="AR1512" s="15"/>
      <c r="AS1512" s="15"/>
      <c r="AT1512" s="15"/>
      <c r="AU1512" s="15"/>
      <c r="AV1512" s="15"/>
      <c r="AW1512" s="15"/>
    </row>
    <row r="1513" spans="3:49" x14ac:dyDescent="0.2">
      <c r="C1513" s="15"/>
      <c r="D1513" s="15"/>
      <c r="E1513" s="15"/>
      <c r="F1513" s="15"/>
      <c r="G1513" s="15"/>
      <c r="H1513" s="15"/>
      <c r="I1513" s="15"/>
      <c r="J1513" s="15"/>
      <c r="K1513" s="15"/>
      <c r="L1513" s="28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5"/>
      <c r="AG1513" s="15"/>
      <c r="AH1513" s="15"/>
      <c r="AI1513" s="15"/>
      <c r="AJ1513" s="15"/>
      <c r="AK1513" s="15"/>
      <c r="AL1513" s="15"/>
      <c r="AM1513" s="15"/>
      <c r="AN1513" s="15"/>
      <c r="AO1513" s="15"/>
      <c r="AP1513" s="15"/>
      <c r="AQ1513" s="15"/>
      <c r="AR1513" s="15"/>
      <c r="AS1513" s="15"/>
      <c r="AT1513" s="15"/>
      <c r="AU1513" s="15"/>
      <c r="AV1513" s="15"/>
      <c r="AW1513" s="15"/>
    </row>
    <row r="1514" spans="3:49" x14ac:dyDescent="0.2">
      <c r="C1514" s="15"/>
      <c r="D1514" s="15"/>
      <c r="E1514" s="15"/>
      <c r="F1514" s="15"/>
      <c r="G1514" s="15"/>
      <c r="H1514" s="15"/>
      <c r="I1514" s="15"/>
      <c r="J1514" s="15"/>
      <c r="K1514" s="15"/>
      <c r="L1514" s="28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5"/>
      <c r="AG1514" s="15"/>
      <c r="AH1514" s="15"/>
      <c r="AI1514" s="15"/>
      <c r="AJ1514" s="15"/>
      <c r="AK1514" s="15"/>
      <c r="AL1514" s="15"/>
      <c r="AM1514" s="15"/>
      <c r="AN1514" s="15"/>
      <c r="AO1514" s="15"/>
      <c r="AP1514" s="15"/>
      <c r="AQ1514" s="15"/>
      <c r="AR1514" s="15"/>
      <c r="AS1514" s="15"/>
      <c r="AT1514" s="15"/>
      <c r="AU1514" s="15"/>
      <c r="AV1514" s="15"/>
      <c r="AW1514" s="15"/>
    </row>
    <row r="1515" spans="3:49" x14ac:dyDescent="0.2">
      <c r="C1515" s="15"/>
      <c r="D1515" s="15"/>
      <c r="E1515" s="15"/>
      <c r="F1515" s="15"/>
      <c r="G1515" s="15"/>
      <c r="H1515" s="15"/>
      <c r="I1515" s="15"/>
      <c r="J1515" s="15"/>
      <c r="K1515" s="15"/>
      <c r="L1515" s="28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5"/>
      <c r="AG1515" s="15"/>
      <c r="AH1515" s="15"/>
      <c r="AI1515" s="15"/>
      <c r="AJ1515" s="15"/>
      <c r="AK1515" s="15"/>
      <c r="AL1515" s="15"/>
      <c r="AM1515" s="15"/>
      <c r="AN1515" s="15"/>
      <c r="AO1515" s="15"/>
      <c r="AP1515" s="15"/>
      <c r="AQ1515" s="15"/>
      <c r="AR1515" s="15"/>
      <c r="AS1515" s="15"/>
      <c r="AT1515" s="15"/>
      <c r="AU1515" s="15"/>
      <c r="AV1515" s="15"/>
      <c r="AW1515" s="15"/>
    </row>
    <row r="1516" spans="3:49" x14ac:dyDescent="0.2">
      <c r="C1516" s="15"/>
      <c r="D1516" s="15"/>
      <c r="E1516" s="15"/>
      <c r="F1516" s="15"/>
      <c r="G1516" s="15"/>
      <c r="H1516" s="15"/>
      <c r="I1516" s="15"/>
      <c r="J1516" s="15"/>
      <c r="K1516" s="15"/>
      <c r="L1516" s="28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5"/>
      <c r="AG1516" s="15"/>
      <c r="AH1516" s="15"/>
      <c r="AI1516" s="15"/>
      <c r="AJ1516" s="15"/>
      <c r="AK1516" s="15"/>
      <c r="AL1516" s="15"/>
      <c r="AM1516" s="15"/>
      <c r="AN1516" s="15"/>
      <c r="AO1516" s="15"/>
      <c r="AP1516" s="15"/>
      <c r="AQ1516" s="15"/>
      <c r="AR1516" s="15"/>
      <c r="AS1516" s="15"/>
      <c r="AT1516" s="15"/>
      <c r="AU1516" s="15"/>
      <c r="AV1516" s="15"/>
      <c r="AW1516" s="15"/>
    </row>
    <row r="1517" spans="3:49" x14ac:dyDescent="0.2">
      <c r="C1517" s="15"/>
      <c r="D1517" s="15"/>
      <c r="E1517" s="15"/>
      <c r="F1517" s="15"/>
      <c r="G1517" s="15"/>
      <c r="H1517" s="15"/>
      <c r="I1517" s="15"/>
      <c r="J1517" s="15"/>
      <c r="K1517" s="15"/>
      <c r="L1517" s="28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5"/>
      <c r="AG1517" s="15"/>
      <c r="AH1517" s="15"/>
      <c r="AI1517" s="15"/>
      <c r="AJ1517" s="15"/>
      <c r="AK1517" s="15"/>
      <c r="AL1517" s="15"/>
      <c r="AM1517" s="15"/>
      <c r="AN1517" s="15"/>
      <c r="AO1517" s="15"/>
      <c r="AP1517" s="15"/>
      <c r="AQ1517" s="15"/>
      <c r="AR1517" s="15"/>
      <c r="AS1517" s="15"/>
      <c r="AT1517" s="15"/>
      <c r="AU1517" s="15"/>
      <c r="AV1517" s="15"/>
      <c r="AW1517" s="15"/>
    </row>
    <row r="1518" spans="3:49" x14ac:dyDescent="0.2">
      <c r="C1518" s="15"/>
      <c r="D1518" s="15"/>
      <c r="E1518" s="15"/>
      <c r="F1518" s="15"/>
      <c r="G1518" s="15"/>
      <c r="H1518" s="15"/>
      <c r="I1518" s="15"/>
      <c r="J1518" s="15"/>
      <c r="K1518" s="15"/>
      <c r="L1518" s="28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5"/>
      <c r="AG1518" s="15"/>
      <c r="AH1518" s="15"/>
      <c r="AI1518" s="15"/>
      <c r="AJ1518" s="15"/>
      <c r="AK1518" s="15"/>
      <c r="AL1518" s="15"/>
      <c r="AM1518" s="15"/>
      <c r="AN1518" s="15"/>
      <c r="AO1518" s="15"/>
      <c r="AP1518" s="15"/>
      <c r="AQ1518" s="15"/>
      <c r="AR1518" s="15"/>
      <c r="AS1518" s="15"/>
      <c r="AT1518" s="15"/>
      <c r="AU1518" s="15"/>
      <c r="AV1518" s="15"/>
      <c r="AW1518" s="15"/>
    </row>
    <row r="1519" spans="3:49" x14ac:dyDescent="0.2">
      <c r="C1519" s="15"/>
      <c r="D1519" s="15"/>
      <c r="E1519" s="15"/>
      <c r="F1519" s="15"/>
      <c r="G1519" s="15"/>
      <c r="H1519" s="15"/>
      <c r="I1519" s="15"/>
      <c r="J1519" s="15"/>
      <c r="K1519" s="15"/>
      <c r="L1519" s="28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5"/>
      <c r="AG1519" s="15"/>
      <c r="AH1519" s="15"/>
      <c r="AI1519" s="15"/>
      <c r="AJ1519" s="15"/>
      <c r="AK1519" s="15"/>
      <c r="AL1519" s="15"/>
      <c r="AM1519" s="15"/>
      <c r="AN1519" s="15"/>
      <c r="AO1519" s="15"/>
      <c r="AP1519" s="15"/>
      <c r="AQ1519" s="15"/>
      <c r="AR1519" s="15"/>
      <c r="AS1519" s="15"/>
      <c r="AT1519" s="15"/>
      <c r="AU1519" s="15"/>
      <c r="AV1519" s="15"/>
      <c r="AW1519" s="15"/>
    </row>
    <row r="1520" spans="3:49" x14ac:dyDescent="0.2">
      <c r="C1520" s="15"/>
      <c r="D1520" s="15"/>
      <c r="E1520" s="15"/>
      <c r="F1520" s="15"/>
      <c r="G1520" s="15"/>
      <c r="H1520" s="15"/>
      <c r="I1520" s="15"/>
      <c r="J1520" s="15"/>
      <c r="K1520" s="15"/>
      <c r="L1520" s="28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5"/>
      <c r="AG1520" s="15"/>
      <c r="AH1520" s="15"/>
      <c r="AI1520" s="15"/>
      <c r="AJ1520" s="15"/>
      <c r="AK1520" s="15"/>
      <c r="AL1520" s="15"/>
      <c r="AM1520" s="15"/>
      <c r="AN1520" s="15"/>
      <c r="AO1520" s="15"/>
      <c r="AP1520" s="15"/>
      <c r="AQ1520" s="15"/>
      <c r="AR1520" s="15"/>
      <c r="AS1520" s="15"/>
      <c r="AT1520" s="15"/>
      <c r="AU1520" s="15"/>
      <c r="AV1520" s="15"/>
      <c r="AW1520" s="15"/>
    </row>
    <row r="1521" spans="3:49" x14ac:dyDescent="0.2">
      <c r="C1521" s="15"/>
      <c r="D1521" s="15"/>
      <c r="E1521" s="15"/>
      <c r="F1521" s="15"/>
      <c r="G1521" s="15"/>
      <c r="H1521" s="15"/>
      <c r="I1521" s="15"/>
      <c r="J1521" s="15"/>
      <c r="K1521" s="15"/>
      <c r="L1521" s="28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5"/>
      <c r="AG1521" s="15"/>
      <c r="AH1521" s="15"/>
      <c r="AI1521" s="15"/>
      <c r="AJ1521" s="15"/>
      <c r="AK1521" s="15"/>
      <c r="AL1521" s="15"/>
      <c r="AM1521" s="15"/>
      <c r="AN1521" s="15"/>
      <c r="AO1521" s="15"/>
      <c r="AP1521" s="15"/>
      <c r="AQ1521" s="15"/>
      <c r="AR1521" s="15"/>
      <c r="AS1521" s="15"/>
      <c r="AT1521" s="15"/>
      <c r="AU1521" s="15"/>
      <c r="AV1521" s="15"/>
      <c r="AW1521" s="15"/>
    </row>
    <row r="1522" spans="3:49" x14ac:dyDescent="0.2">
      <c r="C1522" s="15"/>
      <c r="D1522" s="15"/>
      <c r="E1522" s="15"/>
      <c r="F1522" s="15"/>
      <c r="G1522" s="15"/>
      <c r="H1522" s="15"/>
      <c r="I1522" s="15"/>
      <c r="J1522" s="15"/>
      <c r="K1522" s="15"/>
      <c r="L1522" s="28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5"/>
      <c r="AG1522" s="15"/>
      <c r="AH1522" s="15"/>
      <c r="AI1522" s="15"/>
      <c r="AJ1522" s="15"/>
      <c r="AK1522" s="15"/>
      <c r="AL1522" s="15"/>
      <c r="AM1522" s="15"/>
      <c r="AN1522" s="15"/>
      <c r="AO1522" s="15"/>
      <c r="AP1522" s="15"/>
      <c r="AQ1522" s="15"/>
      <c r="AR1522" s="15"/>
      <c r="AS1522" s="15"/>
      <c r="AT1522" s="15"/>
      <c r="AU1522" s="15"/>
      <c r="AV1522" s="15"/>
      <c r="AW1522" s="15"/>
    </row>
    <row r="1523" spans="3:49" x14ac:dyDescent="0.2">
      <c r="C1523" s="15"/>
      <c r="D1523" s="15"/>
      <c r="E1523" s="15"/>
      <c r="F1523" s="15"/>
      <c r="G1523" s="15"/>
      <c r="H1523" s="15"/>
      <c r="I1523" s="15"/>
      <c r="J1523" s="15"/>
      <c r="K1523" s="15"/>
      <c r="L1523" s="28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5"/>
      <c r="AG1523" s="15"/>
      <c r="AH1523" s="15"/>
      <c r="AI1523" s="15"/>
      <c r="AJ1523" s="15"/>
      <c r="AK1523" s="15"/>
      <c r="AL1523" s="15"/>
      <c r="AM1523" s="15"/>
      <c r="AN1523" s="15"/>
      <c r="AO1523" s="15"/>
      <c r="AP1523" s="15"/>
      <c r="AQ1523" s="15"/>
      <c r="AR1523" s="15"/>
      <c r="AS1523" s="15"/>
      <c r="AT1523" s="15"/>
      <c r="AU1523" s="15"/>
      <c r="AV1523" s="15"/>
      <c r="AW1523" s="15"/>
    </row>
    <row r="1524" spans="3:49" x14ac:dyDescent="0.2">
      <c r="C1524" s="15"/>
      <c r="D1524" s="15"/>
      <c r="E1524" s="15"/>
      <c r="F1524" s="15"/>
      <c r="G1524" s="15"/>
      <c r="H1524" s="15"/>
      <c r="I1524" s="15"/>
      <c r="J1524" s="15"/>
      <c r="K1524" s="15"/>
      <c r="L1524" s="28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5"/>
      <c r="AG1524" s="15"/>
      <c r="AH1524" s="15"/>
      <c r="AI1524" s="15"/>
      <c r="AJ1524" s="15"/>
      <c r="AK1524" s="15"/>
      <c r="AL1524" s="15"/>
      <c r="AM1524" s="15"/>
      <c r="AN1524" s="15"/>
      <c r="AO1524" s="15"/>
      <c r="AP1524" s="15"/>
      <c r="AQ1524" s="15"/>
      <c r="AR1524" s="15"/>
      <c r="AS1524" s="15"/>
      <c r="AT1524" s="15"/>
      <c r="AU1524" s="15"/>
      <c r="AV1524" s="15"/>
      <c r="AW1524" s="15"/>
    </row>
    <row r="1525" spans="3:49" x14ac:dyDescent="0.2">
      <c r="C1525" s="15"/>
      <c r="D1525" s="15"/>
      <c r="E1525" s="15"/>
      <c r="F1525" s="15"/>
      <c r="G1525" s="15"/>
      <c r="H1525" s="15"/>
      <c r="I1525" s="15"/>
      <c r="J1525" s="15"/>
      <c r="K1525" s="15"/>
      <c r="L1525" s="28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5"/>
      <c r="AG1525" s="15"/>
      <c r="AH1525" s="15"/>
      <c r="AI1525" s="15"/>
      <c r="AJ1525" s="15"/>
      <c r="AK1525" s="15"/>
      <c r="AL1525" s="15"/>
      <c r="AM1525" s="15"/>
      <c r="AN1525" s="15"/>
      <c r="AO1525" s="15"/>
      <c r="AP1525" s="15"/>
      <c r="AQ1525" s="15"/>
      <c r="AR1525" s="15"/>
      <c r="AS1525" s="15"/>
      <c r="AT1525" s="15"/>
      <c r="AU1525" s="15"/>
      <c r="AV1525" s="15"/>
      <c r="AW1525" s="15"/>
    </row>
    <row r="1526" spans="3:49" x14ac:dyDescent="0.2">
      <c r="C1526" s="15"/>
      <c r="D1526" s="15"/>
      <c r="E1526" s="15"/>
      <c r="F1526" s="15"/>
      <c r="G1526" s="15"/>
      <c r="H1526" s="15"/>
      <c r="I1526" s="15"/>
      <c r="J1526" s="15"/>
      <c r="K1526" s="15"/>
      <c r="L1526" s="28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5"/>
      <c r="AG1526" s="15"/>
      <c r="AH1526" s="15"/>
      <c r="AI1526" s="15"/>
      <c r="AJ1526" s="15"/>
      <c r="AK1526" s="15"/>
      <c r="AL1526" s="15"/>
      <c r="AM1526" s="15"/>
      <c r="AN1526" s="15"/>
      <c r="AO1526" s="15"/>
      <c r="AP1526" s="15"/>
      <c r="AQ1526" s="15"/>
      <c r="AR1526" s="15"/>
      <c r="AS1526" s="15"/>
      <c r="AT1526" s="15"/>
      <c r="AU1526" s="15"/>
      <c r="AV1526" s="15"/>
      <c r="AW1526" s="15"/>
    </row>
    <row r="1527" spans="3:49" x14ac:dyDescent="0.2">
      <c r="C1527" s="15"/>
      <c r="D1527" s="15"/>
      <c r="E1527" s="15"/>
      <c r="F1527" s="15"/>
      <c r="G1527" s="15"/>
      <c r="H1527" s="15"/>
      <c r="I1527" s="15"/>
      <c r="J1527" s="15"/>
      <c r="K1527" s="15"/>
      <c r="L1527" s="28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5"/>
      <c r="AG1527" s="15"/>
      <c r="AH1527" s="15"/>
      <c r="AI1527" s="15"/>
      <c r="AJ1527" s="15"/>
      <c r="AK1527" s="15"/>
      <c r="AL1527" s="15"/>
      <c r="AM1527" s="15"/>
      <c r="AN1527" s="15"/>
      <c r="AO1527" s="15"/>
      <c r="AP1527" s="15"/>
      <c r="AQ1527" s="15"/>
      <c r="AR1527" s="15"/>
      <c r="AS1527" s="15"/>
      <c r="AT1527" s="15"/>
      <c r="AU1527" s="15"/>
      <c r="AV1527" s="15"/>
      <c r="AW1527" s="15"/>
    </row>
    <row r="1528" spans="3:49" x14ac:dyDescent="0.2">
      <c r="C1528" s="15"/>
      <c r="D1528" s="15"/>
      <c r="E1528" s="15"/>
      <c r="F1528" s="15"/>
      <c r="G1528" s="15"/>
      <c r="H1528" s="15"/>
      <c r="I1528" s="15"/>
      <c r="J1528" s="15"/>
      <c r="K1528" s="15"/>
      <c r="L1528" s="28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5"/>
      <c r="AG1528" s="15"/>
      <c r="AH1528" s="15"/>
      <c r="AI1528" s="15"/>
      <c r="AJ1528" s="15"/>
      <c r="AK1528" s="15"/>
      <c r="AL1528" s="15"/>
      <c r="AM1528" s="15"/>
      <c r="AN1528" s="15"/>
      <c r="AO1528" s="15"/>
      <c r="AP1528" s="15"/>
      <c r="AQ1528" s="15"/>
      <c r="AR1528" s="15"/>
      <c r="AS1528" s="15"/>
      <c r="AT1528" s="15"/>
      <c r="AU1528" s="15"/>
      <c r="AV1528" s="15"/>
      <c r="AW1528" s="15"/>
    </row>
    <row r="1529" spans="3:49" x14ac:dyDescent="0.2">
      <c r="C1529" s="15"/>
      <c r="D1529" s="15"/>
      <c r="E1529" s="15"/>
      <c r="F1529" s="15"/>
      <c r="G1529" s="15"/>
      <c r="H1529" s="15"/>
      <c r="I1529" s="15"/>
      <c r="J1529" s="15"/>
      <c r="K1529" s="15"/>
      <c r="L1529" s="28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5"/>
      <c r="AG1529" s="15"/>
      <c r="AH1529" s="15"/>
      <c r="AI1529" s="15"/>
      <c r="AJ1529" s="15"/>
      <c r="AK1529" s="15"/>
      <c r="AL1529" s="15"/>
      <c r="AM1529" s="15"/>
      <c r="AN1529" s="15"/>
      <c r="AO1529" s="15"/>
      <c r="AP1529" s="15"/>
      <c r="AQ1529" s="15"/>
      <c r="AR1529" s="15"/>
      <c r="AS1529" s="15"/>
      <c r="AT1529" s="15"/>
      <c r="AU1529" s="15"/>
      <c r="AV1529" s="15"/>
      <c r="AW1529" s="15"/>
    </row>
    <row r="1530" spans="3:49" x14ac:dyDescent="0.2">
      <c r="C1530" s="15"/>
      <c r="D1530" s="15"/>
      <c r="E1530" s="15"/>
      <c r="F1530" s="15"/>
      <c r="G1530" s="15"/>
      <c r="H1530" s="15"/>
      <c r="I1530" s="15"/>
      <c r="J1530" s="15"/>
      <c r="K1530" s="15"/>
      <c r="L1530" s="28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5"/>
      <c r="AG1530" s="15"/>
      <c r="AH1530" s="15"/>
      <c r="AI1530" s="15"/>
      <c r="AJ1530" s="15"/>
      <c r="AK1530" s="15"/>
      <c r="AL1530" s="15"/>
      <c r="AM1530" s="15"/>
      <c r="AN1530" s="15"/>
      <c r="AO1530" s="15"/>
      <c r="AP1530" s="15"/>
      <c r="AQ1530" s="15"/>
      <c r="AR1530" s="15"/>
      <c r="AS1530" s="15"/>
      <c r="AT1530" s="15"/>
      <c r="AU1530" s="15"/>
      <c r="AV1530" s="15"/>
      <c r="AW1530" s="15"/>
    </row>
    <row r="1531" spans="3:49" x14ac:dyDescent="0.2">
      <c r="C1531" s="15"/>
      <c r="D1531" s="15"/>
      <c r="E1531" s="15"/>
      <c r="F1531" s="15"/>
      <c r="G1531" s="15"/>
      <c r="H1531" s="15"/>
      <c r="I1531" s="15"/>
      <c r="J1531" s="15"/>
      <c r="K1531" s="15"/>
      <c r="L1531" s="28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5"/>
      <c r="AG1531" s="15"/>
      <c r="AH1531" s="15"/>
      <c r="AI1531" s="15"/>
      <c r="AJ1531" s="15"/>
      <c r="AK1531" s="15"/>
      <c r="AL1531" s="15"/>
      <c r="AM1531" s="15"/>
      <c r="AN1531" s="15"/>
      <c r="AO1531" s="15"/>
      <c r="AP1531" s="15"/>
      <c r="AQ1531" s="15"/>
      <c r="AR1531" s="15"/>
      <c r="AS1531" s="15"/>
      <c r="AT1531" s="15"/>
      <c r="AU1531" s="15"/>
      <c r="AV1531" s="15"/>
      <c r="AW1531" s="15"/>
    </row>
    <row r="1532" spans="3:49" x14ac:dyDescent="0.2">
      <c r="C1532" s="15"/>
      <c r="D1532" s="15"/>
      <c r="E1532" s="15"/>
      <c r="F1532" s="15"/>
      <c r="G1532" s="15"/>
      <c r="H1532" s="15"/>
      <c r="I1532" s="15"/>
      <c r="J1532" s="15"/>
      <c r="K1532" s="15"/>
      <c r="L1532" s="28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5"/>
      <c r="AG1532" s="15"/>
      <c r="AH1532" s="15"/>
      <c r="AI1532" s="15"/>
      <c r="AJ1532" s="15"/>
      <c r="AK1532" s="15"/>
      <c r="AL1532" s="15"/>
      <c r="AM1532" s="15"/>
      <c r="AN1532" s="15"/>
      <c r="AO1532" s="15"/>
      <c r="AP1532" s="15"/>
      <c r="AQ1532" s="15"/>
      <c r="AR1532" s="15"/>
      <c r="AS1532" s="15"/>
      <c r="AT1532" s="15"/>
      <c r="AU1532" s="15"/>
      <c r="AV1532" s="15"/>
      <c r="AW1532" s="15"/>
    </row>
    <row r="1533" spans="3:49" x14ac:dyDescent="0.2">
      <c r="C1533" s="15"/>
      <c r="D1533" s="15"/>
      <c r="E1533" s="15"/>
      <c r="F1533" s="15"/>
      <c r="G1533" s="15"/>
      <c r="H1533" s="15"/>
      <c r="I1533" s="15"/>
      <c r="J1533" s="15"/>
      <c r="K1533" s="15"/>
      <c r="L1533" s="28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5"/>
      <c r="AG1533" s="15"/>
      <c r="AH1533" s="15"/>
      <c r="AI1533" s="15"/>
      <c r="AJ1533" s="15"/>
      <c r="AK1533" s="15"/>
      <c r="AL1533" s="15"/>
      <c r="AM1533" s="15"/>
      <c r="AN1533" s="15"/>
      <c r="AO1533" s="15"/>
      <c r="AP1533" s="15"/>
      <c r="AQ1533" s="15"/>
      <c r="AR1533" s="15"/>
      <c r="AS1533" s="15"/>
      <c r="AT1533" s="15"/>
      <c r="AU1533" s="15"/>
      <c r="AV1533" s="15"/>
      <c r="AW1533" s="15"/>
    </row>
    <row r="1534" spans="3:49" x14ac:dyDescent="0.2">
      <c r="C1534" s="15"/>
      <c r="D1534" s="15"/>
      <c r="E1534" s="15"/>
      <c r="F1534" s="15"/>
      <c r="G1534" s="15"/>
      <c r="H1534" s="15"/>
      <c r="I1534" s="15"/>
      <c r="J1534" s="15"/>
      <c r="K1534" s="15"/>
      <c r="L1534" s="28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5"/>
      <c r="AG1534" s="15"/>
      <c r="AH1534" s="15"/>
      <c r="AI1534" s="15"/>
      <c r="AJ1534" s="15"/>
      <c r="AK1534" s="15"/>
      <c r="AL1534" s="15"/>
      <c r="AM1534" s="15"/>
      <c r="AN1534" s="15"/>
      <c r="AO1534" s="15"/>
      <c r="AP1534" s="15"/>
      <c r="AQ1534" s="15"/>
      <c r="AR1534" s="15"/>
      <c r="AS1534" s="15"/>
      <c r="AT1534" s="15"/>
      <c r="AU1534" s="15"/>
      <c r="AV1534" s="15"/>
      <c r="AW1534" s="15"/>
    </row>
    <row r="1535" spans="3:49" x14ac:dyDescent="0.2">
      <c r="C1535" s="15"/>
      <c r="D1535" s="15"/>
      <c r="E1535" s="15"/>
      <c r="F1535" s="15"/>
      <c r="G1535" s="15"/>
      <c r="H1535" s="15"/>
      <c r="I1535" s="15"/>
      <c r="J1535" s="15"/>
      <c r="K1535" s="15"/>
      <c r="L1535" s="28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5"/>
      <c r="AG1535" s="15"/>
      <c r="AH1535" s="15"/>
      <c r="AI1535" s="15"/>
      <c r="AJ1535" s="15"/>
      <c r="AK1535" s="15"/>
      <c r="AL1535" s="15"/>
      <c r="AM1535" s="15"/>
      <c r="AN1535" s="15"/>
      <c r="AO1535" s="15"/>
      <c r="AP1535" s="15"/>
      <c r="AQ1535" s="15"/>
      <c r="AR1535" s="15"/>
      <c r="AS1535" s="15"/>
      <c r="AT1535" s="15"/>
      <c r="AU1535" s="15"/>
      <c r="AV1535" s="15"/>
      <c r="AW1535" s="15"/>
    </row>
    <row r="1536" spans="3:49" x14ac:dyDescent="0.2">
      <c r="C1536" s="15"/>
      <c r="D1536" s="15"/>
      <c r="E1536" s="15"/>
      <c r="F1536" s="15"/>
      <c r="G1536" s="15"/>
      <c r="H1536" s="15"/>
      <c r="I1536" s="15"/>
      <c r="J1536" s="15"/>
      <c r="K1536" s="15"/>
      <c r="L1536" s="28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5"/>
      <c r="AG1536" s="15"/>
      <c r="AH1536" s="15"/>
      <c r="AI1536" s="15"/>
      <c r="AJ1536" s="15"/>
      <c r="AK1536" s="15"/>
      <c r="AL1536" s="15"/>
      <c r="AM1536" s="15"/>
      <c r="AN1536" s="15"/>
      <c r="AO1536" s="15"/>
      <c r="AP1536" s="15"/>
      <c r="AQ1536" s="15"/>
      <c r="AR1536" s="15"/>
      <c r="AS1536" s="15"/>
      <c r="AT1536" s="15"/>
      <c r="AU1536" s="15"/>
      <c r="AV1536" s="15"/>
      <c r="AW1536" s="15"/>
    </row>
    <row r="1537" spans="3:49" x14ac:dyDescent="0.2">
      <c r="C1537" s="15"/>
      <c r="D1537" s="15"/>
      <c r="E1537" s="15"/>
      <c r="F1537" s="15"/>
      <c r="G1537" s="15"/>
      <c r="H1537" s="15"/>
      <c r="I1537" s="15"/>
      <c r="J1537" s="15"/>
      <c r="K1537" s="15"/>
      <c r="L1537" s="28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5"/>
      <c r="AG1537" s="15"/>
      <c r="AH1537" s="15"/>
      <c r="AI1537" s="15"/>
      <c r="AJ1537" s="15"/>
      <c r="AK1537" s="15"/>
      <c r="AL1537" s="15"/>
      <c r="AM1537" s="15"/>
      <c r="AN1537" s="15"/>
      <c r="AO1537" s="15"/>
      <c r="AP1537" s="15"/>
      <c r="AQ1537" s="15"/>
      <c r="AR1537" s="15"/>
      <c r="AS1537" s="15"/>
      <c r="AT1537" s="15"/>
      <c r="AU1537" s="15"/>
      <c r="AV1537" s="15"/>
      <c r="AW1537" s="15"/>
    </row>
    <row r="1538" spans="3:49" x14ac:dyDescent="0.2">
      <c r="C1538" s="15"/>
      <c r="D1538" s="15"/>
      <c r="E1538" s="15"/>
      <c r="F1538" s="15"/>
      <c r="G1538" s="15"/>
      <c r="H1538" s="15"/>
      <c r="I1538" s="15"/>
      <c r="J1538" s="15"/>
      <c r="K1538" s="15"/>
      <c r="L1538" s="28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5"/>
      <c r="AG1538" s="15"/>
      <c r="AH1538" s="15"/>
      <c r="AI1538" s="15"/>
      <c r="AJ1538" s="15"/>
      <c r="AK1538" s="15"/>
      <c r="AL1538" s="15"/>
      <c r="AM1538" s="15"/>
      <c r="AN1538" s="15"/>
      <c r="AO1538" s="15"/>
      <c r="AP1538" s="15"/>
      <c r="AQ1538" s="15"/>
      <c r="AR1538" s="15"/>
      <c r="AS1538" s="15"/>
      <c r="AT1538" s="15"/>
      <c r="AU1538" s="15"/>
      <c r="AV1538" s="15"/>
      <c r="AW1538" s="15"/>
    </row>
    <row r="1539" spans="3:49" x14ac:dyDescent="0.2">
      <c r="C1539" s="15"/>
      <c r="D1539" s="15"/>
      <c r="E1539" s="15"/>
      <c r="F1539" s="15"/>
      <c r="G1539" s="15"/>
      <c r="H1539" s="15"/>
      <c r="I1539" s="15"/>
      <c r="J1539" s="15"/>
      <c r="K1539" s="15"/>
      <c r="L1539" s="28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5"/>
      <c r="AG1539" s="15"/>
      <c r="AH1539" s="15"/>
      <c r="AI1539" s="15"/>
      <c r="AJ1539" s="15"/>
      <c r="AK1539" s="15"/>
      <c r="AL1539" s="15"/>
      <c r="AM1539" s="15"/>
      <c r="AN1539" s="15"/>
      <c r="AO1539" s="15"/>
      <c r="AP1539" s="15"/>
      <c r="AQ1539" s="15"/>
      <c r="AR1539" s="15"/>
      <c r="AS1539" s="15"/>
      <c r="AT1539" s="15"/>
      <c r="AU1539" s="15"/>
      <c r="AV1539" s="15"/>
      <c r="AW1539" s="15"/>
    </row>
    <row r="1540" spans="3:49" x14ac:dyDescent="0.2">
      <c r="C1540" s="15"/>
      <c r="D1540" s="15"/>
      <c r="E1540" s="15"/>
      <c r="F1540" s="15"/>
      <c r="G1540" s="15"/>
      <c r="H1540" s="15"/>
      <c r="I1540" s="15"/>
      <c r="J1540" s="15"/>
      <c r="K1540" s="15"/>
      <c r="L1540" s="28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5"/>
      <c r="AG1540" s="15"/>
      <c r="AH1540" s="15"/>
      <c r="AI1540" s="15"/>
      <c r="AJ1540" s="15"/>
      <c r="AK1540" s="15"/>
      <c r="AL1540" s="15"/>
      <c r="AM1540" s="15"/>
      <c r="AN1540" s="15"/>
      <c r="AO1540" s="15"/>
      <c r="AP1540" s="15"/>
      <c r="AQ1540" s="15"/>
      <c r="AR1540" s="15"/>
      <c r="AS1540" s="15"/>
      <c r="AT1540" s="15"/>
      <c r="AU1540" s="15"/>
      <c r="AV1540" s="15"/>
      <c r="AW1540" s="15"/>
    </row>
    <row r="1541" spans="3:49" x14ac:dyDescent="0.2">
      <c r="C1541" s="15"/>
      <c r="D1541" s="15"/>
      <c r="E1541" s="15"/>
      <c r="F1541" s="15"/>
      <c r="G1541" s="15"/>
      <c r="H1541" s="15"/>
      <c r="I1541" s="15"/>
      <c r="J1541" s="15"/>
      <c r="K1541" s="15"/>
      <c r="L1541" s="28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5"/>
      <c r="AG1541" s="15"/>
      <c r="AH1541" s="15"/>
      <c r="AI1541" s="15"/>
      <c r="AJ1541" s="15"/>
      <c r="AK1541" s="15"/>
      <c r="AL1541" s="15"/>
      <c r="AM1541" s="15"/>
      <c r="AN1541" s="15"/>
      <c r="AO1541" s="15"/>
      <c r="AP1541" s="15"/>
      <c r="AQ1541" s="15"/>
      <c r="AR1541" s="15"/>
      <c r="AS1541" s="15"/>
      <c r="AT1541" s="15"/>
      <c r="AU1541" s="15"/>
      <c r="AV1541" s="15"/>
      <c r="AW1541" s="15"/>
    </row>
    <row r="1542" spans="3:49" x14ac:dyDescent="0.2">
      <c r="C1542" s="15"/>
      <c r="D1542" s="15"/>
      <c r="E1542" s="15"/>
      <c r="F1542" s="15"/>
      <c r="G1542" s="15"/>
      <c r="H1542" s="15"/>
      <c r="I1542" s="15"/>
      <c r="J1542" s="15"/>
      <c r="K1542" s="15"/>
      <c r="L1542" s="28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5"/>
      <c r="AG1542" s="15"/>
      <c r="AH1542" s="15"/>
      <c r="AI1542" s="15"/>
      <c r="AJ1542" s="15"/>
      <c r="AK1542" s="15"/>
      <c r="AL1542" s="15"/>
      <c r="AM1542" s="15"/>
      <c r="AN1542" s="15"/>
      <c r="AO1542" s="15"/>
      <c r="AP1542" s="15"/>
      <c r="AQ1542" s="15"/>
      <c r="AR1542" s="15"/>
      <c r="AS1542" s="15"/>
      <c r="AT1542" s="15"/>
      <c r="AU1542" s="15"/>
      <c r="AV1542" s="15"/>
      <c r="AW1542" s="15"/>
    </row>
    <row r="1543" spans="3:49" x14ac:dyDescent="0.2">
      <c r="C1543" s="15"/>
      <c r="D1543" s="15"/>
      <c r="E1543" s="15"/>
      <c r="F1543" s="15"/>
      <c r="G1543" s="15"/>
      <c r="H1543" s="15"/>
      <c r="I1543" s="15"/>
      <c r="J1543" s="15"/>
      <c r="K1543" s="15"/>
      <c r="L1543" s="28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5"/>
      <c r="AG1543" s="15"/>
      <c r="AH1543" s="15"/>
      <c r="AI1543" s="15"/>
      <c r="AJ1543" s="15"/>
      <c r="AK1543" s="15"/>
      <c r="AL1543" s="15"/>
      <c r="AM1543" s="15"/>
      <c r="AN1543" s="15"/>
      <c r="AO1543" s="15"/>
      <c r="AP1543" s="15"/>
      <c r="AQ1543" s="15"/>
      <c r="AR1543" s="15"/>
      <c r="AS1543" s="15"/>
      <c r="AT1543" s="15"/>
      <c r="AU1543" s="15"/>
      <c r="AV1543" s="15"/>
      <c r="AW1543" s="15"/>
    </row>
    <row r="1544" spans="3:49" x14ac:dyDescent="0.2">
      <c r="C1544" s="15"/>
      <c r="D1544" s="15"/>
      <c r="E1544" s="15"/>
      <c r="F1544" s="15"/>
      <c r="G1544" s="15"/>
      <c r="H1544" s="15"/>
      <c r="I1544" s="15"/>
      <c r="J1544" s="15"/>
      <c r="K1544" s="15"/>
      <c r="L1544" s="28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5"/>
      <c r="AG1544" s="15"/>
      <c r="AH1544" s="15"/>
      <c r="AI1544" s="15"/>
      <c r="AJ1544" s="15"/>
      <c r="AK1544" s="15"/>
      <c r="AL1544" s="15"/>
      <c r="AM1544" s="15"/>
      <c r="AN1544" s="15"/>
      <c r="AO1544" s="15"/>
      <c r="AP1544" s="15"/>
      <c r="AQ1544" s="15"/>
      <c r="AR1544" s="15"/>
      <c r="AS1544" s="15"/>
      <c r="AT1544" s="15"/>
      <c r="AU1544" s="15"/>
      <c r="AV1544" s="15"/>
      <c r="AW1544" s="15"/>
    </row>
    <row r="1545" spans="3:49" x14ac:dyDescent="0.2">
      <c r="C1545" s="15"/>
      <c r="D1545" s="15"/>
      <c r="E1545" s="15"/>
      <c r="F1545" s="15"/>
      <c r="G1545" s="15"/>
      <c r="H1545" s="15"/>
      <c r="I1545" s="15"/>
      <c r="J1545" s="15"/>
      <c r="K1545" s="15"/>
      <c r="L1545" s="28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5"/>
      <c r="AG1545" s="15"/>
      <c r="AH1545" s="15"/>
      <c r="AI1545" s="15"/>
      <c r="AJ1545" s="15"/>
      <c r="AK1545" s="15"/>
      <c r="AL1545" s="15"/>
      <c r="AM1545" s="15"/>
      <c r="AN1545" s="15"/>
      <c r="AO1545" s="15"/>
      <c r="AP1545" s="15"/>
      <c r="AQ1545" s="15"/>
      <c r="AR1545" s="15"/>
      <c r="AS1545" s="15"/>
      <c r="AT1545" s="15"/>
      <c r="AU1545" s="15"/>
      <c r="AV1545" s="15"/>
      <c r="AW1545" s="15"/>
    </row>
    <row r="1546" spans="3:49" x14ac:dyDescent="0.2">
      <c r="C1546" s="15"/>
      <c r="D1546" s="15"/>
      <c r="E1546" s="15"/>
      <c r="F1546" s="15"/>
      <c r="G1546" s="15"/>
      <c r="H1546" s="15"/>
      <c r="I1546" s="15"/>
      <c r="J1546" s="15"/>
      <c r="K1546" s="15"/>
      <c r="L1546" s="28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5"/>
      <c r="AG1546" s="15"/>
      <c r="AH1546" s="15"/>
      <c r="AI1546" s="15"/>
      <c r="AJ1546" s="15"/>
      <c r="AK1546" s="15"/>
      <c r="AL1546" s="15"/>
      <c r="AM1546" s="15"/>
      <c r="AN1546" s="15"/>
      <c r="AO1546" s="15"/>
      <c r="AP1546" s="15"/>
      <c r="AQ1546" s="15"/>
      <c r="AR1546" s="15"/>
      <c r="AS1546" s="15"/>
      <c r="AT1546" s="15"/>
      <c r="AU1546" s="15"/>
      <c r="AV1546" s="15"/>
      <c r="AW1546" s="15"/>
    </row>
    <row r="1547" spans="3:49" x14ac:dyDescent="0.2">
      <c r="C1547" s="15"/>
      <c r="D1547" s="15"/>
      <c r="E1547" s="15"/>
      <c r="F1547" s="15"/>
      <c r="G1547" s="15"/>
      <c r="H1547" s="15"/>
      <c r="I1547" s="15"/>
      <c r="J1547" s="15"/>
      <c r="K1547" s="15"/>
      <c r="L1547" s="28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5"/>
      <c r="AG1547" s="15"/>
      <c r="AH1547" s="15"/>
      <c r="AI1547" s="15"/>
      <c r="AJ1547" s="15"/>
      <c r="AK1547" s="15"/>
      <c r="AL1547" s="15"/>
      <c r="AM1547" s="15"/>
      <c r="AN1547" s="15"/>
      <c r="AO1547" s="15"/>
      <c r="AP1547" s="15"/>
      <c r="AQ1547" s="15"/>
      <c r="AR1547" s="15"/>
      <c r="AS1547" s="15"/>
      <c r="AT1547" s="15"/>
      <c r="AU1547" s="15"/>
      <c r="AV1547" s="15"/>
      <c r="AW1547" s="15"/>
    </row>
    <row r="1548" spans="3:49" x14ac:dyDescent="0.2">
      <c r="C1548" s="15"/>
      <c r="D1548" s="15"/>
      <c r="E1548" s="15"/>
      <c r="F1548" s="15"/>
      <c r="G1548" s="15"/>
      <c r="H1548" s="15"/>
      <c r="I1548" s="15"/>
      <c r="J1548" s="15"/>
      <c r="K1548" s="15"/>
      <c r="L1548" s="28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5"/>
      <c r="AG1548" s="15"/>
      <c r="AH1548" s="15"/>
      <c r="AI1548" s="15"/>
      <c r="AJ1548" s="15"/>
      <c r="AK1548" s="15"/>
      <c r="AL1548" s="15"/>
      <c r="AM1548" s="15"/>
      <c r="AN1548" s="15"/>
      <c r="AO1548" s="15"/>
      <c r="AP1548" s="15"/>
      <c r="AQ1548" s="15"/>
      <c r="AR1548" s="15"/>
      <c r="AS1548" s="15"/>
      <c r="AT1548" s="15"/>
      <c r="AU1548" s="15"/>
      <c r="AV1548" s="15"/>
      <c r="AW1548" s="15"/>
    </row>
    <row r="1549" spans="3:49" x14ac:dyDescent="0.2">
      <c r="C1549" s="15"/>
      <c r="D1549" s="15"/>
      <c r="E1549" s="15"/>
      <c r="F1549" s="15"/>
      <c r="G1549" s="15"/>
      <c r="H1549" s="15"/>
      <c r="I1549" s="15"/>
      <c r="J1549" s="15"/>
      <c r="K1549" s="15"/>
      <c r="L1549" s="28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5"/>
      <c r="AG1549" s="15"/>
      <c r="AH1549" s="15"/>
      <c r="AI1549" s="15"/>
      <c r="AJ1549" s="15"/>
      <c r="AK1549" s="15"/>
      <c r="AL1549" s="15"/>
      <c r="AM1549" s="15"/>
      <c r="AN1549" s="15"/>
      <c r="AO1549" s="15"/>
      <c r="AP1549" s="15"/>
      <c r="AQ1549" s="15"/>
      <c r="AR1549" s="15"/>
      <c r="AS1549" s="15"/>
      <c r="AT1549" s="15"/>
      <c r="AU1549" s="15"/>
      <c r="AV1549" s="15"/>
      <c r="AW1549" s="15"/>
    </row>
    <row r="1550" spans="3:49" x14ac:dyDescent="0.2">
      <c r="C1550" s="15"/>
      <c r="D1550" s="15"/>
      <c r="E1550" s="15"/>
      <c r="F1550" s="15"/>
      <c r="G1550" s="15"/>
      <c r="H1550" s="15"/>
      <c r="I1550" s="15"/>
      <c r="J1550" s="15"/>
      <c r="K1550" s="15"/>
      <c r="L1550" s="28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5"/>
      <c r="AG1550" s="15"/>
      <c r="AH1550" s="15"/>
      <c r="AI1550" s="15"/>
      <c r="AJ1550" s="15"/>
      <c r="AK1550" s="15"/>
      <c r="AL1550" s="15"/>
      <c r="AM1550" s="15"/>
      <c r="AN1550" s="15"/>
      <c r="AO1550" s="15"/>
      <c r="AP1550" s="15"/>
      <c r="AQ1550" s="15"/>
      <c r="AR1550" s="15"/>
      <c r="AS1550" s="15"/>
      <c r="AT1550" s="15"/>
      <c r="AU1550" s="15"/>
      <c r="AV1550" s="15"/>
      <c r="AW1550" s="15"/>
    </row>
    <row r="1551" spans="3:49" x14ac:dyDescent="0.2">
      <c r="C1551" s="15"/>
      <c r="D1551" s="15"/>
      <c r="E1551" s="15"/>
      <c r="F1551" s="15"/>
      <c r="G1551" s="15"/>
      <c r="H1551" s="15"/>
      <c r="I1551" s="15"/>
      <c r="J1551" s="15"/>
      <c r="K1551" s="15"/>
      <c r="L1551" s="28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5"/>
      <c r="AG1551" s="15"/>
      <c r="AH1551" s="15"/>
      <c r="AI1551" s="15"/>
      <c r="AJ1551" s="15"/>
      <c r="AK1551" s="15"/>
      <c r="AL1551" s="15"/>
      <c r="AM1551" s="15"/>
      <c r="AN1551" s="15"/>
      <c r="AO1551" s="15"/>
      <c r="AP1551" s="15"/>
      <c r="AQ1551" s="15"/>
      <c r="AR1551" s="15"/>
      <c r="AS1551" s="15"/>
      <c r="AT1551" s="15"/>
      <c r="AU1551" s="15"/>
      <c r="AV1551" s="15"/>
      <c r="AW1551" s="15"/>
    </row>
    <row r="1552" spans="3:49" x14ac:dyDescent="0.2">
      <c r="C1552" s="15"/>
      <c r="D1552" s="15"/>
      <c r="E1552" s="15"/>
      <c r="F1552" s="15"/>
      <c r="G1552" s="15"/>
      <c r="H1552" s="15"/>
      <c r="I1552" s="15"/>
      <c r="J1552" s="15"/>
      <c r="K1552" s="15"/>
      <c r="L1552" s="28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5"/>
      <c r="AG1552" s="15"/>
      <c r="AH1552" s="15"/>
      <c r="AI1552" s="15"/>
      <c r="AJ1552" s="15"/>
      <c r="AK1552" s="15"/>
      <c r="AL1552" s="15"/>
      <c r="AM1552" s="15"/>
      <c r="AN1552" s="15"/>
      <c r="AO1552" s="15"/>
      <c r="AP1552" s="15"/>
      <c r="AQ1552" s="15"/>
      <c r="AR1552" s="15"/>
      <c r="AS1552" s="15"/>
      <c r="AT1552" s="15"/>
      <c r="AU1552" s="15"/>
      <c r="AV1552" s="15"/>
      <c r="AW1552" s="15"/>
    </row>
    <row r="1553" spans="3:49" x14ac:dyDescent="0.2">
      <c r="C1553" s="15"/>
      <c r="D1553" s="15"/>
      <c r="E1553" s="15"/>
      <c r="F1553" s="15"/>
      <c r="G1553" s="15"/>
      <c r="H1553" s="15"/>
      <c r="I1553" s="15"/>
      <c r="J1553" s="15"/>
      <c r="K1553" s="15"/>
      <c r="L1553" s="28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5"/>
      <c r="AG1553" s="15"/>
      <c r="AH1553" s="15"/>
      <c r="AI1553" s="15"/>
      <c r="AJ1553" s="15"/>
      <c r="AK1553" s="15"/>
      <c r="AL1553" s="15"/>
      <c r="AM1553" s="15"/>
      <c r="AN1553" s="15"/>
      <c r="AO1553" s="15"/>
      <c r="AP1553" s="15"/>
      <c r="AQ1553" s="15"/>
      <c r="AR1553" s="15"/>
      <c r="AS1553" s="15"/>
      <c r="AT1553" s="15"/>
      <c r="AU1553" s="15"/>
      <c r="AV1553" s="15"/>
      <c r="AW1553" s="15"/>
    </row>
    <row r="1554" spans="3:49" x14ac:dyDescent="0.2">
      <c r="C1554" s="15"/>
      <c r="D1554" s="15"/>
      <c r="E1554" s="15"/>
      <c r="F1554" s="15"/>
      <c r="G1554" s="15"/>
      <c r="H1554" s="15"/>
      <c r="I1554" s="15"/>
      <c r="J1554" s="15"/>
      <c r="K1554" s="15"/>
      <c r="L1554" s="28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5"/>
      <c r="AG1554" s="15"/>
      <c r="AH1554" s="15"/>
      <c r="AI1554" s="15"/>
      <c r="AJ1554" s="15"/>
      <c r="AK1554" s="15"/>
      <c r="AL1554" s="15"/>
      <c r="AM1554" s="15"/>
      <c r="AN1554" s="15"/>
      <c r="AO1554" s="15"/>
      <c r="AP1554" s="15"/>
      <c r="AQ1554" s="15"/>
      <c r="AR1554" s="15"/>
      <c r="AS1554" s="15"/>
      <c r="AT1554" s="15"/>
      <c r="AU1554" s="15"/>
      <c r="AV1554" s="15"/>
      <c r="AW1554" s="15"/>
    </row>
    <row r="1555" spans="3:49" x14ac:dyDescent="0.2">
      <c r="C1555" s="15"/>
      <c r="D1555" s="15"/>
      <c r="E1555" s="15"/>
      <c r="F1555" s="15"/>
      <c r="G1555" s="15"/>
      <c r="H1555" s="15"/>
      <c r="I1555" s="15"/>
      <c r="J1555" s="15"/>
      <c r="K1555" s="15"/>
      <c r="L1555" s="28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5"/>
      <c r="AG1555" s="15"/>
      <c r="AH1555" s="15"/>
      <c r="AI1555" s="15"/>
      <c r="AJ1555" s="15"/>
      <c r="AK1555" s="15"/>
      <c r="AL1555" s="15"/>
      <c r="AM1555" s="15"/>
      <c r="AN1555" s="15"/>
      <c r="AO1555" s="15"/>
      <c r="AP1555" s="15"/>
      <c r="AQ1555" s="15"/>
      <c r="AR1555" s="15"/>
      <c r="AS1555" s="15"/>
      <c r="AT1555" s="15"/>
      <c r="AU1555" s="15"/>
      <c r="AV1555" s="15"/>
      <c r="AW1555" s="15"/>
    </row>
    <row r="1556" spans="3:49" x14ac:dyDescent="0.2">
      <c r="C1556" s="15"/>
      <c r="D1556" s="15"/>
      <c r="E1556" s="15"/>
      <c r="F1556" s="15"/>
      <c r="G1556" s="15"/>
      <c r="H1556" s="15"/>
      <c r="I1556" s="15"/>
      <c r="J1556" s="15"/>
      <c r="K1556" s="15"/>
      <c r="L1556" s="28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5"/>
      <c r="AG1556" s="15"/>
      <c r="AH1556" s="15"/>
      <c r="AI1556" s="15"/>
      <c r="AJ1556" s="15"/>
      <c r="AK1556" s="15"/>
      <c r="AL1556" s="15"/>
      <c r="AM1556" s="15"/>
      <c r="AN1556" s="15"/>
      <c r="AO1556" s="15"/>
      <c r="AP1556" s="15"/>
      <c r="AQ1556" s="15"/>
      <c r="AR1556" s="15"/>
      <c r="AS1556" s="15"/>
      <c r="AT1556" s="15"/>
      <c r="AU1556" s="15"/>
      <c r="AV1556" s="15"/>
      <c r="AW1556" s="15"/>
    </row>
    <row r="1557" spans="3:49" x14ac:dyDescent="0.2">
      <c r="C1557" s="15"/>
      <c r="D1557" s="15"/>
      <c r="E1557" s="15"/>
      <c r="F1557" s="15"/>
      <c r="G1557" s="15"/>
      <c r="H1557" s="15"/>
      <c r="I1557" s="15"/>
      <c r="J1557" s="15"/>
      <c r="K1557" s="15"/>
      <c r="L1557" s="28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5"/>
      <c r="AG1557" s="15"/>
      <c r="AH1557" s="15"/>
      <c r="AI1557" s="15"/>
      <c r="AJ1557" s="15"/>
      <c r="AK1557" s="15"/>
      <c r="AL1557" s="15"/>
      <c r="AM1557" s="15"/>
      <c r="AN1557" s="15"/>
      <c r="AO1557" s="15"/>
      <c r="AP1557" s="15"/>
      <c r="AQ1557" s="15"/>
      <c r="AR1557" s="15"/>
      <c r="AS1557" s="15"/>
      <c r="AT1557" s="15"/>
      <c r="AU1557" s="15"/>
      <c r="AV1557" s="15"/>
      <c r="AW1557" s="15"/>
    </row>
    <row r="1558" spans="3:49" x14ac:dyDescent="0.2">
      <c r="C1558" s="15"/>
      <c r="D1558" s="15"/>
      <c r="E1558" s="15"/>
      <c r="F1558" s="15"/>
      <c r="G1558" s="15"/>
      <c r="H1558" s="15"/>
      <c r="I1558" s="15"/>
      <c r="J1558" s="15"/>
      <c r="K1558" s="15"/>
      <c r="L1558" s="28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5"/>
      <c r="AG1558" s="15"/>
      <c r="AH1558" s="15"/>
      <c r="AI1558" s="15"/>
      <c r="AJ1558" s="15"/>
      <c r="AK1558" s="15"/>
      <c r="AL1558" s="15"/>
      <c r="AM1558" s="15"/>
      <c r="AN1558" s="15"/>
      <c r="AO1558" s="15"/>
      <c r="AP1558" s="15"/>
      <c r="AQ1558" s="15"/>
      <c r="AR1558" s="15"/>
      <c r="AS1558" s="15"/>
      <c r="AT1558" s="15"/>
      <c r="AU1558" s="15"/>
      <c r="AV1558" s="15"/>
      <c r="AW1558" s="15"/>
    </row>
    <row r="1559" spans="3:49" x14ac:dyDescent="0.2">
      <c r="C1559" s="15"/>
      <c r="D1559" s="15"/>
      <c r="E1559" s="15"/>
      <c r="F1559" s="15"/>
      <c r="G1559" s="15"/>
      <c r="H1559" s="15"/>
      <c r="I1559" s="15"/>
      <c r="J1559" s="15"/>
      <c r="K1559" s="15"/>
      <c r="L1559" s="28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5"/>
      <c r="AG1559" s="15"/>
      <c r="AH1559" s="15"/>
      <c r="AI1559" s="15"/>
      <c r="AJ1559" s="15"/>
      <c r="AK1559" s="15"/>
      <c r="AL1559" s="15"/>
      <c r="AM1559" s="15"/>
      <c r="AN1559" s="15"/>
      <c r="AO1559" s="15"/>
      <c r="AP1559" s="15"/>
      <c r="AQ1559" s="15"/>
      <c r="AR1559" s="15"/>
      <c r="AS1559" s="15"/>
      <c r="AT1559" s="15"/>
      <c r="AU1559" s="15"/>
      <c r="AV1559" s="15"/>
      <c r="AW1559" s="15"/>
    </row>
    <row r="1560" spans="3:49" x14ac:dyDescent="0.2">
      <c r="C1560" s="15"/>
      <c r="D1560" s="15"/>
      <c r="E1560" s="15"/>
      <c r="F1560" s="15"/>
      <c r="G1560" s="15"/>
      <c r="H1560" s="15"/>
      <c r="I1560" s="15"/>
      <c r="J1560" s="15"/>
      <c r="K1560" s="15"/>
      <c r="L1560" s="28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5"/>
      <c r="AG1560" s="15"/>
      <c r="AH1560" s="15"/>
      <c r="AI1560" s="15"/>
      <c r="AJ1560" s="15"/>
      <c r="AK1560" s="15"/>
      <c r="AL1560" s="15"/>
      <c r="AM1560" s="15"/>
      <c r="AN1560" s="15"/>
      <c r="AO1560" s="15"/>
      <c r="AP1560" s="15"/>
      <c r="AQ1560" s="15"/>
      <c r="AR1560" s="15"/>
      <c r="AS1560" s="15"/>
      <c r="AT1560" s="15"/>
      <c r="AU1560" s="15"/>
      <c r="AV1560" s="15"/>
      <c r="AW1560" s="15"/>
    </row>
    <row r="1561" spans="3:49" x14ac:dyDescent="0.2">
      <c r="C1561" s="15"/>
      <c r="D1561" s="15"/>
      <c r="E1561" s="15"/>
      <c r="F1561" s="15"/>
      <c r="G1561" s="15"/>
      <c r="H1561" s="15"/>
      <c r="I1561" s="15"/>
      <c r="J1561" s="15"/>
      <c r="K1561" s="15"/>
      <c r="L1561" s="28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5"/>
      <c r="AG1561" s="15"/>
      <c r="AH1561" s="15"/>
      <c r="AI1561" s="15"/>
      <c r="AJ1561" s="15"/>
      <c r="AK1561" s="15"/>
      <c r="AL1561" s="15"/>
      <c r="AM1561" s="15"/>
      <c r="AN1561" s="15"/>
      <c r="AO1561" s="15"/>
      <c r="AP1561" s="15"/>
      <c r="AQ1561" s="15"/>
      <c r="AR1561" s="15"/>
      <c r="AS1561" s="15"/>
      <c r="AT1561" s="15"/>
      <c r="AU1561" s="15"/>
      <c r="AV1561" s="15"/>
      <c r="AW1561" s="15"/>
    </row>
    <row r="1562" spans="3:49" x14ac:dyDescent="0.2">
      <c r="C1562" s="15"/>
      <c r="D1562" s="15"/>
      <c r="E1562" s="15"/>
      <c r="F1562" s="15"/>
      <c r="G1562" s="15"/>
      <c r="H1562" s="15"/>
      <c r="I1562" s="15"/>
      <c r="J1562" s="15"/>
      <c r="K1562" s="15"/>
      <c r="L1562" s="28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5"/>
      <c r="AG1562" s="15"/>
      <c r="AH1562" s="15"/>
      <c r="AI1562" s="15"/>
      <c r="AJ1562" s="15"/>
      <c r="AK1562" s="15"/>
      <c r="AL1562" s="15"/>
      <c r="AM1562" s="15"/>
      <c r="AN1562" s="15"/>
      <c r="AO1562" s="15"/>
      <c r="AP1562" s="15"/>
      <c r="AQ1562" s="15"/>
      <c r="AR1562" s="15"/>
      <c r="AS1562" s="15"/>
      <c r="AT1562" s="15"/>
      <c r="AU1562" s="15"/>
      <c r="AV1562" s="15"/>
      <c r="AW1562" s="15"/>
    </row>
    <row r="1563" spans="3:49" x14ac:dyDescent="0.2">
      <c r="C1563" s="15"/>
      <c r="D1563" s="15"/>
      <c r="E1563" s="15"/>
      <c r="F1563" s="15"/>
      <c r="G1563" s="15"/>
      <c r="H1563" s="15"/>
      <c r="I1563" s="15"/>
      <c r="J1563" s="15"/>
      <c r="K1563" s="15"/>
      <c r="L1563" s="28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5"/>
      <c r="AG1563" s="15"/>
      <c r="AH1563" s="15"/>
      <c r="AI1563" s="15"/>
      <c r="AJ1563" s="15"/>
      <c r="AK1563" s="15"/>
      <c r="AL1563" s="15"/>
      <c r="AM1563" s="15"/>
      <c r="AN1563" s="15"/>
      <c r="AO1563" s="15"/>
      <c r="AP1563" s="15"/>
      <c r="AQ1563" s="15"/>
      <c r="AR1563" s="15"/>
      <c r="AS1563" s="15"/>
      <c r="AT1563" s="15"/>
      <c r="AU1563" s="15"/>
      <c r="AV1563" s="15"/>
      <c r="AW1563" s="15"/>
    </row>
    <row r="1564" spans="3:49" x14ac:dyDescent="0.2">
      <c r="C1564" s="15"/>
      <c r="D1564" s="15"/>
      <c r="E1564" s="15"/>
      <c r="F1564" s="15"/>
      <c r="G1564" s="15"/>
      <c r="H1564" s="15"/>
      <c r="I1564" s="15"/>
      <c r="J1564" s="15"/>
      <c r="K1564" s="15"/>
      <c r="L1564" s="28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5"/>
      <c r="AG1564" s="15"/>
      <c r="AH1564" s="15"/>
      <c r="AI1564" s="15"/>
      <c r="AJ1564" s="15"/>
      <c r="AK1564" s="15"/>
      <c r="AL1564" s="15"/>
      <c r="AM1564" s="15"/>
      <c r="AN1564" s="15"/>
      <c r="AO1564" s="15"/>
      <c r="AP1564" s="15"/>
      <c r="AQ1564" s="15"/>
      <c r="AR1564" s="15"/>
      <c r="AS1564" s="15"/>
      <c r="AT1564" s="15"/>
      <c r="AU1564" s="15"/>
      <c r="AV1564" s="15"/>
      <c r="AW1564" s="15"/>
    </row>
    <row r="1565" spans="3:49" x14ac:dyDescent="0.2">
      <c r="C1565" s="15"/>
      <c r="D1565" s="15"/>
      <c r="E1565" s="15"/>
      <c r="F1565" s="15"/>
      <c r="G1565" s="15"/>
      <c r="H1565" s="15"/>
      <c r="I1565" s="15"/>
      <c r="J1565" s="15"/>
      <c r="K1565" s="15"/>
      <c r="L1565" s="28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5"/>
      <c r="AG1565" s="15"/>
      <c r="AH1565" s="15"/>
      <c r="AI1565" s="15"/>
      <c r="AJ1565" s="15"/>
      <c r="AK1565" s="15"/>
      <c r="AL1565" s="15"/>
      <c r="AM1565" s="15"/>
      <c r="AN1565" s="15"/>
      <c r="AO1565" s="15"/>
      <c r="AP1565" s="15"/>
      <c r="AQ1565" s="15"/>
      <c r="AR1565" s="15"/>
      <c r="AS1565" s="15"/>
      <c r="AT1565" s="15"/>
      <c r="AU1565" s="15"/>
      <c r="AV1565" s="15"/>
      <c r="AW1565" s="15"/>
    </row>
    <row r="1566" spans="3:49" x14ac:dyDescent="0.2">
      <c r="C1566" s="15"/>
      <c r="D1566" s="15"/>
      <c r="E1566" s="15"/>
      <c r="F1566" s="15"/>
      <c r="G1566" s="15"/>
      <c r="H1566" s="15"/>
      <c r="I1566" s="15"/>
      <c r="J1566" s="15"/>
      <c r="K1566" s="15"/>
      <c r="L1566" s="28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5"/>
      <c r="AG1566" s="15"/>
      <c r="AH1566" s="15"/>
      <c r="AI1566" s="15"/>
      <c r="AJ1566" s="15"/>
      <c r="AK1566" s="15"/>
      <c r="AL1566" s="15"/>
      <c r="AM1566" s="15"/>
      <c r="AN1566" s="15"/>
      <c r="AO1566" s="15"/>
      <c r="AP1566" s="15"/>
      <c r="AQ1566" s="15"/>
      <c r="AR1566" s="15"/>
      <c r="AS1566" s="15"/>
      <c r="AT1566" s="15"/>
      <c r="AU1566" s="15"/>
      <c r="AV1566" s="15"/>
      <c r="AW1566" s="15"/>
    </row>
    <row r="1567" spans="3:49" x14ac:dyDescent="0.2">
      <c r="C1567" s="15"/>
      <c r="D1567" s="15"/>
      <c r="E1567" s="15"/>
      <c r="F1567" s="15"/>
      <c r="G1567" s="15"/>
      <c r="H1567" s="15"/>
      <c r="I1567" s="15"/>
      <c r="J1567" s="15"/>
      <c r="K1567" s="15"/>
      <c r="L1567" s="28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5"/>
      <c r="AG1567" s="15"/>
      <c r="AH1567" s="15"/>
      <c r="AI1567" s="15"/>
      <c r="AJ1567" s="15"/>
      <c r="AK1567" s="15"/>
      <c r="AL1567" s="15"/>
      <c r="AM1567" s="15"/>
      <c r="AN1567" s="15"/>
      <c r="AO1567" s="15"/>
      <c r="AP1567" s="15"/>
      <c r="AQ1567" s="15"/>
      <c r="AR1567" s="15"/>
      <c r="AS1567" s="15"/>
      <c r="AT1567" s="15"/>
      <c r="AU1567" s="15"/>
      <c r="AV1567" s="15"/>
      <c r="AW1567" s="15"/>
    </row>
    <row r="1568" spans="3:49" x14ac:dyDescent="0.2">
      <c r="C1568" s="15"/>
      <c r="D1568" s="15"/>
      <c r="E1568" s="15"/>
      <c r="F1568" s="15"/>
      <c r="G1568" s="15"/>
      <c r="H1568" s="15"/>
      <c r="I1568" s="15"/>
      <c r="J1568" s="15"/>
      <c r="K1568" s="15"/>
      <c r="L1568" s="28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5"/>
      <c r="AG1568" s="15"/>
      <c r="AH1568" s="15"/>
      <c r="AI1568" s="15"/>
      <c r="AJ1568" s="15"/>
      <c r="AK1568" s="15"/>
      <c r="AL1568" s="15"/>
      <c r="AM1568" s="15"/>
      <c r="AN1568" s="15"/>
      <c r="AO1568" s="15"/>
      <c r="AP1568" s="15"/>
      <c r="AQ1568" s="15"/>
      <c r="AR1568" s="15"/>
      <c r="AS1568" s="15"/>
      <c r="AT1568" s="15"/>
      <c r="AU1568" s="15"/>
      <c r="AV1568" s="15"/>
      <c r="AW1568" s="15"/>
    </row>
    <row r="1569" spans="3:49" x14ac:dyDescent="0.2">
      <c r="C1569" s="15"/>
      <c r="D1569" s="15"/>
      <c r="E1569" s="15"/>
      <c r="F1569" s="15"/>
      <c r="G1569" s="15"/>
      <c r="H1569" s="15"/>
      <c r="I1569" s="15"/>
      <c r="J1569" s="15"/>
      <c r="K1569" s="15"/>
      <c r="L1569" s="28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5"/>
      <c r="AG1569" s="15"/>
      <c r="AH1569" s="15"/>
      <c r="AI1569" s="15"/>
      <c r="AJ1569" s="15"/>
      <c r="AK1569" s="15"/>
      <c r="AL1569" s="15"/>
      <c r="AM1569" s="15"/>
      <c r="AN1569" s="15"/>
      <c r="AO1569" s="15"/>
      <c r="AP1569" s="15"/>
      <c r="AQ1569" s="15"/>
      <c r="AR1569" s="15"/>
      <c r="AS1569" s="15"/>
      <c r="AT1569" s="15"/>
      <c r="AU1569" s="15"/>
      <c r="AV1569" s="15"/>
      <c r="AW1569" s="15"/>
    </row>
    <row r="1570" spans="3:49" x14ac:dyDescent="0.2">
      <c r="C1570" s="15"/>
      <c r="D1570" s="15"/>
      <c r="E1570" s="15"/>
      <c r="F1570" s="15"/>
      <c r="G1570" s="15"/>
      <c r="H1570" s="15"/>
      <c r="I1570" s="15"/>
      <c r="J1570" s="15"/>
      <c r="K1570" s="15"/>
      <c r="L1570" s="28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5"/>
      <c r="AG1570" s="15"/>
      <c r="AH1570" s="15"/>
      <c r="AI1570" s="15"/>
      <c r="AJ1570" s="15"/>
      <c r="AK1570" s="15"/>
      <c r="AL1570" s="15"/>
      <c r="AM1570" s="15"/>
      <c r="AN1570" s="15"/>
      <c r="AO1570" s="15"/>
      <c r="AP1570" s="15"/>
      <c r="AQ1570" s="15"/>
      <c r="AR1570" s="15"/>
      <c r="AS1570" s="15"/>
      <c r="AT1570" s="15"/>
      <c r="AU1570" s="15"/>
      <c r="AV1570" s="15"/>
      <c r="AW1570" s="15"/>
    </row>
    <row r="1571" spans="3:49" x14ac:dyDescent="0.2">
      <c r="C1571" s="15"/>
      <c r="D1571" s="15"/>
      <c r="E1571" s="15"/>
      <c r="F1571" s="15"/>
      <c r="G1571" s="15"/>
      <c r="H1571" s="15"/>
      <c r="I1571" s="15"/>
      <c r="J1571" s="15"/>
      <c r="K1571" s="15"/>
      <c r="L1571" s="28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5"/>
      <c r="AG1571" s="15"/>
      <c r="AH1571" s="15"/>
      <c r="AI1571" s="15"/>
      <c r="AJ1571" s="15"/>
      <c r="AK1571" s="15"/>
      <c r="AL1571" s="15"/>
      <c r="AM1571" s="15"/>
      <c r="AN1571" s="15"/>
      <c r="AO1571" s="15"/>
      <c r="AP1571" s="15"/>
      <c r="AQ1571" s="15"/>
      <c r="AR1571" s="15"/>
      <c r="AS1571" s="15"/>
      <c r="AT1571" s="15"/>
      <c r="AU1571" s="15"/>
      <c r="AV1571" s="15"/>
      <c r="AW1571" s="15"/>
    </row>
    <row r="1572" spans="3:49" x14ac:dyDescent="0.2">
      <c r="C1572" s="15"/>
      <c r="D1572" s="15"/>
      <c r="E1572" s="15"/>
      <c r="F1572" s="15"/>
      <c r="G1572" s="15"/>
      <c r="H1572" s="15"/>
      <c r="I1572" s="15"/>
      <c r="J1572" s="15"/>
      <c r="K1572" s="15"/>
      <c r="L1572" s="28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5"/>
      <c r="AG1572" s="15"/>
      <c r="AH1572" s="15"/>
      <c r="AI1572" s="15"/>
      <c r="AJ1572" s="15"/>
      <c r="AK1572" s="15"/>
      <c r="AL1572" s="15"/>
      <c r="AM1572" s="15"/>
      <c r="AN1572" s="15"/>
      <c r="AO1572" s="15"/>
      <c r="AP1572" s="15"/>
      <c r="AQ1572" s="15"/>
      <c r="AR1572" s="15"/>
      <c r="AS1572" s="15"/>
      <c r="AT1572" s="15"/>
      <c r="AU1572" s="15"/>
      <c r="AV1572" s="15"/>
      <c r="AW1572" s="15"/>
    </row>
    <row r="1573" spans="3:49" x14ac:dyDescent="0.2">
      <c r="C1573" s="15"/>
      <c r="D1573" s="15"/>
      <c r="E1573" s="15"/>
      <c r="F1573" s="15"/>
      <c r="G1573" s="15"/>
      <c r="H1573" s="15"/>
      <c r="I1573" s="15"/>
      <c r="J1573" s="15"/>
      <c r="K1573" s="15"/>
      <c r="L1573" s="28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5"/>
      <c r="AG1573" s="15"/>
      <c r="AH1573" s="15"/>
      <c r="AI1573" s="15"/>
      <c r="AJ1573" s="15"/>
      <c r="AK1573" s="15"/>
      <c r="AL1573" s="15"/>
      <c r="AM1573" s="15"/>
      <c r="AN1573" s="15"/>
      <c r="AO1573" s="15"/>
      <c r="AP1573" s="15"/>
      <c r="AQ1573" s="15"/>
      <c r="AR1573" s="15"/>
      <c r="AS1573" s="15"/>
      <c r="AT1573" s="15"/>
      <c r="AU1573" s="15"/>
      <c r="AV1573" s="15"/>
      <c r="AW1573" s="15"/>
    </row>
    <row r="1574" spans="3:49" x14ac:dyDescent="0.2">
      <c r="C1574" s="15"/>
      <c r="D1574" s="15"/>
      <c r="E1574" s="15"/>
      <c r="F1574" s="15"/>
      <c r="G1574" s="15"/>
      <c r="H1574" s="15"/>
      <c r="I1574" s="15"/>
      <c r="J1574" s="15"/>
      <c r="K1574" s="15"/>
      <c r="L1574" s="28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5"/>
      <c r="AG1574" s="15"/>
      <c r="AH1574" s="15"/>
      <c r="AI1574" s="15"/>
      <c r="AJ1574" s="15"/>
      <c r="AK1574" s="15"/>
      <c r="AL1574" s="15"/>
      <c r="AM1574" s="15"/>
      <c r="AN1574" s="15"/>
      <c r="AO1574" s="15"/>
      <c r="AP1574" s="15"/>
      <c r="AQ1574" s="15"/>
      <c r="AR1574" s="15"/>
      <c r="AS1574" s="15"/>
      <c r="AT1574" s="15"/>
      <c r="AU1574" s="15"/>
      <c r="AV1574" s="15"/>
      <c r="AW1574" s="15"/>
    </row>
    <row r="1575" spans="3:49" x14ac:dyDescent="0.2">
      <c r="C1575" s="15"/>
      <c r="D1575" s="15"/>
      <c r="E1575" s="15"/>
      <c r="F1575" s="15"/>
      <c r="G1575" s="15"/>
      <c r="H1575" s="15"/>
      <c r="I1575" s="15"/>
      <c r="J1575" s="15"/>
      <c r="K1575" s="15"/>
      <c r="L1575" s="28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5"/>
      <c r="AG1575" s="15"/>
      <c r="AH1575" s="15"/>
      <c r="AI1575" s="15"/>
      <c r="AJ1575" s="15"/>
      <c r="AK1575" s="15"/>
      <c r="AL1575" s="15"/>
      <c r="AM1575" s="15"/>
      <c r="AN1575" s="15"/>
      <c r="AO1575" s="15"/>
      <c r="AP1575" s="15"/>
      <c r="AQ1575" s="15"/>
      <c r="AR1575" s="15"/>
      <c r="AS1575" s="15"/>
      <c r="AT1575" s="15"/>
      <c r="AU1575" s="15"/>
      <c r="AV1575" s="15"/>
      <c r="AW1575" s="15"/>
    </row>
    <row r="1576" spans="3:49" x14ac:dyDescent="0.2">
      <c r="C1576" s="15"/>
      <c r="D1576" s="15"/>
      <c r="E1576" s="15"/>
      <c r="F1576" s="15"/>
      <c r="G1576" s="15"/>
      <c r="H1576" s="15"/>
      <c r="I1576" s="15"/>
      <c r="J1576" s="15"/>
      <c r="K1576" s="15"/>
      <c r="L1576" s="28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5"/>
      <c r="AG1576" s="15"/>
      <c r="AH1576" s="15"/>
      <c r="AI1576" s="15"/>
      <c r="AJ1576" s="15"/>
      <c r="AK1576" s="15"/>
      <c r="AL1576" s="15"/>
      <c r="AM1576" s="15"/>
      <c r="AN1576" s="15"/>
      <c r="AO1576" s="15"/>
      <c r="AP1576" s="15"/>
      <c r="AQ1576" s="15"/>
      <c r="AR1576" s="15"/>
      <c r="AS1576" s="15"/>
      <c r="AT1576" s="15"/>
      <c r="AU1576" s="15"/>
      <c r="AV1576" s="15"/>
      <c r="AW1576" s="15"/>
    </row>
    <row r="1577" spans="3:49" x14ac:dyDescent="0.2">
      <c r="C1577" s="15"/>
      <c r="D1577" s="15"/>
      <c r="E1577" s="15"/>
      <c r="F1577" s="15"/>
      <c r="G1577" s="15"/>
      <c r="H1577" s="15"/>
      <c r="I1577" s="15"/>
      <c r="J1577" s="15"/>
      <c r="K1577" s="15"/>
      <c r="L1577" s="28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5"/>
      <c r="AG1577" s="15"/>
      <c r="AH1577" s="15"/>
      <c r="AI1577" s="15"/>
      <c r="AJ1577" s="15"/>
      <c r="AK1577" s="15"/>
      <c r="AL1577" s="15"/>
      <c r="AM1577" s="15"/>
      <c r="AN1577" s="15"/>
      <c r="AO1577" s="15"/>
      <c r="AP1577" s="15"/>
      <c r="AQ1577" s="15"/>
      <c r="AR1577" s="15"/>
      <c r="AS1577" s="15"/>
      <c r="AT1577" s="15"/>
      <c r="AU1577" s="15"/>
      <c r="AV1577" s="15"/>
      <c r="AW1577" s="15"/>
    </row>
    <row r="1578" spans="3:49" x14ac:dyDescent="0.2">
      <c r="C1578" s="15"/>
      <c r="D1578" s="15"/>
      <c r="E1578" s="15"/>
      <c r="F1578" s="15"/>
      <c r="G1578" s="15"/>
      <c r="H1578" s="15"/>
      <c r="I1578" s="15"/>
      <c r="J1578" s="15"/>
      <c r="K1578" s="15"/>
      <c r="L1578" s="28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5"/>
      <c r="AG1578" s="15"/>
      <c r="AH1578" s="15"/>
      <c r="AI1578" s="15"/>
      <c r="AJ1578" s="15"/>
      <c r="AK1578" s="15"/>
      <c r="AL1578" s="15"/>
      <c r="AM1578" s="15"/>
      <c r="AN1578" s="15"/>
      <c r="AO1578" s="15"/>
      <c r="AP1578" s="15"/>
      <c r="AQ1578" s="15"/>
      <c r="AR1578" s="15"/>
      <c r="AS1578" s="15"/>
      <c r="AT1578" s="15"/>
      <c r="AU1578" s="15"/>
      <c r="AV1578" s="15"/>
      <c r="AW1578" s="15"/>
    </row>
    <row r="1579" spans="3:49" x14ac:dyDescent="0.2">
      <c r="C1579" s="15"/>
      <c r="D1579" s="15"/>
      <c r="E1579" s="15"/>
      <c r="F1579" s="15"/>
      <c r="G1579" s="15"/>
      <c r="H1579" s="15"/>
      <c r="I1579" s="15"/>
      <c r="J1579" s="15"/>
      <c r="K1579" s="15"/>
      <c r="L1579" s="28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5"/>
      <c r="AG1579" s="15"/>
      <c r="AH1579" s="15"/>
      <c r="AI1579" s="15"/>
      <c r="AJ1579" s="15"/>
      <c r="AK1579" s="15"/>
      <c r="AL1579" s="15"/>
      <c r="AM1579" s="15"/>
      <c r="AN1579" s="15"/>
      <c r="AO1579" s="15"/>
      <c r="AP1579" s="15"/>
      <c r="AQ1579" s="15"/>
      <c r="AR1579" s="15"/>
      <c r="AS1579" s="15"/>
      <c r="AT1579" s="15"/>
      <c r="AU1579" s="15"/>
      <c r="AV1579" s="15"/>
      <c r="AW1579" s="15"/>
    </row>
    <row r="1580" spans="3:49" x14ac:dyDescent="0.2">
      <c r="C1580" s="15"/>
      <c r="D1580" s="15"/>
      <c r="E1580" s="15"/>
      <c r="F1580" s="15"/>
      <c r="G1580" s="15"/>
      <c r="H1580" s="15"/>
      <c r="I1580" s="15"/>
      <c r="J1580" s="15"/>
      <c r="K1580" s="15"/>
      <c r="L1580" s="28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5"/>
      <c r="AG1580" s="15"/>
      <c r="AH1580" s="15"/>
      <c r="AI1580" s="15"/>
      <c r="AJ1580" s="15"/>
      <c r="AK1580" s="15"/>
      <c r="AL1580" s="15"/>
      <c r="AM1580" s="15"/>
      <c r="AN1580" s="15"/>
      <c r="AO1580" s="15"/>
      <c r="AP1580" s="15"/>
      <c r="AQ1580" s="15"/>
      <c r="AR1580" s="15"/>
      <c r="AS1580" s="15"/>
      <c r="AT1580" s="15"/>
      <c r="AU1580" s="15"/>
      <c r="AV1580" s="15"/>
      <c r="AW1580" s="15"/>
    </row>
    <row r="1581" spans="3:49" x14ac:dyDescent="0.2">
      <c r="C1581" s="15"/>
      <c r="D1581" s="15"/>
      <c r="E1581" s="15"/>
      <c r="F1581" s="15"/>
      <c r="G1581" s="15"/>
      <c r="H1581" s="15"/>
      <c r="I1581" s="15"/>
      <c r="J1581" s="15"/>
      <c r="K1581" s="15"/>
      <c r="L1581" s="28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5"/>
      <c r="AG1581" s="15"/>
      <c r="AH1581" s="15"/>
      <c r="AI1581" s="15"/>
      <c r="AJ1581" s="15"/>
      <c r="AK1581" s="15"/>
      <c r="AL1581" s="15"/>
      <c r="AM1581" s="15"/>
      <c r="AN1581" s="15"/>
      <c r="AO1581" s="15"/>
      <c r="AP1581" s="15"/>
      <c r="AQ1581" s="15"/>
      <c r="AR1581" s="15"/>
      <c r="AS1581" s="15"/>
      <c r="AT1581" s="15"/>
      <c r="AU1581" s="15"/>
      <c r="AV1581" s="15"/>
      <c r="AW1581" s="15"/>
    </row>
    <row r="1582" spans="3:49" x14ac:dyDescent="0.2">
      <c r="C1582" s="15"/>
      <c r="D1582" s="15"/>
      <c r="E1582" s="15"/>
      <c r="F1582" s="15"/>
      <c r="G1582" s="15"/>
      <c r="H1582" s="15"/>
      <c r="I1582" s="15"/>
      <c r="J1582" s="15"/>
      <c r="K1582" s="15"/>
      <c r="L1582" s="28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5"/>
      <c r="AG1582" s="15"/>
      <c r="AH1582" s="15"/>
      <c r="AI1582" s="15"/>
      <c r="AJ1582" s="15"/>
      <c r="AK1582" s="15"/>
      <c r="AL1582" s="15"/>
      <c r="AM1582" s="15"/>
      <c r="AN1582" s="15"/>
      <c r="AO1582" s="15"/>
      <c r="AP1582" s="15"/>
      <c r="AQ1582" s="15"/>
      <c r="AR1582" s="15"/>
      <c r="AS1582" s="15"/>
      <c r="AT1582" s="15"/>
      <c r="AU1582" s="15"/>
      <c r="AV1582" s="15"/>
      <c r="AW1582" s="15"/>
    </row>
    <row r="1583" spans="3:49" x14ac:dyDescent="0.2">
      <c r="C1583" s="15"/>
      <c r="D1583" s="15"/>
      <c r="E1583" s="15"/>
      <c r="F1583" s="15"/>
      <c r="G1583" s="15"/>
      <c r="H1583" s="15"/>
      <c r="I1583" s="15"/>
      <c r="J1583" s="15"/>
      <c r="K1583" s="15"/>
      <c r="L1583" s="28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5"/>
      <c r="AG1583" s="15"/>
      <c r="AH1583" s="15"/>
      <c r="AI1583" s="15"/>
      <c r="AJ1583" s="15"/>
      <c r="AK1583" s="15"/>
      <c r="AL1583" s="15"/>
      <c r="AM1583" s="15"/>
      <c r="AN1583" s="15"/>
      <c r="AO1583" s="15"/>
      <c r="AP1583" s="15"/>
      <c r="AQ1583" s="15"/>
      <c r="AR1583" s="15"/>
      <c r="AS1583" s="15"/>
      <c r="AT1583" s="15"/>
      <c r="AU1583" s="15"/>
      <c r="AV1583" s="15"/>
      <c r="AW1583" s="15"/>
    </row>
    <row r="1584" spans="3:49" x14ac:dyDescent="0.2">
      <c r="C1584" s="15"/>
      <c r="D1584" s="15"/>
      <c r="E1584" s="15"/>
      <c r="F1584" s="15"/>
      <c r="G1584" s="15"/>
      <c r="H1584" s="15"/>
      <c r="I1584" s="15"/>
      <c r="J1584" s="15"/>
      <c r="K1584" s="15"/>
      <c r="L1584" s="28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5"/>
      <c r="AG1584" s="15"/>
      <c r="AH1584" s="15"/>
      <c r="AI1584" s="15"/>
      <c r="AJ1584" s="15"/>
      <c r="AK1584" s="15"/>
      <c r="AL1584" s="15"/>
      <c r="AM1584" s="15"/>
      <c r="AN1584" s="15"/>
      <c r="AO1584" s="15"/>
      <c r="AP1584" s="15"/>
      <c r="AQ1584" s="15"/>
      <c r="AR1584" s="15"/>
      <c r="AS1584" s="15"/>
      <c r="AT1584" s="15"/>
      <c r="AU1584" s="15"/>
      <c r="AV1584" s="15"/>
      <c r="AW1584" s="15"/>
    </row>
    <row r="1585" spans="3:49" x14ac:dyDescent="0.2">
      <c r="C1585" s="15"/>
      <c r="D1585" s="15"/>
      <c r="E1585" s="15"/>
      <c r="F1585" s="15"/>
      <c r="G1585" s="15"/>
      <c r="H1585" s="15"/>
      <c r="I1585" s="15"/>
      <c r="J1585" s="15"/>
      <c r="K1585" s="15"/>
      <c r="L1585" s="28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5"/>
      <c r="AG1585" s="15"/>
      <c r="AH1585" s="15"/>
      <c r="AI1585" s="15"/>
      <c r="AJ1585" s="15"/>
      <c r="AK1585" s="15"/>
      <c r="AL1585" s="15"/>
      <c r="AM1585" s="15"/>
      <c r="AN1585" s="15"/>
      <c r="AO1585" s="15"/>
      <c r="AP1585" s="15"/>
      <c r="AQ1585" s="15"/>
      <c r="AR1585" s="15"/>
      <c r="AS1585" s="15"/>
      <c r="AT1585" s="15"/>
      <c r="AU1585" s="15"/>
      <c r="AV1585" s="15"/>
      <c r="AW1585" s="15"/>
    </row>
    <row r="1586" spans="3:49" x14ac:dyDescent="0.2">
      <c r="C1586" s="15"/>
      <c r="D1586" s="15"/>
      <c r="E1586" s="15"/>
      <c r="F1586" s="15"/>
      <c r="G1586" s="15"/>
      <c r="H1586" s="15"/>
      <c r="I1586" s="15"/>
      <c r="J1586" s="15"/>
      <c r="K1586" s="15"/>
      <c r="L1586" s="28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5"/>
      <c r="AG1586" s="15"/>
      <c r="AH1586" s="15"/>
      <c r="AI1586" s="15"/>
      <c r="AJ1586" s="15"/>
      <c r="AK1586" s="15"/>
      <c r="AL1586" s="15"/>
      <c r="AM1586" s="15"/>
      <c r="AN1586" s="15"/>
      <c r="AO1586" s="15"/>
      <c r="AP1586" s="15"/>
      <c r="AQ1586" s="15"/>
      <c r="AR1586" s="15"/>
      <c r="AS1586" s="15"/>
      <c r="AT1586" s="15"/>
      <c r="AU1586" s="15"/>
      <c r="AV1586" s="15"/>
      <c r="AW1586" s="15"/>
    </row>
    <row r="1587" spans="3:49" x14ac:dyDescent="0.2">
      <c r="C1587" s="15"/>
      <c r="D1587" s="15"/>
      <c r="E1587" s="15"/>
      <c r="F1587" s="15"/>
      <c r="G1587" s="15"/>
      <c r="H1587" s="15"/>
      <c r="I1587" s="15"/>
      <c r="J1587" s="15"/>
      <c r="K1587" s="15"/>
      <c r="L1587" s="28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5"/>
      <c r="AG1587" s="15"/>
      <c r="AH1587" s="15"/>
      <c r="AI1587" s="15"/>
      <c r="AJ1587" s="15"/>
      <c r="AK1587" s="15"/>
      <c r="AL1587" s="15"/>
      <c r="AM1587" s="15"/>
      <c r="AN1587" s="15"/>
      <c r="AO1587" s="15"/>
      <c r="AP1587" s="15"/>
      <c r="AQ1587" s="15"/>
      <c r="AR1587" s="15"/>
      <c r="AS1587" s="15"/>
      <c r="AT1587" s="15"/>
      <c r="AU1587" s="15"/>
      <c r="AV1587" s="15"/>
      <c r="AW1587" s="15"/>
    </row>
    <row r="1588" spans="3:49" x14ac:dyDescent="0.2">
      <c r="C1588" s="15"/>
      <c r="D1588" s="15"/>
      <c r="E1588" s="15"/>
      <c r="F1588" s="15"/>
      <c r="G1588" s="15"/>
      <c r="H1588" s="15"/>
      <c r="I1588" s="15"/>
      <c r="J1588" s="15"/>
      <c r="K1588" s="15"/>
      <c r="L1588" s="28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5"/>
      <c r="AG1588" s="15"/>
      <c r="AH1588" s="15"/>
      <c r="AI1588" s="15"/>
      <c r="AJ1588" s="15"/>
      <c r="AK1588" s="15"/>
      <c r="AL1588" s="15"/>
      <c r="AM1588" s="15"/>
      <c r="AN1588" s="15"/>
      <c r="AO1588" s="15"/>
      <c r="AP1588" s="15"/>
      <c r="AQ1588" s="15"/>
      <c r="AR1588" s="15"/>
      <c r="AS1588" s="15"/>
      <c r="AT1588" s="15"/>
      <c r="AU1588" s="15"/>
      <c r="AV1588" s="15"/>
      <c r="AW1588" s="15"/>
    </row>
    <row r="1589" spans="3:49" x14ac:dyDescent="0.2">
      <c r="C1589" s="15"/>
      <c r="D1589" s="15"/>
      <c r="E1589" s="15"/>
      <c r="F1589" s="15"/>
      <c r="G1589" s="15"/>
      <c r="H1589" s="15"/>
      <c r="I1589" s="15"/>
      <c r="J1589" s="15"/>
      <c r="K1589" s="15"/>
      <c r="L1589" s="28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5"/>
      <c r="AG1589" s="15"/>
      <c r="AH1589" s="15"/>
      <c r="AI1589" s="15"/>
      <c r="AJ1589" s="15"/>
      <c r="AK1589" s="15"/>
      <c r="AL1589" s="15"/>
      <c r="AM1589" s="15"/>
      <c r="AN1589" s="15"/>
      <c r="AO1589" s="15"/>
      <c r="AP1589" s="15"/>
      <c r="AQ1589" s="15"/>
      <c r="AR1589" s="15"/>
      <c r="AS1589" s="15"/>
      <c r="AT1589" s="15"/>
      <c r="AU1589" s="15"/>
      <c r="AV1589" s="15"/>
      <c r="AW1589" s="15"/>
    </row>
    <row r="1590" spans="3:49" x14ac:dyDescent="0.2">
      <c r="C1590" s="15"/>
      <c r="D1590" s="15"/>
      <c r="E1590" s="15"/>
      <c r="F1590" s="15"/>
      <c r="G1590" s="15"/>
      <c r="H1590" s="15"/>
      <c r="I1590" s="15"/>
      <c r="J1590" s="15"/>
      <c r="K1590" s="15"/>
      <c r="L1590" s="28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5"/>
      <c r="AG1590" s="15"/>
      <c r="AH1590" s="15"/>
      <c r="AI1590" s="15"/>
      <c r="AJ1590" s="15"/>
      <c r="AK1590" s="15"/>
      <c r="AL1590" s="15"/>
      <c r="AM1590" s="15"/>
      <c r="AN1590" s="15"/>
      <c r="AO1590" s="15"/>
      <c r="AP1590" s="15"/>
      <c r="AQ1590" s="15"/>
      <c r="AR1590" s="15"/>
      <c r="AS1590" s="15"/>
      <c r="AT1590" s="15"/>
      <c r="AU1590" s="15"/>
      <c r="AV1590" s="15"/>
      <c r="AW1590" s="15"/>
    </row>
    <row r="1591" spans="3:49" x14ac:dyDescent="0.2">
      <c r="C1591" s="15"/>
      <c r="D1591" s="15"/>
      <c r="E1591" s="15"/>
      <c r="F1591" s="15"/>
      <c r="G1591" s="15"/>
      <c r="H1591" s="15"/>
      <c r="I1591" s="15"/>
      <c r="J1591" s="15"/>
      <c r="K1591" s="15"/>
      <c r="L1591" s="28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5"/>
      <c r="AG1591" s="15"/>
      <c r="AH1591" s="15"/>
      <c r="AI1591" s="15"/>
      <c r="AJ1591" s="15"/>
      <c r="AK1591" s="15"/>
      <c r="AL1591" s="15"/>
      <c r="AM1591" s="15"/>
      <c r="AN1591" s="15"/>
      <c r="AO1591" s="15"/>
      <c r="AP1591" s="15"/>
      <c r="AQ1591" s="15"/>
      <c r="AR1591" s="15"/>
      <c r="AS1591" s="15"/>
      <c r="AT1591" s="15"/>
      <c r="AU1591" s="15"/>
      <c r="AV1591" s="15"/>
      <c r="AW1591" s="15"/>
    </row>
    <row r="1592" spans="3:49" x14ac:dyDescent="0.2">
      <c r="C1592" s="15"/>
      <c r="D1592" s="15"/>
      <c r="E1592" s="15"/>
      <c r="F1592" s="15"/>
      <c r="G1592" s="15"/>
      <c r="H1592" s="15"/>
      <c r="I1592" s="15"/>
      <c r="J1592" s="15"/>
      <c r="K1592" s="15"/>
      <c r="L1592" s="28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5"/>
      <c r="AG1592" s="15"/>
      <c r="AH1592" s="15"/>
      <c r="AI1592" s="15"/>
      <c r="AJ1592" s="15"/>
      <c r="AK1592" s="15"/>
      <c r="AL1592" s="15"/>
      <c r="AM1592" s="15"/>
      <c r="AN1592" s="15"/>
      <c r="AO1592" s="15"/>
      <c r="AP1592" s="15"/>
      <c r="AQ1592" s="15"/>
      <c r="AR1592" s="15"/>
      <c r="AS1592" s="15"/>
      <c r="AT1592" s="15"/>
      <c r="AU1592" s="15"/>
      <c r="AV1592" s="15"/>
      <c r="AW1592" s="15"/>
    </row>
    <row r="1593" spans="3:49" x14ac:dyDescent="0.2">
      <c r="C1593" s="15"/>
      <c r="D1593" s="15"/>
      <c r="E1593" s="15"/>
      <c r="F1593" s="15"/>
      <c r="G1593" s="15"/>
      <c r="H1593" s="15"/>
      <c r="I1593" s="15"/>
      <c r="J1593" s="15"/>
      <c r="K1593" s="15"/>
      <c r="L1593" s="28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5"/>
      <c r="AG1593" s="15"/>
      <c r="AH1593" s="15"/>
      <c r="AI1593" s="15"/>
      <c r="AJ1593" s="15"/>
      <c r="AK1593" s="15"/>
      <c r="AL1593" s="15"/>
      <c r="AM1593" s="15"/>
      <c r="AN1593" s="15"/>
      <c r="AO1593" s="15"/>
      <c r="AP1593" s="15"/>
      <c r="AQ1593" s="15"/>
      <c r="AR1593" s="15"/>
      <c r="AS1593" s="15"/>
      <c r="AT1593" s="15"/>
      <c r="AU1593" s="15"/>
      <c r="AV1593" s="15"/>
      <c r="AW1593" s="15"/>
    </row>
    <row r="1594" spans="3:49" x14ac:dyDescent="0.2">
      <c r="C1594" s="15"/>
      <c r="D1594" s="15"/>
      <c r="E1594" s="15"/>
      <c r="F1594" s="15"/>
      <c r="G1594" s="15"/>
      <c r="H1594" s="15"/>
      <c r="I1594" s="15"/>
      <c r="J1594" s="15"/>
      <c r="K1594" s="15"/>
      <c r="L1594" s="28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5"/>
      <c r="AG1594" s="15"/>
      <c r="AH1594" s="15"/>
      <c r="AI1594" s="15"/>
      <c r="AJ1594" s="15"/>
      <c r="AK1594" s="15"/>
      <c r="AL1594" s="15"/>
      <c r="AM1594" s="15"/>
      <c r="AN1594" s="15"/>
      <c r="AO1594" s="15"/>
      <c r="AP1594" s="15"/>
      <c r="AQ1594" s="15"/>
      <c r="AR1594" s="15"/>
      <c r="AS1594" s="15"/>
      <c r="AT1594" s="15"/>
      <c r="AU1594" s="15"/>
      <c r="AV1594" s="15"/>
      <c r="AW1594" s="15"/>
    </row>
    <row r="1595" spans="3:49" x14ac:dyDescent="0.2">
      <c r="C1595" s="15"/>
      <c r="D1595" s="15"/>
      <c r="E1595" s="15"/>
      <c r="F1595" s="15"/>
      <c r="G1595" s="15"/>
      <c r="H1595" s="15"/>
      <c r="I1595" s="15"/>
      <c r="J1595" s="15"/>
      <c r="K1595" s="15"/>
      <c r="L1595" s="28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5"/>
      <c r="AG1595" s="15"/>
      <c r="AH1595" s="15"/>
      <c r="AI1595" s="15"/>
      <c r="AJ1595" s="15"/>
      <c r="AK1595" s="15"/>
      <c r="AL1595" s="15"/>
      <c r="AM1595" s="15"/>
      <c r="AN1595" s="15"/>
      <c r="AO1595" s="15"/>
      <c r="AP1595" s="15"/>
      <c r="AQ1595" s="15"/>
      <c r="AR1595" s="15"/>
      <c r="AS1595" s="15"/>
      <c r="AT1595" s="15"/>
      <c r="AU1595" s="15"/>
      <c r="AV1595" s="15"/>
      <c r="AW1595" s="15"/>
    </row>
    <row r="1596" spans="3:49" x14ac:dyDescent="0.2">
      <c r="C1596" s="15"/>
      <c r="D1596" s="15"/>
      <c r="E1596" s="15"/>
      <c r="F1596" s="15"/>
      <c r="G1596" s="15"/>
      <c r="H1596" s="15"/>
      <c r="I1596" s="15"/>
      <c r="J1596" s="15"/>
      <c r="K1596" s="15"/>
      <c r="L1596" s="28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5"/>
      <c r="AG1596" s="15"/>
      <c r="AH1596" s="15"/>
      <c r="AI1596" s="15"/>
      <c r="AJ1596" s="15"/>
      <c r="AK1596" s="15"/>
      <c r="AL1596" s="15"/>
      <c r="AM1596" s="15"/>
      <c r="AN1596" s="15"/>
      <c r="AO1596" s="15"/>
      <c r="AP1596" s="15"/>
      <c r="AQ1596" s="15"/>
      <c r="AR1596" s="15"/>
      <c r="AS1596" s="15"/>
      <c r="AT1596" s="15"/>
      <c r="AU1596" s="15"/>
      <c r="AV1596" s="15"/>
      <c r="AW1596" s="15"/>
    </row>
    <row r="1597" spans="3:49" x14ac:dyDescent="0.2">
      <c r="C1597" s="15"/>
      <c r="D1597" s="15"/>
      <c r="E1597" s="15"/>
      <c r="F1597" s="15"/>
      <c r="G1597" s="15"/>
      <c r="H1597" s="15"/>
      <c r="I1597" s="15"/>
      <c r="J1597" s="15"/>
      <c r="K1597" s="15"/>
      <c r="L1597" s="28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5"/>
      <c r="AG1597" s="15"/>
      <c r="AH1597" s="15"/>
      <c r="AI1597" s="15"/>
      <c r="AJ1597" s="15"/>
      <c r="AK1597" s="15"/>
      <c r="AL1597" s="15"/>
      <c r="AM1597" s="15"/>
      <c r="AN1597" s="15"/>
      <c r="AO1597" s="15"/>
      <c r="AP1597" s="15"/>
      <c r="AQ1597" s="15"/>
      <c r="AR1597" s="15"/>
      <c r="AS1597" s="15"/>
      <c r="AT1597" s="15"/>
      <c r="AU1597" s="15"/>
      <c r="AV1597" s="15"/>
      <c r="AW1597" s="15"/>
    </row>
    <row r="1598" spans="3:49" x14ac:dyDescent="0.2">
      <c r="C1598" s="15"/>
      <c r="D1598" s="15"/>
      <c r="E1598" s="15"/>
      <c r="F1598" s="15"/>
      <c r="G1598" s="15"/>
      <c r="H1598" s="15"/>
      <c r="I1598" s="15"/>
      <c r="J1598" s="15"/>
      <c r="K1598" s="15"/>
      <c r="L1598" s="28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5"/>
      <c r="AG1598" s="15"/>
      <c r="AH1598" s="15"/>
      <c r="AI1598" s="15"/>
      <c r="AJ1598" s="15"/>
      <c r="AK1598" s="15"/>
      <c r="AL1598" s="15"/>
      <c r="AM1598" s="15"/>
      <c r="AN1598" s="15"/>
      <c r="AO1598" s="15"/>
      <c r="AP1598" s="15"/>
      <c r="AQ1598" s="15"/>
      <c r="AR1598" s="15"/>
      <c r="AS1598" s="15"/>
      <c r="AT1598" s="15"/>
      <c r="AU1598" s="15"/>
      <c r="AV1598" s="15"/>
      <c r="AW1598" s="15"/>
    </row>
    <row r="1599" spans="3:49" x14ac:dyDescent="0.2">
      <c r="C1599" s="15"/>
      <c r="D1599" s="15"/>
      <c r="E1599" s="15"/>
      <c r="F1599" s="15"/>
      <c r="G1599" s="15"/>
      <c r="H1599" s="15"/>
      <c r="I1599" s="15"/>
      <c r="J1599" s="15"/>
      <c r="K1599" s="15"/>
      <c r="L1599" s="28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5"/>
      <c r="AG1599" s="15"/>
      <c r="AH1599" s="15"/>
      <c r="AI1599" s="15"/>
      <c r="AJ1599" s="15"/>
      <c r="AK1599" s="15"/>
      <c r="AL1599" s="15"/>
      <c r="AM1599" s="15"/>
      <c r="AN1599" s="15"/>
      <c r="AO1599" s="15"/>
      <c r="AP1599" s="15"/>
      <c r="AQ1599" s="15"/>
      <c r="AR1599" s="15"/>
      <c r="AS1599" s="15"/>
      <c r="AT1599" s="15"/>
      <c r="AU1599" s="15"/>
      <c r="AV1599" s="15"/>
      <c r="AW1599" s="15"/>
    </row>
    <row r="1600" spans="3:49" x14ac:dyDescent="0.2">
      <c r="C1600" s="15"/>
      <c r="D1600" s="15"/>
      <c r="E1600" s="15"/>
      <c r="F1600" s="15"/>
      <c r="G1600" s="15"/>
      <c r="H1600" s="15"/>
      <c r="I1600" s="15"/>
      <c r="J1600" s="15"/>
      <c r="K1600" s="15"/>
      <c r="L1600" s="28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5"/>
      <c r="AG1600" s="15"/>
      <c r="AH1600" s="15"/>
      <c r="AI1600" s="15"/>
      <c r="AJ1600" s="15"/>
      <c r="AK1600" s="15"/>
      <c r="AL1600" s="15"/>
      <c r="AM1600" s="15"/>
      <c r="AN1600" s="15"/>
      <c r="AO1600" s="15"/>
      <c r="AP1600" s="15"/>
      <c r="AQ1600" s="15"/>
      <c r="AR1600" s="15"/>
      <c r="AS1600" s="15"/>
      <c r="AT1600" s="15"/>
      <c r="AU1600" s="15"/>
      <c r="AV1600" s="15"/>
      <c r="AW1600" s="15"/>
    </row>
    <row r="1601" spans="3:49" x14ac:dyDescent="0.2">
      <c r="C1601" s="15"/>
      <c r="D1601" s="15"/>
      <c r="E1601" s="15"/>
      <c r="F1601" s="15"/>
      <c r="G1601" s="15"/>
      <c r="H1601" s="15"/>
      <c r="I1601" s="15"/>
      <c r="J1601" s="15"/>
      <c r="K1601" s="15"/>
      <c r="L1601" s="28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5"/>
      <c r="AG1601" s="15"/>
      <c r="AH1601" s="15"/>
      <c r="AI1601" s="15"/>
      <c r="AJ1601" s="15"/>
      <c r="AK1601" s="15"/>
      <c r="AL1601" s="15"/>
      <c r="AM1601" s="15"/>
      <c r="AN1601" s="15"/>
      <c r="AO1601" s="15"/>
      <c r="AP1601" s="15"/>
      <c r="AQ1601" s="15"/>
      <c r="AR1601" s="15"/>
      <c r="AS1601" s="15"/>
      <c r="AT1601" s="15"/>
      <c r="AU1601" s="15"/>
      <c r="AV1601" s="15"/>
      <c r="AW1601" s="15"/>
    </row>
    <row r="1602" spans="3:49" x14ac:dyDescent="0.2">
      <c r="C1602" s="15"/>
      <c r="D1602" s="15"/>
      <c r="E1602" s="15"/>
      <c r="F1602" s="15"/>
      <c r="G1602" s="15"/>
      <c r="H1602" s="15"/>
      <c r="I1602" s="15"/>
      <c r="J1602" s="15"/>
      <c r="K1602" s="15"/>
      <c r="L1602" s="28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5"/>
      <c r="AG1602" s="15"/>
      <c r="AH1602" s="15"/>
      <c r="AI1602" s="15"/>
      <c r="AJ1602" s="15"/>
      <c r="AK1602" s="15"/>
      <c r="AL1602" s="15"/>
      <c r="AM1602" s="15"/>
      <c r="AN1602" s="15"/>
      <c r="AO1602" s="15"/>
      <c r="AP1602" s="15"/>
      <c r="AQ1602" s="15"/>
      <c r="AR1602" s="15"/>
      <c r="AS1602" s="15"/>
      <c r="AT1602" s="15"/>
      <c r="AU1602" s="15"/>
      <c r="AV1602" s="15"/>
      <c r="AW1602" s="15"/>
    </row>
    <row r="1603" spans="3:49" x14ac:dyDescent="0.2">
      <c r="C1603" s="15"/>
      <c r="D1603" s="15"/>
      <c r="E1603" s="15"/>
      <c r="F1603" s="15"/>
      <c r="G1603" s="15"/>
      <c r="H1603" s="15"/>
      <c r="I1603" s="15"/>
      <c r="J1603" s="15"/>
      <c r="K1603" s="15"/>
      <c r="L1603" s="28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5"/>
      <c r="AG1603" s="15"/>
      <c r="AH1603" s="15"/>
      <c r="AI1603" s="15"/>
      <c r="AJ1603" s="15"/>
      <c r="AK1603" s="15"/>
      <c r="AL1603" s="15"/>
      <c r="AM1603" s="15"/>
      <c r="AN1603" s="15"/>
      <c r="AO1603" s="15"/>
      <c r="AP1603" s="15"/>
      <c r="AQ1603" s="15"/>
      <c r="AR1603" s="15"/>
      <c r="AS1603" s="15"/>
      <c r="AT1603" s="15"/>
      <c r="AU1603" s="15"/>
      <c r="AV1603" s="15"/>
      <c r="AW1603" s="15"/>
    </row>
    <row r="1604" spans="3:49" x14ac:dyDescent="0.2">
      <c r="C1604" s="15"/>
      <c r="D1604" s="15"/>
      <c r="E1604" s="15"/>
      <c r="F1604" s="15"/>
      <c r="G1604" s="15"/>
      <c r="H1604" s="15"/>
      <c r="I1604" s="15"/>
      <c r="J1604" s="15"/>
      <c r="K1604" s="15"/>
      <c r="L1604" s="28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5"/>
      <c r="AG1604" s="15"/>
      <c r="AH1604" s="15"/>
      <c r="AI1604" s="15"/>
      <c r="AJ1604" s="15"/>
      <c r="AK1604" s="15"/>
      <c r="AL1604" s="15"/>
      <c r="AM1604" s="15"/>
      <c r="AN1604" s="15"/>
      <c r="AO1604" s="15"/>
      <c r="AP1604" s="15"/>
      <c r="AQ1604" s="15"/>
      <c r="AR1604" s="15"/>
      <c r="AS1604" s="15"/>
      <c r="AT1604" s="15"/>
      <c r="AU1604" s="15"/>
      <c r="AV1604" s="15"/>
      <c r="AW1604" s="15"/>
    </row>
    <row r="1605" spans="3:49" x14ac:dyDescent="0.2">
      <c r="C1605" s="15"/>
      <c r="D1605" s="15"/>
      <c r="E1605" s="15"/>
      <c r="F1605" s="15"/>
      <c r="G1605" s="15"/>
      <c r="H1605" s="15"/>
      <c r="I1605" s="15"/>
      <c r="J1605" s="15"/>
      <c r="K1605" s="15"/>
      <c r="L1605" s="28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5"/>
      <c r="AG1605" s="15"/>
      <c r="AH1605" s="15"/>
      <c r="AI1605" s="15"/>
      <c r="AJ1605" s="15"/>
      <c r="AK1605" s="15"/>
      <c r="AL1605" s="15"/>
      <c r="AM1605" s="15"/>
      <c r="AN1605" s="15"/>
      <c r="AO1605" s="15"/>
      <c r="AP1605" s="15"/>
      <c r="AQ1605" s="15"/>
      <c r="AR1605" s="15"/>
      <c r="AS1605" s="15"/>
      <c r="AT1605" s="15"/>
      <c r="AU1605" s="15"/>
      <c r="AV1605" s="15"/>
      <c r="AW1605" s="15"/>
    </row>
    <row r="1606" spans="3:49" x14ac:dyDescent="0.2">
      <c r="C1606" s="15"/>
      <c r="D1606" s="15"/>
      <c r="E1606" s="15"/>
      <c r="F1606" s="15"/>
      <c r="G1606" s="15"/>
      <c r="H1606" s="15"/>
      <c r="I1606" s="15"/>
      <c r="J1606" s="15"/>
      <c r="K1606" s="15"/>
      <c r="L1606" s="28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5"/>
      <c r="AG1606" s="15"/>
      <c r="AH1606" s="15"/>
      <c r="AI1606" s="15"/>
      <c r="AJ1606" s="15"/>
      <c r="AK1606" s="15"/>
      <c r="AL1606" s="15"/>
      <c r="AM1606" s="15"/>
      <c r="AN1606" s="15"/>
      <c r="AO1606" s="15"/>
      <c r="AP1606" s="15"/>
      <c r="AQ1606" s="15"/>
      <c r="AR1606" s="15"/>
      <c r="AS1606" s="15"/>
      <c r="AT1606" s="15"/>
      <c r="AU1606" s="15"/>
      <c r="AV1606" s="15"/>
      <c r="AW1606" s="15"/>
    </row>
    <row r="1607" spans="3:49" x14ac:dyDescent="0.2">
      <c r="C1607" s="15"/>
      <c r="D1607" s="15"/>
      <c r="E1607" s="15"/>
      <c r="F1607" s="15"/>
      <c r="G1607" s="15"/>
      <c r="H1607" s="15"/>
      <c r="I1607" s="15"/>
      <c r="J1607" s="15"/>
      <c r="K1607" s="15"/>
      <c r="L1607" s="28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5"/>
      <c r="AG1607" s="15"/>
      <c r="AH1607" s="15"/>
      <c r="AI1607" s="15"/>
      <c r="AJ1607" s="15"/>
      <c r="AK1607" s="15"/>
      <c r="AL1607" s="15"/>
      <c r="AM1607" s="15"/>
      <c r="AN1607" s="15"/>
      <c r="AO1607" s="15"/>
      <c r="AP1607" s="15"/>
      <c r="AQ1607" s="15"/>
      <c r="AR1607" s="15"/>
      <c r="AS1607" s="15"/>
      <c r="AT1607" s="15"/>
      <c r="AU1607" s="15"/>
      <c r="AV1607" s="15"/>
      <c r="AW1607" s="15"/>
    </row>
    <row r="1608" spans="3:49" x14ac:dyDescent="0.2">
      <c r="C1608" s="15"/>
      <c r="D1608" s="15"/>
      <c r="E1608" s="15"/>
      <c r="F1608" s="15"/>
      <c r="G1608" s="15"/>
      <c r="H1608" s="15"/>
      <c r="I1608" s="15"/>
      <c r="J1608" s="15"/>
      <c r="K1608" s="15"/>
      <c r="L1608" s="28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5"/>
      <c r="AG1608" s="15"/>
      <c r="AH1608" s="15"/>
      <c r="AI1608" s="15"/>
      <c r="AJ1608" s="15"/>
      <c r="AK1608" s="15"/>
      <c r="AL1608" s="15"/>
      <c r="AM1608" s="15"/>
      <c r="AN1608" s="15"/>
      <c r="AO1608" s="15"/>
      <c r="AP1608" s="15"/>
      <c r="AQ1608" s="15"/>
      <c r="AR1608" s="15"/>
      <c r="AS1608" s="15"/>
      <c r="AT1608" s="15"/>
      <c r="AU1608" s="15"/>
      <c r="AV1608" s="15"/>
      <c r="AW1608" s="15"/>
    </row>
    <row r="1609" spans="3:49" x14ac:dyDescent="0.2">
      <c r="C1609" s="15"/>
      <c r="D1609" s="15"/>
      <c r="E1609" s="15"/>
      <c r="F1609" s="15"/>
      <c r="G1609" s="15"/>
      <c r="H1609" s="15"/>
      <c r="I1609" s="15"/>
      <c r="J1609" s="15"/>
      <c r="K1609" s="15"/>
      <c r="L1609" s="28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5"/>
      <c r="AG1609" s="15"/>
      <c r="AH1609" s="15"/>
      <c r="AI1609" s="15"/>
      <c r="AJ1609" s="15"/>
      <c r="AK1609" s="15"/>
      <c r="AL1609" s="15"/>
      <c r="AM1609" s="15"/>
      <c r="AN1609" s="15"/>
      <c r="AO1609" s="15"/>
      <c r="AP1609" s="15"/>
      <c r="AQ1609" s="15"/>
      <c r="AR1609" s="15"/>
      <c r="AS1609" s="15"/>
      <c r="AT1609" s="15"/>
      <c r="AU1609" s="15"/>
      <c r="AV1609" s="15"/>
      <c r="AW1609" s="15"/>
    </row>
    <row r="1610" spans="3:49" x14ac:dyDescent="0.2">
      <c r="C1610" s="15"/>
      <c r="D1610" s="15"/>
      <c r="E1610" s="15"/>
      <c r="F1610" s="15"/>
      <c r="G1610" s="15"/>
      <c r="H1610" s="15"/>
      <c r="I1610" s="15"/>
      <c r="J1610" s="15"/>
      <c r="K1610" s="15"/>
      <c r="L1610" s="28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5"/>
      <c r="AG1610" s="15"/>
      <c r="AH1610" s="15"/>
      <c r="AI1610" s="15"/>
      <c r="AJ1610" s="15"/>
      <c r="AK1610" s="15"/>
      <c r="AL1610" s="15"/>
      <c r="AM1610" s="15"/>
      <c r="AN1610" s="15"/>
      <c r="AO1610" s="15"/>
      <c r="AP1610" s="15"/>
      <c r="AQ1610" s="15"/>
      <c r="AR1610" s="15"/>
      <c r="AS1610" s="15"/>
      <c r="AT1610" s="15"/>
      <c r="AU1610" s="15"/>
      <c r="AV1610" s="15"/>
      <c r="AW1610" s="15"/>
    </row>
    <row r="1611" spans="3:49" x14ac:dyDescent="0.2">
      <c r="C1611" s="15"/>
      <c r="D1611" s="15"/>
      <c r="E1611" s="15"/>
      <c r="F1611" s="15"/>
      <c r="G1611" s="15"/>
      <c r="H1611" s="15"/>
      <c r="I1611" s="15"/>
      <c r="J1611" s="15"/>
      <c r="K1611" s="15"/>
      <c r="L1611" s="28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5"/>
      <c r="AG1611" s="15"/>
      <c r="AH1611" s="15"/>
      <c r="AI1611" s="15"/>
      <c r="AJ1611" s="15"/>
      <c r="AK1611" s="15"/>
      <c r="AL1611" s="15"/>
      <c r="AM1611" s="15"/>
      <c r="AN1611" s="15"/>
      <c r="AO1611" s="15"/>
      <c r="AP1611" s="15"/>
      <c r="AQ1611" s="15"/>
      <c r="AR1611" s="15"/>
      <c r="AS1611" s="15"/>
      <c r="AT1611" s="15"/>
      <c r="AU1611" s="15"/>
      <c r="AV1611" s="15"/>
      <c r="AW1611" s="15"/>
    </row>
    <row r="1612" spans="3:49" x14ac:dyDescent="0.2">
      <c r="C1612" s="15"/>
      <c r="D1612" s="15"/>
      <c r="E1612" s="15"/>
      <c r="F1612" s="15"/>
      <c r="G1612" s="15"/>
      <c r="H1612" s="15"/>
      <c r="I1612" s="15"/>
      <c r="J1612" s="15"/>
      <c r="K1612" s="15"/>
      <c r="L1612" s="28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5"/>
      <c r="AG1612" s="15"/>
      <c r="AH1612" s="15"/>
      <c r="AI1612" s="15"/>
      <c r="AJ1612" s="15"/>
      <c r="AK1612" s="15"/>
      <c r="AL1612" s="15"/>
      <c r="AM1612" s="15"/>
      <c r="AN1612" s="15"/>
      <c r="AO1612" s="15"/>
      <c r="AP1612" s="15"/>
      <c r="AQ1612" s="15"/>
      <c r="AR1612" s="15"/>
      <c r="AS1612" s="15"/>
      <c r="AT1612" s="15"/>
      <c r="AU1612" s="15"/>
      <c r="AV1612" s="15"/>
      <c r="AW1612" s="15"/>
    </row>
    <row r="1613" spans="3:49" x14ac:dyDescent="0.2">
      <c r="C1613" s="15"/>
      <c r="D1613" s="15"/>
      <c r="E1613" s="15"/>
      <c r="F1613" s="15"/>
      <c r="G1613" s="15"/>
      <c r="H1613" s="15"/>
      <c r="I1613" s="15"/>
      <c r="J1613" s="15"/>
      <c r="K1613" s="15"/>
      <c r="L1613" s="28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5"/>
      <c r="AG1613" s="15"/>
      <c r="AH1613" s="15"/>
      <c r="AI1613" s="15"/>
      <c r="AJ1613" s="15"/>
      <c r="AK1613" s="15"/>
      <c r="AL1613" s="15"/>
      <c r="AM1613" s="15"/>
      <c r="AN1613" s="15"/>
      <c r="AO1613" s="15"/>
      <c r="AP1613" s="15"/>
      <c r="AQ1613" s="15"/>
      <c r="AR1613" s="15"/>
      <c r="AS1613" s="15"/>
      <c r="AT1613" s="15"/>
      <c r="AU1613" s="15"/>
      <c r="AV1613" s="15"/>
      <c r="AW1613" s="15"/>
    </row>
    <row r="1614" spans="3:49" x14ac:dyDescent="0.2">
      <c r="C1614" s="15"/>
      <c r="D1614" s="15"/>
      <c r="E1614" s="15"/>
      <c r="F1614" s="15"/>
      <c r="G1614" s="15"/>
      <c r="H1614" s="15"/>
      <c r="I1614" s="15"/>
      <c r="J1614" s="15"/>
      <c r="K1614" s="15"/>
      <c r="L1614" s="28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5"/>
      <c r="AG1614" s="15"/>
      <c r="AH1614" s="15"/>
      <c r="AI1614" s="15"/>
      <c r="AJ1614" s="15"/>
      <c r="AK1614" s="15"/>
      <c r="AL1614" s="15"/>
      <c r="AM1614" s="15"/>
      <c r="AN1614" s="15"/>
      <c r="AO1614" s="15"/>
      <c r="AP1614" s="15"/>
      <c r="AQ1614" s="15"/>
      <c r="AR1614" s="15"/>
      <c r="AS1614" s="15"/>
      <c r="AT1614" s="15"/>
      <c r="AU1614" s="15"/>
      <c r="AV1614" s="15"/>
      <c r="AW1614" s="15"/>
    </row>
    <row r="1615" spans="3:49" x14ac:dyDescent="0.2">
      <c r="C1615" s="15"/>
      <c r="D1615" s="15"/>
      <c r="E1615" s="15"/>
      <c r="F1615" s="15"/>
      <c r="G1615" s="15"/>
      <c r="H1615" s="15"/>
      <c r="I1615" s="15"/>
      <c r="J1615" s="15"/>
      <c r="K1615" s="15"/>
      <c r="L1615" s="28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5"/>
      <c r="AG1615" s="15"/>
      <c r="AH1615" s="15"/>
      <c r="AI1615" s="15"/>
      <c r="AJ1615" s="15"/>
      <c r="AK1615" s="15"/>
      <c r="AL1615" s="15"/>
      <c r="AM1615" s="15"/>
      <c r="AN1615" s="15"/>
      <c r="AO1615" s="15"/>
      <c r="AP1615" s="15"/>
      <c r="AQ1615" s="15"/>
      <c r="AR1615" s="15"/>
      <c r="AS1615" s="15"/>
      <c r="AT1615" s="15"/>
      <c r="AU1615" s="15"/>
      <c r="AV1615" s="15"/>
      <c r="AW1615" s="15"/>
    </row>
    <row r="1616" spans="3:49" x14ac:dyDescent="0.2">
      <c r="C1616" s="15"/>
      <c r="D1616" s="15"/>
      <c r="E1616" s="15"/>
      <c r="F1616" s="15"/>
      <c r="G1616" s="15"/>
      <c r="H1616" s="15"/>
      <c r="I1616" s="15"/>
      <c r="J1616" s="15"/>
      <c r="K1616" s="15"/>
      <c r="L1616" s="28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5"/>
      <c r="AG1616" s="15"/>
      <c r="AH1616" s="15"/>
      <c r="AI1616" s="15"/>
      <c r="AJ1616" s="15"/>
      <c r="AK1616" s="15"/>
      <c r="AL1616" s="15"/>
      <c r="AM1616" s="15"/>
      <c r="AN1616" s="15"/>
      <c r="AO1616" s="15"/>
      <c r="AP1616" s="15"/>
      <c r="AQ1616" s="15"/>
      <c r="AR1616" s="15"/>
      <c r="AS1616" s="15"/>
      <c r="AT1616" s="15"/>
      <c r="AU1616" s="15"/>
      <c r="AV1616" s="15"/>
      <c r="AW1616" s="15"/>
    </row>
    <row r="1617" spans="3:49" x14ac:dyDescent="0.2">
      <c r="C1617" s="15"/>
      <c r="D1617" s="15"/>
      <c r="E1617" s="15"/>
      <c r="F1617" s="15"/>
      <c r="G1617" s="15"/>
      <c r="H1617" s="15"/>
      <c r="I1617" s="15"/>
      <c r="J1617" s="15"/>
      <c r="K1617" s="15"/>
      <c r="L1617" s="28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5"/>
      <c r="AG1617" s="15"/>
      <c r="AH1617" s="15"/>
      <c r="AI1617" s="15"/>
      <c r="AJ1617" s="15"/>
      <c r="AK1617" s="15"/>
      <c r="AL1617" s="15"/>
      <c r="AM1617" s="15"/>
      <c r="AN1617" s="15"/>
      <c r="AO1617" s="15"/>
      <c r="AP1617" s="15"/>
      <c r="AQ1617" s="15"/>
      <c r="AR1617" s="15"/>
      <c r="AS1617" s="15"/>
      <c r="AT1617" s="15"/>
      <c r="AU1617" s="15"/>
      <c r="AV1617" s="15"/>
      <c r="AW1617" s="15"/>
    </row>
    <row r="1618" spans="3:49" x14ac:dyDescent="0.2">
      <c r="C1618" s="15"/>
      <c r="D1618" s="15"/>
      <c r="E1618" s="15"/>
      <c r="F1618" s="15"/>
      <c r="G1618" s="15"/>
      <c r="H1618" s="15"/>
      <c r="I1618" s="15"/>
      <c r="J1618" s="15"/>
      <c r="K1618" s="15"/>
      <c r="L1618" s="28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5"/>
      <c r="AG1618" s="15"/>
      <c r="AH1618" s="15"/>
      <c r="AI1618" s="15"/>
      <c r="AJ1618" s="15"/>
      <c r="AK1618" s="15"/>
      <c r="AL1618" s="15"/>
      <c r="AM1618" s="15"/>
      <c r="AN1618" s="15"/>
      <c r="AO1618" s="15"/>
      <c r="AP1618" s="15"/>
      <c r="AQ1618" s="15"/>
      <c r="AR1618" s="15"/>
      <c r="AS1618" s="15"/>
      <c r="AT1618" s="15"/>
      <c r="AU1618" s="15"/>
      <c r="AV1618" s="15"/>
      <c r="AW1618" s="15"/>
    </row>
    <row r="1619" spans="3:49" x14ac:dyDescent="0.2">
      <c r="C1619" s="15"/>
      <c r="D1619" s="15"/>
      <c r="E1619" s="15"/>
      <c r="F1619" s="15"/>
      <c r="G1619" s="15"/>
      <c r="H1619" s="15"/>
      <c r="I1619" s="15"/>
      <c r="J1619" s="15"/>
      <c r="K1619" s="15"/>
      <c r="L1619" s="28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5"/>
      <c r="AG1619" s="15"/>
      <c r="AH1619" s="15"/>
      <c r="AI1619" s="15"/>
      <c r="AJ1619" s="15"/>
      <c r="AK1619" s="15"/>
      <c r="AL1619" s="15"/>
      <c r="AM1619" s="15"/>
      <c r="AN1619" s="15"/>
      <c r="AO1619" s="15"/>
      <c r="AP1619" s="15"/>
      <c r="AQ1619" s="15"/>
      <c r="AR1619" s="15"/>
      <c r="AS1619" s="15"/>
      <c r="AT1619" s="15"/>
      <c r="AU1619" s="15"/>
      <c r="AV1619" s="15"/>
      <c r="AW1619" s="15"/>
    </row>
    <row r="1620" spans="3:49" x14ac:dyDescent="0.2">
      <c r="C1620" s="15"/>
      <c r="D1620" s="15"/>
      <c r="E1620" s="15"/>
      <c r="F1620" s="15"/>
      <c r="G1620" s="15"/>
      <c r="H1620" s="15"/>
      <c r="I1620" s="15"/>
      <c r="J1620" s="15"/>
      <c r="K1620" s="15"/>
      <c r="L1620" s="28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5"/>
      <c r="AG1620" s="15"/>
      <c r="AH1620" s="15"/>
      <c r="AI1620" s="15"/>
      <c r="AJ1620" s="15"/>
      <c r="AK1620" s="15"/>
      <c r="AL1620" s="15"/>
      <c r="AM1620" s="15"/>
      <c r="AN1620" s="15"/>
      <c r="AO1620" s="15"/>
      <c r="AP1620" s="15"/>
      <c r="AQ1620" s="15"/>
      <c r="AR1620" s="15"/>
      <c r="AS1620" s="15"/>
      <c r="AT1620" s="15"/>
      <c r="AU1620" s="15"/>
      <c r="AV1620" s="15"/>
      <c r="AW1620" s="15"/>
    </row>
    <row r="1621" spans="3:49" x14ac:dyDescent="0.2">
      <c r="C1621" s="15"/>
      <c r="D1621" s="15"/>
      <c r="E1621" s="15"/>
      <c r="F1621" s="15"/>
      <c r="G1621" s="15"/>
      <c r="H1621" s="15"/>
      <c r="I1621" s="15"/>
      <c r="J1621" s="15"/>
      <c r="K1621" s="15"/>
      <c r="L1621" s="28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5"/>
      <c r="AG1621" s="15"/>
      <c r="AH1621" s="15"/>
      <c r="AI1621" s="15"/>
      <c r="AJ1621" s="15"/>
      <c r="AK1621" s="15"/>
      <c r="AL1621" s="15"/>
      <c r="AM1621" s="15"/>
      <c r="AN1621" s="15"/>
      <c r="AO1621" s="15"/>
      <c r="AP1621" s="15"/>
      <c r="AQ1621" s="15"/>
      <c r="AR1621" s="15"/>
      <c r="AS1621" s="15"/>
      <c r="AT1621" s="15"/>
      <c r="AU1621" s="15"/>
      <c r="AV1621" s="15"/>
      <c r="AW1621" s="15"/>
    </row>
    <row r="1622" spans="3:49" x14ac:dyDescent="0.2">
      <c r="C1622" s="15"/>
      <c r="D1622" s="15"/>
      <c r="E1622" s="15"/>
      <c r="F1622" s="15"/>
      <c r="G1622" s="15"/>
      <c r="H1622" s="15"/>
      <c r="I1622" s="15"/>
      <c r="J1622" s="15"/>
      <c r="K1622" s="15"/>
      <c r="L1622" s="28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5"/>
      <c r="AG1622" s="15"/>
      <c r="AH1622" s="15"/>
      <c r="AI1622" s="15"/>
      <c r="AJ1622" s="15"/>
      <c r="AK1622" s="15"/>
      <c r="AL1622" s="15"/>
      <c r="AM1622" s="15"/>
      <c r="AN1622" s="15"/>
      <c r="AO1622" s="15"/>
      <c r="AP1622" s="15"/>
      <c r="AQ1622" s="15"/>
      <c r="AR1622" s="15"/>
      <c r="AS1622" s="15"/>
      <c r="AT1622" s="15"/>
      <c r="AU1622" s="15"/>
      <c r="AV1622" s="15"/>
      <c r="AW1622" s="15"/>
    </row>
    <row r="1623" spans="3:49" x14ac:dyDescent="0.2">
      <c r="C1623" s="15"/>
      <c r="D1623" s="15"/>
      <c r="E1623" s="15"/>
      <c r="F1623" s="15"/>
      <c r="G1623" s="15"/>
      <c r="H1623" s="15"/>
      <c r="I1623" s="15"/>
      <c r="J1623" s="15"/>
      <c r="K1623" s="15"/>
      <c r="L1623" s="28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5"/>
      <c r="AG1623" s="15"/>
      <c r="AH1623" s="15"/>
      <c r="AI1623" s="15"/>
      <c r="AJ1623" s="15"/>
      <c r="AK1623" s="15"/>
      <c r="AL1623" s="15"/>
      <c r="AM1623" s="15"/>
      <c r="AN1623" s="15"/>
      <c r="AO1623" s="15"/>
      <c r="AP1623" s="15"/>
      <c r="AQ1623" s="15"/>
      <c r="AR1623" s="15"/>
      <c r="AS1623" s="15"/>
      <c r="AT1623" s="15"/>
      <c r="AU1623" s="15"/>
      <c r="AV1623" s="15"/>
      <c r="AW1623" s="15"/>
    </row>
    <row r="1624" spans="3:49" x14ac:dyDescent="0.2">
      <c r="C1624" s="15"/>
      <c r="D1624" s="15"/>
      <c r="E1624" s="15"/>
      <c r="F1624" s="15"/>
      <c r="G1624" s="15"/>
      <c r="H1624" s="15"/>
      <c r="I1624" s="15"/>
      <c r="J1624" s="15"/>
      <c r="K1624" s="15"/>
      <c r="L1624" s="28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5"/>
      <c r="AG1624" s="15"/>
      <c r="AH1624" s="15"/>
      <c r="AI1624" s="15"/>
      <c r="AJ1624" s="15"/>
      <c r="AK1624" s="15"/>
      <c r="AL1624" s="15"/>
      <c r="AM1624" s="15"/>
      <c r="AN1624" s="15"/>
      <c r="AO1624" s="15"/>
      <c r="AP1624" s="15"/>
      <c r="AQ1624" s="15"/>
      <c r="AR1624" s="15"/>
      <c r="AS1624" s="15"/>
      <c r="AT1624" s="15"/>
      <c r="AU1624" s="15"/>
      <c r="AV1624" s="15"/>
      <c r="AW1624" s="15"/>
    </row>
    <row r="1625" spans="3:49" x14ac:dyDescent="0.2">
      <c r="C1625" s="15"/>
      <c r="D1625" s="15"/>
      <c r="E1625" s="15"/>
      <c r="F1625" s="15"/>
      <c r="G1625" s="15"/>
      <c r="H1625" s="15"/>
      <c r="I1625" s="15"/>
      <c r="J1625" s="15"/>
      <c r="K1625" s="15"/>
      <c r="L1625" s="28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5"/>
      <c r="AG1625" s="15"/>
      <c r="AH1625" s="15"/>
      <c r="AI1625" s="15"/>
      <c r="AJ1625" s="15"/>
      <c r="AK1625" s="15"/>
      <c r="AL1625" s="15"/>
      <c r="AM1625" s="15"/>
      <c r="AN1625" s="15"/>
      <c r="AO1625" s="15"/>
      <c r="AP1625" s="15"/>
      <c r="AQ1625" s="15"/>
      <c r="AR1625" s="15"/>
      <c r="AS1625" s="15"/>
      <c r="AT1625" s="15"/>
      <c r="AU1625" s="15"/>
      <c r="AV1625" s="15"/>
      <c r="AW1625" s="15"/>
    </row>
    <row r="1626" spans="3:49" x14ac:dyDescent="0.2">
      <c r="C1626" s="15"/>
      <c r="D1626" s="15"/>
      <c r="E1626" s="15"/>
      <c r="F1626" s="15"/>
      <c r="G1626" s="15"/>
      <c r="H1626" s="15"/>
      <c r="I1626" s="15"/>
      <c r="J1626" s="15"/>
      <c r="K1626" s="15"/>
      <c r="L1626" s="28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5"/>
      <c r="AG1626" s="15"/>
      <c r="AH1626" s="15"/>
      <c r="AI1626" s="15"/>
      <c r="AJ1626" s="15"/>
      <c r="AK1626" s="15"/>
      <c r="AL1626" s="15"/>
      <c r="AM1626" s="15"/>
      <c r="AN1626" s="15"/>
      <c r="AO1626" s="15"/>
      <c r="AP1626" s="15"/>
      <c r="AQ1626" s="15"/>
      <c r="AR1626" s="15"/>
      <c r="AS1626" s="15"/>
      <c r="AT1626" s="15"/>
      <c r="AU1626" s="15"/>
      <c r="AV1626" s="15"/>
      <c r="AW1626" s="15"/>
    </row>
    <row r="1627" spans="3:49" x14ac:dyDescent="0.2">
      <c r="C1627" s="15"/>
      <c r="D1627" s="15"/>
      <c r="E1627" s="15"/>
      <c r="F1627" s="15"/>
      <c r="G1627" s="15"/>
      <c r="H1627" s="15"/>
      <c r="I1627" s="15"/>
      <c r="J1627" s="15"/>
      <c r="K1627" s="15"/>
      <c r="L1627" s="28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5"/>
      <c r="AG1627" s="15"/>
      <c r="AH1627" s="15"/>
      <c r="AI1627" s="15"/>
      <c r="AJ1627" s="15"/>
      <c r="AK1627" s="15"/>
      <c r="AL1627" s="15"/>
      <c r="AM1627" s="15"/>
      <c r="AN1627" s="15"/>
      <c r="AO1627" s="15"/>
      <c r="AP1627" s="15"/>
      <c r="AQ1627" s="15"/>
      <c r="AR1627" s="15"/>
      <c r="AS1627" s="15"/>
      <c r="AT1627" s="15"/>
      <c r="AU1627" s="15"/>
      <c r="AV1627" s="15"/>
      <c r="AW1627" s="15"/>
    </row>
    <row r="1628" spans="3:49" x14ac:dyDescent="0.2">
      <c r="C1628" s="15"/>
      <c r="D1628" s="15"/>
      <c r="E1628" s="15"/>
      <c r="F1628" s="15"/>
      <c r="G1628" s="15"/>
      <c r="H1628" s="15"/>
      <c r="I1628" s="15"/>
      <c r="J1628" s="15"/>
      <c r="K1628" s="15"/>
      <c r="L1628" s="28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5"/>
      <c r="AG1628" s="15"/>
      <c r="AH1628" s="15"/>
      <c r="AI1628" s="15"/>
      <c r="AJ1628" s="15"/>
      <c r="AK1628" s="15"/>
      <c r="AL1628" s="15"/>
      <c r="AM1628" s="15"/>
      <c r="AN1628" s="15"/>
      <c r="AO1628" s="15"/>
      <c r="AP1628" s="15"/>
      <c r="AQ1628" s="15"/>
      <c r="AR1628" s="15"/>
      <c r="AS1628" s="15"/>
      <c r="AT1628" s="15"/>
      <c r="AU1628" s="15"/>
      <c r="AV1628" s="15"/>
      <c r="AW1628" s="15"/>
    </row>
    <row r="1629" spans="3:49" x14ac:dyDescent="0.2">
      <c r="C1629" s="15"/>
      <c r="D1629" s="15"/>
      <c r="E1629" s="15"/>
      <c r="F1629" s="15"/>
      <c r="G1629" s="15"/>
      <c r="H1629" s="15"/>
      <c r="I1629" s="15"/>
      <c r="J1629" s="15"/>
      <c r="K1629" s="15"/>
      <c r="L1629" s="28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5"/>
      <c r="AG1629" s="15"/>
      <c r="AH1629" s="15"/>
      <c r="AI1629" s="15"/>
      <c r="AJ1629" s="15"/>
      <c r="AK1629" s="15"/>
      <c r="AL1629" s="15"/>
      <c r="AM1629" s="15"/>
      <c r="AN1629" s="15"/>
      <c r="AO1629" s="15"/>
      <c r="AP1629" s="15"/>
      <c r="AQ1629" s="15"/>
      <c r="AR1629" s="15"/>
      <c r="AS1629" s="15"/>
      <c r="AT1629" s="15"/>
      <c r="AU1629" s="15"/>
      <c r="AV1629" s="15"/>
      <c r="AW1629" s="15"/>
    </row>
    <row r="1630" spans="3:49" x14ac:dyDescent="0.2">
      <c r="C1630" s="15"/>
      <c r="D1630" s="15"/>
      <c r="E1630" s="15"/>
      <c r="F1630" s="15"/>
      <c r="G1630" s="15"/>
      <c r="H1630" s="15"/>
      <c r="I1630" s="15"/>
      <c r="J1630" s="15"/>
      <c r="K1630" s="15"/>
      <c r="L1630" s="28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5"/>
      <c r="AG1630" s="15"/>
      <c r="AH1630" s="15"/>
      <c r="AI1630" s="15"/>
      <c r="AJ1630" s="15"/>
      <c r="AK1630" s="15"/>
      <c r="AL1630" s="15"/>
      <c r="AM1630" s="15"/>
      <c r="AN1630" s="15"/>
      <c r="AO1630" s="15"/>
      <c r="AP1630" s="15"/>
      <c r="AQ1630" s="15"/>
      <c r="AR1630" s="15"/>
      <c r="AS1630" s="15"/>
      <c r="AT1630" s="15"/>
      <c r="AU1630" s="15"/>
      <c r="AV1630" s="15"/>
      <c r="AW1630" s="15"/>
    </row>
    <row r="1631" spans="3:49" x14ac:dyDescent="0.2">
      <c r="C1631" s="15"/>
      <c r="D1631" s="15"/>
      <c r="E1631" s="15"/>
      <c r="F1631" s="15"/>
      <c r="G1631" s="15"/>
      <c r="H1631" s="15"/>
      <c r="I1631" s="15"/>
      <c r="J1631" s="15"/>
      <c r="K1631" s="15"/>
      <c r="L1631" s="28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5"/>
      <c r="AG1631" s="15"/>
      <c r="AH1631" s="15"/>
      <c r="AI1631" s="15"/>
      <c r="AJ1631" s="15"/>
      <c r="AK1631" s="15"/>
      <c r="AL1631" s="15"/>
      <c r="AM1631" s="15"/>
      <c r="AN1631" s="15"/>
      <c r="AO1631" s="15"/>
      <c r="AP1631" s="15"/>
      <c r="AQ1631" s="15"/>
      <c r="AR1631" s="15"/>
      <c r="AS1631" s="15"/>
      <c r="AT1631" s="15"/>
      <c r="AU1631" s="15"/>
      <c r="AV1631" s="15"/>
      <c r="AW1631" s="15"/>
    </row>
    <row r="1632" spans="3:49" x14ac:dyDescent="0.2">
      <c r="C1632" s="15"/>
      <c r="D1632" s="15"/>
      <c r="E1632" s="15"/>
      <c r="F1632" s="15"/>
      <c r="G1632" s="15"/>
      <c r="H1632" s="15"/>
      <c r="I1632" s="15"/>
      <c r="J1632" s="15"/>
      <c r="K1632" s="15"/>
      <c r="L1632" s="28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5"/>
      <c r="AG1632" s="15"/>
      <c r="AH1632" s="15"/>
      <c r="AI1632" s="15"/>
      <c r="AJ1632" s="15"/>
      <c r="AK1632" s="15"/>
      <c r="AL1632" s="15"/>
      <c r="AM1632" s="15"/>
      <c r="AN1632" s="15"/>
      <c r="AO1632" s="15"/>
      <c r="AP1632" s="15"/>
      <c r="AQ1632" s="15"/>
      <c r="AR1632" s="15"/>
      <c r="AS1632" s="15"/>
      <c r="AT1632" s="15"/>
      <c r="AU1632" s="15"/>
      <c r="AV1632" s="15"/>
      <c r="AW1632" s="15"/>
    </row>
    <row r="1633" spans="3:49" x14ac:dyDescent="0.2">
      <c r="C1633" s="15"/>
      <c r="D1633" s="15"/>
      <c r="E1633" s="15"/>
      <c r="F1633" s="15"/>
      <c r="G1633" s="15"/>
      <c r="H1633" s="15"/>
      <c r="I1633" s="15"/>
      <c r="J1633" s="15"/>
      <c r="K1633" s="15"/>
      <c r="L1633" s="28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5"/>
      <c r="AG1633" s="15"/>
      <c r="AH1633" s="15"/>
      <c r="AI1633" s="15"/>
      <c r="AJ1633" s="15"/>
      <c r="AK1633" s="15"/>
      <c r="AL1633" s="15"/>
      <c r="AM1633" s="15"/>
      <c r="AN1633" s="15"/>
      <c r="AO1633" s="15"/>
      <c r="AP1633" s="15"/>
      <c r="AQ1633" s="15"/>
      <c r="AR1633" s="15"/>
      <c r="AS1633" s="15"/>
      <c r="AT1633" s="15"/>
      <c r="AU1633" s="15"/>
      <c r="AV1633" s="15"/>
      <c r="AW1633" s="15"/>
    </row>
    <row r="1634" spans="3:49" x14ac:dyDescent="0.2">
      <c r="C1634" s="15"/>
      <c r="D1634" s="15"/>
      <c r="E1634" s="15"/>
      <c r="F1634" s="15"/>
      <c r="G1634" s="15"/>
      <c r="H1634" s="15"/>
      <c r="I1634" s="15"/>
      <c r="J1634" s="15"/>
      <c r="K1634" s="15"/>
      <c r="L1634" s="28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5"/>
      <c r="AG1634" s="15"/>
      <c r="AH1634" s="15"/>
      <c r="AI1634" s="15"/>
      <c r="AJ1634" s="15"/>
      <c r="AK1634" s="15"/>
      <c r="AL1634" s="15"/>
      <c r="AM1634" s="15"/>
      <c r="AN1634" s="15"/>
      <c r="AO1634" s="15"/>
      <c r="AP1634" s="15"/>
      <c r="AQ1634" s="15"/>
      <c r="AR1634" s="15"/>
      <c r="AS1634" s="15"/>
      <c r="AT1634" s="15"/>
      <c r="AU1634" s="15"/>
      <c r="AV1634" s="15"/>
      <c r="AW1634" s="15"/>
    </row>
    <row r="1635" spans="3:49" x14ac:dyDescent="0.2">
      <c r="C1635" s="15"/>
      <c r="D1635" s="15"/>
      <c r="E1635" s="15"/>
      <c r="F1635" s="15"/>
      <c r="G1635" s="15"/>
      <c r="H1635" s="15"/>
      <c r="I1635" s="15"/>
      <c r="J1635" s="15"/>
      <c r="K1635" s="15"/>
      <c r="L1635" s="28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5"/>
      <c r="AG1635" s="15"/>
      <c r="AH1635" s="15"/>
      <c r="AI1635" s="15"/>
      <c r="AJ1635" s="15"/>
      <c r="AK1635" s="15"/>
      <c r="AL1635" s="15"/>
      <c r="AM1635" s="15"/>
      <c r="AN1635" s="15"/>
      <c r="AO1635" s="15"/>
      <c r="AP1635" s="15"/>
      <c r="AQ1635" s="15"/>
      <c r="AR1635" s="15"/>
      <c r="AS1635" s="15"/>
      <c r="AT1635" s="15"/>
      <c r="AU1635" s="15"/>
      <c r="AV1635" s="15"/>
      <c r="AW1635" s="15"/>
    </row>
    <row r="1636" spans="3:49" x14ac:dyDescent="0.2">
      <c r="C1636" s="15"/>
      <c r="D1636" s="15"/>
      <c r="E1636" s="15"/>
      <c r="F1636" s="15"/>
      <c r="G1636" s="15"/>
      <c r="H1636" s="15"/>
      <c r="I1636" s="15"/>
      <c r="J1636" s="15"/>
      <c r="K1636" s="15"/>
      <c r="L1636" s="28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5"/>
      <c r="AG1636" s="15"/>
      <c r="AH1636" s="15"/>
      <c r="AI1636" s="15"/>
      <c r="AJ1636" s="15"/>
      <c r="AK1636" s="15"/>
      <c r="AL1636" s="15"/>
      <c r="AM1636" s="15"/>
      <c r="AN1636" s="15"/>
      <c r="AO1636" s="15"/>
      <c r="AP1636" s="15"/>
      <c r="AQ1636" s="15"/>
      <c r="AR1636" s="15"/>
      <c r="AS1636" s="15"/>
      <c r="AT1636" s="15"/>
      <c r="AU1636" s="15"/>
      <c r="AV1636" s="15"/>
      <c r="AW1636" s="15"/>
    </row>
    <row r="1637" spans="3:49" x14ac:dyDescent="0.2">
      <c r="C1637" s="15"/>
      <c r="D1637" s="15"/>
      <c r="E1637" s="15"/>
      <c r="F1637" s="15"/>
      <c r="G1637" s="15"/>
      <c r="H1637" s="15"/>
      <c r="I1637" s="15"/>
      <c r="J1637" s="15"/>
      <c r="K1637" s="15"/>
      <c r="L1637" s="28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5"/>
      <c r="AG1637" s="15"/>
      <c r="AH1637" s="15"/>
      <c r="AI1637" s="15"/>
      <c r="AJ1637" s="15"/>
      <c r="AK1637" s="15"/>
      <c r="AL1637" s="15"/>
      <c r="AM1637" s="15"/>
      <c r="AN1637" s="15"/>
      <c r="AO1637" s="15"/>
      <c r="AP1637" s="15"/>
      <c r="AQ1637" s="15"/>
      <c r="AR1637" s="15"/>
      <c r="AS1637" s="15"/>
      <c r="AT1637" s="15"/>
      <c r="AU1637" s="15"/>
      <c r="AV1637" s="15"/>
      <c r="AW1637" s="15"/>
    </row>
    <row r="1638" spans="3:49" x14ac:dyDescent="0.2">
      <c r="C1638" s="15"/>
      <c r="D1638" s="15"/>
      <c r="E1638" s="15"/>
      <c r="F1638" s="15"/>
      <c r="G1638" s="15"/>
      <c r="H1638" s="15"/>
      <c r="I1638" s="15"/>
      <c r="J1638" s="15"/>
      <c r="K1638" s="15"/>
      <c r="L1638" s="28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5"/>
      <c r="AG1638" s="15"/>
      <c r="AH1638" s="15"/>
      <c r="AI1638" s="15"/>
      <c r="AJ1638" s="15"/>
      <c r="AK1638" s="15"/>
      <c r="AL1638" s="15"/>
      <c r="AM1638" s="15"/>
      <c r="AN1638" s="15"/>
      <c r="AO1638" s="15"/>
      <c r="AP1638" s="15"/>
      <c r="AQ1638" s="15"/>
      <c r="AR1638" s="15"/>
      <c r="AS1638" s="15"/>
      <c r="AT1638" s="15"/>
      <c r="AU1638" s="15"/>
      <c r="AV1638" s="15"/>
      <c r="AW1638" s="15"/>
    </row>
    <row r="1639" spans="3:49" x14ac:dyDescent="0.2">
      <c r="C1639" s="15"/>
      <c r="D1639" s="15"/>
      <c r="E1639" s="15"/>
      <c r="F1639" s="15"/>
      <c r="G1639" s="15"/>
      <c r="H1639" s="15"/>
      <c r="I1639" s="15"/>
      <c r="J1639" s="15"/>
      <c r="K1639" s="15"/>
      <c r="L1639" s="28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5"/>
      <c r="AG1639" s="15"/>
      <c r="AH1639" s="15"/>
      <c r="AI1639" s="15"/>
      <c r="AJ1639" s="15"/>
      <c r="AK1639" s="15"/>
      <c r="AL1639" s="15"/>
      <c r="AM1639" s="15"/>
      <c r="AN1639" s="15"/>
      <c r="AO1639" s="15"/>
      <c r="AP1639" s="15"/>
      <c r="AQ1639" s="15"/>
      <c r="AR1639" s="15"/>
      <c r="AS1639" s="15"/>
      <c r="AT1639" s="15"/>
      <c r="AU1639" s="15"/>
      <c r="AV1639" s="15"/>
      <c r="AW1639" s="15"/>
    </row>
    <row r="1640" spans="3:49" x14ac:dyDescent="0.2">
      <c r="C1640" s="15"/>
      <c r="D1640" s="15"/>
      <c r="E1640" s="15"/>
      <c r="F1640" s="15"/>
      <c r="G1640" s="15"/>
      <c r="H1640" s="15"/>
      <c r="I1640" s="15"/>
      <c r="J1640" s="15"/>
      <c r="K1640" s="15"/>
      <c r="L1640" s="28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5"/>
      <c r="AG1640" s="15"/>
      <c r="AH1640" s="15"/>
      <c r="AI1640" s="15"/>
      <c r="AJ1640" s="15"/>
      <c r="AK1640" s="15"/>
      <c r="AL1640" s="15"/>
      <c r="AM1640" s="15"/>
      <c r="AN1640" s="15"/>
      <c r="AO1640" s="15"/>
      <c r="AP1640" s="15"/>
      <c r="AQ1640" s="15"/>
      <c r="AR1640" s="15"/>
      <c r="AS1640" s="15"/>
      <c r="AT1640" s="15"/>
      <c r="AU1640" s="15"/>
      <c r="AV1640" s="15"/>
      <c r="AW1640" s="15"/>
    </row>
    <row r="1641" spans="3:49" x14ac:dyDescent="0.2">
      <c r="C1641" s="15"/>
      <c r="D1641" s="15"/>
      <c r="E1641" s="15"/>
      <c r="F1641" s="15"/>
      <c r="G1641" s="15"/>
      <c r="H1641" s="15"/>
      <c r="I1641" s="15"/>
      <c r="J1641" s="15"/>
      <c r="K1641" s="15"/>
      <c r="L1641" s="28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5"/>
      <c r="AG1641" s="15"/>
      <c r="AH1641" s="15"/>
      <c r="AI1641" s="15"/>
      <c r="AJ1641" s="15"/>
      <c r="AK1641" s="15"/>
      <c r="AL1641" s="15"/>
      <c r="AM1641" s="15"/>
      <c r="AN1641" s="15"/>
      <c r="AO1641" s="15"/>
      <c r="AP1641" s="15"/>
      <c r="AQ1641" s="15"/>
      <c r="AR1641" s="15"/>
      <c r="AS1641" s="15"/>
      <c r="AT1641" s="15"/>
      <c r="AU1641" s="15"/>
      <c r="AV1641" s="15"/>
      <c r="AW1641" s="15"/>
    </row>
    <row r="1642" spans="3:49" x14ac:dyDescent="0.2">
      <c r="C1642" s="15"/>
      <c r="D1642" s="15"/>
      <c r="E1642" s="15"/>
      <c r="F1642" s="15"/>
      <c r="G1642" s="15"/>
      <c r="H1642" s="15"/>
      <c r="I1642" s="15"/>
      <c r="J1642" s="15"/>
      <c r="K1642" s="15"/>
      <c r="L1642" s="28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5"/>
      <c r="AG1642" s="15"/>
      <c r="AH1642" s="15"/>
      <c r="AI1642" s="15"/>
      <c r="AJ1642" s="15"/>
      <c r="AK1642" s="15"/>
      <c r="AL1642" s="15"/>
      <c r="AM1642" s="15"/>
      <c r="AN1642" s="15"/>
      <c r="AO1642" s="15"/>
      <c r="AP1642" s="15"/>
      <c r="AQ1642" s="15"/>
      <c r="AR1642" s="15"/>
      <c r="AS1642" s="15"/>
      <c r="AT1642" s="15"/>
      <c r="AU1642" s="15"/>
      <c r="AV1642" s="15"/>
      <c r="AW1642" s="15"/>
    </row>
    <row r="1643" spans="3:49" x14ac:dyDescent="0.2">
      <c r="C1643" s="15"/>
      <c r="D1643" s="15"/>
      <c r="E1643" s="15"/>
      <c r="F1643" s="15"/>
      <c r="G1643" s="15"/>
      <c r="H1643" s="15"/>
      <c r="I1643" s="15"/>
      <c r="J1643" s="15"/>
      <c r="K1643" s="15"/>
      <c r="L1643" s="28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5"/>
      <c r="AG1643" s="15"/>
      <c r="AH1643" s="15"/>
      <c r="AI1643" s="15"/>
      <c r="AJ1643" s="15"/>
      <c r="AK1643" s="15"/>
      <c r="AL1643" s="15"/>
      <c r="AM1643" s="15"/>
      <c r="AN1643" s="15"/>
      <c r="AO1643" s="15"/>
      <c r="AP1643" s="15"/>
      <c r="AQ1643" s="15"/>
      <c r="AR1643" s="15"/>
      <c r="AS1643" s="15"/>
      <c r="AT1643" s="15"/>
      <c r="AU1643" s="15"/>
      <c r="AV1643" s="15"/>
      <c r="AW1643" s="15"/>
    </row>
    <row r="1644" spans="3:49" x14ac:dyDescent="0.2">
      <c r="C1644" s="15"/>
      <c r="D1644" s="15"/>
      <c r="E1644" s="15"/>
      <c r="F1644" s="15"/>
      <c r="G1644" s="15"/>
      <c r="H1644" s="15"/>
      <c r="I1644" s="15"/>
      <c r="J1644" s="15"/>
      <c r="K1644" s="15"/>
      <c r="L1644" s="28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5"/>
      <c r="AG1644" s="15"/>
      <c r="AH1644" s="15"/>
      <c r="AI1644" s="15"/>
      <c r="AJ1644" s="15"/>
      <c r="AK1644" s="15"/>
      <c r="AL1644" s="15"/>
      <c r="AM1644" s="15"/>
      <c r="AN1644" s="15"/>
      <c r="AO1644" s="15"/>
      <c r="AP1644" s="15"/>
      <c r="AQ1644" s="15"/>
      <c r="AR1644" s="15"/>
      <c r="AS1644" s="15"/>
      <c r="AT1644" s="15"/>
      <c r="AU1644" s="15"/>
      <c r="AV1644" s="15"/>
      <c r="AW1644" s="15"/>
    </row>
    <row r="1645" spans="3:49" x14ac:dyDescent="0.2">
      <c r="C1645" s="15"/>
      <c r="D1645" s="15"/>
      <c r="E1645" s="15"/>
      <c r="F1645" s="15"/>
      <c r="G1645" s="15"/>
      <c r="H1645" s="15"/>
      <c r="I1645" s="15"/>
      <c r="J1645" s="15"/>
      <c r="K1645" s="15"/>
      <c r="L1645" s="28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5"/>
      <c r="AG1645" s="15"/>
      <c r="AH1645" s="15"/>
      <c r="AI1645" s="15"/>
      <c r="AJ1645" s="15"/>
      <c r="AK1645" s="15"/>
      <c r="AL1645" s="15"/>
      <c r="AM1645" s="15"/>
      <c r="AN1645" s="15"/>
      <c r="AO1645" s="15"/>
      <c r="AP1645" s="15"/>
      <c r="AQ1645" s="15"/>
      <c r="AR1645" s="15"/>
      <c r="AS1645" s="15"/>
      <c r="AT1645" s="15"/>
      <c r="AU1645" s="15"/>
      <c r="AV1645" s="15"/>
      <c r="AW1645" s="15"/>
    </row>
    <row r="1646" spans="3:49" x14ac:dyDescent="0.2">
      <c r="C1646" s="15"/>
      <c r="D1646" s="15"/>
      <c r="E1646" s="15"/>
      <c r="F1646" s="15"/>
      <c r="G1646" s="15"/>
      <c r="H1646" s="15"/>
      <c r="I1646" s="15"/>
      <c r="J1646" s="15"/>
      <c r="K1646" s="15"/>
      <c r="L1646" s="28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5"/>
      <c r="AG1646" s="15"/>
      <c r="AH1646" s="15"/>
      <c r="AI1646" s="15"/>
      <c r="AJ1646" s="15"/>
      <c r="AK1646" s="15"/>
      <c r="AL1646" s="15"/>
      <c r="AM1646" s="15"/>
      <c r="AN1646" s="15"/>
      <c r="AO1646" s="15"/>
      <c r="AP1646" s="15"/>
      <c r="AQ1646" s="15"/>
      <c r="AR1646" s="15"/>
      <c r="AS1646" s="15"/>
      <c r="AT1646" s="15"/>
      <c r="AU1646" s="15"/>
      <c r="AV1646" s="15"/>
      <c r="AW1646" s="15"/>
    </row>
    <row r="1647" spans="3:49" x14ac:dyDescent="0.2">
      <c r="C1647" s="15"/>
      <c r="D1647" s="15"/>
      <c r="E1647" s="15"/>
      <c r="F1647" s="15"/>
      <c r="G1647" s="15"/>
      <c r="H1647" s="15"/>
      <c r="I1647" s="15"/>
      <c r="J1647" s="15"/>
      <c r="K1647" s="15"/>
      <c r="L1647" s="28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5"/>
      <c r="AG1647" s="15"/>
      <c r="AH1647" s="15"/>
      <c r="AI1647" s="15"/>
      <c r="AJ1647" s="15"/>
      <c r="AK1647" s="15"/>
      <c r="AL1647" s="15"/>
      <c r="AM1647" s="15"/>
      <c r="AN1647" s="15"/>
      <c r="AO1647" s="15"/>
      <c r="AP1647" s="15"/>
      <c r="AQ1647" s="15"/>
      <c r="AR1647" s="15"/>
      <c r="AS1647" s="15"/>
      <c r="AT1647" s="15"/>
      <c r="AU1647" s="15"/>
      <c r="AV1647" s="15"/>
      <c r="AW1647" s="15"/>
    </row>
    <row r="1648" spans="3:49" x14ac:dyDescent="0.2">
      <c r="C1648" s="15"/>
      <c r="D1648" s="15"/>
      <c r="E1648" s="15"/>
      <c r="F1648" s="15"/>
      <c r="G1648" s="15"/>
      <c r="H1648" s="15"/>
      <c r="I1648" s="15"/>
      <c r="J1648" s="15"/>
      <c r="K1648" s="15"/>
      <c r="L1648" s="28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5"/>
      <c r="AG1648" s="15"/>
      <c r="AH1648" s="15"/>
      <c r="AI1648" s="15"/>
      <c r="AJ1648" s="15"/>
      <c r="AK1648" s="15"/>
      <c r="AL1648" s="15"/>
      <c r="AM1648" s="15"/>
      <c r="AN1648" s="15"/>
      <c r="AO1648" s="15"/>
      <c r="AP1648" s="15"/>
      <c r="AQ1648" s="15"/>
      <c r="AR1648" s="15"/>
      <c r="AS1648" s="15"/>
      <c r="AT1648" s="15"/>
      <c r="AU1648" s="15"/>
      <c r="AV1648" s="15"/>
      <c r="AW1648" s="15"/>
    </row>
    <row r="1649" spans="3:49" x14ac:dyDescent="0.2">
      <c r="C1649" s="15"/>
      <c r="D1649" s="15"/>
      <c r="E1649" s="15"/>
      <c r="F1649" s="15"/>
      <c r="G1649" s="15"/>
      <c r="H1649" s="15"/>
      <c r="I1649" s="15"/>
      <c r="J1649" s="15"/>
      <c r="K1649" s="15"/>
      <c r="L1649" s="28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5"/>
      <c r="AG1649" s="15"/>
      <c r="AH1649" s="15"/>
      <c r="AI1649" s="15"/>
      <c r="AJ1649" s="15"/>
      <c r="AK1649" s="15"/>
      <c r="AL1649" s="15"/>
      <c r="AM1649" s="15"/>
      <c r="AN1649" s="15"/>
      <c r="AO1649" s="15"/>
      <c r="AP1649" s="15"/>
      <c r="AQ1649" s="15"/>
      <c r="AR1649" s="15"/>
      <c r="AS1649" s="15"/>
      <c r="AT1649" s="15"/>
      <c r="AU1649" s="15"/>
      <c r="AV1649" s="15"/>
      <c r="AW1649" s="15"/>
    </row>
    <row r="1650" spans="3:49" x14ac:dyDescent="0.2">
      <c r="C1650" s="15"/>
      <c r="D1650" s="15"/>
      <c r="E1650" s="15"/>
      <c r="F1650" s="15"/>
      <c r="G1650" s="15"/>
      <c r="H1650" s="15"/>
      <c r="I1650" s="15"/>
      <c r="J1650" s="15"/>
      <c r="K1650" s="15"/>
      <c r="L1650" s="28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5"/>
      <c r="AG1650" s="15"/>
      <c r="AH1650" s="15"/>
      <c r="AI1650" s="15"/>
      <c r="AJ1650" s="15"/>
      <c r="AK1650" s="15"/>
      <c r="AL1650" s="15"/>
      <c r="AM1650" s="15"/>
      <c r="AN1650" s="15"/>
      <c r="AO1650" s="15"/>
      <c r="AP1650" s="15"/>
      <c r="AQ1650" s="15"/>
      <c r="AR1650" s="15"/>
      <c r="AS1650" s="15"/>
      <c r="AT1650" s="15"/>
      <c r="AU1650" s="15"/>
      <c r="AV1650" s="15"/>
      <c r="AW1650" s="15"/>
    </row>
    <row r="1651" spans="3:49" x14ac:dyDescent="0.2">
      <c r="C1651" s="15"/>
      <c r="D1651" s="15"/>
      <c r="E1651" s="15"/>
      <c r="F1651" s="15"/>
      <c r="G1651" s="15"/>
      <c r="H1651" s="15"/>
      <c r="I1651" s="15"/>
      <c r="J1651" s="15"/>
      <c r="K1651" s="15"/>
      <c r="L1651" s="28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5"/>
      <c r="AG1651" s="15"/>
      <c r="AH1651" s="15"/>
      <c r="AI1651" s="15"/>
      <c r="AJ1651" s="15"/>
      <c r="AK1651" s="15"/>
      <c r="AL1651" s="15"/>
      <c r="AM1651" s="15"/>
      <c r="AN1651" s="15"/>
      <c r="AO1651" s="15"/>
      <c r="AP1651" s="15"/>
      <c r="AQ1651" s="15"/>
      <c r="AR1651" s="15"/>
      <c r="AS1651" s="15"/>
      <c r="AT1651" s="15"/>
      <c r="AU1651" s="15"/>
      <c r="AV1651" s="15"/>
      <c r="AW1651" s="15"/>
    </row>
    <row r="1652" spans="3:49" x14ac:dyDescent="0.2">
      <c r="C1652" s="15"/>
      <c r="D1652" s="15"/>
      <c r="E1652" s="15"/>
      <c r="F1652" s="15"/>
      <c r="G1652" s="15"/>
      <c r="H1652" s="15"/>
      <c r="I1652" s="15"/>
      <c r="J1652" s="15"/>
      <c r="K1652" s="15"/>
      <c r="L1652" s="28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5"/>
      <c r="AG1652" s="15"/>
      <c r="AH1652" s="15"/>
      <c r="AI1652" s="15"/>
      <c r="AJ1652" s="15"/>
      <c r="AK1652" s="15"/>
      <c r="AL1652" s="15"/>
      <c r="AM1652" s="15"/>
      <c r="AN1652" s="15"/>
      <c r="AO1652" s="15"/>
      <c r="AP1652" s="15"/>
      <c r="AQ1652" s="15"/>
      <c r="AR1652" s="15"/>
      <c r="AS1652" s="15"/>
      <c r="AT1652" s="15"/>
      <c r="AU1652" s="15"/>
      <c r="AV1652" s="15"/>
      <c r="AW1652" s="15"/>
    </row>
    <row r="1653" spans="3:49" x14ac:dyDescent="0.2">
      <c r="C1653" s="15"/>
      <c r="D1653" s="15"/>
      <c r="E1653" s="15"/>
      <c r="F1653" s="15"/>
      <c r="G1653" s="15"/>
      <c r="H1653" s="15"/>
      <c r="I1653" s="15"/>
      <c r="J1653" s="15"/>
      <c r="K1653" s="15"/>
      <c r="L1653" s="28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5"/>
      <c r="AG1653" s="15"/>
      <c r="AH1653" s="15"/>
      <c r="AI1653" s="15"/>
      <c r="AJ1653" s="15"/>
      <c r="AK1653" s="15"/>
      <c r="AL1653" s="15"/>
      <c r="AM1653" s="15"/>
      <c r="AN1653" s="15"/>
      <c r="AO1653" s="15"/>
      <c r="AP1653" s="15"/>
      <c r="AQ1653" s="15"/>
      <c r="AR1653" s="15"/>
      <c r="AS1653" s="15"/>
      <c r="AT1653" s="15"/>
      <c r="AU1653" s="15"/>
      <c r="AV1653" s="15"/>
      <c r="AW1653" s="15"/>
    </row>
    <row r="1654" spans="3:49" x14ac:dyDescent="0.2">
      <c r="C1654" s="15"/>
      <c r="D1654" s="15"/>
      <c r="E1654" s="15"/>
      <c r="F1654" s="15"/>
      <c r="G1654" s="15"/>
      <c r="H1654" s="15"/>
      <c r="I1654" s="15"/>
      <c r="J1654" s="15"/>
      <c r="K1654" s="15"/>
      <c r="L1654" s="28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5"/>
      <c r="AG1654" s="15"/>
      <c r="AH1654" s="15"/>
      <c r="AI1654" s="15"/>
      <c r="AJ1654" s="15"/>
      <c r="AK1654" s="15"/>
      <c r="AL1654" s="15"/>
      <c r="AM1654" s="15"/>
      <c r="AN1654" s="15"/>
      <c r="AO1654" s="15"/>
      <c r="AP1654" s="15"/>
      <c r="AQ1654" s="15"/>
      <c r="AR1654" s="15"/>
      <c r="AS1654" s="15"/>
      <c r="AT1654" s="15"/>
      <c r="AU1654" s="15"/>
      <c r="AV1654" s="15"/>
      <c r="AW1654" s="15"/>
    </row>
    <row r="1655" spans="3:49" x14ac:dyDescent="0.2">
      <c r="C1655" s="15"/>
      <c r="D1655" s="15"/>
      <c r="E1655" s="15"/>
      <c r="F1655" s="15"/>
      <c r="G1655" s="15"/>
      <c r="H1655" s="15"/>
      <c r="I1655" s="15"/>
      <c r="J1655" s="15"/>
      <c r="K1655" s="15"/>
      <c r="L1655" s="28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5"/>
      <c r="AG1655" s="15"/>
      <c r="AH1655" s="15"/>
      <c r="AI1655" s="15"/>
      <c r="AJ1655" s="15"/>
      <c r="AK1655" s="15"/>
      <c r="AL1655" s="15"/>
      <c r="AM1655" s="15"/>
      <c r="AN1655" s="15"/>
      <c r="AO1655" s="15"/>
      <c r="AP1655" s="15"/>
      <c r="AQ1655" s="15"/>
      <c r="AR1655" s="15"/>
      <c r="AS1655" s="15"/>
      <c r="AT1655" s="15"/>
      <c r="AU1655" s="15"/>
      <c r="AV1655" s="15"/>
      <c r="AW1655" s="15"/>
    </row>
    <row r="1656" spans="3:49" x14ac:dyDescent="0.2">
      <c r="C1656" s="15"/>
      <c r="D1656" s="15"/>
      <c r="E1656" s="15"/>
      <c r="F1656" s="15"/>
      <c r="G1656" s="15"/>
      <c r="H1656" s="15"/>
      <c r="I1656" s="15"/>
      <c r="J1656" s="15"/>
      <c r="K1656" s="15"/>
      <c r="L1656" s="28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5"/>
      <c r="AG1656" s="15"/>
      <c r="AH1656" s="15"/>
      <c r="AI1656" s="15"/>
      <c r="AJ1656" s="15"/>
      <c r="AK1656" s="15"/>
      <c r="AL1656" s="15"/>
      <c r="AM1656" s="15"/>
      <c r="AN1656" s="15"/>
      <c r="AO1656" s="15"/>
      <c r="AP1656" s="15"/>
      <c r="AQ1656" s="15"/>
      <c r="AR1656" s="15"/>
      <c r="AS1656" s="15"/>
      <c r="AT1656" s="15"/>
      <c r="AU1656" s="15"/>
      <c r="AV1656" s="15"/>
      <c r="AW1656" s="15"/>
    </row>
    <row r="1657" spans="3:49" x14ac:dyDescent="0.2">
      <c r="C1657" s="15"/>
      <c r="D1657" s="15"/>
      <c r="E1657" s="15"/>
      <c r="F1657" s="15"/>
      <c r="G1657" s="15"/>
      <c r="H1657" s="15"/>
      <c r="I1657" s="15"/>
      <c r="J1657" s="15"/>
      <c r="K1657" s="15"/>
      <c r="L1657" s="28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5"/>
      <c r="AG1657" s="15"/>
      <c r="AH1657" s="15"/>
      <c r="AI1657" s="15"/>
      <c r="AJ1657" s="15"/>
      <c r="AK1657" s="15"/>
      <c r="AL1657" s="15"/>
      <c r="AM1657" s="15"/>
      <c r="AN1657" s="15"/>
      <c r="AO1657" s="15"/>
      <c r="AP1657" s="15"/>
      <c r="AQ1657" s="15"/>
      <c r="AR1657" s="15"/>
      <c r="AS1657" s="15"/>
      <c r="AT1657" s="15"/>
      <c r="AU1657" s="15"/>
      <c r="AV1657" s="15"/>
      <c r="AW1657" s="15"/>
    </row>
    <row r="1658" spans="3:49" x14ac:dyDescent="0.2">
      <c r="C1658" s="15"/>
      <c r="D1658" s="15"/>
      <c r="E1658" s="15"/>
      <c r="F1658" s="15"/>
      <c r="G1658" s="15"/>
      <c r="H1658" s="15"/>
      <c r="I1658" s="15"/>
      <c r="J1658" s="15"/>
      <c r="K1658" s="15"/>
      <c r="L1658" s="28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5"/>
      <c r="AG1658" s="15"/>
      <c r="AH1658" s="15"/>
      <c r="AI1658" s="15"/>
      <c r="AJ1658" s="15"/>
      <c r="AK1658" s="15"/>
      <c r="AL1658" s="15"/>
      <c r="AM1658" s="15"/>
      <c r="AN1658" s="15"/>
      <c r="AO1658" s="15"/>
      <c r="AP1658" s="15"/>
      <c r="AQ1658" s="15"/>
      <c r="AR1658" s="15"/>
      <c r="AS1658" s="15"/>
      <c r="AT1658" s="15"/>
      <c r="AU1658" s="15"/>
      <c r="AV1658" s="15"/>
      <c r="AW1658" s="15"/>
    </row>
    <row r="1659" spans="3:49" x14ac:dyDescent="0.2">
      <c r="C1659" s="15"/>
      <c r="D1659" s="15"/>
      <c r="E1659" s="15"/>
      <c r="F1659" s="15"/>
      <c r="G1659" s="15"/>
      <c r="H1659" s="15"/>
      <c r="I1659" s="15"/>
      <c r="J1659" s="15"/>
      <c r="K1659" s="15"/>
      <c r="L1659" s="28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5"/>
      <c r="AG1659" s="15"/>
      <c r="AH1659" s="15"/>
      <c r="AI1659" s="15"/>
      <c r="AJ1659" s="15"/>
      <c r="AK1659" s="15"/>
      <c r="AL1659" s="15"/>
      <c r="AM1659" s="15"/>
      <c r="AN1659" s="15"/>
      <c r="AO1659" s="15"/>
      <c r="AP1659" s="15"/>
      <c r="AQ1659" s="15"/>
      <c r="AR1659" s="15"/>
      <c r="AS1659" s="15"/>
      <c r="AT1659" s="15"/>
      <c r="AU1659" s="15"/>
      <c r="AV1659" s="15"/>
      <c r="AW1659" s="15"/>
    </row>
    <row r="1660" spans="3:49" x14ac:dyDescent="0.2">
      <c r="C1660" s="15"/>
      <c r="D1660" s="15"/>
      <c r="E1660" s="15"/>
      <c r="F1660" s="15"/>
      <c r="G1660" s="15"/>
      <c r="H1660" s="15"/>
      <c r="I1660" s="15"/>
      <c r="J1660" s="15"/>
      <c r="K1660" s="15"/>
      <c r="L1660" s="28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5"/>
      <c r="AG1660" s="15"/>
      <c r="AH1660" s="15"/>
      <c r="AI1660" s="15"/>
      <c r="AJ1660" s="15"/>
      <c r="AK1660" s="15"/>
      <c r="AL1660" s="15"/>
      <c r="AM1660" s="15"/>
      <c r="AN1660" s="15"/>
      <c r="AO1660" s="15"/>
      <c r="AP1660" s="15"/>
      <c r="AQ1660" s="15"/>
      <c r="AR1660" s="15"/>
      <c r="AS1660" s="15"/>
      <c r="AT1660" s="15"/>
      <c r="AU1660" s="15"/>
      <c r="AV1660" s="15"/>
      <c r="AW1660" s="15"/>
    </row>
    <row r="1661" spans="3:49" x14ac:dyDescent="0.2">
      <c r="C1661" s="15"/>
      <c r="D1661" s="15"/>
      <c r="E1661" s="15"/>
      <c r="F1661" s="15"/>
      <c r="G1661" s="15"/>
      <c r="H1661" s="15"/>
      <c r="I1661" s="15"/>
      <c r="J1661" s="15"/>
      <c r="K1661" s="15"/>
      <c r="L1661" s="28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5"/>
      <c r="AG1661" s="15"/>
      <c r="AH1661" s="15"/>
      <c r="AI1661" s="15"/>
      <c r="AJ1661" s="15"/>
      <c r="AK1661" s="15"/>
      <c r="AL1661" s="15"/>
      <c r="AM1661" s="15"/>
      <c r="AN1661" s="15"/>
      <c r="AO1661" s="15"/>
      <c r="AP1661" s="15"/>
      <c r="AQ1661" s="15"/>
      <c r="AR1661" s="15"/>
      <c r="AS1661" s="15"/>
      <c r="AT1661" s="15"/>
      <c r="AU1661" s="15"/>
      <c r="AV1661" s="15"/>
      <c r="AW1661" s="15"/>
    </row>
    <row r="1662" spans="3:49" x14ac:dyDescent="0.2">
      <c r="C1662" s="15"/>
      <c r="D1662" s="15"/>
      <c r="E1662" s="15"/>
      <c r="F1662" s="15"/>
      <c r="G1662" s="15"/>
      <c r="H1662" s="15"/>
      <c r="I1662" s="15"/>
      <c r="J1662" s="15"/>
      <c r="K1662" s="15"/>
      <c r="L1662" s="28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5"/>
      <c r="AG1662" s="15"/>
      <c r="AH1662" s="15"/>
      <c r="AI1662" s="15"/>
      <c r="AJ1662" s="15"/>
      <c r="AK1662" s="15"/>
      <c r="AL1662" s="15"/>
      <c r="AM1662" s="15"/>
      <c r="AN1662" s="15"/>
      <c r="AO1662" s="15"/>
      <c r="AP1662" s="15"/>
      <c r="AQ1662" s="15"/>
      <c r="AR1662" s="15"/>
      <c r="AS1662" s="15"/>
      <c r="AT1662" s="15"/>
      <c r="AU1662" s="15"/>
      <c r="AV1662" s="15"/>
      <c r="AW1662" s="15"/>
    </row>
    <row r="1663" spans="3:49" x14ac:dyDescent="0.2">
      <c r="C1663" s="15"/>
      <c r="D1663" s="15"/>
      <c r="E1663" s="15"/>
      <c r="F1663" s="15"/>
      <c r="G1663" s="15"/>
      <c r="H1663" s="15"/>
      <c r="I1663" s="15"/>
      <c r="J1663" s="15"/>
      <c r="K1663" s="15"/>
      <c r="L1663" s="28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5"/>
      <c r="AG1663" s="15"/>
      <c r="AH1663" s="15"/>
      <c r="AI1663" s="15"/>
      <c r="AJ1663" s="15"/>
      <c r="AK1663" s="15"/>
      <c r="AL1663" s="15"/>
      <c r="AM1663" s="15"/>
      <c r="AN1663" s="15"/>
      <c r="AO1663" s="15"/>
      <c r="AP1663" s="15"/>
      <c r="AQ1663" s="15"/>
      <c r="AR1663" s="15"/>
      <c r="AS1663" s="15"/>
      <c r="AT1663" s="15"/>
      <c r="AU1663" s="15"/>
      <c r="AV1663" s="15"/>
      <c r="AW1663" s="15"/>
    </row>
    <row r="1664" spans="3:49" x14ac:dyDescent="0.2">
      <c r="C1664" s="15"/>
      <c r="D1664" s="15"/>
      <c r="E1664" s="15"/>
      <c r="F1664" s="15"/>
      <c r="G1664" s="15"/>
      <c r="H1664" s="15"/>
      <c r="I1664" s="15"/>
      <c r="J1664" s="15"/>
      <c r="K1664" s="15"/>
      <c r="L1664" s="28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5"/>
      <c r="AG1664" s="15"/>
      <c r="AH1664" s="15"/>
      <c r="AI1664" s="15"/>
      <c r="AJ1664" s="15"/>
      <c r="AK1664" s="15"/>
      <c r="AL1664" s="15"/>
      <c r="AM1664" s="15"/>
      <c r="AN1664" s="15"/>
      <c r="AO1664" s="15"/>
      <c r="AP1664" s="15"/>
      <c r="AQ1664" s="15"/>
      <c r="AR1664" s="15"/>
      <c r="AS1664" s="15"/>
      <c r="AT1664" s="15"/>
      <c r="AU1664" s="15"/>
      <c r="AV1664" s="15"/>
      <c r="AW1664" s="15"/>
    </row>
    <row r="1665" spans="3:49" x14ac:dyDescent="0.2">
      <c r="C1665" s="15"/>
      <c r="D1665" s="15"/>
      <c r="E1665" s="15"/>
      <c r="F1665" s="15"/>
      <c r="G1665" s="15"/>
      <c r="H1665" s="15"/>
      <c r="I1665" s="15"/>
      <c r="J1665" s="15"/>
      <c r="K1665" s="15"/>
      <c r="L1665" s="28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5"/>
      <c r="AG1665" s="15"/>
      <c r="AH1665" s="15"/>
      <c r="AI1665" s="15"/>
      <c r="AJ1665" s="15"/>
      <c r="AK1665" s="15"/>
      <c r="AL1665" s="15"/>
      <c r="AM1665" s="15"/>
      <c r="AN1665" s="15"/>
      <c r="AO1665" s="15"/>
      <c r="AP1665" s="15"/>
      <c r="AQ1665" s="15"/>
      <c r="AR1665" s="15"/>
      <c r="AS1665" s="15"/>
      <c r="AT1665" s="15"/>
      <c r="AU1665" s="15"/>
      <c r="AV1665" s="15"/>
      <c r="AW1665" s="15"/>
    </row>
    <row r="1666" spans="3:49" x14ac:dyDescent="0.2">
      <c r="C1666" s="15"/>
      <c r="D1666" s="15"/>
      <c r="E1666" s="15"/>
      <c r="F1666" s="15"/>
      <c r="G1666" s="15"/>
      <c r="H1666" s="15"/>
      <c r="I1666" s="15"/>
      <c r="J1666" s="15"/>
      <c r="K1666" s="15"/>
      <c r="L1666" s="28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5"/>
      <c r="AG1666" s="15"/>
      <c r="AH1666" s="15"/>
      <c r="AI1666" s="15"/>
      <c r="AJ1666" s="15"/>
      <c r="AK1666" s="15"/>
      <c r="AL1666" s="15"/>
      <c r="AM1666" s="15"/>
      <c r="AN1666" s="15"/>
      <c r="AO1666" s="15"/>
      <c r="AP1666" s="15"/>
      <c r="AQ1666" s="15"/>
      <c r="AR1666" s="15"/>
      <c r="AS1666" s="15"/>
      <c r="AT1666" s="15"/>
      <c r="AU1666" s="15"/>
      <c r="AV1666" s="15"/>
      <c r="AW1666" s="15"/>
    </row>
    <row r="1667" spans="3:49" x14ac:dyDescent="0.2">
      <c r="C1667" s="15"/>
      <c r="D1667" s="15"/>
      <c r="E1667" s="15"/>
      <c r="F1667" s="15"/>
      <c r="G1667" s="15"/>
      <c r="H1667" s="15"/>
      <c r="I1667" s="15"/>
      <c r="J1667" s="15"/>
      <c r="K1667" s="15"/>
      <c r="L1667" s="28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5"/>
      <c r="AG1667" s="15"/>
      <c r="AH1667" s="15"/>
      <c r="AI1667" s="15"/>
      <c r="AJ1667" s="15"/>
      <c r="AK1667" s="15"/>
      <c r="AL1667" s="15"/>
      <c r="AM1667" s="15"/>
      <c r="AN1667" s="15"/>
      <c r="AO1667" s="15"/>
      <c r="AP1667" s="15"/>
      <c r="AQ1667" s="15"/>
      <c r="AR1667" s="15"/>
      <c r="AS1667" s="15"/>
      <c r="AT1667" s="15"/>
      <c r="AU1667" s="15"/>
      <c r="AV1667" s="15"/>
      <c r="AW1667" s="15"/>
    </row>
    <row r="1668" spans="3:49" x14ac:dyDescent="0.2">
      <c r="C1668" s="15"/>
      <c r="D1668" s="15"/>
      <c r="E1668" s="15"/>
      <c r="F1668" s="15"/>
      <c r="G1668" s="15"/>
      <c r="H1668" s="15"/>
      <c r="I1668" s="15"/>
      <c r="J1668" s="15"/>
      <c r="K1668" s="15"/>
      <c r="L1668" s="28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5"/>
      <c r="AG1668" s="15"/>
      <c r="AH1668" s="15"/>
      <c r="AI1668" s="15"/>
      <c r="AJ1668" s="15"/>
      <c r="AK1668" s="15"/>
      <c r="AL1668" s="15"/>
      <c r="AM1668" s="15"/>
      <c r="AN1668" s="15"/>
      <c r="AO1668" s="15"/>
      <c r="AP1668" s="15"/>
      <c r="AQ1668" s="15"/>
      <c r="AR1668" s="15"/>
      <c r="AS1668" s="15"/>
      <c r="AT1668" s="15"/>
      <c r="AU1668" s="15"/>
      <c r="AV1668" s="15"/>
      <c r="AW1668" s="15"/>
    </row>
    <row r="1669" spans="3:49" x14ac:dyDescent="0.2">
      <c r="C1669" s="15"/>
      <c r="D1669" s="15"/>
      <c r="E1669" s="15"/>
      <c r="F1669" s="15"/>
      <c r="G1669" s="15"/>
      <c r="H1669" s="15"/>
      <c r="I1669" s="15"/>
      <c r="J1669" s="15"/>
      <c r="K1669" s="15"/>
      <c r="L1669" s="28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5"/>
      <c r="AG1669" s="15"/>
      <c r="AH1669" s="15"/>
      <c r="AI1669" s="15"/>
      <c r="AJ1669" s="15"/>
      <c r="AK1669" s="15"/>
      <c r="AL1669" s="15"/>
      <c r="AM1669" s="15"/>
      <c r="AN1669" s="15"/>
      <c r="AO1669" s="15"/>
      <c r="AP1669" s="15"/>
      <c r="AQ1669" s="15"/>
      <c r="AR1669" s="15"/>
      <c r="AS1669" s="15"/>
      <c r="AT1669" s="15"/>
      <c r="AU1669" s="15"/>
      <c r="AV1669" s="15"/>
      <c r="AW1669" s="15"/>
    </row>
    <row r="1670" spans="3:49" x14ac:dyDescent="0.2">
      <c r="C1670" s="15"/>
      <c r="D1670" s="15"/>
      <c r="E1670" s="15"/>
      <c r="F1670" s="15"/>
      <c r="G1670" s="15"/>
      <c r="H1670" s="15"/>
      <c r="I1670" s="15"/>
      <c r="J1670" s="15"/>
      <c r="K1670" s="15"/>
      <c r="L1670" s="28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5"/>
      <c r="AG1670" s="15"/>
      <c r="AH1670" s="15"/>
      <c r="AI1670" s="15"/>
      <c r="AJ1670" s="15"/>
      <c r="AK1670" s="15"/>
      <c r="AL1670" s="15"/>
      <c r="AM1670" s="15"/>
      <c r="AN1670" s="15"/>
      <c r="AO1670" s="15"/>
      <c r="AP1670" s="15"/>
      <c r="AQ1670" s="15"/>
      <c r="AR1670" s="15"/>
      <c r="AS1670" s="15"/>
      <c r="AT1670" s="15"/>
      <c r="AU1670" s="15"/>
      <c r="AV1670" s="15"/>
      <c r="AW1670" s="15"/>
    </row>
    <row r="1671" spans="3:49" x14ac:dyDescent="0.2">
      <c r="C1671" s="15"/>
      <c r="D1671" s="15"/>
      <c r="E1671" s="15"/>
      <c r="F1671" s="15"/>
      <c r="G1671" s="15"/>
      <c r="H1671" s="15"/>
      <c r="I1671" s="15"/>
      <c r="J1671" s="15"/>
      <c r="K1671" s="15"/>
      <c r="L1671" s="28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5"/>
      <c r="AG1671" s="15"/>
      <c r="AH1671" s="15"/>
      <c r="AI1671" s="15"/>
      <c r="AJ1671" s="15"/>
      <c r="AK1671" s="15"/>
      <c r="AL1671" s="15"/>
      <c r="AM1671" s="15"/>
      <c r="AN1671" s="15"/>
      <c r="AO1671" s="15"/>
      <c r="AP1671" s="15"/>
      <c r="AQ1671" s="15"/>
      <c r="AR1671" s="15"/>
      <c r="AS1671" s="15"/>
      <c r="AT1671" s="15"/>
      <c r="AU1671" s="15"/>
      <c r="AV1671" s="15"/>
      <c r="AW1671" s="15"/>
    </row>
    <row r="1672" spans="3:49" x14ac:dyDescent="0.2">
      <c r="C1672" s="15"/>
      <c r="D1672" s="15"/>
      <c r="E1672" s="15"/>
      <c r="F1672" s="15"/>
      <c r="G1672" s="15"/>
      <c r="H1672" s="15"/>
      <c r="I1672" s="15"/>
      <c r="J1672" s="15"/>
      <c r="K1672" s="15"/>
      <c r="L1672" s="28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  <c r="AN1672" s="15"/>
      <c r="AO1672" s="15"/>
      <c r="AP1672" s="15"/>
      <c r="AQ1672" s="15"/>
      <c r="AR1672" s="15"/>
      <c r="AS1672" s="15"/>
      <c r="AT1672" s="15"/>
      <c r="AU1672" s="15"/>
      <c r="AV1672" s="15"/>
      <c r="AW1672" s="15"/>
    </row>
    <row r="1673" spans="3:49" x14ac:dyDescent="0.2">
      <c r="C1673" s="15"/>
      <c r="D1673" s="15"/>
      <c r="E1673" s="15"/>
      <c r="F1673" s="15"/>
      <c r="G1673" s="15"/>
      <c r="H1673" s="15"/>
      <c r="I1673" s="15"/>
      <c r="J1673" s="15"/>
      <c r="K1673" s="15"/>
      <c r="L1673" s="28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  <c r="AN1673" s="15"/>
      <c r="AO1673" s="15"/>
      <c r="AP1673" s="15"/>
      <c r="AQ1673" s="15"/>
      <c r="AR1673" s="15"/>
      <c r="AS1673" s="15"/>
      <c r="AT1673" s="15"/>
      <c r="AU1673" s="15"/>
      <c r="AV1673" s="15"/>
      <c r="AW1673" s="15"/>
    </row>
    <row r="1674" spans="3:49" x14ac:dyDescent="0.2">
      <c r="C1674" s="15"/>
      <c r="D1674" s="15"/>
      <c r="E1674" s="15"/>
      <c r="F1674" s="15"/>
      <c r="G1674" s="15"/>
      <c r="H1674" s="15"/>
      <c r="I1674" s="15"/>
      <c r="J1674" s="15"/>
      <c r="K1674" s="15"/>
      <c r="L1674" s="28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  <c r="AN1674" s="15"/>
      <c r="AO1674" s="15"/>
      <c r="AP1674" s="15"/>
      <c r="AQ1674" s="15"/>
      <c r="AR1674" s="15"/>
      <c r="AS1674" s="15"/>
      <c r="AT1674" s="15"/>
      <c r="AU1674" s="15"/>
      <c r="AV1674" s="15"/>
      <c r="AW1674" s="15"/>
    </row>
    <row r="1675" spans="3:49" x14ac:dyDescent="0.2">
      <c r="C1675" s="15"/>
      <c r="D1675" s="15"/>
      <c r="E1675" s="15"/>
      <c r="F1675" s="15"/>
      <c r="G1675" s="15"/>
      <c r="H1675" s="15"/>
      <c r="I1675" s="15"/>
      <c r="J1675" s="15"/>
      <c r="K1675" s="15"/>
      <c r="L1675" s="28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  <c r="AN1675" s="15"/>
      <c r="AO1675" s="15"/>
      <c r="AP1675" s="15"/>
      <c r="AQ1675" s="15"/>
      <c r="AR1675" s="15"/>
      <c r="AS1675" s="15"/>
      <c r="AT1675" s="15"/>
      <c r="AU1675" s="15"/>
      <c r="AV1675" s="15"/>
      <c r="AW1675" s="15"/>
    </row>
    <row r="1676" spans="3:49" x14ac:dyDescent="0.2">
      <c r="C1676" s="15"/>
      <c r="D1676" s="15"/>
      <c r="E1676" s="15"/>
      <c r="F1676" s="15"/>
      <c r="G1676" s="15"/>
      <c r="H1676" s="15"/>
      <c r="I1676" s="15"/>
      <c r="J1676" s="15"/>
      <c r="K1676" s="15"/>
      <c r="L1676" s="28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  <c r="AN1676" s="15"/>
      <c r="AO1676" s="15"/>
      <c r="AP1676" s="15"/>
      <c r="AQ1676" s="15"/>
      <c r="AR1676" s="15"/>
      <c r="AS1676" s="15"/>
      <c r="AT1676" s="15"/>
      <c r="AU1676" s="15"/>
      <c r="AV1676" s="15"/>
      <c r="AW1676" s="15"/>
    </row>
    <row r="1677" spans="3:49" x14ac:dyDescent="0.2">
      <c r="C1677" s="15"/>
      <c r="D1677" s="15"/>
      <c r="E1677" s="15"/>
      <c r="F1677" s="15"/>
      <c r="G1677" s="15"/>
      <c r="H1677" s="15"/>
      <c r="I1677" s="15"/>
      <c r="J1677" s="15"/>
      <c r="K1677" s="15"/>
      <c r="L1677" s="28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5"/>
      <c r="AG1677" s="15"/>
      <c r="AH1677" s="15"/>
      <c r="AI1677" s="15"/>
      <c r="AJ1677" s="15"/>
      <c r="AK1677" s="15"/>
      <c r="AL1677" s="15"/>
      <c r="AM1677" s="15"/>
      <c r="AN1677" s="15"/>
      <c r="AO1677" s="15"/>
      <c r="AP1677" s="15"/>
      <c r="AQ1677" s="15"/>
      <c r="AR1677" s="15"/>
      <c r="AS1677" s="15"/>
      <c r="AT1677" s="15"/>
      <c r="AU1677" s="15"/>
      <c r="AV1677" s="15"/>
      <c r="AW1677" s="15"/>
    </row>
    <row r="1678" spans="3:49" x14ac:dyDescent="0.2">
      <c r="C1678" s="15"/>
      <c r="D1678" s="15"/>
      <c r="E1678" s="15"/>
      <c r="F1678" s="15"/>
      <c r="G1678" s="15"/>
      <c r="H1678" s="15"/>
      <c r="I1678" s="15"/>
      <c r="J1678" s="15"/>
      <c r="K1678" s="15"/>
      <c r="L1678" s="28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5"/>
      <c r="AG1678" s="15"/>
      <c r="AH1678" s="15"/>
      <c r="AI1678" s="15"/>
      <c r="AJ1678" s="15"/>
      <c r="AK1678" s="15"/>
      <c r="AL1678" s="15"/>
      <c r="AM1678" s="15"/>
      <c r="AN1678" s="15"/>
      <c r="AO1678" s="15"/>
      <c r="AP1678" s="15"/>
      <c r="AQ1678" s="15"/>
      <c r="AR1678" s="15"/>
      <c r="AS1678" s="15"/>
      <c r="AT1678" s="15"/>
      <c r="AU1678" s="15"/>
      <c r="AV1678" s="15"/>
      <c r="AW1678" s="15"/>
    </row>
    <row r="1679" spans="3:49" x14ac:dyDescent="0.2">
      <c r="C1679" s="15"/>
      <c r="D1679" s="15"/>
      <c r="E1679" s="15"/>
      <c r="F1679" s="15"/>
      <c r="G1679" s="15"/>
      <c r="H1679" s="15"/>
      <c r="I1679" s="15"/>
      <c r="J1679" s="15"/>
      <c r="K1679" s="15"/>
      <c r="L1679" s="28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5"/>
      <c r="AG1679" s="15"/>
      <c r="AH1679" s="15"/>
      <c r="AI1679" s="15"/>
      <c r="AJ1679" s="15"/>
      <c r="AK1679" s="15"/>
      <c r="AL1679" s="15"/>
      <c r="AM1679" s="15"/>
      <c r="AN1679" s="15"/>
      <c r="AO1679" s="15"/>
      <c r="AP1679" s="15"/>
      <c r="AQ1679" s="15"/>
      <c r="AR1679" s="15"/>
      <c r="AS1679" s="15"/>
      <c r="AT1679" s="15"/>
      <c r="AU1679" s="15"/>
      <c r="AV1679" s="15"/>
      <c r="AW1679" s="15"/>
    </row>
    <row r="1680" spans="3:49" x14ac:dyDescent="0.2">
      <c r="C1680" s="15"/>
      <c r="D1680" s="15"/>
      <c r="E1680" s="15"/>
      <c r="F1680" s="15"/>
      <c r="G1680" s="15"/>
      <c r="H1680" s="15"/>
      <c r="I1680" s="15"/>
      <c r="J1680" s="15"/>
      <c r="K1680" s="15"/>
      <c r="L1680" s="28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5"/>
      <c r="AG1680" s="15"/>
      <c r="AH1680" s="15"/>
      <c r="AI1680" s="15"/>
      <c r="AJ1680" s="15"/>
      <c r="AK1680" s="15"/>
      <c r="AL1680" s="15"/>
      <c r="AM1680" s="15"/>
      <c r="AN1680" s="15"/>
      <c r="AO1680" s="15"/>
      <c r="AP1680" s="15"/>
      <c r="AQ1680" s="15"/>
      <c r="AR1680" s="15"/>
      <c r="AS1680" s="15"/>
      <c r="AT1680" s="15"/>
      <c r="AU1680" s="15"/>
      <c r="AV1680" s="15"/>
      <c r="AW1680" s="15"/>
    </row>
    <row r="1681" spans="3:49" x14ac:dyDescent="0.2">
      <c r="C1681" s="15"/>
      <c r="D1681" s="15"/>
      <c r="E1681" s="15"/>
      <c r="F1681" s="15"/>
      <c r="G1681" s="15"/>
      <c r="H1681" s="15"/>
      <c r="I1681" s="15"/>
      <c r="J1681" s="15"/>
      <c r="K1681" s="15"/>
      <c r="L1681" s="28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5"/>
      <c r="AG1681" s="15"/>
      <c r="AH1681" s="15"/>
      <c r="AI1681" s="15"/>
      <c r="AJ1681" s="15"/>
      <c r="AK1681" s="15"/>
      <c r="AL1681" s="15"/>
      <c r="AM1681" s="15"/>
      <c r="AN1681" s="15"/>
      <c r="AO1681" s="15"/>
      <c r="AP1681" s="15"/>
      <c r="AQ1681" s="15"/>
      <c r="AR1681" s="15"/>
      <c r="AS1681" s="15"/>
      <c r="AT1681" s="15"/>
      <c r="AU1681" s="15"/>
      <c r="AV1681" s="15"/>
      <c r="AW1681" s="15"/>
    </row>
    <row r="1682" spans="3:49" x14ac:dyDescent="0.2">
      <c r="C1682" s="15"/>
      <c r="D1682" s="15"/>
      <c r="E1682" s="15"/>
      <c r="F1682" s="15"/>
      <c r="G1682" s="15"/>
      <c r="H1682" s="15"/>
      <c r="I1682" s="15"/>
      <c r="J1682" s="15"/>
      <c r="K1682" s="15"/>
      <c r="L1682" s="28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5"/>
      <c r="AG1682" s="15"/>
      <c r="AH1682" s="15"/>
      <c r="AI1682" s="15"/>
      <c r="AJ1682" s="15"/>
      <c r="AK1682" s="15"/>
      <c r="AL1682" s="15"/>
      <c r="AM1682" s="15"/>
      <c r="AN1682" s="15"/>
      <c r="AO1682" s="15"/>
      <c r="AP1682" s="15"/>
      <c r="AQ1682" s="15"/>
      <c r="AR1682" s="15"/>
      <c r="AS1682" s="15"/>
      <c r="AT1682" s="15"/>
      <c r="AU1682" s="15"/>
      <c r="AV1682" s="15"/>
      <c r="AW1682" s="15"/>
    </row>
    <row r="1683" spans="3:49" x14ac:dyDescent="0.2">
      <c r="C1683" s="15"/>
      <c r="D1683" s="15"/>
      <c r="E1683" s="15"/>
      <c r="F1683" s="15"/>
      <c r="G1683" s="15"/>
      <c r="H1683" s="15"/>
      <c r="I1683" s="15"/>
      <c r="J1683" s="15"/>
      <c r="K1683" s="15"/>
      <c r="L1683" s="28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5"/>
      <c r="AG1683" s="15"/>
      <c r="AH1683" s="15"/>
      <c r="AI1683" s="15"/>
      <c r="AJ1683" s="15"/>
      <c r="AK1683" s="15"/>
      <c r="AL1683" s="15"/>
      <c r="AM1683" s="15"/>
      <c r="AN1683" s="15"/>
      <c r="AO1683" s="15"/>
      <c r="AP1683" s="15"/>
      <c r="AQ1683" s="15"/>
      <c r="AR1683" s="15"/>
      <c r="AS1683" s="15"/>
      <c r="AT1683" s="15"/>
      <c r="AU1683" s="15"/>
      <c r="AV1683" s="15"/>
      <c r="AW1683" s="15"/>
    </row>
    <row r="1684" spans="3:49" x14ac:dyDescent="0.2">
      <c r="C1684" s="15"/>
      <c r="D1684" s="15"/>
      <c r="E1684" s="15"/>
      <c r="F1684" s="15"/>
      <c r="G1684" s="15"/>
      <c r="H1684" s="15"/>
      <c r="I1684" s="15"/>
      <c r="J1684" s="15"/>
      <c r="K1684" s="15"/>
      <c r="L1684" s="28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5"/>
      <c r="AG1684" s="15"/>
      <c r="AH1684" s="15"/>
      <c r="AI1684" s="15"/>
      <c r="AJ1684" s="15"/>
      <c r="AK1684" s="15"/>
      <c r="AL1684" s="15"/>
      <c r="AM1684" s="15"/>
      <c r="AN1684" s="15"/>
      <c r="AO1684" s="15"/>
      <c r="AP1684" s="15"/>
      <c r="AQ1684" s="15"/>
      <c r="AR1684" s="15"/>
      <c r="AS1684" s="15"/>
      <c r="AT1684" s="15"/>
      <c r="AU1684" s="15"/>
      <c r="AV1684" s="15"/>
      <c r="AW1684" s="15"/>
    </row>
    <row r="1685" spans="3:49" x14ac:dyDescent="0.2">
      <c r="C1685" s="15"/>
      <c r="D1685" s="15"/>
      <c r="E1685" s="15"/>
      <c r="F1685" s="15"/>
      <c r="G1685" s="15"/>
      <c r="H1685" s="15"/>
      <c r="I1685" s="15"/>
      <c r="J1685" s="15"/>
      <c r="K1685" s="15"/>
      <c r="L1685" s="28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5"/>
      <c r="AG1685" s="15"/>
      <c r="AH1685" s="15"/>
      <c r="AI1685" s="15"/>
      <c r="AJ1685" s="15"/>
      <c r="AK1685" s="15"/>
      <c r="AL1685" s="15"/>
      <c r="AM1685" s="15"/>
      <c r="AN1685" s="15"/>
      <c r="AO1685" s="15"/>
      <c r="AP1685" s="15"/>
      <c r="AQ1685" s="15"/>
      <c r="AR1685" s="15"/>
      <c r="AS1685" s="15"/>
      <c r="AT1685" s="15"/>
      <c r="AU1685" s="15"/>
      <c r="AV1685" s="15"/>
      <c r="AW1685" s="15"/>
    </row>
    <row r="1686" spans="3:49" x14ac:dyDescent="0.2">
      <c r="C1686" s="15"/>
      <c r="D1686" s="15"/>
      <c r="E1686" s="15"/>
      <c r="F1686" s="15"/>
      <c r="G1686" s="15"/>
      <c r="H1686" s="15"/>
      <c r="I1686" s="15"/>
      <c r="J1686" s="15"/>
      <c r="K1686" s="15"/>
      <c r="L1686" s="28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5"/>
      <c r="AG1686" s="15"/>
      <c r="AH1686" s="15"/>
      <c r="AI1686" s="15"/>
      <c r="AJ1686" s="15"/>
      <c r="AK1686" s="15"/>
      <c r="AL1686" s="15"/>
      <c r="AM1686" s="15"/>
      <c r="AN1686" s="15"/>
      <c r="AO1686" s="15"/>
      <c r="AP1686" s="15"/>
      <c r="AQ1686" s="15"/>
      <c r="AR1686" s="15"/>
      <c r="AS1686" s="15"/>
      <c r="AT1686" s="15"/>
      <c r="AU1686" s="15"/>
      <c r="AV1686" s="15"/>
      <c r="AW1686" s="15"/>
    </row>
    <row r="1687" spans="3:49" x14ac:dyDescent="0.2">
      <c r="C1687" s="15"/>
      <c r="D1687" s="15"/>
      <c r="E1687" s="15"/>
      <c r="F1687" s="15"/>
      <c r="G1687" s="15"/>
      <c r="H1687" s="15"/>
      <c r="I1687" s="15"/>
      <c r="J1687" s="15"/>
      <c r="K1687" s="15"/>
      <c r="L1687" s="28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5"/>
      <c r="AG1687" s="15"/>
      <c r="AH1687" s="15"/>
      <c r="AI1687" s="15"/>
      <c r="AJ1687" s="15"/>
      <c r="AK1687" s="15"/>
      <c r="AL1687" s="15"/>
      <c r="AM1687" s="15"/>
      <c r="AN1687" s="15"/>
      <c r="AO1687" s="15"/>
      <c r="AP1687" s="15"/>
      <c r="AQ1687" s="15"/>
      <c r="AR1687" s="15"/>
      <c r="AS1687" s="15"/>
      <c r="AT1687" s="15"/>
      <c r="AU1687" s="15"/>
      <c r="AV1687" s="15"/>
      <c r="AW1687" s="15"/>
    </row>
    <row r="1688" spans="3:49" x14ac:dyDescent="0.2">
      <c r="C1688" s="15"/>
      <c r="D1688" s="15"/>
      <c r="E1688" s="15"/>
      <c r="F1688" s="15"/>
      <c r="G1688" s="15"/>
      <c r="H1688" s="15"/>
      <c r="I1688" s="15"/>
      <c r="J1688" s="15"/>
      <c r="K1688" s="15"/>
      <c r="L1688" s="28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5"/>
      <c r="AG1688" s="15"/>
      <c r="AH1688" s="15"/>
      <c r="AI1688" s="15"/>
      <c r="AJ1688" s="15"/>
      <c r="AK1688" s="15"/>
      <c r="AL1688" s="15"/>
      <c r="AM1688" s="15"/>
      <c r="AN1688" s="15"/>
      <c r="AO1688" s="15"/>
      <c r="AP1688" s="15"/>
      <c r="AQ1688" s="15"/>
      <c r="AR1688" s="15"/>
      <c r="AS1688" s="15"/>
      <c r="AT1688" s="15"/>
      <c r="AU1688" s="15"/>
      <c r="AV1688" s="15"/>
      <c r="AW1688" s="15"/>
    </row>
    <row r="1689" spans="3:49" x14ac:dyDescent="0.2">
      <c r="C1689" s="15"/>
      <c r="D1689" s="15"/>
      <c r="E1689" s="15"/>
      <c r="F1689" s="15"/>
      <c r="G1689" s="15"/>
      <c r="H1689" s="15"/>
      <c r="I1689" s="15"/>
      <c r="J1689" s="15"/>
      <c r="K1689" s="15"/>
      <c r="L1689" s="28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5"/>
      <c r="AG1689" s="15"/>
      <c r="AH1689" s="15"/>
      <c r="AI1689" s="15"/>
      <c r="AJ1689" s="15"/>
      <c r="AK1689" s="15"/>
      <c r="AL1689" s="15"/>
      <c r="AM1689" s="15"/>
      <c r="AN1689" s="15"/>
      <c r="AO1689" s="15"/>
      <c r="AP1689" s="15"/>
      <c r="AQ1689" s="15"/>
      <c r="AR1689" s="15"/>
      <c r="AS1689" s="15"/>
      <c r="AT1689" s="15"/>
      <c r="AU1689" s="15"/>
      <c r="AV1689" s="15"/>
      <c r="AW1689" s="15"/>
    </row>
    <row r="1690" spans="3:49" x14ac:dyDescent="0.2">
      <c r="C1690" s="15"/>
      <c r="D1690" s="15"/>
      <c r="E1690" s="15"/>
      <c r="F1690" s="15"/>
      <c r="G1690" s="15"/>
      <c r="H1690" s="15"/>
      <c r="I1690" s="15"/>
      <c r="J1690" s="15"/>
      <c r="K1690" s="15"/>
      <c r="L1690" s="28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5"/>
      <c r="AG1690" s="15"/>
      <c r="AH1690" s="15"/>
      <c r="AI1690" s="15"/>
      <c r="AJ1690" s="15"/>
      <c r="AK1690" s="15"/>
      <c r="AL1690" s="15"/>
      <c r="AM1690" s="15"/>
      <c r="AN1690" s="15"/>
      <c r="AO1690" s="15"/>
      <c r="AP1690" s="15"/>
      <c r="AQ1690" s="15"/>
      <c r="AR1690" s="15"/>
      <c r="AS1690" s="15"/>
      <c r="AT1690" s="15"/>
      <c r="AU1690" s="15"/>
      <c r="AV1690" s="15"/>
      <c r="AW1690" s="15"/>
    </row>
    <row r="1691" spans="3:49" x14ac:dyDescent="0.2">
      <c r="C1691" s="15"/>
      <c r="D1691" s="15"/>
      <c r="E1691" s="15"/>
      <c r="F1691" s="15"/>
      <c r="G1691" s="15"/>
      <c r="H1691" s="15"/>
      <c r="I1691" s="15"/>
      <c r="J1691" s="15"/>
      <c r="K1691" s="15"/>
      <c r="L1691" s="28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5"/>
      <c r="AG1691" s="15"/>
      <c r="AH1691" s="15"/>
      <c r="AI1691" s="15"/>
      <c r="AJ1691" s="15"/>
      <c r="AK1691" s="15"/>
      <c r="AL1691" s="15"/>
      <c r="AM1691" s="15"/>
      <c r="AN1691" s="15"/>
      <c r="AO1691" s="15"/>
      <c r="AP1691" s="15"/>
      <c r="AQ1691" s="15"/>
      <c r="AR1691" s="15"/>
      <c r="AS1691" s="15"/>
      <c r="AT1691" s="15"/>
      <c r="AU1691" s="15"/>
      <c r="AV1691" s="15"/>
      <c r="AW1691" s="15"/>
    </row>
    <row r="1692" spans="3:49" x14ac:dyDescent="0.2">
      <c r="C1692" s="15"/>
      <c r="D1692" s="15"/>
      <c r="E1692" s="15"/>
      <c r="F1692" s="15"/>
      <c r="G1692" s="15"/>
      <c r="H1692" s="15"/>
      <c r="I1692" s="15"/>
      <c r="J1692" s="15"/>
      <c r="K1692" s="15"/>
      <c r="L1692" s="28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5"/>
      <c r="AG1692" s="15"/>
      <c r="AH1692" s="15"/>
      <c r="AI1692" s="15"/>
      <c r="AJ1692" s="15"/>
      <c r="AK1692" s="15"/>
      <c r="AL1692" s="15"/>
      <c r="AM1692" s="15"/>
      <c r="AN1692" s="15"/>
      <c r="AO1692" s="15"/>
      <c r="AP1692" s="15"/>
      <c r="AQ1692" s="15"/>
      <c r="AR1692" s="15"/>
      <c r="AS1692" s="15"/>
      <c r="AT1692" s="15"/>
      <c r="AU1692" s="15"/>
      <c r="AV1692" s="15"/>
      <c r="AW1692" s="15"/>
    </row>
    <row r="1693" spans="3:49" x14ac:dyDescent="0.2">
      <c r="C1693" s="15"/>
      <c r="D1693" s="15"/>
      <c r="E1693" s="15"/>
      <c r="F1693" s="15"/>
      <c r="G1693" s="15"/>
      <c r="H1693" s="15"/>
      <c r="I1693" s="15"/>
      <c r="J1693" s="15"/>
      <c r="K1693" s="15"/>
      <c r="L1693" s="28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5"/>
      <c r="AG1693" s="15"/>
      <c r="AH1693" s="15"/>
      <c r="AI1693" s="15"/>
      <c r="AJ1693" s="15"/>
      <c r="AK1693" s="15"/>
      <c r="AL1693" s="15"/>
      <c r="AM1693" s="15"/>
      <c r="AN1693" s="15"/>
      <c r="AO1693" s="15"/>
      <c r="AP1693" s="15"/>
      <c r="AQ1693" s="15"/>
      <c r="AR1693" s="15"/>
      <c r="AS1693" s="15"/>
      <c r="AT1693" s="15"/>
      <c r="AU1693" s="15"/>
      <c r="AV1693" s="15"/>
      <c r="AW1693" s="15"/>
    </row>
    <row r="1694" spans="3:49" x14ac:dyDescent="0.2">
      <c r="C1694" s="15"/>
      <c r="D1694" s="15"/>
      <c r="E1694" s="15"/>
      <c r="F1694" s="15"/>
      <c r="G1694" s="15"/>
      <c r="H1694" s="15"/>
      <c r="I1694" s="15"/>
      <c r="J1694" s="15"/>
      <c r="K1694" s="15"/>
      <c r="L1694" s="28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5"/>
      <c r="AG1694" s="15"/>
      <c r="AH1694" s="15"/>
      <c r="AI1694" s="15"/>
      <c r="AJ1694" s="15"/>
      <c r="AK1694" s="15"/>
      <c r="AL1694" s="15"/>
      <c r="AM1694" s="15"/>
      <c r="AN1694" s="15"/>
      <c r="AO1694" s="15"/>
      <c r="AP1694" s="15"/>
      <c r="AQ1694" s="15"/>
      <c r="AR1694" s="15"/>
      <c r="AS1694" s="15"/>
      <c r="AT1694" s="15"/>
      <c r="AU1694" s="15"/>
      <c r="AV1694" s="15"/>
      <c r="AW1694" s="15"/>
    </row>
    <row r="1695" spans="3:49" x14ac:dyDescent="0.2">
      <c r="C1695" s="15"/>
      <c r="D1695" s="15"/>
      <c r="E1695" s="15"/>
      <c r="F1695" s="15"/>
      <c r="G1695" s="15"/>
      <c r="H1695" s="15"/>
      <c r="I1695" s="15"/>
      <c r="J1695" s="15"/>
      <c r="K1695" s="15"/>
      <c r="L1695" s="28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5"/>
      <c r="AG1695" s="15"/>
      <c r="AH1695" s="15"/>
      <c r="AI1695" s="15"/>
      <c r="AJ1695" s="15"/>
      <c r="AK1695" s="15"/>
      <c r="AL1695" s="15"/>
      <c r="AM1695" s="15"/>
      <c r="AN1695" s="15"/>
      <c r="AO1695" s="15"/>
      <c r="AP1695" s="15"/>
      <c r="AQ1695" s="15"/>
      <c r="AR1695" s="15"/>
      <c r="AS1695" s="15"/>
      <c r="AT1695" s="15"/>
      <c r="AU1695" s="15"/>
      <c r="AV1695" s="15"/>
      <c r="AW1695" s="15"/>
    </row>
    <row r="1696" spans="3:49" x14ac:dyDescent="0.2">
      <c r="C1696" s="15"/>
      <c r="D1696" s="15"/>
      <c r="E1696" s="15"/>
      <c r="F1696" s="15"/>
      <c r="G1696" s="15"/>
      <c r="H1696" s="15"/>
      <c r="I1696" s="15"/>
      <c r="J1696" s="15"/>
      <c r="K1696" s="15"/>
      <c r="L1696" s="28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5"/>
      <c r="AG1696" s="15"/>
      <c r="AH1696" s="15"/>
      <c r="AI1696" s="15"/>
      <c r="AJ1696" s="15"/>
      <c r="AK1696" s="15"/>
      <c r="AL1696" s="15"/>
      <c r="AM1696" s="15"/>
      <c r="AN1696" s="15"/>
      <c r="AO1696" s="15"/>
      <c r="AP1696" s="15"/>
      <c r="AQ1696" s="15"/>
      <c r="AR1696" s="15"/>
      <c r="AS1696" s="15"/>
      <c r="AT1696" s="15"/>
      <c r="AU1696" s="15"/>
      <c r="AV1696" s="15"/>
      <c r="AW1696" s="15"/>
    </row>
    <row r="1697" spans="3:49" x14ac:dyDescent="0.2">
      <c r="C1697" s="15"/>
      <c r="D1697" s="15"/>
      <c r="E1697" s="15"/>
      <c r="F1697" s="15"/>
      <c r="G1697" s="15"/>
      <c r="H1697" s="15"/>
      <c r="I1697" s="15"/>
      <c r="J1697" s="15"/>
      <c r="K1697" s="15"/>
      <c r="L1697" s="28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5"/>
      <c r="AG1697" s="15"/>
      <c r="AH1697" s="15"/>
      <c r="AI1697" s="15"/>
      <c r="AJ1697" s="15"/>
      <c r="AK1697" s="15"/>
      <c r="AL1697" s="15"/>
      <c r="AM1697" s="15"/>
      <c r="AN1697" s="15"/>
      <c r="AO1697" s="15"/>
      <c r="AP1697" s="15"/>
      <c r="AQ1697" s="15"/>
      <c r="AR1697" s="15"/>
      <c r="AS1697" s="15"/>
      <c r="AT1697" s="15"/>
      <c r="AU1697" s="15"/>
      <c r="AV1697" s="15"/>
      <c r="AW1697" s="15"/>
    </row>
    <row r="1698" spans="3:49" x14ac:dyDescent="0.2">
      <c r="C1698" s="15"/>
      <c r="D1698" s="15"/>
      <c r="E1698" s="15"/>
      <c r="F1698" s="15"/>
      <c r="G1698" s="15"/>
      <c r="H1698" s="15"/>
      <c r="I1698" s="15"/>
      <c r="J1698" s="15"/>
      <c r="K1698" s="15"/>
      <c r="L1698" s="28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5"/>
      <c r="AG1698" s="15"/>
      <c r="AH1698" s="15"/>
      <c r="AI1698" s="15"/>
      <c r="AJ1698" s="15"/>
      <c r="AK1698" s="15"/>
      <c r="AL1698" s="15"/>
      <c r="AM1698" s="15"/>
      <c r="AN1698" s="15"/>
      <c r="AO1698" s="15"/>
      <c r="AP1698" s="15"/>
      <c r="AQ1698" s="15"/>
      <c r="AR1698" s="15"/>
      <c r="AS1698" s="15"/>
      <c r="AT1698" s="15"/>
      <c r="AU1698" s="15"/>
      <c r="AV1698" s="15"/>
      <c r="AW1698" s="15"/>
    </row>
    <row r="1699" spans="3:49" x14ac:dyDescent="0.2">
      <c r="C1699" s="15"/>
      <c r="D1699" s="15"/>
      <c r="E1699" s="15"/>
      <c r="F1699" s="15"/>
      <c r="G1699" s="15"/>
      <c r="H1699" s="15"/>
      <c r="I1699" s="15"/>
      <c r="J1699" s="15"/>
      <c r="K1699" s="15"/>
      <c r="L1699" s="28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5"/>
      <c r="AG1699" s="15"/>
      <c r="AH1699" s="15"/>
      <c r="AI1699" s="15"/>
      <c r="AJ1699" s="15"/>
      <c r="AK1699" s="15"/>
      <c r="AL1699" s="15"/>
      <c r="AM1699" s="15"/>
      <c r="AN1699" s="15"/>
      <c r="AO1699" s="15"/>
      <c r="AP1699" s="15"/>
      <c r="AQ1699" s="15"/>
      <c r="AR1699" s="15"/>
      <c r="AS1699" s="15"/>
      <c r="AT1699" s="15"/>
      <c r="AU1699" s="15"/>
      <c r="AV1699" s="15"/>
      <c r="AW1699" s="15"/>
    </row>
    <row r="1700" spans="3:49" x14ac:dyDescent="0.2">
      <c r="C1700" s="15"/>
      <c r="D1700" s="15"/>
      <c r="E1700" s="15"/>
      <c r="F1700" s="15"/>
      <c r="G1700" s="15"/>
      <c r="H1700" s="15"/>
      <c r="I1700" s="15"/>
      <c r="J1700" s="15"/>
      <c r="K1700" s="15"/>
      <c r="L1700" s="28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5"/>
      <c r="AG1700" s="15"/>
      <c r="AH1700" s="15"/>
      <c r="AI1700" s="15"/>
      <c r="AJ1700" s="15"/>
      <c r="AK1700" s="15"/>
      <c r="AL1700" s="15"/>
      <c r="AM1700" s="15"/>
      <c r="AN1700" s="15"/>
      <c r="AO1700" s="15"/>
      <c r="AP1700" s="15"/>
      <c r="AQ1700" s="15"/>
      <c r="AR1700" s="15"/>
      <c r="AS1700" s="15"/>
      <c r="AT1700" s="15"/>
      <c r="AU1700" s="15"/>
      <c r="AV1700" s="15"/>
      <c r="AW1700" s="15"/>
    </row>
    <row r="1701" spans="3:49" x14ac:dyDescent="0.2">
      <c r="C1701" s="15"/>
      <c r="D1701" s="15"/>
      <c r="E1701" s="15"/>
      <c r="F1701" s="15"/>
      <c r="G1701" s="15"/>
      <c r="H1701" s="15"/>
      <c r="I1701" s="15"/>
      <c r="J1701" s="15"/>
      <c r="K1701" s="15"/>
      <c r="L1701" s="28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5"/>
      <c r="AG1701" s="15"/>
      <c r="AH1701" s="15"/>
      <c r="AI1701" s="15"/>
      <c r="AJ1701" s="15"/>
      <c r="AK1701" s="15"/>
      <c r="AL1701" s="15"/>
      <c r="AM1701" s="15"/>
      <c r="AN1701" s="15"/>
      <c r="AO1701" s="15"/>
      <c r="AP1701" s="15"/>
      <c r="AQ1701" s="15"/>
      <c r="AR1701" s="15"/>
      <c r="AS1701" s="15"/>
      <c r="AT1701" s="15"/>
      <c r="AU1701" s="15"/>
      <c r="AV1701" s="15"/>
      <c r="AW1701" s="15"/>
    </row>
    <row r="1702" spans="3:49" x14ac:dyDescent="0.2">
      <c r="C1702" s="15"/>
      <c r="D1702" s="15"/>
      <c r="E1702" s="15"/>
      <c r="F1702" s="15"/>
      <c r="G1702" s="15"/>
      <c r="H1702" s="15"/>
      <c r="I1702" s="15"/>
      <c r="J1702" s="15"/>
      <c r="K1702" s="15"/>
      <c r="L1702" s="28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5"/>
      <c r="AG1702" s="15"/>
      <c r="AH1702" s="15"/>
      <c r="AI1702" s="15"/>
      <c r="AJ1702" s="15"/>
      <c r="AK1702" s="15"/>
      <c r="AL1702" s="15"/>
      <c r="AM1702" s="15"/>
      <c r="AN1702" s="15"/>
      <c r="AO1702" s="15"/>
      <c r="AP1702" s="15"/>
      <c r="AQ1702" s="15"/>
      <c r="AR1702" s="15"/>
      <c r="AS1702" s="15"/>
      <c r="AT1702" s="15"/>
      <c r="AU1702" s="15"/>
      <c r="AV1702" s="15"/>
      <c r="AW1702" s="15"/>
    </row>
    <row r="1703" spans="3:49" x14ac:dyDescent="0.2">
      <c r="C1703" s="15"/>
      <c r="D1703" s="15"/>
      <c r="E1703" s="15"/>
      <c r="F1703" s="15"/>
      <c r="G1703" s="15"/>
      <c r="H1703" s="15"/>
      <c r="I1703" s="15"/>
      <c r="J1703" s="15"/>
      <c r="K1703" s="15"/>
      <c r="L1703" s="28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5"/>
      <c r="AG1703" s="15"/>
      <c r="AH1703" s="15"/>
      <c r="AI1703" s="15"/>
      <c r="AJ1703" s="15"/>
      <c r="AK1703" s="15"/>
      <c r="AL1703" s="15"/>
      <c r="AM1703" s="15"/>
      <c r="AN1703" s="15"/>
      <c r="AO1703" s="15"/>
      <c r="AP1703" s="15"/>
      <c r="AQ1703" s="15"/>
      <c r="AR1703" s="15"/>
      <c r="AS1703" s="15"/>
      <c r="AT1703" s="15"/>
      <c r="AU1703" s="15"/>
      <c r="AV1703" s="15"/>
      <c r="AW1703" s="15"/>
    </row>
    <row r="1704" spans="3:49" x14ac:dyDescent="0.2">
      <c r="C1704" s="15"/>
      <c r="D1704" s="15"/>
      <c r="E1704" s="15"/>
      <c r="F1704" s="15"/>
      <c r="G1704" s="15"/>
      <c r="H1704" s="15"/>
      <c r="I1704" s="15"/>
      <c r="J1704" s="15"/>
      <c r="K1704" s="15"/>
      <c r="L1704" s="28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5"/>
      <c r="AG1704" s="15"/>
      <c r="AH1704" s="15"/>
      <c r="AI1704" s="15"/>
      <c r="AJ1704" s="15"/>
      <c r="AK1704" s="15"/>
      <c r="AL1704" s="15"/>
      <c r="AM1704" s="15"/>
      <c r="AN1704" s="15"/>
      <c r="AO1704" s="15"/>
      <c r="AP1704" s="15"/>
      <c r="AQ1704" s="15"/>
      <c r="AR1704" s="15"/>
      <c r="AS1704" s="15"/>
      <c r="AT1704" s="15"/>
      <c r="AU1704" s="15"/>
      <c r="AV1704" s="15"/>
      <c r="AW1704" s="15"/>
    </row>
    <row r="1705" spans="3:49" x14ac:dyDescent="0.2">
      <c r="C1705" s="15"/>
      <c r="D1705" s="15"/>
      <c r="E1705" s="15"/>
      <c r="F1705" s="15"/>
      <c r="G1705" s="15"/>
      <c r="H1705" s="15"/>
      <c r="I1705" s="15"/>
      <c r="J1705" s="15"/>
      <c r="K1705" s="15"/>
      <c r="L1705" s="28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5"/>
      <c r="AG1705" s="15"/>
      <c r="AH1705" s="15"/>
      <c r="AI1705" s="15"/>
      <c r="AJ1705" s="15"/>
      <c r="AK1705" s="15"/>
      <c r="AL1705" s="15"/>
      <c r="AM1705" s="15"/>
      <c r="AN1705" s="15"/>
      <c r="AO1705" s="15"/>
      <c r="AP1705" s="15"/>
      <c r="AQ1705" s="15"/>
      <c r="AR1705" s="15"/>
      <c r="AS1705" s="15"/>
      <c r="AT1705" s="15"/>
      <c r="AU1705" s="15"/>
      <c r="AV1705" s="15"/>
      <c r="AW1705" s="15"/>
    </row>
    <row r="1706" spans="3:49" x14ac:dyDescent="0.2">
      <c r="C1706" s="15"/>
      <c r="D1706" s="15"/>
      <c r="E1706" s="15"/>
      <c r="F1706" s="15"/>
      <c r="G1706" s="15"/>
      <c r="H1706" s="15"/>
      <c r="I1706" s="15"/>
      <c r="J1706" s="15"/>
      <c r="K1706" s="15"/>
      <c r="L1706" s="28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5"/>
      <c r="AG1706" s="15"/>
      <c r="AH1706" s="15"/>
      <c r="AI1706" s="15"/>
      <c r="AJ1706" s="15"/>
      <c r="AK1706" s="15"/>
      <c r="AL1706" s="15"/>
      <c r="AM1706" s="15"/>
      <c r="AN1706" s="15"/>
      <c r="AO1706" s="15"/>
      <c r="AP1706" s="15"/>
      <c r="AQ1706" s="15"/>
      <c r="AR1706" s="15"/>
      <c r="AS1706" s="15"/>
      <c r="AT1706" s="15"/>
      <c r="AU1706" s="15"/>
      <c r="AV1706" s="15"/>
      <c r="AW1706" s="15"/>
    </row>
    <row r="1707" spans="3:49" x14ac:dyDescent="0.2">
      <c r="C1707" s="15"/>
      <c r="D1707" s="15"/>
      <c r="E1707" s="15"/>
      <c r="F1707" s="15"/>
      <c r="G1707" s="15"/>
      <c r="H1707" s="15"/>
      <c r="I1707" s="15"/>
      <c r="J1707" s="15"/>
      <c r="K1707" s="15"/>
      <c r="L1707" s="28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5"/>
      <c r="AG1707" s="15"/>
      <c r="AH1707" s="15"/>
      <c r="AI1707" s="15"/>
      <c r="AJ1707" s="15"/>
      <c r="AK1707" s="15"/>
      <c r="AL1707" s="15"/>
      <c r="AM1707" s="15"/>
      <c r="AN1707" s="15"/>
      <c r="AO1707" s="15"/>
      <c r="AP1707" s="15"/>
      <c r="AQ1707" s="15"/>
      <c r="AR1707" s="15"/>
      <c r="AS1707" s="15"/>
      <c r="AT1707" s="15"/>
      <c r="AU1707" s="15"/>
      <c r="AV1707" s="15"/>
      <c r="AW1707" s="15"/>
    </row>
    <row r="1708" spans="3:49" x14ac:dyDescent="0.2">
      <c r="C1708" s="15"/>
      <c r="D1708" s="15"/>
      <c r="E1708" s="15"/>
      <c r="F1708" s="15"/>
      <c r="G1708" s="15"/>
      <c r="H1708" s="15"/>
      <c r="I1708" s="15"/>
      <c r="J1708" s="15"/>
      <c r="K1708" s="15"/>
      <c r="L1708" s="28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5"/>
      <c r="AG1708" s="15"/>
      <c r="AH1708" s="15"/>
      <c r="AI1708" s="15"/>
      <c r="AJ1708" s="15"/>
      <c r="AK1708" s="15"/>
      <c r="AL1708" s="15"/>
      <c r="AM1708" s="15"/>
      <c r="AN1708" s="15"/>
      <c r="AO1708" s="15"/>
      <c r="AP1708" s="15"/>
      <c r="AQ1708" s="15"/>
      <c r="AR1708" s="15"/>
      <c r="AS1708" s="15"/>
      <c r="AT1708" s="15"/>
      <c r="AU1708" s="15"/>
      <c r="AV1708" s="15"/>
      <c r="AW1708" s="15"/>
    </row>
    <row r="1709" spans="3:49" x14ac:dyDescent="0.2">
      <c r="C1709" s="15"/>
      <c r="D1709" s="15"/>
      <c r="E1709" s="15"/>
      <c r="F1709" s="15"/>
      <c r="G1709" s="15"/>
      <c r="H1709" s="15"/>
      <c r="I1709" s="15"/>
      <c r="J1709" s="15"/>
      <c r="K1709" s="15"/>
      <c r="L1709" s="28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5"/>
      <c r="AG1709" s="15"/>
      <c r="AH1709" s="15"/>
      <c r="AI1709" s="15"/>
      <c r="AJ1709" s="15"/>
      <c r="AK1709" s="15"/>
      <c r="AL1709" s="15"/>
      <c r="AM1709" s="15"/>
      <c r="AN1709" s="15"/>
      <c r="AO1709" s="15"/>
      <c r="AP1709" s="15"/>
      <c r="AQ1709" s="15"/>
      <c r="AR1709" s="15"/>
      <c r="AS1709" s="15"/>
      <c r="AT1709" s="15"/>
      <c r="AU1709" s="15"/>
      <c r="AV1709" s="15"/>
      <c r="AW1709" s="15"/>
    </row>
    <row r="1710" spans="3:49" x14ac:dyDescent="0.2">
      <c r="C1710" s="15"/>
      <c r="D1710" s="15"/>
      <c r="E1710" s="15"/>
      <c r="F1710" s="15"/>
      <c r="G1710" s="15"/>
      <c r="H1710" s="15"/>
      <c r="I1710" s="15"/>
      <c r="J1710" s="15"/>
      <c r="K1710" s="15"/>
      <c r="L1710" s="28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5"/>
      <c r="AG1710" s="15"/>
      <c r="AH1710" s="15"/>
      <c r="AI1710" s="15"/>
      <c r="AJ1710" s="15"/>
      <c r="AK1710" s="15"/>
      <c r="AL1710" s="15"/>
      <c r="AM1710" s="15"/>
      <c r="AN1710" s="15"/>
      <c r="AO1710" s="15"/>
      <c r="AP1710" s="15"/>
      <c r="AQ1710" s="15"/>
      <c r="AR1710" s="15"/>
      <c r="AS1710" s="15"/>
      <c r="AT1710" s="15"/>
      <c r="AU1710" s="15"/>
      <c r="AV1710" s="15"/>
      <c r="AW1710" s="15"/>
    </row>
    <row r="1711" spans="3:49" x14ac:dyDescent="0.2">
      <c r="C1711" s="15"/>
      <c r="D1711" s="15"/>
      <c r="E1711" s="15"/>
      <c r="F1711" s="15"/>
      <c r="G1711" s="15"/>
      <c r="H1711" s="15"/>
      <c r="I1711" s="15"/>
      <c r="J1711" s="15"/>
      <c r="K1711" s="15"/>
      <c r="L1711" s="28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5"/>
      <c r="AG1711" s="15"/>
      <c r="AH1711" s="15"/>
      <c r="AI1711" s="15"/>
      <c r="AJ1711" s="15"/>
      <c r="AK1711" s="15"/>
      <c r="AL1711" s="15"/>
      <c r="AM1711" s="15"/>
      <c r="AN1711" s="15"/>
      <c r="AO1711" s="15"/>
      <c r="AP1711" s="15"/>
      <c r="AQ1711" s="15"/>
      <c r="AR1711" s="15"/>
      <c r="AS1711" s="15"/>
      <c r="AT1711" s="15"/>
      <c r="AU1711" s="15"/>
      <c r="AV1711" s="15"/>
      <c r="AW1711" s="15"/>
    </row>
    <row r="1712" spans="3:49" x14ac:dyDescent="0.2">
      <c r="C1712" s="15"/>
      <c r="D1712" s="15"/>
      <c r="E1712" s="15"/>
      <c r="F1712" s="15"/>
      <c r="G1712" s="15"/>
      <c r="H1712" s="15"/>
      <c r="I1712" s="15"/>
      <c r="J1712" s="15"/>
      <c r="K1712" s="15"/>
      <c r="L1712" s="28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5"/>
      <c r="AG1712" s="15"/>
      <c r="AH1712" s="15"/>
      <c r="AI1712" s="15"/>
      <c r="AJ1712" s="15"/>
      <c r="AK1712" s="15"/>
      <c r="AL1712" s="15"/>
      <c r="AM1712" s="15"/>
      <c r="AN1712" s="15"/>
      <c r="AO1712" s="15"/>
      <c r="AP1712" s="15"/>
      <c r="AQ1712" s="15"/>
      <c r="AR1712" s="15"/>
      <c r="AS1712" s="15"/>
      <c r="AT1712" s="15"/>
      <c r="AU1712" s="15"/>
      <c r="AV1712" s="15"/>
      <c r="AW1712" s="15"/>
    </row>
    <row r="1713" spans="3:49" x14ac:dyDescent="0.2">
      <c r="C1713" s="15"/>
      <c r="D1713" s="15"/>
      <c r="E1713" s="15"/>
      <c r="F1713" s="15"/>
      <c r="G1713" s="15"/>
      <c r="H1713" s="15"/>
      <c r="I1713" s="15"/>
      <c r="J1713" s="15"/>
      <c r="K1713" s="15"/>
      <c r="L1713" s="28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5"/>
      <c r="AG1713" s="15"/>
      <c r="AH1713" s="15"/>
      <c r="AI1713" s="15"/>
      <c r="AJ1713" s="15"/>
      <c r="AK1713" s="15"/>
      <c r="AL1713" s="15"/>
      <c r="AM1713" s="15"/>
      <c r="AN1713" s="15"/>
      <c r="AO1713" s="15"/>
      <c r="AP1713" s="15"/>
      <c r="AQ1713" s="15"/>
      <c r="AR1713" s="15"/>
      <c r="AS1713" s="15"/>
      <c r="AT1713" s="15"/>
      <c r="AU1713" s="15"/>
      <c r="AV1713" s="15"/>
      <c r="AW1713" s="15"/>
    </row>
    <row r="1714" spans="3:49" x14ac:dyDescent="0.2">
      <c r="C1714" s="15"/>
      <c r="D1714" s="15"/>
      <c r="E1714" s="15"/>
      <c r="F1714" s="15"/>
      <c r="G1714" s="15"/>
      <c r="H1714" s="15"/>
      <c r="I1714" s="15"/>
      <c r="J1714" s="15"/>
      <c r="K1714" s="15"/>
      <c r="L1714" s="28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5"/>
      <c r="AG1714" s="15"/>
      <c r="AH1714" s="15"/>
      <c r="AI1714" s="15"/>
      <c r="AJ1714" s="15"/>
      <c r="AK1714" s="15"/>
      <c r="AL1714" s="15"/>
      <c r="AM1714" s="15"/>
      <c r="AN1714" s="15"/>
      <c r="AO1714" s="15"/>
      <c r="AP1714" s="15"/>
      <c r="AQ1714" s="15"/>
      <c r="AR1714" s="15"/>
      <c r="AS1714" s="15"/>
      <c r="AT1714" s="15"/>
      <c r="AU1714" s="15"/>
      <c r="AV1714" s="15"/>
      <c r="AW1714" s="15"/>
    </row>
    <row r="1715" spans="3:49" x14ac:dyDescent="0.2">
      <c r="C1715" s="15"/>
      <c r="D1715" s="15"/>
      <c r="E1715" s="15"/>
      <c r="F1715" s="15"/>
      <c r="G1715" s="15"/>
      <c r="H1715" s="15"/>
      <c r="I1715" s="15"/>
      <c r="J1715" s="15"/>
      <c r="K1715" s="15"/>
      <c r="L1715" s="28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5"/>
      <c r="AG1715" s="15"/>
      <c r="AH1715" s="15"/>
      <c r="AI1715" s="15"/>
      <c r="AJ1715" s="15"/>
      <c r="AK1715" s="15"/>
      <c r="AL1715" s="15"/>
      <c r="AM1715" s="15"/>
      <c r="AN1715" s="15"/>
      <c r="AO1715" s="15"/>
      <c r="AP1715" s="15"/>
      <c r="AQ1715" s="15"/>
      <c r="AR1715" s="15"/>
      <c r="AS1715" s="15"/>
      <c r="AT1715" s="15"/>
      <c r="AU1715" s="15"/>
      <c r="AV1715" s="15"/>
      <c r="AW1715" s="15"/>
    </row>
    <row r="1716" spans="3:49" x14ac:dyDescent="0.2">
      <c r="C1716" s="15"/>
      <c r="D1716" s="15"/>
      <c r="E1716" s="15"/>
      <c r="F1716" s="15"/>
      <c r="G1716" s="15"/>
      <c r="H1716" s="15"/>
      <c r="I1716" s="15"/>
      <c r="J1716" s="15"/>
      <c r="K1716" s="15"/>
      <c r="L1716" s="28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5"/>
      <c r="AG1716" s="15"/>
      <c r="AH1716" s="15"/>
      <c r="AI1716" s="15"/>
      <c r="AJ1716" s="15"/>
      <c r="AK1716" s="15"/>
      <c r="AL1716" s="15"/>
      <c r="AM1716" s="15"/>
      <c r="AN1716" s="15"/>
      <c r="AO1716" s="15"/>
      <c r="AP1716" s="15"/>
      <c r="AQ1716" s="15"/>
      <c r="AR1716" s="15"/>
      <c r="AS1716" s="15"/>
      <c r="AT1716" s="15"/>
      <c r="AU1716" s="15"/>
      <c r="AV1716" s="15"/>
      <c r="AW1716" s="15"/>
    </row>
    <row r="1717" spans="3:49" x14ac:dyDescent="0.2">
      <c r="C1717" s="15"/>
      <c r="D1717" s="15"/>
      <c r="E1717" s="15"/>
      <c r="F1717" s="15"/>
      <c r="G1717" s="15"/>
      <c r="H1717" s="15"/>
      <c r="I1717" s="15"/>
      <c r="J1717" s="15"/>
      <c r="K1717" s="15"/>
      <c r="L1717" s="28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5"/>
      <c r="AG1717" s="15"/>
      <c r="AH1717" s="15"/>
      <c r="AI1717" s="15"/>
      <c r="AJ1717" s="15"/>
      <c r="AK1717" s="15"/>
      <c r="AL1717" s="15"/>
      <c r="AM1717" s="15"/>
      <c r="AN1717" s="15"/>
      <c r="AO1717" s="15"/>
      <c r="AP1717" s="15"/>
      <c r="AQ1717" s="15"/>
      <c r="AR1717" s="15"/>
      <c r="AS1717" s="15"/>
      <c r="AT1717" s="15"/>
      <c r="AU1717" s="15"/>
      <c r="AV1717" s="15"/>
      <c r="AW1717" s="15"/>
    </row>
    <row r="1718" spans="3:49" x14ac:dyDescent="0.2">
      <c r="C1718" s="15"/>
      <c r="D1718" s="15"/>
      <c r="E1718" s="15"/>
      <c r="F1718" s="15"/>
      <c r="G1718" s="15"/>
      <c r="H1718" s="15"/>
      <c r="I1718" s="15"/>
      <c r="J1718" s="15"/>
      <c r="K1718" s="15"/>
      <c r="L1718" s="28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5"/>
      <c r="AG1718" s="15"/>
      <c r="AH1718" s="15"/>
      <c r="AI1718" s="15"/>
      <c r="AJ1718" s="15"/>
      <c r="AK1718" s="15"/>
      <c r="AL1718" s="15"/>
      <c r="AM1718" s="15"/>
      <c r="AN1718" s="15"/>
      <c r="AO1718" s="15"/>
      <c r="AP1718" s="15"/>
      <c r="AQ1718" s="15"/>
      <c r="AR1718" s="15"/>
      <c r="AS1718" s="15"/>
      <c r="AT1718" s="15"/>
      <c r="AU1718" s="15"/>
      <c r="AV1718" s="15"/>
      <c r="AW1718" s="15"/>
    </row>
    <row r="1719" spans="3:49" x14ac:dyDescent="0.2">
      <c r="C1719" s="15"/>
      <c r="D1719" s="15"/>
      <c r="E1719" s="15"/>
      <c r="F1719" s="15"/>
      <c r="G1719" s="15"/>
      <c r="H1719" s="15"/>
      <c r="I1719" s="15"/>
      <c r="J1719" s="15"/>
      <c r="K1719" s="15"/>
      <c r="L1719" s="28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5"/>
      <c r="AG1719" s="15"/>
      <c r="AH1719" s="15"/>
      <c r="AI1719" s="15"/>
      <c r="AJ1719" s="15"/>
      <c r="AK1719" s="15"/>
      <c r="AL1719" s="15"/>
      <c r="AM1719" s="15"/>
      <c r="AN1719" s="15"/>
      <c r="AO1719" s="15"/>
      <c r="AP1719" s="15"/>
      <c r="AQ1719" s="15"/>
      <c r="AR1719" s="15"/>
      <c r="AS1719" s="15"/>
      <c r="AT1719" s="15"/>
      <c r="AU1719" s="15"/>
      <c r="AV1719" s="15"/>
      <c r="AW1719" s="15"/>
    </row>
    <row r="1720" spans="3:49" x14ac:dyDescent="0.2">
      <c r="C1720" s="15"/>
      <c r="D1720" s="15"/>
      <c r="E1720" s="15"/>
      <c r="F1720" s="15"/>
      <c r="G1720" s="15"/>
      <c r="H1720" s="15"/>
      <c r="I1720" s="15"/>
      <c r="J1720" s="15"/>
      <c r="K1720" s="15"/>
      <c r="L1720" s="28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5"/>
      <c r="AG1720" s="15"/>
      <c r="AH1720" s="15"/>
      <c r="AI1720" s="15"/>
      <c r="AJ1720" s="15"/>
      <c r="AK1720" s="15"/>
      <c r="AL1720" s="15"/>
      <c r="AM1720" s="15"/>
      <c r="AN1720" s="15"/>
      <c r="AO1720" s="15"/>
      <c r="AP1720" s="15"/>
      <c r="AQ1720" s="15"/>
      <c r="AR1720" s="15"/>
      <c r="AS1720" s="15"/>
      <c r="AT1720" s="15"/>
      <c r="AU1720" s="15"/>
      <c r="AV1720" s="15"/>
      <c r="AW1720" s="15"/>
    </row>
    <row r="1721" spans="3:49" x14ac:dyDescent="0.2">
      <c r="C1721" s="15"/>
      <c r="D1721" s="15"/>
      <c r="E1721" s="15"/>
      <c r="F1721" s="15"/>
      <c r="G1721" s="15"/>
      <c r="H1721" s="15"/>
      <c r="I1721" s="15"/>
      <c r="J1721" s="15"/>
      <c r="K1721" s="15"/>
      <c r="L1721" s="28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5"/>
      <c r="AG1721" s="15"/>
      <c r="AH1721" s="15"/>
      <c r="AI1721" s="15"/>
      <c r="AJ1721" s="15"/>
      <c r="AK1721" s="15"/>
      <c r="AL1721" s="15"/>
      <c r="AM1721" s="15"/>
      <c r="AN1721" s="15"/>
      <c r="AO1721" s="15"/>
      <c r="AP1721" s="15"/>
      <c r="AQ1721" s="15"/>
      <c r="AR1721" s="15"/>
      <c r="AS1721" s="15"/>
      <c r="AT1721" s="15"/>
      <c r="AU1721" s="15"/>
      <c r="AV1721" s="15"/>
      <c r="AW1721" s="15"/>
    </row>
    <row r="1722" spans="3:49" x14ac:dyDescent="0.2">
      <c r="C1722" s="15"/>
      <c r="D1722" s="15"/>
      <c r="E1722" s="15"/>
      <c r="F1722" s="15"/>
      <c r="G1722" s="15"/>
      <c r="H1722" s="15"/>
      <c r="I1722" s="15"/>
      <c r="J1722" s="15"/>
      <c r="K1722" s="15"/>
      <c r="L1722" s="28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5"/>
      <c r="AG1722" s="15"/>
      <c r="AH1722" s="15"/>
      <c r="AI1722" s="15"/>
      <c r="AJ1722" s="15"/>
      <c r="AK1722" s="15"/>
      <c r="AL1722" s="15"/>
      <c r="AM1722" s="15"/>
      <c r="AN1722" s="15"/>
      <c r="AO1722" s="15"/>
      <c r="AP1722" s="15"/>
      <c r="AQ1722" s="15"/>
      <c r="AR1722" s="15"/>
      <c r="AS1722" s="15"/>
      <c r="AT1722" s="15"/>
      <c r="AU1722" s="15"/>
      <c r="AV1722" s="15"/>
      <c r="AW1722" s="15"/>
    </row>
    <row r="1723" spans="3:49" x14ac:dyDescent="0.2">
      <c r="C1723" s="15"/>
      <c r="D1723" s="15"/>
      <c r="E1723" s="15"/>
      <c r="F1723" s="15"/>
      <c r="G1723" s="15"/>
      <c r="H1723" s="15"/>
      <c r="I1723" s="15"/>
      <c r="J1723" s="15"/>
      <c r="K1723" s="15"/>
      <c r="L1723" s="28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5"/>
      <c r="AG1723" s="15"/>
      <c r="AH1723" s="15"/>
      <c r="AI1723" s="15"/>
      <c r="AJ1723" s="15"/>
      <c r="AK1723" s="15"/>
      <c r="AL1723" s="15"/>
      <c r="AM1723" s="15"/>
      <c r="AN1723" s="15"/>
      <c r="AO1723" s="15"/>
      <c r="AP1723" s="15"/>
      <c r="AQ1723" s="15"/>
      <c r="AR1723" s="15"/>
      <c r="AS1723" s="15"/>
      <c r="AT1723" s="15"/>
      <c r="AU1723" s="15"/>
      <c r="AV1723" s="15"/>
      <c r="AW1723" s="15"/>
    </row>
    <row r="1724" spans="3:49" x14ac:dyDescent="0.2">
      <c r="C1724" s="15"/>
      <c r="D1724" s="15"/>
      <c r="E1724" s="15"/>
      <c r="F1724" s="15"/>
      <c r="G1724" s="15"/>
      <c r="H1724" s="15"/>
      <c r="I1724" s="15"/>
      <c r="J1724" s="15"/>
      <c r="K1724" s="15"/>
      <c r="L1724" s="28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5"/>
      <c r="AG1724" s="15"/>
      <c r="AH1724" s="15"/>
      <c r="AI1724" s="15"/>
      <c r="AJ1724" s="15"/>
      <c r="AK1724" s="15"/>
      <c r="AL1724" s="15"/>
      <c r="AM1724" s="15"/>
      <c r="AN1724" s="15"/>
      <c r="AO1724" s="15"/>
      <c r="AP1724" s="15"/>
      <c r="AQ1724" s="15"/>
      <c r="AR1724" s="15"/>
      <c r="AS1724" s="15"/>
      <c r="AT1724" s="15"/>
      <c r="AU1724" s="15"/>
      <c r="AV1724" s="15"/>
      <c r="AW1724" s="15"/>
    </row>
    <row r="1725" spans="3:49" x14ac:dyDescent="0.2">
      <c r="C1725" s="15"/>
      <c r="D1725" s="15"/>
      <c r="E1725" s="15"/>
      <c r="F1725" s="15"/>
      <c r="G1725" s="15"/>
      <c r="H1725" s="15"/>
      <c r="I1725" s="15"/>
      <c r="J1725" s="15"/>
      <c r="K1725" s="15"/>
      <c r="L1725" s="28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5"/>
      <c r="AG1725" s="15"/>
      <c r="AH1725" s="15"/>
      <c r="AI1725" s="15"/>
      <c r="AJ1725" s="15"/>
      <c r="AK1725" s="15"/>
      <c r="AL1725" s="15"/>
      <c r="AM1725" s="15"/>
      <c r="AN1725" s="15"/>
      <c r="AO1725" s="15"/>
      <c r="AP1725" s="15"/>
      <c r="AQ1725" s="15"/>
      <c r="AR1725" s="15"/>
      <c r="AS1725" s="15"/>
      <c r="AT1725" s="15"/>
      <c r="AU1725" s="15"/>
      <c r="AV1725" s="15"/>
      <c r="AW1725" s="15"/>
    </row>
    <row r="1726" spans="3:49" x14ac:dyDescent="0.2">
      <c r="C1726" s="15"/>
      <c r="D1726" s="15"/>
      <c r="E1726" s="15"/>
      <c r="F1726" s="15"/>
      <c r="G1726" s="15"/>
      <c r="H1726" s="15"/>
      <c r="I1726" s="15"/>
      <c r="J1726" s="15"/>
      <c r="K1726" s="15"/>
      <c r="L1726" s="28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5"/>
      <c r="AG1726" s="15"/>
      <c r="AH1726" s="15"/>
      <c r="AI1726" s="15"/>
      <c r="AJ1726" s="15"/>
      <c r="AK1726" s="15"/>
      <c r="AL1726" s="15"/>
      <c r="AM1726" s="15"/>
      <c r="AN1726" s="15"/>
      <c r="AO1726" s="15"/>
      <c r="AP1726" s="15"/>
      <c r="AQ1726" s="15"/>
      <c r="AR1726" s="15"/>
      <c r="AS1726" s="15"/>
      <c r="AT1726" s="15"/>
      <c r="AU1726" s="15"/>
      <c r="AV1726" s="15"/>
      <c r="AW1726" s="15"/>
    </row>
    <row r="1727" spans="3:49" x14ac:dyDescent="0.2">
      <c r="C1727" s="15"/>
      <c r="D1727" s="15"/>
      <c r="E1727" s="15"/>
      <c r="F1727" s="15"/>
      <c r="G1727" s="15"/>
      <c r="H1727" s="15"/>
      <c r="I1727" s="15"/>
      <c r="J1727" s="15"/>
      <c r="K1727" s="15"/>
      <c r="L1727" s="28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5"/>
      <c r="AG1727" s="15"/>
      <c r="AH1727" s="15"/>
      <c r="AI1727" s="15"/>
      <c r="AJ1727" s="15"/>
      <c r="AK1727" s="15"/>
      <c r="AL1727" s="15"/>
      <c r="AM1727" s="15"/>
      <c r="AN1727" s="15"/>
      <c r="AO1727" s="15"/>
      <c r="AP1727" s="15"/>
      <c r="AQ1727" s="15"/>
      <c r="AR1727" s="15"/>
      <c r="AS1727" s="15"/>
      <c r="AT1727" s="15"/>
      <c r="AU1727" s="15"/>
      <c r="AV1727" s="15"/>
      <c r="AW1727" s="15"/>
    </row>
    <row r="1728" spans="3:49" x14ac:dyDescent="0.2">
      <c r="C1728" s="15"/>
      <c r="D1728" s="15"/>
      <c r="E1728" s="15"/>
      <c r="F1728" s="15"/>
      <c r="G1728" s="15"/>
      <c r="H1728" s="15"/>
      <c r="I1728" s="15"/>
      <c r="J1728" s="15"/>
      <c r="K1728" s="15"/>
      <c r="L1728" s="28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5"/>
      <c r="AG1728" s="15"/>
      <c r="AH1728" s="15"/>
      <c r="AI1728" s="15"/>
      <c r="AJ1728" s="15"/>
      <c r="AK1728" s="15"/>
      <c r="AL1728" s="15"/>
      <c r="AM1728" s="15"/>
      <c r="AN1728" s="15"/>
      <c r="AO1728" s="15"/>
      <c r="AP1728" s="15"/>
      <c r="AQ1728" s="15"/>
      <c r="AR1728" s="15"/>
      <c r="AS1728" s="15"/>
      <c r="AT1728" s="15"/>
      <c r="AU1728" s="15"/>
      <c r="AV1728" s="15"/>
      <c r="AW1728" s="15"/>
    </row>
    <row r="1729" spans="3:49" x14ac:dyDescent="0.2">
      <c r="C1729" s="15"/>
      <c r="D1729" s="15"/>
      <c r="E1729" s="15"/>
      <c r="F1729" s="15"/>
      <c r="G1729" s="15"/>
      <c r="H1729" s="15"/>
      <c r="I1729" s="15"/>
      <c r="J1729" s="15"/>
      <c r="K1729" s="15"/>
      <c r="L1729" s="28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5"/>
      <c r="AG1729" s="15"/>
      <c r="AH1729" s="15"/>
      <c r="AI1729" s="15"/>
      <c r="AJ1729" s="15"/>
      <c r="AK1729" s="15"/>
      <c r="AL1729" s="15"/>
      <c r="AM1729" s="15"/>
      <c r="AN1729" s="15"/>
      <c r="AO1729" s="15"/>
      <c r="AP1729" s="15"/>
      <c r="AQ1729" s="15"/>
      <c r="AR1729" s="15"/>
      <c r="AS1729" s="15"/>
      <c r="AT1729" s="15"/>
      <c r="AU1729" s="15"/>
      <c r="AV1729" s="15"/>
      <c r="AW1729" s="15"/>
    </row>
    <row r="1730" spans="3:49" x14ac:dyDescent="0.2">
      <c r="C1730" s="15"/>
      <c r="D1730" s="15"/>
      <c r="E1730" s="15"/>
      <c r="F1730" s="15"/>
      <c r="G1730" s="15"/>
      <c r="H1730" s="15"/>
      <c r="I1730" s="15"/>
      <c r="J1730" s="15"/>
      <c r="K1730" s="15"/>
      <c r="L1730" s="28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5"/>
      <c r="AG1730" s="15"/>
      <c r="AH1730" s="15"/>
      <c r="AI1730" s="15"/>
      <c r="AJ1730" s="15"/>
      <c r="AK1730" s="15"/>
      <c r="AL1730" s="15"/>
      <c r="AM1730" s="15"/>
      <c r="AN1730" s="15"/>
      <c r="AO1730" s="15"/>
      <c r="AP1730" s="15"/>
      <c r="AQ1730" s="15"/>
      <c r="AR1730" s="15"/>
      <c r="AS1730" s="15"/>
      <c r="AT1730" s="15"/>
      <c r="AU1730" s="15"/>
      <c r="AV1730" s="15"/>
      <c r="AW1730" s="15"/>
    </row>
    <row r="1731" spans="3:49" x14ac:dyDescent="0.2">
      <c r="C1731" s="15"/>
      <c r="D1731" s="15"/>
      <c r="E1731" s="15"/>
      <c r="F1731" s="15"/>
      <c r="G1731" s="15"/>
      <c r="H1731" s="15"/>
      <c r="I1731" s="15"/>
      <c r="J1731" s="15"/>
      <c r="K1731" s="15"/>
      <c r="L1731" s="28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5"/>
      <c r="AG1731" s="15"/>
      <c r="AH1731" s="15"/>
      <c r="AI1731" s="15"/>
      <c r="AJ1731" s="15"/>
      <c r="AK1731" s="15"/>
      <c r="AL1731" s="15"/>
      <c r="AM1731" s="15"/>
      <c r="AN1731" s="15"/>
      <c r="AO1731" s="15"/>
      <c r="AP1731" s="15"/>
      <c r="AQ1731" s="15"/>
      <c r="AR1731" s="15"/>
      <c r="AS1731" s="15"/>
      <c r="AT1731" s="15"/>
      <c r="AU1731" s="15"/>
      <c r="AV1731" s="15"/>
      <c r="AW1731" s="15"/>
    </row>
    <row r="1732" spans="3:49" x14ac:dyDescent="0.2">
      <c r="C1732" s="15"/>
      <c r="D1732" s="15"/>
      <c r="E1732" s="15"/>
      <c r="F1732" s="15"/>
      <c r="G1732" s="15"/>
      <c r="H1732" s="15"/>
      <c r="I1732" s="15"/>
      <c r="J1732" s="15"/>
      <c r="K1732" s="15"/>
      <c r="L1732" s="28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5"/>
      <c r="AG1732" s="15"/>
      <c r="AH1732" s="15"/>
      <c r="AI1732" s="15"/>
      <c r="AJ1732" s="15"/>
      <c r="AK1732" s="15"/>
      <c r="AL1732" s="15"/>
      <c r="AM1732" s="15"/>
      <c r="AN1732" s="15"/>
      <c r="AO1732" s="15"/>
      <c r="AP1732" s="15"/>
      <c r="AQ1732" s="15"/>
      <c r="AR1732" s="15"/>
      <c r="AS1732" s="15"/>
      <c r="AT1732" s="15"/>
      <c r="AU1732" s="15"/>
      <c r="AV1732" s="15"/>
      <c r="AW1732" s="15"/>
    </row>
    <row r="1733" spans="3:49" x14ac:dyDescent="0.2">
      <c r="C1733" s="15"/>
      <c r="D1733" s="15"/>
      <c r="E1733" s="15"/>
      <c r="F1733" s="15"/>
      <c r="G1733" s="15"/>
      <c r="H1733" s="15"/>
      <c r="I1733" s="15"/>
      <c r="J1733" s="15"/>
      <c r="K1733" s="15"/>
      <c r="L1733" s="28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5"/>
      <c r="AG1733" s="15"/>
      <c r="AH1733" s="15"/>
      <c r="AI1733" s="15"/>
      <c r="AJ1733" s="15"/>
      <c r="AK1733" s="15"/>
      <c r="AL1733" s="15"/>
      <c r="AM1733" s="15"/>
      <c r="AN1733" s="15"/>
      <c r="AO1733" s="15"/>
      <c r="AP1733" s="15"/>
      <c r="AQ1733" s="15"/>
      <c r="AR1733" s="15"/>
      <c r="AS1733" s="15"/>
      <c r="AT1733" s="15"/>
      <c r="AU1733" s="15"/>
      <c r="AV1733" s="15"/>
      <c r="AW1733" s="15"/>
    </row>
    <row r="1734" spans="3:49" x14ac:dyDescent="0.2">
      <c r="C1734" s="15"/>
      <c r="D1734" s="15"/>
      <c r="E1734" s="15"/>
      <c r="F1734" s="15"/>
      <c r="G1734" s="15"/>
      <c r="H1734" s="15"/>
      <c r="I1734" s="15"/>
      <c r="J1734" s="15"/>
      <c r="K1734" s="15"/>
      <c r="L1734" s="28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5"/>
      <c r="AG1734" s="15"/>
      <c r="AH1734" s="15"/>
      <c r="AI1734" s="15"/>
      <c r="AJ1734" s="15"/>
      <c r="AK1734" s="15"/>
      <c r="AL1734" s="15"/>
      <c r="AM1734" s="15"/>
      <c r="AN1734" s="15"/>
      <c r="AO1734" s="15"/>
      <c r="AP1734" s="15"/>
      <c r="AQ1734" s="15"/>
      <c r="AR1734" s="15"/>
      <c r="AS1734" s="15"/>
      <c r="AT1734" s="15"/>
      <c r="AU1734" s="15"/>
      <c r="AV1734" s="15"/>
      <c r="AW1734" s="15"/>
    </row>
    <row r="1735" spans="3:49" x14ac:dyDescent="0.2">
      <c r="C1735" s="15"/>
      <c r="D1735" s="15"/>
      <c r="E1735" s="15"/>
      <c r="F1735" s="15"/>
      <c r="G1735" s="15"/>
      <c r="H1735" s="15"/>
      <c r="I1735" s="15"/>
      <c r="J1735" s="15"/>
      <c r="K1735" s="15"/>
      <c r="L1735" s="28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5"/>
      <c r="AG1735" s="15"/>
      <c r="AH1735" s="15"/>
      <c r="AI1735" s="15"/>
      <c r="AJ1735" s="15"/>
      <c r="AK1735" s="15"/>
      <c r="AL1735" s="15"/>
      <c r="AM1735" s="15"/>
      <c r="AN1735" s="15"/>
      <c r="AO1735" s="15"/>
      <c r="AP1735" s="15"/>
      <c r="AQ1735" s="15"/>
      <c r="AR1735" s="15"/>
      <c r="AS1735" s="15"/>
      <c r="AT1735" s="15"/>
      <c r="AU1735" s="15"/>
      <c r="AV1735" s="15"/>
      <c r="AW1735" s="15"/>
    </row>
    <row r="1736" spans="3:49" x14ac:dyDescent="0.2">
      <c r="C1736" s="15"/>
      <c r="D1736" s="15"/>
      <c r="E1736" s="15"/>
      <c r="F1736" s="15"/>
      <c r="G1736" s="15"/>
      <c r="H1736" s="15"/>
      <c r="I1736" s="15"/>
      <c r="J1736" s="15"/>
      <c r="K1736" s="15"/>
      <c r="L1736" s="28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5"/>
      <c r="AG1736" s="15"/>
      <c r="AH1736" s="15"/>
      <c r="AI1736" s="15"/>
      <c r="AJ1736" s="15"/>
      <c r="AK1736" s="15"/>
      <c r="AL1736" s="15"/>
      <c r="AM1736" s="15"/>
      <c r="AN1736" s="15"/>
      <c r="AO1736" s="15"/>
      <c r="AP1736" s="15"/>
      <c r="AQ1736" s="15"/>
      <c r="AR1736" s="15"/>
      <c r="AS1736" s="15"/>
      <c r="AT1736" s="15"/>
      <c r="AU1736" s="15"/>
      <c r="AV1736" s="15"/>
      <c r="AW1736" s="15"/>
    </row>
    <row r="1737" spans="3:49" x14ac:dyDescent="0.2">
      <c r="C1737" s="15"/>
      <c r="D1737" s="15"/>
      <c r="E1737" s="15"/>
      <c r="F1737" s="15"/>
      <c r="G1737" s="15"/>
      <c r="H1737" s="15"/>
      <c r="I1737" s="15"/>
      <c r="J1737" s="15"/>
      <c r="K1737" s="15"/>
      <c r="L1737" s="28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5"/>
      <c r="AG1737" s="15"/>
      <c r="AH1737" s="15"/>
      <c r="AI1737" s="15"/>
      <c r="AJ1737" s="15"/>
      <c r="AK1737" s="15"/>
      <c r="AL1737" s="15"/>
      <c r="AM1737" s="15"/>
      <c r="AN1737" s="15"/>
      <c r="AO1737" s="15"/>
      <c r="AP1737" s="15"/>
      <c r="AQ1737" s="15"/>
      <c r="AR1737" s="15"/>
      <c r="AS1737" s="15"/>
      <c r="AT1737" s="15"/>
      <c r="AU1737" s="15"/>
      <c r="AV1737" s="15"/>
      <c r="AW1737" s="15"/>
    </row>
    <row r="1738" spans="3:49" x14ac:dyDescent="0.2">
      <c r="C1738" s="15"/>
      <c r="D1738" s="15"/>
      <c r="E1738" s="15"/>
      <c r="F1738" s="15"/>
      <c r="G1738" s="15"/>
      <c r="H1738" s="15"/>
      <c r="I1738" s="15"/>
      <c r="J1738" s="15"/>
      <c r="K1738" s="15"/>
      <c r="L1738" s="28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5"/>
      <c r="AG1738" s="15"/>
      <c r="AH1738" s="15"/>
      <c r="AI1738" s="15"/>
      <c r="AJ1738" s="15"/>
      <c r="AK1738" s="15"/>
      <c r="AL1738" s="15"/>
      <c r="AM1738" s="15"/>
      <c r="AN1738" s="15"/>
      <c r="AO1738" s="15"/>
      <c r="AP1738" s="15"/>
      <c r="AQ1738" s="15"/>
      <c r="AR1738" s="15"/>
      <c r="AS1738" s="15"/>
      <c r="AT1738" s="15"/>
      <c r="AU1738" s="15"/>
      <c r="AV1738" s="15"/>
      <c r="AW1738" s="15"/>
    </row>
    <row r="1739" spans="3:49" x14ac:dyDescent="0.2">
      <c r="C1739" s="15"/>
      <c r="D1739" s="15"/>
      <c r="E1739" s="15"/>
      <c r="F1739" s="15"/>
      <c r="G1739" s="15"/>
      <c r="H1739" s="15"/>
      <c r="I1739" s="15"/>
      <c r="J1739" s="15"/>
      <c r="K1739" s="15"/>
      <c r="L1739" s="28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5"/>
      <c r="AG1739" s="15"/>
      <c r="AH1739" s="15"/>
      <c r="AI1739" s="15"/>
      <c r="AJ1739" s="15"/>
      <c r="AK1739" s="15"/>
      <c r="AL1739" s="15"/>
      <c r="AM1739" s="15"/>
      <c r="AN1739" s="15"/>
      <c r="AO1739" s="15"/>
      <c r="AP1739" s="15"/>
      <c r="AQ1739" s="15"/>
      <c r="AR1739" s="15"/>
      <c r="AS1739" s="15"/>
      <c r="AT1739" s="15"/>
      <c r="AU1739" s="15"/>
      <c r="AV1739" s="15"/>
      <c r="AW1739" s="15"/>
    </row>
    <row r="1740" spans="3:49" x14ac:dyDescent="0.2">
      <c r="C1740" s="15"/>
      <c r="D1740" s="15"/>
      <c r="E1740" s="15"/>
      <c r="F1740" s="15"/>
      <c r="G1740" s="15"/>
      <c r="H1740" s="15"/>
      <c r="I1740" s="15"/>
      <c r="J1740" s="15"/>
      <c r="K1740" s="15"/>
      <c r="L1740" s="28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5"/>
      <c r="AG1740" s="15"/>
      <c r="AH1740" s="15"/>
      <c r="AI1740" s="15"/>
      <c r="AJ1740" s="15"/>
      <c r="AK1740" s="15"/>
      <c r="AL1740" s="15"/>
      <c r="AM1740" s="15"/>
      <c r="AN1740" s="15"/>
      <c r="AO1740" s="15"/>
      <c r="AP1740" s="15"/>
      <c r="AQ1740" s="15"/>
      <c r="AR1740" s="15"/>
      <c r="AS1740" s="15"/>
      <c r="AT1740" s="15"/>
      <c r="AU1740" s="15"/>
      <c r="AV1740" s="15"/>
      <c r="AW1740" s="15"/>
    </row>
    <row r="1741" spans="3:49" x14ac:dyDescent="0.2">
      <c r="C1741" s="15"/>
      <c r="D1741" s="15"/>
      <c r="E1741" s="15"/>
      <c r="F1741" s="15"/>
      <c r="G1741" s="15"/>
      <c r="H1741" s="15"/>
      <c r="I1741" s="15"/>
      <c r="J1741" s="15"/>
      <c r="K1741" s="15"/>
      <c r="L1741" s="28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5"/>
      <c r="AG1741" s="15"/>
      <c r="AH1741" s="15"/>
      <c r="AI1741" s="15"/>
      <c r="AJ1741" s="15"/>
      <c r="AK1741" s="15"/>
      <c r="AL1741" s="15"/>
      <c r="AM1741" s="15"/>
      <c r="AN1741" s="15"/>
      <c r="AO1741" s="15"/>
      <c r="AP1741" s="15"/>
      <c r="AQ1741" s="15"/>
      <c r="AR1741" s="15"/>
      <c r="AS1741" s="15"/>
      <c r="AT1741" s="15"/>
      <c r="AU1741" s="15"/>
      <c r="AV1741" s="15"/>
      <c r="AW1741" s="15"/>
    </row>
    <row r="1742" spans="3:49" x14ac:dyDescent="0.2">
      <c r="C1742" s="15"/>
      <c r="D1742" s="15"/>
      <c r="E1742" s="15"/>
      <c r="F1742" s="15"/>
      <c r="G1742" s="15"/>
      <c r="H1742" s="15"/>
      <c r="I1742" s="15"/>
      <c r="J1742" s="15"/>
      <c r="K1742" s="15"/>
      <c r="L1742" s="28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5"/>
      <c r="AG1742" s="15"/>
      <c r="AH1742" s="15"/>
      <c r="AI1742" s="15"/>
      <c r="AJ1742" s="15"/>
      <c r="AK1742" s="15"/>
      <c r="AL1742" s="15"/>
      <c r="AM1742" s="15"/>
      <c r="AN1742" s="15"/>
      <c r="AO1742" s="15"/>
      <c r="AP1742" s="15"/>
      <c r="AQ1742" s="15"/>
      <c r="AR1742" s="15"/>
      <c r="AS1742" s="15"/>
      <c r="AT1742" s="15"/>
      <c r="AU1742" s="15"/>
      <c r="AV1742" s="15"/>
      <c r="AW1742" s="15"/>
    </row>
    <row r="1743" spans="3:49" x14ac:dyDescent="0.2">
      <c r="C1743" s="15"/>
      <c r="D1743" s="15"/>
      <c r="E1743" s="15"/>
      <c r="F1743" s="15"/>
      <c r="G1743" s="15"/>
      <c r="H1743" s="15"/>
      <c r="I1743" s="15"/>
      <c r="J1743" s="15"/>
      <c r="K1743" s="15"/>
      <c r="L1743" s="28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5"/>
      <c r="AG1743" s="15"/>
      <c r="AH1743" s="15"/>
      <c r="AI1743" s="15"/>
      <c r="AJ1743" s="15"/>
      <c r="AK1743" s="15"/>
      <c r="AL1743" s="15"/>
      <c r="AM1743" s="15"/>
      <c r="AN1743" s="15"/>
      <c r="AO1743" s="15"/>
      <c r="AP1743" s="15"/>
      <c r="AQ1743" s="15"/>
      <c r="AR1743" s="15"/>
      <c r="AS1743" s="15"/>
      <c r="AT1743" s="15"/>
      <c r="AU1743" s="15"/>
      <c r="AV1743" s="15"/>
      <c r="AW1743" s="15"/>
    </row>
    <row r="1744" spans="3:49" x14ac:dyDescent="0.2">
      <c r="C1744" s="15"/>
      <c r="D1744" s="15"/>
      <c r="E1744" s="15"/>
      <c r="F1744" s="15"/>
      <c r="G1744" s="15"/>
      <c r="H1744" s="15"/>
      <c r="I1744" s="15"/>
      <c r="J1744" s="15"/>
      <c r="K1744" s="15"/>
      <c r="L1744" s="28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5"/>
      <c r="AG1744" s="15"/>
      <c r="AH1744" s="15"/>
      <c r="AI1744" s="15"/>
      <c r="AJ1744" s="15"/>
      <c r="AK1744" s="15"/>
      <c r="AL1744" s="15"/>
      <c r="AM1744" s="15"/>
      <c r="AN1744" s="15"/>
      <c r="AO1744" s="15"/>
      <c r="AP1744" s="15"/>
      <c r="AQ1744" s="15"/>
      <c r="AR1744" s="15"/>
      <c r="AS1744" s="15"/>
      <c r="AT1744" s="15"/>
      <c r="AU1744" s="15"/>
      <c r="AV1744" s="15"/>
      <c r="AW1744" s="15"/>
    </row>
    <row r="1745" spans="3:49" x14ac:dyDescent="0.2">
      <c r="C1745" s="15"/>
      <c r="D1745" s="15"/>
      <c r="E1745" s="15"/>
      <c r="F1745" s="15"/>
      <c r="G1745" s="15"/>
      <c r="H1745" s="15"/>
      <c r="I1745" s="15"/>
      <c r="J1745" s="15"/>
      <c r="K1745" s="15"/>
      <c r="L1745" s="28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5"/>
      <c r="AG1745" s="15"/>
      <c r="AH1745" s="15"/>
      <c r="AI1745" s="15"/>
      <c r="AJ1745" s="15"/>
      <c r="AK1745" s="15"/>
      <c r="AL1745" s="15"/>
      <c r="AM1745" s="15"/>
      <c r="AN1745" s="15"/>
      <c r="AO1745" s="15"/>
      <c r="AP1745" s="15"/>
      <c r="AQ1745" s="15"/>
      <c r="AR1745" s="15"/>
      <c r="AS1745" s="15"/>
      <c r="AT1745" s="15"/>
      <c r="AU1745" s="15"/>
      <c r="AV1745" s="15"/>
      <c r="AW1745" s="15"/>
    </row>
    <row r="1746" spans="3:49" x14ac:dyDescent="0.2">
      <c r="C1746" s="15"/>
      <c r="D1746" s="15"/>
      <c r="E1746" s="15"/>
      <c r="F1746" s="15"/>
      <c r="G1746" s="15"/>
      <c r="H1746" s="15"/>
      <c r="I1746" s="15"/>
      <c r="J1746" s="15"/>
      <c r="K1746" s="15"/>
      <c r="L1746" s="28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5"/>
      <c r="AG1746" s="15"/>
      <c r="AH1746" s="15"/>
      <c r="AI1746" s="15"/>
      <c r="AJ1746" s="15"/>
      <c r="AK1746" s="15"/>
      <c r="AL1746" s="15"/>
      <c r="AM1746" s="15"/>
      <c r="AN1746" s="15"/>
      <c r="AO1746" s="15"/>
      <c r="AP1746" s="15"/>
      <c r="AQ1746" s="15"/>
      <c r="AR1746" s="15"/>
      <c r="AS1746" s="15"/>
      <c r="AT1746" s="15"/>
      <c r="AU1746" s="15"/>
      <c r="AV1746" s="15"/>
      <c r="AW1746" s="15"/>
    </row>
    <row r="1747" spans="3:49" x14ac:dyDescent="0.2">
      <c r="C1747" s="15"/>
      <c r="D1747" s="15"/>
      <c r="E1747" s="15"/>
      <c r="F1747" s="15"/>
      <c r="G1747" s="15"/>
      <c r="H1747" s="15"/>
      <c r="I1747" s="15"/>
      <c r="J1747" s="15"/>
      <c r="K1747" s="15"/>
      <c r="L1747" s="28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5"/>
      <c r="AG1747" s="15"/>
      <c r="AH1747" s="15"/>
      <c r="AI1747" s="15"/>
      <c r="AJ1747" s="15"/>
      <c r="AK1747" s="15"/>
      <c r="AL1747" s="15"/>
      <c r="AM1747" s="15"/>
      <c r="AN1747" s="15"/>
      <c r="AO1747" s="15"/>
      <c r="AP1747" s="15"/>
      <c r="AQ1747" s="15"/>
      <c r="AR1747" s="15"/>
      <c r="AS1747" s="15"/>
      <c r="AT1747" s="15"/>
      <c r="AU1747" s="15"/>
      <c r="AV1747" s="15"/>
      <c r="AW1747" s="15"/>
    </row>
    <row r="1748" spans="3:49" x14ac:dyDescent="0.2">
      <c r="C1748" s="15"/>
      <c r="D1748" s="15"/>
      <c r="E1748" s="15"/>
      <c r="F1748" s="15"/>
      <c r="G1748" s="15"/>
      <c r="H1748" s="15"/>
      <c r="I1748" s="15"/>
      <c r="J1748" s="15"/>
      <c r="K1748" s="15"/>
      <c r="L1748" s="28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5"/>
      <c r="AG1748" s="15"/>
      <c r="AH1748" s="15"/>
      <c r="AI1748" s="15"/>
      <c r="AJ1748" s="15"/>
      <c r="AK1748" s="15"/>
      <c r="AL1748" s="15"/>
      <c r="AM1748" s="15"/>
      <c r="AN1748" s="15"/>
      <c r="AO1748" s="15"/>
      <c r="AP1748" s="15"/>
      <c r="AQ1748" s="15"/>
      <c r="AR1748" s="15"/>
      <c r="AS1748" s="15"/>
      <c r="AT1748" s="15"/>
      <c r="AU1748" s="15"/>
      <c r="AV1748" s="15"/>
      <c r="AW1748" s="15"/>
    </row>
    <row r="1749" spans="3:49" x14ac:dyDescent="0.2">
      <c r="C1749" s="15"/>
      <c r="D1749" s="15"/>
      <c r="E1749" s="15"/>
      <c r="F1749" s="15"/>
      <c r="G1749" s="15"/>
      <c r="H1749" s="15"/>
      <c r="I1749" s="15"/>
      <c r="J1749" s="15"/>
      <c r="K1749" s="15"/>
      <c r="L1749" s="28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5"/>
      <c r="AG1749" s="15"/>
      <c r="AH1749" s="15"/>
      <c r="AI1749" s="15"/>
      <c r="AJ1749" s="15"/>
      <c r="AK1749" s="15"/>
      <c r="AL1749" s="15"/>
      <c r="AM1749" s="15"/>
      <c r="AN1749" s="15"/>
      <c r="AO1749" s="15"/>
      <c r="AP1749" s="15"/>
      <c r="AQ1749" s="15"/>
      <c r="AR1749" s="15"/>
      <c r="AS1749" s="15"/>
      <c r="AT1749" s="15"/>
      <c r="AU1749" s="15"/>
      <c r="AV1749" s="15"/>
      <c r="AW1749" s="15"/>
    </row>
    <row r="1750" spans="3:49" x14ac:dyDescent="0.2">
      <c r="C1750" s="15"/>
      <c r="D1750" s="15"/>
      <c r="E1750" s="15"/>
      <c r="F1750" s="15"/>
      <c r="G1750" s="15"/>
      <c r="H1750" s="15"/>
      <c r="I1750" s="15"/>
      <c r="J1750" s="15"/>
      <c r="K1750" s="15"/>
      <c r="L1750" s="28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5"/>
      <c r="AG1750" s="15"/>
      <c r="AH1750" s="15"/>
      <c r="AI1750" s="15"/>
      <c r="AJ1750" s="15"/>
      <c r="AK1750" s="15"/>
      <c r="AL1750" s="15"/>
      <c r="AM1750" s="15"/>
      <c r="AN1750" s="15"/>
      <c r="AO1750" s="15"/>
      <c r="AP1750" s="15"/>
      <c r="AQ1750" s="15"/>
      <c r="AR1750" s="15"/>
      <c r="AS1750" s="15"/>
      <c r="AT1750" s="15"/>
      <c r="AU1750" s="15"/>
      <c r="AV1750" s="15"/>
      <c r="AW1750" s="15"/>
    </row>
    <row r="1751" spans="3:49" x14ac:dyDescent="0.2">
      <c r="C1751" s="15"/>
      <c r="D1751" s="15"/>
      <c r="E1751" s="15"/>
      <c r="F1751" s="15"/>
      <c r="G1751" s="15"/>
      <c r="H1751" s="15"/>
      <c r="I1751" s="15"/>
      <c r="J1751" s="15"/>
      <c r="K1751" s="15"/>
      <c r="L1751" s="28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5"/>
      <c r="AG1751" s="15"/>
      <c r="AH1751" s="15"/>
      <c r="AI1751" s="15"/>
      <c r="AJ1751" s="15"/>
      <c r="AK1751" s="15"/>
      <c r="AL1751" s="15"/>
      <c r="AM1751" s="15"/>
      <c r="AN1751" s="15"/>
      <c r="AO1751" s="15"/>
      <c r="AP1751" s="15"/>
      <c r="AQ1751" s="15"/>
      <c r="AR1751" s="15"/>
      <c r="AS1751" s="15"/>
      <c r="AT1751" s="15"/>
      <c r="AU1751" s="15"/>
      <c r="AV1751" s="15"/>
      <c r="AW1751" s="15"/>
    </row>
    <row r="1752" spans="3:49" x14ac:dyDescent="0.2">
      <c r="C1752" s="15"/>
      <c r="D1752" s="15"/>
      <c r="E1752" s="15"/>
      <c r="F1752" s="15"/>
      <c r="G1752" s="15"/>
      <c r="H1752" s="15"/>
      <c r="I1752" s="15"/>
      <c r="J1752" s="15"/>
      <c r="K1752" s="15"/>
      <c r="L1752" s="28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5"/>
      <c r="AG1752" s="15"/>
      <c r="AH1752" s="15"/>
      <c r="AI1752" s="15"/>
      <c r="AJ1752" s="15"/>
      <c r="AK1752" s="15"/>
      <c r="AL1752" s="15"/>
      <c r="AM1752" s="15"/>
      <c r="AN1752" s="15"/>
      <c r="AO1752" s="15"/>
      <c r="AP1752" s="15"/>
      <c r="AQ1752" s="15"/>
      <c r="AR1752" s="15"/>
      <c r="AS1752" s="15"/>
      <c r="AT1752" s="15"/>
      <c r="AU1752" s="15"/>
      <c r="AV1752" s="15"/>
      <c r="AW1752" s="15"/>
    </row>
    <row r="1753" spans="3:49" x14ac:dyDescent="0.2">
      <c r="C1753" s="15"/>
      <c r="D1753" s="15"/>
      <c r="E1753" s="15"/>
      <c r="F1753" s="15"/>
      <c r="G1753" s="15"/>
      <c r="H1753" s="15"/>
      <c r="I1753" s="15"/>
      <c r="J1753" s="15"/>
      <c r="K1753" s="15"/>
      <c r="L1753" s="28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5"/>
      <c r="AG1753" s="15"/>
      <c r="AH1753" s="15"/>
      <c r="AI1753" s="15"/>
      <c r="AJ1753" s="15"/>
      <c r="AK1753" s="15"/>
      <c r="AL1753" s="15"/>
      <c r="AM1753" s="15"/>
      <c r="AN1753" s="15"/>
      <c r="AO1753" s="15"/>
      <c r="AP1753" s="15"/>
      <c r="AQ1753" s="15"/>
      <c r="AR1753" s="15"/>
      <c r="AS1753" s="15"/>
      <c r="AT1753" s="15"/>
      <c r="AU1753" s="15"/>
      <c r="AV1753" s="15"/>
      <c r="AW1753" s="15"/>
    </row>
    <row r="1754" spans="3:49" x14ac:dyDescent="0.2">
      <c r="C1754" s="15"/>
      <c r="D1754" s="15"/>
      <c r="E1754" s="15"/>
      <c r="F1754" s="15"/>
      <c r="G1754" s="15"/>
      <c r="H1754" s="15"/>
      <c r="I1754" s="15"/>
      <c r="J1754" s="15"/>
      <c r="K1754" s="15"/>
      <c r="L1754" s="28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5"/>
      <c r="AG1754" s="15"/>
      <c r="AH1754" s="15"/>
      <c r="AI1754" s="15"/>
      <c r="AJ1754" s="15"/>
      <c r="AK1754" s="15"/>
      <c r="AL1754" s="15"/>
      <c r="AM1754" s="15"/>
      <c r="AN1754" s="15"/>
      <c r="AO1754" s="15"/>
      <c r="AP1754" s="15"/>
      <c r="AQ1754" s="15"/>
      <c r="AR1754" s="15"/>
      <c r="AS1754" s="15"/>
      <c r="AT1754" s="15"/>
      <c r="AU1754" s="15"/>
      <c r="AV1754" s="15"/>
      <c r="AW1754" s="15"/>
    </row>
    <row r="1755" spans="3:49" x14ac:dyDescent="0.2">
      <c r="C1755" s="15"/>
      <c r="D1755" s="15"/>
      <c r="E1755" s="15"/>
      <c r="F1755" s="15"/>
      <c r="G1755" s="15"/>
      <c r="H1755" s="15"/>
      <c r="I1755" s="15"/>
      <c r="J1755" s="15"/>
      <c r="K1755" s="15"/>
      <c r="L1755" s="28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5"/>
      <c r="AG1755" s="15"/>
      <c r="AH1755" s="15"/>
      <c r="AI1755" s="15"/>
      <c r="AJ1755" s="15"/>
      <c r="AK1755" s="15"/>
      <c r="AL1755" s="15"/>
      <c r="AM1755" s="15"/>
      <c r="AN1755" s="15"/>
      <c r="AO1755" s="15"/>
      <c r="AP1755" s="15"/>
      <c r="AQ1755" s="15"/>
      <c r="AR1755" s="15"/>
      <c r="AS1755" s="15"/>
      <c r="AT1755" s="15"/>
      <c r="AU1755" s="15"/>
      <c r="AV1755" s="15"/>
      <c r="AW1755" s="15"/>
    </row>
    <row r="1756" spans="3:49" x14ac:dyDescent="0.2">
      <c r="C1756" s="15"/>
      <c r="D1756" s="15"/>
      <c r="E1756" s="15"/>
      <c r="F1756" s="15"/>
      <c r="G1756" s="15"/>
      <c r="H1756" s="15"/>
      <c r="I1756" s="15"/>
      <c r="J1756" s="15"/>
      <c r="K1756" s="15"/>
      <c r="L1756" s="28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5"/>
      <c r="AG1756" s="15"/>
      <c r="AH1756" s="15"/>
      <c r="AI1756" s="15"/>
      <c r="AJ1756" s="15"/>
      <c r="AK1756" s="15"/>
      <c r="AL1756" s="15"/>
      <c r="AM1756" s="15"/>
      <c r="AN1756" s="15"/>
      <c r="AO1756" s="15"/>
      <c r="AP1756" s="15"/>
      <c r="AQ1756" s="15"/>
      <c r="AR1756" s="15"/>
      <c r="AS1756" s="15"/>
      <c r="AT1756" s="15"/>
      <c r="AU1756" s="15"/>
      <c r="AV1756" s="15"/>
      <c r="AW1756" s="15"/>
    </row>
    <row r="1757" spans="3:49" x14ac:dyDescent="0.2">
      <c r="C1757" s="15"/>
      <c r="D1757" s="15"/>
      <c r="E1757" s="15"/>
      <c r="F1757" s="15"/>
      <c r="G1757" s="15"/>
      <c r="H1757" s="15"/>
      <c r="I1757" s="15"/>
      <c r="J1757" s="15"/>
      <c r="K1757" s="15"/>
      <c r="L1757" s="28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5"/>
      <c r="AG1757" s="15"/>
      <c r="AH1757" s="15"/>
      <c r="AI1757" s="15"/>
      <c r="AJ1757" s="15"/>
      <c r="AK1757" s="15"/>
      <c r="AL1757" s="15"/>
      <c r="AM1757" s="15"/>
      <c r="AN1757" s="15"/>
      <c r="AO1757" s="15"/>
      <c r="AP1757" s="15"/>
      <c r="AQ1757" s="15"/>
      <c r="AR1757" s="15"/>
      <c r="AS1757" s="15"/>
      <c r="AT1757" s="15"/>
      <c r="AU1757" s="15"/>
      <c r="AV1757" s="15"/>
      <c r="AW1757" s="15"/>
    </row>
    <row r="1758" spans="3:49" x14ac:dyDescent="0.2">
      <c r="C1758" s="15"/>
      <c r="D1758" s="15"/>
      <c r="E1758" s="15"/>
      <c r="F1758" s="15"/>
      <c r="G1758" s="15"/>
      <c r="H1758" s="15"/>
      <c r="I1758" s="15"/>
      <c r="J1758" s="15"/>
      <c r="K1758" s="15"/>
      <c r="L1758" s="28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5"/>
      <c r="AG1758" s="15"/>
      <c r="AH1758" s="15"/>
      <c r="AI1758" s="15"/>
      <c r="AJ1758" s="15"/>
      <c r="AK1758" s="15"/>
      <c r="AL1758" s="15"/>
      <c r="AM1758" s="15"/>
      <c r="AN1758" s="15"/>
      <c r="AO1758" s="15"/>
      <c r="AP1758" s="15"/>
      <c r="AQ1758" s="15"/>
      <c r="AR1758" s="15"/>
      <c r="AS1758" s="15"/>
      <c r="AT1758" s="15"/>
      <c r="AU1758" s="15"/>
      <c r="AV1758" s="15"/>
      <c r="AW1758" s="15"/>
    </row>
    <row r="1759" spans="3:49" x14ac:dyDescent="0.2">
      <c r="C1759" s="15"/>
      <c r="D1759" s="15"/>
      <c r="E1759" s="15"/>
      <c r="F1759" s="15"/>
      <c r="G1759" s="15"/>
      <c r="H1759" s="15"/>
      <c r="I1759" s="15"/>
      <c r="J1759" s="15"/>
      <c r="K1759" s="15"/>
      <c r="L1759" s="28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5"/>
      <c r="AG1759" s="15"/>
      <c r="AH1759" s="15"/>
      <c r="AI1759" s="15"/>
      <c r="AJ1759" s="15"/>
      <c r="AK1759" s="15"/>
      <c r="AL1759" s="15"/>
      <c r="AM1759" s="15"/>
      <c r="AN1759" s="15"/>
      <c r="AO1759" s="15"/>
      <c r="AP1759" s="15"/>
      <c r="AQ1759" s="15"/>
      <c r="AR1759" s="15"/>
      <c r="AS1759" s="15"/>
      <c r="AT1759" s="15"/>
      <c r="AU1759" s="15"/>
      <c r="AV1759" s="15"/>
      <c r="AW1759" s="15"/>
    </row>
    <row r="1760" spans="3:49" x14ac:dyDescent="0.2">
      <c r="C1760" s="15"/>
      <c r="D1760" s="15"/>
      <c r="E1760" s="15"/>
      <c r="F1760" s="15"/>
      <c r="G1760" s="15"/>
      <c r="H1760" s="15"/>
      <c r="I1760" s="15"/>
      <c r="J1760" s="15"/>
      <c r="K1760" s="15"/>
      <c r="L1760" s="28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5"/>
      <c r="AG1760" s="15"/>
      <c r="AH1760" s="15"/>
      <c r="AI1760" s="15"/>
      <c r="AJ1760" s="15"/>
      <c r="AK1760" s="15"/>
      <c r="AL1760" s="15"/>
      <c r="AM1760" s="15"/>
      <c r="AN1760" s="15"/>
      <c r="AO1760" s="15"/>
      <c r="AP1760" s="15"/>
      <c r="AQ1760" s="15"/>
      <c r="AR1760" s="15"/>
      <c r="AS1760" s="15"/>
      <c r="AT1760" s="15"/>
      <c r="AU1760" s="15"/>
      <c r="AV1760" s="15"/>
      <c r="AW1760" s="15"/>
    </row>
    <row r="1761" spans="3:49" x14ac:dyDescent="0.2">
      <c r="C1761" s="15"/>
      <c r="D1761" s="15"/>
      <c r="E1761" s="15"/>
      <c r="F1761" s="15"/>
      <c r="G1761" s="15"/>
      <c r="H1761" s="15"/>
      <c r="I1761" s="15"/>
      <c r="J1761" s="15"/>
      <c r="K1761" s="15"/>
      <c r="L1761" s="28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5"/>
      <c r="AG1761" s="15"/>
      <c r="AH1761" s="15"/>
      <c r="AI1761" s="15"/>
      <c r="AJ1761" s="15"/>
      <c r="AK1761" s="15"/>
      <c r="AL1761" s="15"/>
      <c r="AM1761" s="15"/>
      <c r="AN1761" s="15"/>
      <c r="AO1761" s="15"/>
      <c r="AP1761" s="15"/>
      <c r="AQ1761" s="15"/>
      <c r="AR1761" s="15"/>
      <c r="AS1761" s="15"/>
      <c r="AT1761" s="15"/>
      <c r="AU1761" s="15"/>
      <c r="AV1761" s="15"/>
      <c r="AW1761" s="15"/>
    </row>
    <row r="1762" spans="3:49" x14ac:dyDescent="0.2">
      <c r="C1762" s="15"/>
      <c r="D1762" s="15"/>
      <c r="E1762" s="15"/>
      <c r="F1762" s="15"/>
      <c r="G1762" s="15"/>
      <c r="H1762" s="15"/>
      <c r="I1762" s="15"/>
      <c r="J1762" s="15"/>
      <c r="K1762" s="15"/>
      <c r="L1762" s="28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5"/>
      <c r="AG1762" s="15"/>
      <c r="AH1762" s="15"/>
      <c r="AI1762" s="15"/>
      <c r="AJ1762" s="15"/>
      <c r="AK1762" s="15"/>
      <c r="AL1762" s="15"/>
      <c r="AM1762" s="15"/>
      <c r="AN1762" s="15"/>
      <c r="AO1762" s="15"/>
      <c r="AP1762" s="15"/>
      <c r="AQ1762" s="15"/>
      <c r="AR1762" s="15"/>
      <c r="AS1762" s="15"/>
      <c r="AT1762" s="15"/>
      <c r="AU1762" s="15"/>
      <c r="AV1762" s="15"/>
      <c r="AW1762" s="15"/>
    </row>
    <row r="1763" spans="3:49" x14ac:dyDescent="0.2">
      <c r="C1763" s="15"/>
      <c r="D1763" s="15"/>
      <c r="E1763" s="15"/>
      <c r="F1763" s="15"/>
      <c r="G1763" s="15"/>
      <c r="H1763" s="15"/>
      <c r="I1763" s="15"/>
      <c r="J1763" s="15"/>
      <c r="K1763" s="15"/>
      <c r="L1763" s="28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5"/>
      <c r="AG1763" s="15"/>
      <c r="AH1763" s="15"/>
      <c r="AI1763" s="15"/>
      <c r="AJ1763" s="15"/>
      <c r="AK1763" s="15"/>
      <c r="AL1763" s="15"/>
      <c r="AM1763" s="15"/>
      <c r="AN1763" s="15"/>
      <c r="AO1763" s="15"/>
      <c r="AP1763" s="15"/>
      <c r="AQ1763" s="15"/>
      <c r="AR1763" s="15"/>
      <c r="AS1763" s="15"/>
      <c r="AT1763" s="15"/>
      <c r="AU1763" s="15"/>
      <c r="AV1763" s="15"/>
      <c r="AW1763" s="15"/>
    </row>
    <row r="1764" spans="3:49" x14ac:dyDescent="0.2">
      <c r="C1764" s="15"/>
      <c r="D1764" s="15"/>
      <c r="E1764" s="15"/>
      <c r="F1764" s="15"/>
      <c r="G1764" s="15"/>
      <c r="H1764" s="15"/>
      <c r="I1764" s="15"/>
      <c r="J1764" s="15"/>
      <c r="K1764" s="15"/>
      <c r="L1764" s="28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5"/>
      <c r="AG1764" s="15"/>
      <c r="AH1764" s="15"/>
      <c r="AI1764" s="15"/>
      <c r="AJ1764" s="15"/>
      <c r="AK1764" s="15"/>
      <c r="AL1764" s="15"/>
      <c r="AM1764" s="15"/>
      <c r="AN1764" s="15"/>
      <c r="AO1764" s="15"/>
      <c r="AP1764" s="15"/>
      <c r="AQ1764" s="15"/>
      <c r="AR1764" s="15"/>
      <c r="AS1764" s="15"/>
      <c r="AT1764" s="15"/>
      <c r="AU1764" s="15"/>
      <c r="AV1764" s="15"/>
      <c r="AW1764" s="15"/>
    </row>
    <row r="1765" spans="3:49" x14ac:dyDescent="0.2">
      <c r="C1765" s="15"/>
      <c r="D1765" s="15"/>
      <c r="E1765" s="15"/>
      <c r="F1765" s="15"/>
      <c r="G1765" s="15"/>
      <c r="H1765" s="15"/>
      <c r="I1765" s="15"/>
      <c r="J1765" s="15"/>
      <c r="K1765" s="15"/>
      <c r="L1765" s="28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5"/>
      <c r="AG1765" s="15"/>
      <c r="AH1765" s="15"/>
      <c r="AI1765" s="15"/>
      <c r="AJ1765" s="15"/>
      <c r="AK1765" s="15"/>
      <c r="AL1765" s="15"/>
      <c r="AM1765" s="15"/>
      <c r="AN1765" s="15"/>
      <c r="AO1765" s="15"/>
      <c r="AP1765" s="15"/>
      <c r="AQ1765" s="15"/>
      <c r="AR1765" s="15"/>
      <c r="AS1765" s="15"/>
      <c r="AT1765" s="15"/>
      <c r="AU1765" s="15"/>
      <c r="AV1765" s="15"/>
      <c r="AW1765" s="15"/>
    </row>
    <row r="1766" spans="3:49" x14ac:dyDescent="0.2">
      <c r="C1766" s="15"/>
      <c r="D1766" s="15"/>
      <c r="E1766" s="15"/>
      <c r="F1766" s="15"/>
      <c r="G1766" s="15"/>
      <c r="H1766" s="15"/>
      <c r="I1766" s="15"/>
      <c r="J1766" s="15"/>
      <c r="K1766" s="15"/>
      <c r="L1766" s="28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5"/>
      <c r="AG1766" s="15"/>
      <c r="AH1766" s="15"/>
      <c r="AI1766" s="15"/>
      <c r="AJ1766" s="15"/>
      <c r="AK1766" s="15"/>
      <c r="AL1766" s="15"/>
      <c r="AM1766" s="15"/>
      <c r="AN1766" s="15"/>
      <c r="AO1766" s="15"/>
      <c r="AP1766" s="15"/>
      <c r="AQ1766" s="15"/>
      <c r="AR1766" s="15"/>
      <c r="AS1766" s="15"/>
      <c r="AT1766" s="15"/>
      <c r="AU1766" s="15"/>
      <c r="AV1766" s="15"/>
      <c r="AW1766" s="15"/>
    </row>
    <row r="1767" spans="3:49" x14ac:dyDescent="0.2">
      <c r="C1767" s="15"/>
      <c r="D1767" s="15"/>
      <c r="E1767" s="15"/>
      <c r="F1767" s="15"/>
      <c r="G1767" s="15"/>
      <c r="H1767" s="15"/>
      <c r="I1767" s="15"/>
      <c r="J1767" s="15"/>
      <c r="K1767" s="15"/>
      <c r="L1767" s="28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5"/>
      <c r="AG1767" s="15"/>
      <c r="AH1767" s="15"/>
      <c r="AI1767" s="15"/>
      <c r="AJ1767" s="15"/>
      <c r="AK1767" s="15"/>
      <c r="AL1767" s="15"/>
      <c r="AM1767" s="15"/>
      <c r="AN1767" s="15"/>
      <c r="AO1767" s="15"/>
      <c r="AP1767" s="15"/>
      <c r="AQ1767" s="15"/>
      <c r="AR1767" s="15"/>
      <c r="AS1767" s="15"/>
      <c r="AT1767" s="15"/>
      <c r="AU1767" s="15"/>
      <c r="AV1767" s="15"/>
      <c r="AW1767" s="15"/>
    </row>
    <row r="1768" spans="3:49" x14ac:dyDescent="0.2">
      <c r="C1768" s="15"/>
      <c r="D1768" s="15"/>
      <c r="E1768" s="15"/>
      <c r="F1768" s="15"/>
      <c r="G1768" s="15"/>
      <c r="H1768" s="15"/>
      <c r="I1768" s="15"/>
      <c r="J1768" s="15"/>
      <c r="K1768" s="15"/>
      <c r="L1768" s="28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5"/>
      <c r="AG1768" s="15"/>
      <c r="AH1768" s="15"/>
      <c r="AI1768" s="15"/>
      <c r="AJ1768" s="15"/>
      <c r="AK1768" s="15"/>
      <c r="AL1768" s="15"/>
      <c r="AM1768" s="15"/>
      <c r="AN1768" s="15"/>
      <c r="AO1768" s="15"/>
      <c r="AP1768" s="15"/>
      <c r="AQ1768" s="15"/>
      <c r="AR1768" s="15"/>
      <c r="AS1768" s="15"/>
      <c r="AT1768" s="15"/>
      <c r="AU1768" s="15"/>
      <c r="AV1768" s="15"/>
      <c r="AW1768" s="15"/>
    </row>
    <row r="1769" spans="3:49" x14ac:dyDescent="0.2">
      <c r="C1769" s="15"/>
      <c r="D1769" s="15"/>
      <c r="E1769" s="15"/>
      <c r="F1769" s="15"/>
      <c r="G1769" s="15"/>
      <c r="H1769" s="15"/>
      <c r="I1769" s="15"/>
      <c r="J1769" s="15"/>
      <c r="K1769" s="15"/>
      <c r="L1769" s="28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5"/>
      <c r="AG1769" s="15"/>
      <c r="AH1769" s="15"/>
      <c r="AI1769" s="15"/>
      <c r="AJ1769" s="15"/>
      <c r="AK1769" s="15"/>
      <c r="AL1769" s="15"/>
      <c r="AM1769" s="15"/>
      <c r="AN1769" s="15"/>
      <c r="AO1769" s="15"/>
      <c r="AP1769" s="15"/>
      <c r="AQ1769" s="15"/>
      <c r="AR1769" s="15"/>
      <c r="AS1769" s="15"/>
      <c r="AT1769" s="15"/>
      <c r="AU1769" s="15"/>
      <c r="AV1769" s="15"/>
      <c r="AW1769" s="15"/>
    </row>
    <row r="1770" spans="3:49" x14ac:dyDescent="0.2">
      <c r="C1770" s="15"/>
      <c r="D1770" s="15"/>
      <c r="E1770" s="15"/>
      <c r="F1770" s="15"/>
      <c r="G1770" s="15"/>
      <c r="H1770" s="15"/>
      <c r="I1770" s="15"/>
      <c r="J1770" s="15"/>
      <c r="K1770" s="15"/>
      <c r="L1770" s="28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5"/>
      <c r="AG1770" s="15"/>
      <c r="AH1770" s="15"/>
      <c r="AI1770" s="15"/>
      <c r="AJ1770" s="15"/>
      <c r="AK1770" s="15"/>
      <c r="AL1770" s="15"/>
      <c r="AM1770" s="15"/>
      <c r="AN1770" s="15"/>
      <c r="AO1770" s="15"/>
      <c r="AP1770" s="15"/>
      <c r="AQ1770" s="15"/>
      <c r="AR1770" s="15"/>
      <c r="AS1770" s="15"/>
      <c r="AT1770" s="15"/>
      <c r="AU1770" s="15"/>
      <c r="AV1770" s="15"/>
      <c r="AW1770" s="15"/>
    </row>
    <row r="1771" spans="3:49" x14ac:dyDescent="0.2">
      <c r="C1771" s="15"/>
      <c r="D1771" s="15"/>
      <c r="E1771" s="15"/>
      <c r="F1771" s="15"/>
      <c r="G1771" s="15"/>
      <c r="H1771" s="15"/>
      <c r="I1771" s="15"/>
      <c r="J1771" s="15"/>
      <c r="K1771" s="15"/>
      <c r="L1771" s="28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5"/>
      <c r="AG1771" s="15"/>
      <c r="AH1771" s="15"/>
      <c r="AI1771" s="15"/>
      <c r="AJ1771" s="15"/>
      <c r="AK1771" s="15"/>
      <c r="AL1771" s="15"/>
      <c r="AM1771" s="15"/>
      <c r="AN1771" s="15"/>
      <c r="AO1771" s="15"/>
      <c r="AP1771" s="15"/>
      <c r="AQ1771" s="15"/>
      <c r="AR1771" s="15"/>
      <c r="AS1771" s="15"/>
      <c r="AT1771" s="15"/>
      <c r="AU1771" s="15"/>
      <c r="AV1771" s="15"/>
      <c r="AW1771" s="15"/>
    </row>
    <row r="1772" spans="3:49" x14ac:dyDescent="0.2">
      <c r="C1772" s="15"/>
      <c r="D1772" s="15"/>
      <c r="E1772" s="15"/>
      <c r="F1772" s="15"/>
      <c r="G1772" s="15"/>
      <c r="H1772" s="15"/>
      <c r="I1772" s="15"/>
      <c r="J1772" s="15"/>
      <c r="K1772" s="15"/>
      <c r="L1772" s="28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5"/>
      <c r="AG1772" s="15"/>
      <c r="AH1772" s="15"/>
      <c r="AI1772" s="15"/>
      <c r="AJ1772" s="15"/>
      <c r="AK1772" s="15"/>
      <c r="AL1772" s="15"/>
      <c r="AM1772" s="15"/>
      <c r="AN1772" s="15"/>
      <c r="AO1772" s="15"/>
      <c r="AP1772" s="15"/>
      <c r="AQ1772" s="15"/>
      <c r="AR1772" s="15"/>
      <c r="AS1772" s="15"/>
      <c r="AT1772" s="15"/>
      <c r="AU1772" s="15"/>
      <c r="AV1772" s="15"/>
      <c r="AW1772" s="15"/>
    </row>
    <row r="1773" spans="3:49" x14ac:dyDescent="0.2">
      <c r="C1773" s="15"/>
      <c r="D1773" s="15"/>
      <c r="E1773" s="15"/>
      <c r="F1773" s="15"/>
      <c r="G1773" s="15"/>
      <c r="H1773" s="15"/>
      <c r="I1773" s="15"/>
      <c r="J1773" s="15"/>
      <c r="K1773" s="15"/>
      <c r="L1773" s="28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5"/>
      <c r="AG1773" s="15"/>
      <c r="AH1773" s="15"/>
      <c r="AI1773" s="15"/>
      <c r="AJ1773" s="15"/>
      <c r="AK1773" s="15"/>
      <c r="AL1773" s="15"/>
      <c r="AM1773" s="15"/>
      <c r="AN1773" s="15"/>
      <c r="AO1773" s="15"/>
      <c r="AP1773" s="15"/>
      <c r="AQ1773" s="15"/>
      <c r="AR1773" s="15"/>
      <c r="AS1773" s="15"/>
      <c r="AT1773" s="15"/>
      <c r="AU1773" s="15"/>
      <c r="AV1773" s="15"/>
      <c r="AW1773" s="15"/>
    </row>
    <row r="1774" spans="3:49" x14ac:dyDescent="0.2">
      <c r="C1774" s="15"/>
      <c r="D1774" s="15"/>
      <c r="E1774" s="15"/>
      <c r="F1774" s="15"/>
      <c r="G1774" s="15"/>
      <c r="H1774" s="15"/>
      <c r="I1774" s="15"/>
      <c r="J1774" s="15"/>
      <c r="K1774" s="15"/>
      <c r="L1774" s="28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5"/>
      <c r="AG1774" s="15"/>
      <c r="AH1774" s="15"/>
      <c r="AI1774" s="15"/>
      <c r="AJ1774" s="15"/>
      <c r="AK1774" s="15"/>
      <c r="AL1774" s="15"/>
      <c r="AM1774" s="15"/>
      <c r="AN1774" s="15"/>
      <c r="AO1774" s="15"/>
      <c r="AP1774" s="15"/>
      <c r="AQ1774" s="15"/>
      <c r="AR1774" s="15"/>
      <c r="AS1774" s="15"/>
      <c r="AT1774" s="15"/>
      <c r="AU1774" s="15"/>
      <c r="AV1774" s="15"/>
      <c r="AW1774" s="15"/>
    </row>
    <row r="1775" spans="3:49" x14ac:dyDescent="0.2">
      <c r="C1775" s="15"/>
      <c r="D1775" s="15"/>
      <c r="E1775" s="15"/>
      <c r="F1775" s="15"/>
      <c r="G1775" s="15"/>
      <c r="H1775" s="15"/>
      <c r="I1775" s="15"/>
      <c r="J1775" s="15"/>
      <c r="K1775" s="15"/>
      <c r="L1775" s="28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5"/>
      <c r="AG1775" s="15"/>
      <c r="AH1775" s="15"/>
      <c r="AI1775" s="15"/>
      <c r="AJ1775" s="15"/>
      <c r="AK1775" s="15"/>
      <c r="AL1775" s="15"/>
      <c r="AM1775" s="15"/>
      <c r="AN1775" s="15"/>
      <c r="AO1775" s="15"/>
      <c r="AP1775" s="15"/>
      <c r="AQ1775" s="15"/>
      <c r="AR1775" s="15"/>
      <c r="AS1775" s="15"/>
      <c r="AT1775" s="15"/>
      <c r="AU1775" s="15"/>
      <c r="AV1775" s="15"/>
      <c r="AW1775" s="15"/>
    </row>
    <row r="1776" spans="3:49" x14ac:dyDescent="0.2">
      <c r="C1776" s="15"/>
      <c r="D1776" s="15"/>
      <c r="E1776" s="15"/>
      <c r="F1776" s="15"/>
      <c r="G1776" s="15"/>
      <c r="H1776" s="15"/>
      <c r="I1776" s="15"/>
      <c r="J1776" s="15"/>
      <c r="K1776" s="15"/>
      <c r="L1776" s="28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5"/>
      <c r="AG1776" s="15"/>
      <c r="AH1776" s="15"/>
      <c r="AI1776" s="15"/>
      <c r="AJ1776" s="15"/>
      <c r="AK1776" s="15"/>
      <c r="AL1776" s="15"/>
      <c r="AM1776" s="15"/>
      <c r="AN1776" s="15"/>
      <c r="AO1776" s="15"/>
      <c r="AP1776" s="15"/>
      <c r="AQ1776" s="15"/>
      <c r="AR1776" s="15"/>
      <c r="AS1776" s="15"/>
      <c r="AT1776" s="15"/>
      <c r="AU1776" s="15"/>
      <c r="AV1776" s="15"/>
      <c r="AW1776" s="15"/>
    </row>
    <row r="1777" spans="3:49" x14ac:dyDescent="0.2">
      <c r="C1777" s="15"/>
      <c r="D1777" s="15"/>
      <c r="E1777" s="15"/>
      <c r="F1777" s="15"/>
      <c r="G1777" s="15"/>
      <c r="H1777" s="15"/>
      <c r="I1777" s="15"/>
      <c r="J1777" s="15"/>
      <c r="K1777" s="15"/>
      <c r="L1777" s="28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5"/>
      <c r="AG1777" s="15"/>
      <c r="AH1777" s="15"/>
      <c r="AI1777" s="15"/>
      <c r="AJ1777" s="15"/>
      <c r="AK1777" s="15"/>
      <c r="AL1777" s="15"/>
      <c r="AM1777" s="15"/>
      <c r="AN1777" s="15"/>
      <c r="AO1777" s="15"/>
      <c r="AP1777" s="15"/>
      <c r="AQ1777" s="15"/>
      <c r="AR1777" s="15"/>
      <c r="AS1777" s="15"/>
      <c r="AT1777" s="15"/>
      <c r="AU1777" s="15"/>
      <c r="AV1777" s="15"/>
      <c r="AW1777" s="15"/>
    </row>
    <row r="1778" spans="3:49" x14ac:dyDescent="0.2">
      <c r="C1778" s="15"/>
      <c r="D1778" s="15"/>
      <c r="E1778" s="15"/>
      <c r="F1778" s="15"/>
      <c r="G1778" s="15"/>
      <c r="H1778" s="15"/>
      <c r="I1778" s="15"/>
      <c r="J1778" s="15"/>
      <c r="K1778" s="15"/>
      <c r="L1778" s="28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5"/>
      <c r="AG1778" s="15"/>
      <c r="AH1778" s="15"/>
      <c r="AI1778" s="15"/>
      <c r="AJ1778" s="15"/>
      <c r="AK1778" s="15"/>
      <c r="AL1778" s="15"/>
      <c r="AM1778" s="15"/>
      <c r="AN1778" s="15"/>
      <c r="AO1778" s="15"/>
      <c r="AP1778" s="15"/>
      <c r="AQ1778" s="15"/>
      <c r="AR1778" s="15"/>
      <c r="AS1778" s="15"/>
      <c r="AT1778" s="15"/>
      <c r="AU1778" s="15"/>
      <c r="AV1778" s="15"/>
      <c r="AW1778" s="15"/>
    </row>
    <row r="1779" spans="3:49" x14ac:dyDescent="0.2">
      <c r="C1779" s="15"/>
      <c r="D1779" s="15"/>
      <c r="E1779" s="15"/>
      <c r="F1779" s="15"/>
      <c r="G1779" s="15"/>
      <c r="H1779" s="15"/>
      <c r="I1779" s="15"/>
      <c r="J1779" s="15"/>
      <c r="K1779" s="15"/>
      <c r="L1779" s="28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5"/>
      <c r="AG1779" s="15"/>
      <c r="AH1779" s="15"/>
      <c r="AI1779" s="15"/>
      <c r="AJ1779" s="15"/>
      <c r="AK1779" s="15"/>
      <c r="AL1779" s="15"/>
      <c r="AM1779" s="15"/>
      <c r="AN1779" s="15"/>
      <c r="AO1779" s="15"/>
      <c r="AP1779" s="15"/>
      <c r="AQ1779" s="15"/>
      <c r="AR1779" s="15"/>
      <c r="AS1779" s="15"/>
      <c r="AT1779" s="15"/>
      <c r="AU1779" s="15"/>
      <c r="AV1779" s="15"/>
      <c r="AW1779" s="15"/>
    </row>
    <row r="1780" spans="3:49" x14ac:dyDescent="0.2">
      <c r="C1780" s="15"/>
      <c r="D1780" s="15"/>
      <c r="E1780" s="15"/>
      <c r="F1780" s="15"/>
      <c r="G1780" s="15"/>
      <c r="H1780" s="15"/>
      <c r="I1780" s="15"/>
      <c r="J1780" s="15"/>
      <c r="K1780" s="15"/>
      <c r="L1780" s="28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5"/>
      <c r="AG1780" s="15"/>
      <c r="AH1780" s="15"/>
      <c r="AI1780" s="15"/>
      <c r="AJ1780" s="15"/>
      <c r="AK1780" s="15"/>
      <c r="AL1780" s="15"/>
      <c r="AM1780" s="15"/>
      <c r="AN1780" s="15"/>
      <c r="AO1780" s="15"/>
      <c r="AP1780" s="15"/>
      <c r="AQ1780" s="15"/>
      <c r="AR1780" s="15"/>
      <c r="AS1780" s="15"/>
      <c r="AT1780" s="15"/>
      <c r="AU1780" s="15"/>
      <c r="AV1780" s="15"/>
      <c r="AW1780" s="15"/>
    </row>
    <row r="1781" spans="3:49" x14ac:dyDescent="0.2">
      <c r="C1781" s="15"/>
      <c r="D1781" s="15"/>
      <c r="E1781" s="15"/>
      <c r="F1781" s="15"/>
      <c r="G1781" s="15"/>
      <c r="H1781" s="15"/>
      <c r="I1781" s="15"/>
      <c r="J1781" s="15"/>
      <c r="K1781" s="15"/>
      <c r="L1781" s="28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5"/>
      <c r="AG1781" s="15"/>
      <c r="AH1781" s="15"/>
      <c r="AI1781" s="15"/>
      <c r="AJ1781" s="15"/>
      <c r="AK1781" s="15"/>
      <c r="AL1781" s="15"/>
      <c r="AM1781" s="15"/>
      <c r="AN1781" s="15"/>
      <c r="AO1781" s="15"/>
      <c r="AP1781" s="15"/>
      <c r="AQ1781" s="15"/>
      <c r="AR1781" s="15"/>
      <c r="AS1781" s="15"/>
      <c r="AT1781" s="15"/>
      <c r="AU1781" s="15"/>
      <c r="AV1781" s="15"/>
      <c r="AW1781" s="15"/>
    </row>
    <row r="1782" spans="3:49" x14ac:dyDescent="0.2">
      <c r="C1782" s="15"/>
      <c r="D1782" s="15"/>
      <c r="E1782" s="15"/>
      <c r="F1782" s="15"/>
      <c r="G1782" s="15"/>
      <c r="H1782" s="15"/>
      <c r="I1782" s="15"/>
      <c r="J1782" s="15"/>
      <c r="K1782" s="15"/>
      <c r="L1782" s="28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5"/>
      <c r="AG1782" s="15"/>
      <c r="AH1782" s="15"/>
      <c r="AI1782" s="15"/>
      <c r="AJ1782" s="15"/>
      <c r="AK1782" s="15"/>
      <c r="AL1782" s="15"/>
      <c r="AM1782" s="15"/>
      <c r="AN1782" s="15"/>
      <c r="AO1782" s="15"/>
      <c r="AP1782" s="15"/>
      <c r="AQ1782" s="15"/>
      <c r="AR1782" s="15"/>
      <c r="AS1782" s="15"/>
      <c r="AT1782" s="15"/>
      <c r="AU1782" s="15"/>
      <c r="AV1782" s="15"/>
      <c r="AW1782" s="15"/>
    </row>
    <row r="1783" spans="3:49" x14ac:dyDescent="0.2">
      <c r="C1783" s="15"/>
      <c r="D1783" s="15"/>
      <c r="E1783" s="15"/>
      <c r="F1783" s="15"/>
      <c r="G1783" s="15"/>
      <c r="H1783" s="15"/>
      <c r="I1783" s="15"/>
      <c r="J1783" s="15"/>
      <c r="K1783" s="15"/>
      <c r="L1783" s="28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5"/>
      <c r="AG1783" s="15"/>
      <c r="AH1783" s="15"/>
      <c r="AI1783" s="15"/>
      <c r="AJ1783" s="15"/>
      <c r="AK1783" s="15"/>
      <c r="AL1783" s="15"/>
      <c r="AM1783" s="15"/>
      <c r="AN1783" s="15"/>
      <c r="AO1783" s="15"/>
      <c r="AP1783" s="15"/>
      <c r="AQ1783" s="15"/>
      <c r="AR1783" s="15"/>
      <c r="AS1783" s="15"/>
      <c r="AT1783" s="15"/>
      <c r="AU1783" s="15"/>
      <c r="AV1783" s="15"/>
      <c r="AW1783" s="15"/>
    </row>
    <row r="1784" spans="3:49" x14ac:dyDescent="0.2">
      <c r="C1784" s="15"/>
      <c r="D1784" s="15"/>
      <c r="E1784" s="15"/>
      <c r="F1784" s="15"/>
      <c r="G1784" s="15"/>
      <c r="H1784" s="15"/>
      <c r="I1784" s="15"/>
      <c r="J1784" s="15"/>
      <c r="K1784" s="15"/>
      <c r="L1784" s="28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5"/>
      <c r="AG1784" s="15"/>
      <c r="AH1784" s="15"/>
      <c r="AI1784" s="15"/>
      <c r="AJ1784" s="15"/>
      <c r="AK1784" s="15"/>
      <c r="AL1784" s="15"/>
      <c r="AM1784" s="15"/>
      <c r="AN1784" s="15"/>
      <c r="AO1784" s="15"/>
      <c r="AP1784" s="15"/>
      <c r="AQ1784" s="15"/>
      <c r="AR1784" s="15"/>
      <c r="AS1784" s="15"/>
      <c r="AT1784" s="15"/>
      <c r="AU1784" s="15"/>
      <c r="AV1784" s="15"/>
      <c r="AW1784" s="15"/>
    </row>
    <row r="1785" spans="3:49" x14ac:dyDescent="0.2">
      <c r="C1785" s="15"/>
      <c r="D1785" s="15"/>
      <c r="E1785" s="15"/>
      <c r="F1785" s="15"/>
      <c r="G1785" s="15"/>
      <c r="H1785" s="15"/>
      <c r="I1785" s="15"/>
      <c r="J1785" s="15"/>
      <c r="K1785" s="15"/>
      <c r="L1785" s="28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5"/>
      <c r="AG1785" s="15"/>
      <c r="AH1785" s="15"/>
      <c r="AI1785" s="15"/>
      <c r="AJ1785" s="15"/>
      <c r="AK1785" s="15"/>
      <c r="AL1785" s="15"/>
      <c r="AM1785" s="15"/>
      <c r="AN1785" s="15"/>
      <c r="AO1785" s="15"/>
      <c r="AP1785" s="15"/>
      <c r="AQ1785" s="15"/>
      <c r="AR1785" s="15"/>
      <c r="AS1785" s="15"/>
      <c r="AT1785" s="15"/>
      <c r="AU1785" s="15"/>
      <c r="AV1785" s="15"/>
      <c r="AW1785" s="15"/>
    </row>
    <row r="1786" spans="3:49" x14ac:dyDescent="0.2">
      <c r="C1786" s="15"/>
      <c r="D1786" s="15"/>
      <c r="E1786" s="15"/>
      <c r="F1786" s="15"/>
      <c r="G1786" s="15"/>
      <c r="H1786" s="15"/>
      <c r="I1786" s="15"/>
      <c r="J1786" s="15"/>
      <c r="K1786" s="15"/>
      <c r="L1786" s="28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5"/>
      <c r="AG1786" s="15"/>
      <c r="AH1786" s="15"/>
      <c r="AI1786" s="15"/>
      <c r="AJ1786" s="15"/>
      <c r="AK1786" s="15"/>
      <c r="AL1786" s="15"/>
      <c r="AM1786" s="15"/>
      <c r="AN1786" s="15"/>
      <c r="AO1786" s="15"/>
      <c r="AP1786" s="15"/>
      <c r="AQ1786" s="15"/>
      <c r="AR1786" s="15"/>
      <c r="AS1786" s="15"/>
      <c r="AT1786" s="15"/>
      <c r="AU1786" s="15"/>
      <c r="AV1786" s="15"/>
      <c r="AW1786" s="15"/>
    </row>
    <row r="1787" spans="3:49" x14ac:dyDescent="0.2">
      <c r="C1787" s="15"/>
      <c r="D1787" s="15"/>
      <c r="E1787" s="15"/>
      <c r="F1787" s="15"/>
      <c r="G1787" s="15"/>
      <c r="H1787" s="15"/>
      <c r="I1787" s="15"/>
      <c r="J1787" s="15"/>
      <c r="K1787" s="15"/>
      <c r="L1787" s="28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5"/>
      <c r="AG1787" s="15"/>
      <c r="AH1787" s="15"/>
      <c r="AI1787" s="15"/>
      <c r="AJ1787" s="15"/>
      <c r="AK1787" s="15"/>
      <c r="AL1787" s="15"/>
      <c r="AM1787" s="15"/>
      <c r="AN1787" s="15"/>
      <c r="AO1787" s="15"/>
      <c r="AP1787" s="15"/>
      <c r="AQ1787" s="15"/>
      <c r="AR1787" s="15"/>
      <c r="AS1787" s="15"/>
      <c r="AT1787" s="15"/>
      <c r="AU1787" s="15"/>
      <c r="AV1787" s="15"/>
      <c r="AW1787" s="15"/>
    </row>
    <row r="1788" spans="3:49" x14ac:dyDescent="0.2">
      <c r="C1788" s="15"/>
      <c r="D1788" s="15"/>
      <c r="E1788" s="15"/>
      <c r="F1788" s="15"/>
      <c r="G1788" s="15"/>
      <c r="H1788" s="15"/>
      <c r="I1788" s="15"/>
      <c r="J1788" s="15"/>
      <c r="K1788" s="15"/>
      <c r="L1788" s="28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5"/>
      <c r="AG1788" s="15"/>
      <c r="AH1788" s="15"/>
      <c r="AI1788" s="15"/>
      <c r="AJ1788" s="15"/>
      <c r="AK1788" s="15"/>
      <c r="AL1788" s="15"/>
      <c r="AM1788" s="15"/>
      <c r="AN1788" s="15"/>
      <c r="AO1788" s="15"/>
      <c r="AP1788" s="15"/>
      <c r="AQ1788" s="15"/>
      <c r="AR1788" s="15"/>
      <c r="AS1788" s="15"/>
      <c r="AT1788" s="15"/>
      <c r="AU1788" s="15"/>
      <c r="AV1788" s="15"/>
      <c r="AW1788" s="15"/>
    </row>
    <row r="1789" spans="3:49" x14ac:dyDescent="0.2">
      <c r="C1789" s="15"/>
      <c r="D1789" s="15"/>
      <c r="E1789" s="15"/>
      <c r="F1789" s="15"/>
      <c r="G1789" s="15"/>
      <c r="H1789" s="15"/>
      <c r="I1789" s="15"/>
      <c r="J1789" s="15"/>
      <c r="K1789" s="15"/>
      <c r="L1789" s="28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5"/>
      <c r="AG1789" s="15"/>
      <c r="AH1789" s="15"/>
      <c r="AI1789" s="15"/>
      <c r="AJ1789" s="15"/>
      <c r="AK1789" s="15"/>
      <c r="AL1789" s="15"/>
      <c r="AM1789" s="15"/>
      <c r="AN1789" s="15"/>
      <c r="AO1789" s="15"/>
      <c r="AP1789" s="15"/>
      <c r="AQ1789" s="15"/>
      <c r="AR1789" s="15"/>
      <c r="AS1789" s="15"/>
      <c r="AT1789" s="15"/>
      <c r="AU1789" s="15"/>
      <c r="AV1789" s="15"/>
      <c r="AW1789" s="15"/>
    </row>
    <row r="1790" spans="3:49" x14ac:dyDescent="0.2">
      <c r="C1790" s="15"/>
      <c r="D1790" s="15"/>
      <c r="E1790" s="15"/>
      <c r="F1790" s="15"/>
      <c r="G1790" s="15"/>
      <c r="H1790" s="15"/>
      <c r="I1790" s="15"/>
      <c r="J1790" s="15"/>
      <c r="K1790" s="15"/>
      <c r="L1790" s="28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5"/>
      <c r="AG1790" s="15"/>
      <c r="AH1790" s="15"/>
      <c r="AI1790" s="15"/>
      <c r="AJ1790" s="15"/>
      <c r="AK1790" s="15"/>
      <c r="AL1790" s="15"/>
      <c r="AM1790" s="15"/>
      <c r="AN1790" s="15"/>
      <c r="AO1790" s="15"/>
      <c r="AP1790" s="15"/>
      <c r="AQ1790" s="15"/>
      <c r="AR1790" s="15"/>
      <c r="AS1790" s="15"/>
      <c r="AT1790" s="15"/>
      <c r="AU1790" s="15"/>
      <c r="AV1790" s="15"/>
      <c r="AW1790" s="15"/>
    </row>
    <row r="1791" spans="3:49" x14ac:dyDescent="0.2">
      <c r="C1791" s="15"/>
      <c r="D1791" s="15"/>
      <c r="E1791" s="15"/>
      <c r="F1791" s="15"/>
      <c r="G1791" s="15"/>
      <c r="H1791" s="15"/>
      <c r="I1791" s="15"/>
      <c r="J1791" s="15"/>
      <c r="K1791" s="15"/>
      <c r="L1791" s="28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5"/>
      <c r="AG1791" s="15"/>
      <c r="AH1791" s="15"/>
      <c r="AI1791" s="15"/>
      <c r="AJ1791" s="15"/>
      <c r="AK1791" s="15"/>
      <c r="AL1791" s="15"/>
      <c r="AM1791" s="15"/>
      <c r="AN1791" s="15"/>
      <c r="AO1791" s="15"/>
      <c r="AP1791" s="15"/>
      <c r="AQ1791" s="15"/>
      <c r="AR1791" s="15"/>
      <c r="AS1791" s="15"/>
      <c r="AT1791" s="15"/>
      <c r="AU1791" s="15"/>
      <c r="AV1791" s="15"/>
      <c r="AW1791" s="15"/>
    </row>
    <row r="1792" spans="3:49" x14ac:dyDescent="0.2">
      <c r="C1792" s="15"/>
      <c r="D1792" s="15"/>
      <c r="E1792" s="15"/>
      <c r="F1792" s="15"/>
      <c r="G1792" s="15"/>
      <c r="H1792" s="15"/>
      <c r="I1792" s="15"/>
      <c r="J1792" s="15"/>
      <c r="K1792" s="15"/>
      <c r="L1792" s="28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5"/>
      <c r="AG1792" s="15"/>
      <c r="AH1792" s="15"/>
      <c r="AI1792" s="15"/>
      <c r="AJ1792" s="15"/>
      <c r="AK1792" s="15"/>
      <c r="AL1792" s="15"/>
      <c r="AM1792" s="15"/>
      <c r="AN1792" s="15"/>
      <c r="AO1792" s="15"/>
      <c r="AP1792" s="15"/>
      <c r="AQ1792" s="15"/>
      <c r="AR1792" s="15"/>
      <c r="AS1792" s="15"/>
      <c r="AT1792" s="15"/>
      <c r="AU1792" s="15"/>
      <c r="AV1792" s="15"/>
      <c r="AW1792" s="15"/>
    </row>
    <row r="1793" spans="3:49" x14ac:dyDescent="0.2">
      <c r="C1793" s="15"/>
      <c r="D1793" s="15"/>
      <c r="E1793" s="15"/>
      <c r="F1793" s="15"/>
      <c r="G1793" s="15"/>
      <c r="H1793" s="15"/>
      <c r="I1793" s="15"/>
      <c r="J1793" s="15"/>
      <c r="K1793" s="15"/>
      <c r="L1793" s="28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5"/>
      <c r="AG1793" s="15"/>
      <c r="AH1793" s="15"/>
      <c r="AI1793" s="15"/>
      <c r="AJ1793" s="15"/>
      <c r="AK1793" s="15"/>
      <c r="AL1793" s="15"/>
      <c r="AM1793" s="15"/>
      <c r="AN1793" s="15"/>
      <c r="AO1793" s="15"/>
      <c r="AP1793" s="15"/>
      <c r="AQ1793" s="15"/>
      <c r="AR1793" s="15"/>
      <c r="AS1793" s="15"/>
      <c r="AT1793" s="15"/>
      <c r="AU1793" s="15"/>
      <c r="AV1793" s="15"/>
      <c r="AW1793" s="15"/>
    </row>
    <row r="1794" spans="3:49" x14ac:dyDescent="0.2">
      <c r="C1794" s="15"/>
      <c r="D1794" s="15"/>
      <c r="E1794" s="15"/>
      <c r="F1794" s="15"/>
      <c r="G1794" s="15"/>
      <c r="H1794" s="15"/>
      <c r="I1794" s="15"/>
      <c r="J1794" s="15"/>
      <c r="K1794" s="15"/>
      <c r="L1794" s="28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5"/>
      <c r="AG1794" s="15"/>
      <c r="AH1794" s="15"/>
      <c r="AI1794" s="15"/>
      <c r="AJ1794" s="15"/>
      <c r="AK1794" s="15"/>
      <c r="AL1794" s="15"/>
      <c r="AM1794" s="15"/>
      <c r="AN1794" s="15"/>
      <c r="AO1794" s="15"/>
      <c r="AP1794" s="15"/>
      <c r="AQ1794" s="15"/>
      <c r="AR1794" s="15"/>
      <c r="AS1794" s="15"/>
      <c r="AT1794" s="15"/>
      <c r="AU1794" s="15"/>
      <c r="AV1794" s="15"/>
      <c r="AW1794" s="15"/>
    </row>
    <row r="1795" spans="3:49" x14ac:dyDescent="0.2">
      <c r="C1795" s="15"/>
      <c r="D1795" s="15"/>
      <c r="E1795" s="15"/>
      <c r="F1795" s="15"/>
      <c r="G1795" s="15"/>
      <c r="H1795" s="15"/>
      <c r="I1795" s="15"/>
      <c r="J1795" s="15"/>
      <c r="K1795" s="15"/>
      <c r="L1795" s="28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5"/>
      <c r="AG1795" s="15"/>
      <c r="AH1795" s="15"/>
      <c r="AI1795" s="15"/>
      <c r="AJ1795" s="15"/>
      <c r="AK1795" s="15"/>
      <c r="AL1795" s="15"/>
      <c r="AM1795" s="15"/>
      <c r="AN1795" s="15"/>
      <c r="AO1795" s="15"/>
      <c r="AP1795" s="15"/>
      <c r="AQ1795" s="15"/>
      <c r="AR1795" s="15"/>
      <c r="AS1795" s="15"/>
      <c r="AT1795" s="15"/>
      <c r="AU1795" s="15"/>
      <c r="AV1795" s="15"/>
      <c r="AW1795" s="15"/>
    </row>
    <row r="1796" spans="3:49" x14ac:dyDescent="0.2">
      <c r="C1796" s="15"/>
      <c r="D1796" s="15"/>
      <c r="E1796" s="15"/>
      <c r="F1796" s="15"/>
      <c r="G1796" s="15"/>
      <c r="H1796" s="15"/>
      <c r="I1796" s="15"/>
      <c r="J1796" s="15"/>
      <c r="K1796" s="15"/>
      <c r="L1796" s="28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5"/>
      <c r="AG1796" s="15"/>
      <c r="AH1796" s="15"/>
      <c r="AI1796" s="15"/>
      <c r="AJ1796" s="15"/>
      <c r="AK1796" s="15"/>
      <c r="AL1796" s="15"/>
      <c r="AM1796" s="15"/>
      <c r="AN1796" s="15"/>
      <c r="AO1796" s="15"/>
      <c r="AP1796" s="15"/>
      <c r="AQ1796" s="15"/>
      <c r="AR1796" s="15"/>
      <c r="AS1796" s="15"/>
      <c r="AT1796" s="15"/>
      <c r="AU1796" s="15"/>
      <c r="AV1796" s="15"/>
      <c r="AW1796" s="15"/>
    </row>
    <row r="1797" spans="3:49" x14ac:dyDescent="0.2">
      <c r="C1797" s="15"/>
      <c r="D1797" s="15"/>
      <c r="E1797" s="15"/>
      <c r="F1797" s="15"/>
      <c r="G1797" s="15"/>
      <c r="H1797" s="15"/>
      <c r="I1797" s="15"/>
      <c r="J1797" s="15"/>
      <c r="K1797" s="15"/>
      <c r="L1797" s="28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5"/>
      <c r="AG1797" s="15"/>
      <c r="AH1797" s="15"/>
      <c r="AI1797" s="15"/>
      <c r="AJ1797" s="15"/>
      <c r="AK1797" s="15"/>
      <c r="AL1797" s="15"/>
      <c r="AM1797" s="15"/>
      <c r="AN1797" s="15"/>
      <c r="AO1797" s="15"/>
      <c r="AP1797" s="15"/>
      <c r="AQ1797" s="15"/>
      <c r="AR1797" s="15"/>
      <c r="AS1797" s="15"/>
      <c r="AT1797" s="15"/>
      <c r="AU1797" s="15"/>
      <c r="AV1797" s="15"/>
      <c r="AW1797" s="15"/>
    </row>
    <row r="1798" spans="3:49" x14ac:dyDescent="0.2">
      <c r="C1798" s="15"/>
      <c r="D1798" s="15"/>
      <c r="E1798" s="15"/>
      <c r="F1798" s="15"/>
      <c r="G1798" s="15"/>
      <c r="H1798" s="15"/>
      <c r="I1798" s="15"/>
      <c r="J1798" s="15"/>
      <c r="K1798" s="15"/>
      <c r="L1798" s="28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5"/>
      <c r="AG1798" s="15"/>
      <c r="AH1798" s="15"/>
      <c r="AI1798" s="15"/>
      <c r="AJ1798" s="15"/>
      <c r="AK1798" s="15"/>
      <c r="AL1798" s="15"/>
      <c r="AM1798" s="15"/>
      <c r="AN1798" s="15"/>
      <c r="AO1798" s="15"/>
      <c r="AP1798" s="15"/>
      <c r="AQ1798" s="15"/>
      <c r="AR1798" s="15"/>
      <c r="AS1798" s="15"/>
      <c r="AT1798" s="15"/>
      <c r="AU1798" s="15"/>
      <c r="AV1798" s="15"/>
      <c r="AW1798" s="15"/>
    </row>
    <row r="1799" spans="3:49" x14ac:dyDescent="0.2">
      <c r="C1799" s="15"/>
      <c r="D1799" s="15"/>
      <c r="E1799" s="15"/>
      <c r="F1799" s="15"/>
      <c r="G1799" s="15"/>
      <c r="H1799" s="15"/>
      <c r="I1799" s="15"/>
      <c r="J1799" s="15"/>
      <c r="K1799" s="15"/>
      <c r="L1799" s="28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5"/>
      <c r="AG1799" s="15"/>
      <c r="AH1799" s="15"/>
      <c r="AI1799" s="15"/>
      <c r="AJ1799" s="15"/>
      <c r="AK1799" s="15"/>
      <c r="AL1799" s="15"/>
      <c r="AM1799" s="15"/>
      <c r="AN1799" s="15"/>
      <c r="AO1799" s="15"/>
      <c r="AP1799" s="15"/>
      <c r="AQ1799" s="15"/>
      <c r="AR1799" s="15"/>
      <c r="AS1799" s="15"/>
      <c r="AT1799" s="15"/>
      <c r="AU1799" s="15"/>
      <c r="AV1799" s="15"/>
      <c r="AW1799" s="15"/>
    </row>
    <row r="1800" spans="3:49" x14ac:dyDescent="0.2">
      <c r="C1800" s="15"/>
      <c r="D1800" s="15"/>
      <c r="E1800" s="15"/>
      <c r="F1800" s="15"/>
      <c r="G1800" s="15"/>
      <c r="H1800" s="15"/>
      <c r="I1800" s="15"/>
      <c r="J1800" s="15"/>
      <c r="K1800" s="15"/>
      <c r="L1800" s="28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5"/>
      <c r="AG1800" s="15"/>
      <c r="AH1800" s="15"/>
      <c r="AI1800" s="15"/>
      <c r="AJ1800" s="15"/>
      <c r="AK1800" s="15"/>
      <c r="AL1800" s="15"/>
      <c r="AM1800" s="15"/>
      <c r="AN1800" s="15"/>
      <c r="AO1800" s="15"/>
      <c r="AP1800" s="15"/>
      <c r="AQ1800" s="15"/>
      <c r="AR1800" s="15"/>
      <c r="AS1800" s="15"/>
      <c r="AT1800" s="15"/>
      <c r="AU1800" s="15"/>
      <c r="AV1800" s="15"/>
      <c r="AW1800" s="15"/>
    </row>
    <row r="1801" spans="3:49" x14ac:dyDescent="0.2">
      <c r="C1801" s="15"/>
      <c r="D1801" s="15"/>
      <c r="E1801" s="15"/>
      <c r="F1801" s="15"/>
      <c r="G1801" s="15"/>
      <c r="H1801" s="15"/>
      <c r="I1801" s="15"/>
      <c r="J1801" s="15"/>
      <c r="K1801" s="15"/>
      <c r="L1801" s="28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5"/>
      <c r="AG1801" s="15"/>
      <c r="AH1801" s="15"/>
      <c r="AI1801" s="15"/>
      <c r="AJ1801" s="15"/>
      <c r="AK1801" s="15"/>
      <c r="AL1801" s="15"/>
      <c r="AM1801" s="15"/>
      <c r="AN1801" s="15"/>
      <c r="AO1801" s="15"/>
      <c r="AP1801" s="15"/>
      <c r="AQ1801" s="15"/>
      <c r="AR1801" s="15"/>
      <c r="AS1801" s="15"/>
      <c r="AT1801" s="15"/>
      <c r="AU1801" s="15"/>
      <c r="AV1801" s="15"/>
      <c r="AW1801" s="15"/>
    </row>
    <row r="1802" spans="3:49" x14ac:dyDescent="0.2">
      <c r="C1802" s="15"/>
      <c r="D1802" s="15"/>
      <c r="E1802" s="15"/>
      <c r="F1802" s="15"/>
      <c r="G1802" s="15"/>
      <c r="H1802" s="15"/>
      <c r="I1802" s="15"/>
      <c r="J1802" s="15"/>
      <c r="K1802" s="15"/>
      <c r="L1802" s="28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5"/>
      <c r="AG1802" s="15"/>
      <c r="AH1802" s="15"/>
      <c r="AI1802" s="15"/>
      <c r="AJ1802" s="15"/>
      <c r="AK1802" s="15"/>
      <c r="AL1802" s="15"/>
      <c r="AM1802" s="15"/>
      <c r="AN1802" s="15"/>
      <c r="AO1802" s="15"/>
      <c r="AP1802" s="15"/>
      <c r="AQ1802" s="15"/>
      <c r="AR1802" s="15"/>
      <c r="AS1802" s="15"/>
      <c r="AT1802" s="15"/>
      <c r="AU1802" s="15"/>
      <c r="AV1802" s="15"/>
      <c r="AW1802" s="15"/>
    </row>
    <row r="1803" spans="3:49" x14ac:dyDescent="0.2">
      <c r="C1803" s="15"/>
      <c r="D1803" s="15"/>
      <c r="E1803" s="15"/>
      <c r="F1803" s="15"/>
      <c r="G1803" s="15"/>
      <c r="H1803" s="15"/>
      <c r="I1803" s="15"/>
      <c r="J1803" s="15"/>
      <c r="K1803" s="15"/>
      <c r="L1803" s="28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5"/>
      <c r="AG1803" s="15"/>
      <c r="AH1803" s="15"/>
      <c r="AI1803" s="15"/>
      <c r="AJ1803" s="15"/>
      <c r="AK1803" s="15"/>
      <c r="AL1803" s="15"/>
      <c r="AM1803" s="15"/>
      <c r="AN1803" s="15"/>
      <c r="AO1803" s="15"/>
      <c r="AP1803" s="15"/>
      <c r="AQ1803" s="15"/>
      <c r="AR1803" s="15"/>
      <c r="AS1803" s="15"/>
      <c r="AT1803" s="15"/>
      <c r="AU1803" s="15"/>
      <c r="AV1803" s="15"/>
      <c r="AW1803" s="15"/>
    </row>
    <row r="1804" spans="3:49" x14ac:dyDescent="0.2">
      <c r="C1804" s="15"/>
      <c r="D1804" s="15"/>
      <c r="E1804" s="15"/>
      <c r="F1804" s="15"/>
      <c r="G1804" s="15"/>
      <c r="H1804" s="15"/>
      <c r="I1804" s="15"/>
      <c r="J1804" s="15"/>
      <c r="K1804" s="15"/>
      <c r="L1804" s="28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5"/>
      <c r="AG1804" s="15"/>
      <c r="AH1804" s="15"/>
      <c r="AI1804" s="15"/>
      <c r="AJ1804" s="15"/>
      <c r="AK1804" s="15"/>
      <c r="AL1804" s="15"/>
      <c r="AM1804" s="15"/>
      <c r="AN1804" s="15"/>
      <c r="AO1804" s="15"/>
      <c r="AP1804" s="15"/>
      <c r="AQ1804" s="15"/>
      <c r="AR1804" s="15"/>
      <c r="AS1804" s="15"/>
      <c r="AT1804" s="15"/>
      <c r="AU1804" s="15"/>
      <c r="AV1804" s="15"/>
      <c r="AW1804" s="15"/>
    </row>
    <row r="1805" spans="3:49" x14ac:dyDescent="0.2">
      <c r="C1805" s="15"/>
      <c r="D1805" s="15"/>
      <c r="E1805" s="15"/>
      <c r="F1805" s="15"/>
      <c r="G1805" s="15"/>
      <c r="H1805" s="15"/>
      <c r="I1805" s="15"/>
      <c r="J1805" s="15"/>
      <c r="K1805" s="15"/>
      <c r="L1805" s="28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5"/>
      <c r="AG1805" s="15"/>
      <c r="AH1805" s="15"/>
      <c r="AI1805" s="15"/>
      <c r="AJ1805" s="15"/>
      <c r="AK1805" s="15"/>
      <c r="AL1805" s="15"/>
      <c r="AM1805" s="15"/>
      <c r="AN1805" s="15"/>
      <c r="AO1805" s="15"/>
      <c r="AP1805" s="15"/>
      <c r="AQ1805" s="15"/>
      <c r="AR1805" s="15"/>
      <c r="AS1805" s="15"/>
      <c r="AT1805" s="15"/>
      <c r="AU1805" s="15"/>
      <c r="AV1805" s="15"/>
      <c r="AW1805" s="15"/>
    </row>
    <row r="1806" spans="3:49" x14ac:dyDescent="0.2">
      <c r="C1806" s="15"/>
      <c r="D1806" s="15"/>
      <c r="E1806" s="15"/>
      <c r="F1806" s="15"/>
      <c r="G1806" s="15"/>
      <c r="H1806" s="15"/>
      <c r="I1806" s="15"/>
      <c r="J1806" s="15"/>
      <c r="K1806" s="15"/>
      <c r="L1806" s="28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5"/>
      <c r="AG1806" s="15"/>
      <c r="AH1806" s="15"/>
      <c r="AI1806" s="15"/>
      <c r="AJ1806" s="15"/>
      <c r="AK1806" s="15"/>
      <c r="AL1806" s="15"/>
      <c r="AM1806" s="15"/>
      <c r="AN1806" s="15"/>
      <c r="AO1806" s="15"/>
      <c r="AP1806" s="15"/>
      <c r="AQ1806" s="15"/>
      <c r="AR1806" s="15"/>
      <c r="AS1806" s="15"/>
      <c r="AT1806" s="15"/>
      <c r="AU1806" s="15"/>
      <c r="AV1806" s="15"/>
      <c r="AW1806" s="15"/>
    </row>
    <row r="1807" spans="3:49" x14ac:dyDescent="0.2">
      <c r="C1807" s="15"/>
      <c r="D1807" s="15"/>
      <c r="E1807" s="15"/>
      <c r="F1807" s="15"/>
      <c r="G1807" s="15"/>
      <c r="H1807" s="15"/>
      <c r="I1807" s="15"/>
      <c r="J1807" s="15"/>
      <c r="K1807" s="15"/>
      <c r="L1807" s="28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5"/>
      <c r="AG1807" s="15"/>
      <c r="AH1807" s="15"/>
      <c r="AI1807" s="15"/>
      <c r="AJ1807" s="15"/>
      <c r="AK1807" s="15"/>
      <c r="AL1807" s="15"/>
      <c r="AM1807" s="15"/>
      <c r="AN1807" s="15"/>
      <c r="AO1807" s="15"/>
      <c r="AP1807" s="15"/>
      <c r="AQ1807" s="15"/>
      <c r="AR1807" s="15"/>
      <c r="AS1807" s="15"/>
      <c r="AT1807" s="15"/>
      <c r="AU1807" s="15"/>
      <c r="AV1807" s="15"/>
      <c r="AW1807" s="15"/>
    </row>
    <row r="1808" spans="3:49" x14ac:dyDescent="0.2">
      <c r="C1808" s="15"/>
      <c r="D1808" s="15"/>
      <c r="E1808" s="15"/>
      <c r="F1808" s="15"/>
      <c r="G1808" s="15"/>
      <c r="H1808" s="15"/>
      <c r="I1808" s="15"/>
      <c r="J1808" s="15"/>
      <c r="K1808" s="15"/>
      <c r="L1808" s="28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5"/>
      <c r="AG1808" s="15"/>
      <c r="AH1808" s="15"/>
      <c r="AI1808" s="15"/>
      <c r="AJ1808" s="15"/>
      <c r="AK1808" s="15"/>
      <c r="AL1808" s="15"/>
      <c r="AM1808" s="15"/>
      <c r="AN1808" s="15"/>
      <c r="AO1808" s="15"/>
      <c r="AP1808" s="15"/>
      <c r="AQ1808" s="15"/>
      <c r="AR1808" s="15"/>
      <c r="AS1808" s="15"/>
      <c r="AT1808" s="15"/>
      <c r="AU1808" s="15"/>
      <c r="AV1808" s="15"/>
      <c r="AW1808" s="15"/>
    </row>
    <row r="1809" spans="3:49" x14ac:dyDescent="0.2">
      <c r="C1809" s="15"/>
      <c r="D1809" s="15"/>
      <c r="E1809" s="15"/>
      <c r="F1809" s="15"/>
      <c r="G1809" s="15"/>
      <c r="H1809" s="15"/>
      <c r="I1809" s="15"/>
      <c r="J1809" s="15"/>
      <c r="K1809" s="15"/>
      <c r="L1809" s="28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5"/>
      <c r="AG1809" s="15"/>
      <c r="AH1809" s="15"/>
      <c r="AI1809" s="15"/>
      <c r="AJ1809" s="15"/>
      <c r="AK1809" s="15"/>
      <c r="AL1809" s="15"/>
      <c r="AM1809" s="15"/>
      <c r="AN1809" s="15"/>
      <c r="AO1809" s="15"/>
      <c r="AP1809" s="15"/>
      <c r="AQ1809" s="15"/>
      <c r="AR1809" s="15"/>
      <c r="AS1809" s="15"/>
      <c r="AT1809" s="15"/>
      <c r="AU1809" s="15"/>
      <c r="AV1809" s="15"/>
      <c r="AW1809" s="15"/>
    </row>
    <row r="1810" spans="3:49" x14ac:dyDescent="0.2">
      <c r="C1810" s="15"/>
      <c r="D1810" s="15"/>
      <c r="E1810" s="15"/>
      <c r="F1810" s="15"/>
      <c r="G1810" s="15"/>
      <c r="H1810" s="15"/>
      <c r="I1810" s="15"/>
      <c r="J1810" s="15"/>
      <c r="K1810" s="15"/>
      <c r="L1810" s="28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5"/>
      <c r="AG1810" s="15"/>
      <c r="AH1810" s="15"/>
      <c r="AI1810" s="15"/>
      <c r="AJ1810" s="15"/>
      <c r="AK1810" s="15"/>
      <c r="AL1810" s="15"/>
      <c r="AM1810" s="15"/>
      <c r="AN1810" s="15"/>
      <c r="AO1810" s="15"/>
      <c r="AP1810" s="15"/>
      <c r="AQ1810" s="15"/>
      <c r="AR1810" s="15"/>
      <c r="AS1810" s="15"/>
      <c r="AT1810" s="15"/>
      <c r="AU1810" s="15"/>
      <c r="AV1810" s="15"/>
      <c r="AW1810" s="15"/>
    </row>
    <row r="1811" spans="3:49" x14ac:dyDescent="0.2">
      <c r="C1811" s="15"/>
      <c r="D1811" s="15"/>
      <c r="E1811" s="15"/>
      <c r="F1811" s="15"/>
      <c r="G1811" s="15"/>
      <c r="H1811" s="15"/>
      <c r="I1811" s="15"/>
      <c r="J1811" s="15"/>
      <c r="K1811" s="15"/>
      <c r="L1811" s="28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5"/>
      <c r="AG1811" s="15"/>
      <c r="AH1811" s="15"/>
      <c r="AI1811" s="15"/>
      <c r="AJ1811" s="15"/>
      <c r="AK1811" s="15"/>
      <c r="AL1811" s="15"/>
      <c r="AM1811" s="15"/>
      <c r="AN1811" s="15"/>
      <c r="AO1811" s="15"/>
      <c r="AP1811" s="15"/>
      <c r="AQ1811" s="15"/>
      <c r="AR1811" s="15"/>
      <c r="AS1811" s="15"/>
      <c r="AT1811" s="15"/>
      <c r="AU1811" s="15"/>
      <c r="AV1811" s="15"/>
      <c r="AW1811" s="15"/>
    </row>
    <row r="1812" spans="3:49" x14ac:dyDescent="0.2">
      <c r="C1812" s="15"/>
      <c r="D1812" s="15"/>
      <c r="E1812" s="15"/>
      <c r="F1812" s="15"/>
      <c r="G1812" s="15"/>
      <c r="H1812" s="15"/>
      <c r="I1812" s="15"/>
      <c r="J1812" s="15"/>
      <c r="K1812" s="15"/>
      <c r="L1812" s="28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5"/>
      <c r="AG1812" s="15"/>
      <c r="AH1812" s="15"/>
      <c r="AI1812" s="15"/>
      <c r="AJ1812" s="15"/>
      <c r="AK1812" s="15"/>
      <c r="AL1812" s="15"/>
      <c r="AM1812" s="15"/>
      <c r="AN1812" s="15"/>
      <c r="AO1812" s="15"/>
      <c r="AP1812" s="15"/>
      <c r="AQ1812" s="15"/>
      <c r="AR1812" s="15"/>
      <c r="AS1812" s="15"/>
      <c r="AT1812" s="15"/>
      <c r="AU1812" s="15"/>
      <c r="AV1812" s="15"/>
      <c r="AW1812" s="15"/>
    </row>
    <row r="1813" spans="3:49" x14ac:dyDescent="0.2">
      <c r="C1813" s="15"/>
      <c r="D1813" s="15"/>
      <c r="E1813" s="15"/>
      <c r="F1813" s="15"/>
      <c r="G1813" s="15"/>
      <c r="H1813" s="15"/>
      <c r="I1813" s="15"/>
      <c r="J1813" s="15"/>
      <c r="K1813" s="15"/>
      <c r="L1813" s="28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5"/>
      <c r="AG1813" s="15"/>
      <c r="AH1813" s="15"/>
      <c r="AI1813" s="15"/>
      <c r="AJ1813" s="15"/>
      <c r="AK1813" s="15"/>
      <c r="AL1813" s="15"/>
      <c r="AM1813" s="15"/>
      <c r="AN1813" s="15"/>
      <c r="AO1813" s="15"/>
      <c r="AP1813" s="15"/>
      <c r="AQ1813" s="15"/>
      <c r="AR1813" s="15"/>
      <c r="AS1813" s="15"/>
      <c r="AT1813" s="15"/>
      <c r="AU1813" s="15"/>
      <c r="AV1813" s="15"/>
      <c r="AW1813" s="15"/>
    </row>
    <row r="1814" spans="3:49" x14ac:dyDescent="0.2">
      <c r="C1814" s="15"/>
      <c r="D1814" s="15"/>
      <c r="E1814" s="15"/>
      <c r="F1814" s="15"/>
      <c r="G1814" s="15"/>
      <c r="H1814" s="15"/>
      <c r="I1814" s="15"/>
      <c r="J1814" s="15"/>
      <c r="K1814" s="15"/>
      <c r="L1814" s="28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5"/>
      <c r="AG1814" s="15"/>
      <c r="AH1814" s="15"/>
      <c r="AI1814" s="15"/>
      <c r="AJ1814" s="15"/>
      <c r="AK1814" s="15"/>
      <c r="AL1814" s="15"/>
      <c r="AM1814" s="15"/>
      <c r="AN1814" s="15"/>
      <c r="AO1814" s="15"/>
      <c r="AP1814" s="15"/>
      <c r="AQ1814" s="15"/>
      <c r="AR1814" s="15"/>
      <c r="AS1814" s="15"/>
      <c r="AT1814" s="15"/>
      <c r="AU1814" s="15"/>
      <c r="AV1814" s="15"/>
      <c r="AW1814" s="15"/>
    </row>
    <row r="1815" spans="3:49" x14ac:dyDescent="0.2">
      <c r="C1815" s="15"/>
      <c r="D1815" s="15"/>
      <c r="E1815" s="15"/>
      <c r="F1815" s="15"/>
      <c r="G1815" s="15"/>
      <c r="H1815" s="15"/>
      <c r="I1815" s="15"/>
      <c r="J1815" s="15"/>
      <c r="K1815" s="15"/>
      <c r="L1815" s="28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5"/>
      <c r="AG1815" s="15"/>
      <c r="AH1815" s="15"/>
      <c r="AI1815" s="15"/>
      <c r="AJ1815" s="15"/>
      <c r="AK1815" s="15"/>
      <c r="AL1815" s="15"/>
      <c r="AM1815" s="15"/>
      <c r="AN1815" s="15"/>
      <c r="AO1815" s="15"/>
      <c r="AP1815" s="15"/>
      <c r="AQ1815" s="15"/>
      <c r="AR1815" s="15"/>
      <c r="AS1815" s="15"/>
      <c r="AT1815" s="15"/>
      <c r="AU1815" s="15"/>
      <c r="AV1815" s="15"/>
      <c r="AW1815" s="15"/>
    </row>
    <row r="1816" spans="3:49" x14ac:dyDescent="0.2">
      <c r="C1816" s="15"/>
      <c r="D1816" s="15"/>
      <c r="E1816" s="15"/>
      <c r="F1816" s="15"/>
      <c r="G1816" s="15"/>
      <c r="H1816" s="15"/>
      <c r="I1816" s="15"/>
      <c r="J1816" s="15"/>
      <c r="K1816" s="15"/>
      <c r="L1816" s="28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5"/>
      <c r="AG1816" s="15"/>
      <c r="AH1816" s="15"/>
      <c r="AI1816" s="15"/>
      <c r="AJ1816" s="15"/>
      <c r="AK1816" s="15"/>
      <c r="AL1816" s="15"/>
      <c r="AM1816" s="15"/>
      <c r="AN1816" s="15"/>
      <c r="AO1816" s="15"/>
      <c r="AP1816" s="15"/>
      <c r="AQ1816" s="15"/>
      <c r="AR1816" s="15"/>
      <c r="AS1816" s="15"/>
      <c r="AT1816" s="15"/>
      <c r="AU1816" s="15"/>
      <c r="AV1816" s="15"/>
      <c r="AW1816" s="15"/>
    </row>
    <row r="1817" spans="3:49" x14ac:dyDescent="0.2">
      <c r="C1817" s="15"/>
      <c r="D1817" s="15"/>
      <c r="E1817" s="15"/>
      <c r="F1817" s="15"/>
      <c r="G1817" s="15"/>
      <c r="H1817" s="15"/>
      <c r="I1817" s="15"/>
      <c r="J1817" s="15"/>
      <c r="K1817" s="15"/>
      <c r="L1817" s="28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5"/>
      <c r="AG1817" s="15"/>
      <c r="AH1817" s="15"/>
      <c r="AI1817" s="15"/>
      <c r="AJ1817" s="15"/>
      <c r="AK1817" s="15"/>
      <c r="AL1817" s="15"/>
      <c r="AM1817" s="15"/>
      <c r="AN1817" s="15"/>
      <c r="AO1817" s="15"/>
      <c r="AP1817" s="15"/>
      <c r="AQ1817" s="15"/>
      <c r="AR1817" s="15"/>
      <c r="AS1817" s="15"/>
      <c r="AT1817" s="15"/>
      <c r="AU1817" s="15"/>
      <c r="AV1817" s="15"/>
      <c r="AW1817" s="15"/>
    </row>
    <row r="1818" spans="3:49" x14ac:dyDescent="0.2">
      <c r="C1818" s="15"/>
      <c r="D1818" s="15"/>
      <c r="E1818" s="15"/>
      <c r="F1818" s="15"/>
      <c r="G1818" s="15"/>
      <c r="H1818" s="15"/>
      <c r="I1818" s="15"/>
      <c r="J1818" s="15"/>
      <c r="K1818" s="15"/>
      <c r="L1818" s="28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5"/>
      <c r="AG1818" s="15"/>
      <c r="AH1818" s="15"/>
      <c r="AI1818" s="15"/>
      <c r="AJ1818" s="15"/>
      <c r="AK1818" s="15"/>
      <c r="AL1818" s="15"/>
      <c r="AM1818" s="15"/>
      <c r="AN1818" s="15"/>
      <c r="AO1818" s="15"/>
      <c r="AP1818" s="15"/>
      <c r="AQ1818" s="15"/>
      <c r="AR1818" s="15"/>
      <c r="AS1818" s="15"/>
      <c r="AT1818" s="15"/>
      <c r="AU1818" s="15"/>
      <c r="AV1818" s="15"/>
      <c r="AW1818" s="15"/>
    </row>
    <row r="1819" spans="3:49" x14ac:dyDescent="0.2">
      <c r="C1819" s="15"/>
      <c r="D1819" s="15"/>
      <c r="E1819" s="15"/>
      <c r="F1819" s="15"/>
      <c r="G1819" s="15"/>
      <c r="H1819" s="15"/>
      <c r="I1819" s="15"/>
      <c r="J1819" s="15"/>
      <c r="K1819" s="15"/>
      <c r="L1819" s="28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5"/>
      <c r="AG1819" s="15"/>
      <c r="AH1819" s="15"/>
      <c r="AI1819" s="15"/>
      <c r="AJ1819" s="15"/>
      <c r="AK1819" s="15"/>
      <c r="AL1819" s="15"/>
      <c r="AM1819" s="15"/>
      <c r="AN1819" s="15"/>
      <c r="AO1819" s="15"/>
      <c r="AP1819" s="15"/>
      <c r="AQ1819" s="15"/>
      <c r="AR1819" s="15"/>
      <c r="AS1819" s="15"/>
      <c r="AT1819" s="15"/>
      <c r="AU1819" s="15"/>
      <c r="AV1819" s="15"/>
      <c r="AW1819" s="15"/>
    </row>
    <row r="1820" spans="3:49" x14ac:dyDescent="0.2">
      <c r="C1820" s="15"/>
      <c r="D1820" s="15"/>
      <c r="E1820" s="15"/>
      <c r="F1820" s="15"/>
      <c r="G1820" s="15"/>
      <c r="H1820" s="15"/>
      <c r="I1820" s="15"/>
      <c r="J1820" s="15"/>
      <c r="K1820" s="15"/>
      <c r="L1820" s="28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5"/>
      <c r="AG1820" s="15"/>
      <c r="AH1820" s="15"/>
      <c r="AI1820" s="15"/>
      <c r="AJ1820" s="15"/>
      <c r="AK1820" s="15"/>
      <c r="AL1820" s="15"/>
      <c r="AM1820" s="15"/>
      <c r="AN1820" s="15"/>
      <c r="AO1820" s="15"/>
      <c r="AP1820" s="15"/>
      <c r="AQ1820" s="15"/>
      <c r="AR1820" s="15"/>
      <c r="AS1820" s="15"/>
      <c r="AT1820" s="15"/>
      <c r="AU1820" s="15"/>
      <c r="AV1820" s="15"/>
      <c r="AW1820" s="15"/>
    </row>
    <row r="1821" spans="3:49" x14ac:dyDescent="0.2">
      <c r="C1821" s="15"/>
      <c r="D1821" s="15"/>
      <c r="E1821" s="15"/>
      <c r="F1821" s="15"/>
      <c r="G1821" s="15"/>
      <c r="H1821" s="15"/>
      <c r="I1821" s="15"/>
      <c r="J1821" s="15"/>
      <c r="K1821" s="15"/>
      <c r="L1821" s="28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5"/>
      <c r="AG1821" s="15"/>
      <c r="AH1821" s="15"/>
      <c r="AI1821" s="15"/>
      <c r="AJ1821" s="15"/>
      <c r="AK1821" s="15"/>
      <c r="AL1821" s="15"/>
      <c r="AM1821" s="15"/>
      <c r="AN1821" s="15"/>
      <c r="AO1821" s="15"/>
      <c r="AP1821" s="15"/>
      <c r="AQ1821" s="15"/>
      <c r="AR1821" s="15"/>
      <c r="AS1821" s="15"/>
      <c r="AT1821" s="15"/>
      <c r="AU1821" s="15"/>
      <c r="AV1821" s="15"/>
      <c r="AW1821" s="15"/>
    </row>
    <row r="1822" spans="3:49" x14ac:dyDescent="0.2">
      <c r="C1822" s="15"/>
      <c r="D1822" s="15"/>
      <c r="E1822" s="15"/>
      <c r="F1822" s="15"/>
      <c r="G1822" s="15"/>
      <c r="H1822" s="15"/>
      <c r="I1822" s="15"/>
      <c r="J1822" s="15"/>
      <c r="K1822" s="15"/>
      <c r="L1822" s="28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5"/>
      <c r="AG1822" s="15"/>
      <c r="AH1822" s="15"/>
      <c r="AI1822" s="15"/>
      <c r="AJ1822" s="15"/>
      <c r="AK1822" s="15"/>
      <c r="AL1822" s="15"/>
      <c r="AM1822" s="15"/>
      <c r="AN1822" s="15"/>
      <c r="AO1822" s="15"/>
      <c r="AP1822" s="15"/>
      <c r="AQ1822" s="15"/>
      <c r="AR1822" s="15"/>
      <c r="AS1822" s="15"/>
      <c r="AT1822" s="15"/>
      <c r="AU1822" s="15"/>
      <c r="AV1822" s="15"/>
      <c r="AW1822" s="15"/>
    </row>
    <row r="1823" spans="3:49" x14ac:dyDescent="0.2">
      <c r="C1823" s="15"/>
      <c r="D1823" s="15"/>
      <c r="E1823" s="15"/>
      <c r="F1823" s="15"/>
      <c r="G1823" s="15"/>
      <c r="H1823" s="15"/>
      <c r="I1823" s="15"/>
      <c r="J1823" s="15"/>
      <c r="K1823" s="15"/>
      <c r="L1823" s="28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5"/>
      <c r="AG1823" s="15"/>
      <c r="AH1823" s="15"/>
      <c r="AI1823" s="15"/>
      <c r="AJ1823" s="15"/>
      <c r="AK1823" s="15"/>
      <c r="AL1823" s="15"/>
      <c r="AM1823" s="15"/>
      <c r="AN1823" s="15"/>
      <c r="AO1823" s="15"/>
      <c r="AP1823" s="15"/>
      <c r="AQ1823" s="15"/>
      <c r="AR1823" s="15"/>
      <c r="AS1823" s="15"/>
      <c r="AT1823" s="15"/>
      <c r="AU1823" s="15"/>
      <c r="AV1823" s="15"/>
      <c r="AW1823" s="15"/>
    </row>
    <row r="1824" spans="3:49" x14ac:dyDescent="0.2">
      <c r="C1824" s="15"/>
      <c r="D1824" s="15"/>
      <c r="E1824" s="15"/>
      <c r="F1824" s="15"/>
      <c r="G1824" s="15"/>
      <c r="H1824" s="15"/>
      <c r="I1824" s="15"/>
      <c r="J1824" s="15"/>
      <c r="K1824" s="15"/>
      <c r="L1824" s="28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5"/>
      <c r="AG1824" s="15"/>
      <c r="AH1824" s="15"/>
      <c r="AI1824" s="15"/>
      <c r="AJ1824" s="15"/>
      <c r="AK1824" s="15"/>
      <c r="AL1824" s="15"/>
      <c r="AM1824" s="15"/>
      <c r="AN1824" s="15"/>
      <c r="AO1824" s="15"/>
      <c r="AP1824" s="15"/>
      <c r="AQ1824" s="15"/>
      <c r="AR1824" s="15"/>
      <c r="AS1824" s="15"/>
      <c r="AT1824" s="15"/>
      <c r="AU1824" s="15"/>
      <c r="AV1824" s="15"/>
      <c r="AW1824" s="15"/>
    </row>
    <row r="1825" spans="3:49" x14ac:dyDescent="0.2">
      <c r="C1825" s="15"/>
      <c r="D1825" s="15"/>
      <c r="E1825" s="15"/>
      <c r="F1825" s="15"/>
      <c r="G1825" s="15"/>
      <c r="H1825" s="15"/>
      <c r="I1825" s="15"/>
      <c r="J1825" s="15"/>
      <c r="K1825" s="15"/>
      <c r="L1825" s="28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5"/>
      <c r="AG1825" s="15"/>
      <c r="AH1825" s="15"/>
      <c r="AI1825" s="15"/>
      <c r="AJ1825" s="15"/>
      <c r="AK1825" s="15"/>
      <c r="AL1825" s="15"/>
      <c r="AM1825" s="15"/>
      <c r="AN1825" s="15"/>
      <c r="AO1825" s="15"/>
      <c r="AP1825" s="15"/>
      <c r="AQ1825" s="15"/>
      <c r="AR1825" s="15"/>
      <c r="AS1825" s="15"/>
      <c r="AT1825" s="15"/>
      <c r="AU1825" s="15"/>
      <c r="AV1825" s="15"/>
      <c r="AW1825" s="15"/>
    </row>
    <row r="1826" spans="3:49" x14ac:dyDescent="0.2">
      <c r="C1826" s="15"/>
      <c r="D1826" s="15"/>
      <c r="E1826" s="15"/>
      <c r="F1826" s="15"/>
      <c r="G1826" s="15"/>
      <c r="H1826" s="15"/>
      <c r="I1826" s="15"/>
      <c r="J1826" s="15"/>
      <c r="K1826" s="15"/>
      <c r="L1826" s="28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5"/>
      <c r="AG1826" s="15"/>
      <c r="AH1826" s="15"/>
      <c r="AI1826" s="15"/>
      <c r="AJ1826" s="15"/>
      <c r="AK1826" s="15"/>
      <c r="AL1826" s="15"/>
      <c r="AM1826" s="15"/>
      <c r="AN1826" s="15"/>
      <c r="AO1826" s="15"/>
      <c r="AP1826" s="15"/>
      <c r="AQ1826" s="15"/>
      <c r="AR1826" s="15"/>
      <c r="AS1826" s="15"/>
      <c r="AT1826" s="15"/>
      <c r="AU1826" s="15"/>
      <c r="AV1826" s="15"/>
      <c r="AW1826" s="15"/>
    </row>
    <row r="1827" spans="3:49" x14ac:dyDescent="0.2">
      <c r="C1827" s="15"/>
      <c r="D1827" s="15"/>
      <c r="E1827" s="15"/>
      <c r="F1827" s="15"/>
      <c r="G1827" s="15"/>
      <c r="H1827" s="15"/>
      <c r="I1827" s="15"/>
      <c r="J1827" s="15"/>
      <c r="K1827" s="15"/>
      <c r="L1827" s="28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5"/>
      <c r="AG1827" s="15"/>
      <c r="AH1827" s="15"/>
      <c r="AI1827" s="15"/>
      <c r="AJ1827" s="15"/>
      <c r="AK1827" s="15"/>
      <c r="AL1827" s="15"/>
      <c r="AM1827" s="15"/>
      <c r="AN1827" s="15"/>
      <c r="AO1827" s="15"/>
      <c r="AP1827" s="15"/>
      <c r="AQ1827" s="15"/>
      <c r="AR1827" s="15"/>
      <c r="AS1827" s="15"/>
      <c r="AT1827" s="15"/>
      <c r="AU1827" s="15"/>
      <c r="AV1827" s="15"/>
      <c r="AW1827" s="15"/>
    </row>
    <row r="1828" spans="3:49" x14ac:dyDescent="0.2">
      <c r="C1828" s="15"/>
      <c r="D1828" s="15"/>
      <c r="E1828" s="15"/>
      <c r="F1828" s="15"/>
      <c r="G1828" s="15"/>
      <c r="H1828" s="15"/>
      <c r="I1828" s="15"/>
      <c r="J1828" s="15"/>
      <c r="K1828" s="15"/>
      <c r="L1828" s="28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5"/>
      <c r="AG1828" s="15"/>
      <c r="AH1828" s="15"/>
      <c r="AI1828" s="15"/>
      <c r="AJ1828" s="15"/>
      <c r="AK1828" s="15"/>
      <c r="AL1828" s="15"/>
      <c r="AM1828" s="15"/>
      <c r="AN1828" s="15"/>
      <c r="AO1828" s="15"/>
      <c r="AP1828" s="15"/>
      <c r="AQ1828" s="15"/>
      <c r="AR1828" s="15"/>
      <c r="AS1828" s="15"/>
      <c r="AT1828" s="15"/>
      <c r="AU1828" s="15"/>
      <c r="AV1828" s="15"/>
      <c r="AW1828" s="15"/>
    </row>
    <row r="1829" spans="3:49" x14ac:dyDescent="0.2">
      <c r="C1829" s="15"/>
      <c r="D1829" s="15"/>
      <c r="E1829" s="15"/>
      <c r="F1829" s="15"/>
      <c r="G1829" s="15"/>
      <c r="H1829" s="15"/>
      <c r="I1829" s="15"/>
      <c r="J1829" s="15"/>
      <c r="K1829" s="15"/>
      <c r="L1829" s="28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5"/>
      <c r="AG1829" s="15"/>
      <c r="AH1829" s="15"/>
      <c r="AI1829" s="15"/>
      <c r="AJ1829" s="15"/>
      <c r="AK1829" s="15"/>
      <c r="AL1829" s="15"/>
      <c r="AM1829" s="15"/>
      <c r="AN1829" s="15"/>
      <c r="AO1829" s="15"/>
      <c r="AP1829" s="15"/>
      <c r="AQ1829" s="15"/>
      <c r="AR1829" s="15"/>
      <c r="AS1829" s="15"/>
      <c r="AT1829" s="15"/>
      <c r="AU1829" s="15"/>
      <c r="AV1829" s="15"/>
      <c r="AW1829" s="15"/>
    </row>
    <row r="1830" spans="3:49" x14ac:dyDescent="0.2">
      <c r="C1830" s="15"/>
      <c r="D1830" s="15"/>
      <c r="E1830" s="15"/>
      <c r="F1830" s="15"/>
      <c r="G1830" s="15"/>
      <c r="H1830" s="15"/>
      <c r="I1830" s="15"/>
      <c r="J1830" s="15"/>
      <c r="K1830" s="15"/>
      <c r="L1830" s="28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5"/>
      <c r="AG1830" s="15"/>
      <c r="AH1830" s="15"/>
      <c r="AI1830" s="15"/>
      <c r="AJ1830" s="15"/>
      <c r="AK1830" s="15"/>
      <c r="AL1830" s="15"/>
      <c r="AM1830" s="15"/>
      <c r="AN1830" s="15"/>
      <c r="AO1830" s="15"/>
      <c r="AP1830" s="15"/>
      <c r="AQ1830" s="15"/>
      <c r="AR1830" s="15"/>
      <c r="AS1830" s="15"/>
      <c r="AT1830" s="15"/>
      <c r="AU1830" s="15"/>
      <c r="AV1830" s="15"/>
      <c r="AW1830" s="15"/>
    </row>
    <row r="1831" spans="3:49" x14ac:dyDescent="0.2">
      <c r="C1831" s="15"/>
      <c r="D1831" s="15"/>
      <c r="E1831" s="15"/>
      <c r="F1831" s="15"/>
      <c r="G1831" s="15"/>
      <c r="H1831" s="15"/>
      <c r="I1831" s="15"/>
      <c r="J1831" s="15"/>
      <c r="K1831" s="15"/>
      <c r="L1831" s="28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5"/>
      <c r="AG1831" s="15"/>
      <c r="AH1831" s="15"/>
      <c r="AI1831" s="15"/>
      <c r="AJ1831" s="15"/>
      <c r="AK1831" s="15"/>
      <c r="AL1831" s="15"/>
      <c r="AM1831" s="15"/>
      <c r="AN1831" s="15"/>
      <c r="AO1831" s="15"/>
      <c r="AP1831" s="15"/>
      <c r="AQ1831" s="15"/>
      <c r="AR1831" s="15"/>
      <c r="AS1831" s="15"/>
      <c r="AT1831" s="15"/>
      <c r="AU1831" s="15"/>
      <c r="AV1831" s="15"/>
      <c r="AW1831" s="15"/>
    </row>
    <row r="1832" spans="3:49" x14ac:dyDescent="0.2">
      <c r="C1832" s="15"/>
      <c r="D1832" s="15"/>
      <c r="E1832" s="15"/>
      <c r="F1832" s="15"/>
      <c r="G1832" s="15"/>
      <c r="H1832" s="15"/>
      <c r="I1832" s="15"/>
      <c r="J1832" s="15"/>
      <c r="K1832" s="15"/>
      <c r="L1832" s="28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5"/>
      <c r="AG1832" s="15"/>
      <c r="AH1832" s="15"/>
      <c r="AI1832" s="15"/>
      <c r="AJ1832" s="15"/>
      <c r="AK1832" s="15"/>
      <c r="AL1832" s="15"/>
      <c r="AM1832" s="15"/>
      <c r="AN1832" s="15"/>
      <c r="AO1832" s="15"/>
      <c r="AP1832" s="15"/>
      <c r="AQ1832" s="15"/>
      <c r="AR1832" s="15"/>
      <c r="AS1832" s="15"/>
      <c r="AT1832" s="15"/>
      <c r="AU1832" s="15"/>
      <c r="AV1832" s="15"/>
      <c r="AW1832" s="15"/>
    </row>
    <row r="1833" spans="3:49" x14ac:dyDescent="0.2">
      <c r="C1833" s="15"/>
      <c r="D1833" s="15"/>
      <c r="E1833" s="15"/>
      <c r="F1833" s="15"/>
      <c r="G1833" s="15"/>
      <c r="H1833" s="15"/>
      <c r="I1833" s="15"/>
      <c r="J1833" s="15"/>
      <c r="K1833" s="15"/>
      <c r="L1833" s="28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5"/>
      <c r="AG1833" s="15"/>
      <c r="AH1833" s="15"/>
      <c r="AI1833" s="15"/>
      <c r="AJ1833" s="15"/>
      <c r="AK1833" s="15"/>
      <c r="AL1833" s="15"/>
      <c r="AM1833" s="15"/>
      <c r="AN1833" s="15"/>
      <c r="AO1833" s="15"/>
      <c r="AP1833" s="15"/>
      <c r="AQ1833" s="15"/>
      <c r="AR1833" s="15"/>
      <c r="AS1833" s="15"/>
      <c r="AT1833" s="15"/>
      <c r="AU1833" s="15"/>
      <c r="AV1833" s="15"/>
      <c r="AW1833" s="15"/>
    </row>
    <row r="1834" spans="3:49" x14ac:dyDescent="0.2">
      <c r="C1834" s="15"/>
      <c r="D1834" s="15"/>
      <c r="E1834" s="15"/>
      <c r="F1834" s="15"/>
      <c r="G1834" s="15"/>
      <c r="H1834" s="15"/>
      <c r="I1834" s="15"/>
      <c r="J1834" s="15"/>
      <c r="K1834" s="15"/>
      <c r="L1834" s="28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5"/>
      <c r="AG1834" s="15"/>
      <c r="AH1834" s="15"/>
      <c r="AI1834" s="15"/>
      <c r="AJ1834" s="15"/>
      <c r="AK1834" s="15"/>
      <c r="AL1834" s="15"/>
      <c r="AM1834" s="15"/>
      <c r="AN1834" s="15"/>
      <c r="AO1834" s="15"/>
      <c r="AP1834" s="15"/>
      <c r="AQ1834" s="15"/>
      <c r="AR1834" s="15"/>
      <c r="AS1834" s="15"/>
      <c r="AT1834" s="15"/>
      <c r="AU1834" s="15"/>
      <c r="AV1834" s="15"/>
      <c r="AW1834" s="15"/>
    </row>
    <row r="1835" spans="3:49" x14ac:dyDescent="0.2">
      <c r="C1835" s="15"/>
      <c r="D1835" s="15"/>
      <c r="E1835" s="15"/>
      <c r="F1835" s="15"/>
      <c r="G1835" s="15"/>
      <c r="H1835" s="15"/>
      <c r="I1835" s="15"/>
      <c r="J1835" s="15"/>
      <c r="K1835" s="15"/>
      <c r="L1835" s="28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5"/>
      <c r="AG1835" s="15"/>
      <c r="AH1835" s="15"/>
      <c r="AI1835" s="15"/>
      <c r="AJ1835" s="15"/>
      <c r="AK1835" s="15"/>
      <c r="AL1835" s="15"/>
      <c r="AM1835" s="15"/>
      <c r="AN1835" s="15"/>
      <c r="AO1835" s="15"/>
      <c r="AP1835" s="15"/>
      <c r="AQ1835" s="15"/>
      <c r="AR1835" s="15"/>
      <c r="AS1835" s="15"/>
      <c r="AT1835" s="15"/>
      <c r="AU1835" s="15"/>
      <c r="AV1835" s="15"/>
      <c r="AW1835" s="15"/>
    </row>
    <row r="1836" spans="3:49" x14ac:dyDescent="0.2">
      <c r="C1836" s="15"/>
      <c r="D1836" s="15"/>
      <c r="E1836" s="15"/>
      <c r="F1836" s="15"/>
      <c r="G1836" s="15"/>
      <c r="H1836" s="15"/>
      <c r="I1836" s="15"/>
      <c r="J1836" s="15"/>
      <c r="K1836" s="15"/>
      <c r="L1836" s="28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5"/>
      <c r="AG1836" s="15"/>
      <c r="AH1836" s="15"/>
      <c r="AI1836" s="15"/>
      <c r="AJ1836" s="15"/>
      <c r="AK1836" s="15"/>
      <c r="AL1836" s="15"/>
      <c r="AM1836" s="15"/>
      <c r="AN1836" s="15"/>
      <c r="AO1836" s="15"/>
      <c r="AP1836" s="15"/>
      <c r="AQ1836" s="15"/>
      <c r="AR1836" s="15"/>
      <c r="AS1836" s="15"/>
      <c r="AT1836" s="15"/>
      <c r="AU1836" s="15"/>
      <c r="AV1836" s="15"/>
      <c r="AW1836" s="15"/>
    </row>
    <row r="1837" spans="3:49" x14ac:dyDescent="0.2">
      <c r="C1837" s="15"/>
      <c r="D1837" s="15"/>
      <c r="E1837" s="15"/>
      <c r="F1837" s="15"/>
      <c r="G1837" s="15"/>
      <c r="H1837" s="15"/>
      <c r="I1837" s="15"/>
      <c r="J1837" s="15"/>
      <c r="K1837" s="15"/>
      <c r="L1837" s="28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5"/>
      <c r="AG1837" s="15"/>
      <c r="AH1837" s="15"/>
      <c r="AI1837" s="15"/>
      <c r="AJ1837" s="15"/>
      <c r="AK1837" s="15"/>
      <c r="AL1837" s="15"/>
      <c r="AM1837" s="15"/>
      <c r="AN1837" s="15"/>
      <c r="AO1837" s="15"/>
      <c r="AP1837" s="15"/>
      <c r="AQ1837" s="15"/>
      <c r="AR1837" s="15"/>
      <c r="AS1837" s="15"/>
      <c r="AT1837" s="15"/>
      <c r="AU1837" s="15"/>
      <c r="AV1837" s="15"/>
      <c r="AW1837" s="15"/>
    </row>
    <row r="1838" spans="3:49" x14ac:dyDescent="0.2">
      <c r="C1838" s="15"/>
      <c r="D1838" s="15"/>
      <c r="E1838" s="15"/>
      <c r="F1838" s="15"/>
      <c r="G1838" s="15"/>
      <c r="H1838" s="15"/>
      <c r="I1838" s="15"/>
      <c r="J1838" s="15"/>
      <c r="K1838" s="15"/>
      <c r="L1838" s="28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5"/>
      <c r="AG1838" s="15"/>
      <c r="AH1838" s="15"/>
      <c r="AI1838" s="15"/>
      <c r="AJ1838" s="15"/>
      <c r="AK1838" s="15"/>
      <c r="AL1838" s="15"/>
      <c r="AM1838" s="15"/>
      <c r="AN1838" s="15"/>
      <c r="AO1838" s="15"/>
      <c r="AP1838" s="15"/>
      <c r="AQ1838" s="15"/>
      <c r="AR1838" s="15"/>
      <c r="AS1838" s="15"/>
      <c r="AT1838" s="15"/>
      <c r="AU1838" s="15"/>
      <c r="AV1838" s="15"/>
      <c r="AW1838" s="15"/>
    </row>
    <row r="1839" spans="3:49" x14ac:dyDescent="0.2">
      <c r="C1839" s="15"/>
      <c r="D1839" s="15"/>
      <c r="E1839" s="15"/>
      <c r="F1839" s="15"/>
      <c r="G1839" s="15"/>
      <c r="H1839" s="15"/>
      <c r="I1839" s="15"/>
      <c r="J1839" s="15"/>
      <c r="K1839" s="15"/>
      <c r="L1839" s="28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5"/>
      <c r="AG1839" s="15"/>
      <c r="AH1839" s="15"/>
      <c r="AI1839" s="15"/>
      <c r="AJ1839" s="15"/>
      <c r="AK1839" s="15"/>
      <c r="AL1839" s="15"/>
      <c r="AM1839" s="15"/>
      <c r="AN1839" s="15"/>
      <c r="AO1839" s="15"/>
      <c r="AP1839" s="15"/>
      <c r="AQ1839" s="15"/>
      <c r="AR1839" s="15"/>
      <c r="AS1839" s="15"/>
      <c r="AT1839" s="15"/>
      <c r="AU1839" s="15"/>
      <c r="AV1839" s="15"/>
      <c r="AW1839" s="15"/>
    </row>
    <row r="1840" spans="3:49" x14ac:dyDescent="0.2">
      <c r="C1840" s="15"/>
      <c r="D1840" s="15"/>
      <c r="E1840" s="15"/>
      <c r="F1840" s="15"/>
      <c r="G1840" s="15"/>
      <c r="H1840" s="15"/>
      <c r="I1840" s="15"/>
      <c r="J1840" s="15"/>
      <c r="K1840" s="15"/>
      <c r="L1840" s="28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5"/>
      <c r="AG1840" s="15"/>
      <c r="AH1840" s="15"/>
      <c r="AI1840" s="15"/>
      <c r="AJ1840" s="15"/>
      <c r="AK1840" s="15"/>
      <c r="AL1840" s="15"/>
      <c r="AM1840" s="15"/>
      <c r="AN1840" s="15"/>
      <c r="AO1840" s="15"/>
      <c r="AP1840" s="15"/>
      <c r="AQ1840" s="15"/>
      <c r="AR1840" s="15"/>
      <c r="AS1840" s="15"/>
      <c r="AT1840" s="15"/>
      <c r="AU1840" s="15"/>
      <c r="AV1840" s="15"/>
      <c r="AW1840" s="15"/>
    </row>
    <row r="1841" spans="3:49" x14ac:dyDescent="0.2">
      <c r="C1841" s="15"/>
      <c r="D1841" s="15"/>
      <c r="E1841" s="15"/>
      <c r="F1841" s="15"/>
      <c r="G1841" s="15"/>
      <c r="H1841" s="15"/>
      <c r="I1841" s="15"/>
      <c r="J1841" s="15"/>
      <c r="K1841" s="15"/>
      <c r="L1841" s="28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5"/>
      <c r="AG1841" s="15"/>
      <c r="AH1841" s="15"/>
      <c r="AI1841" s="15"/>
      <c r="AJ1841" s="15"/>
      <c r="AK1841" s="15"/>
      <c r="AL1841" s="15"/>
      <c r="AM1841" s="15"/>
      <c r="AN1841" s="15"/>
      <c r="AO1841" s="15"/>
      <c r="AP1841" s="15"/>
      <c r="AQ1841" s="15"/>
      <c r="AR1841" s="15"/>
      <c r="AS1841" s="15"/>
      <c r="AT1841" s="15"/>
      <c r="AU1841" s="15"/>
      <c r="AV1841" s="15"/>
      <c r="AW1841" s="15"/>
    </row>
    <row r="1842" spans="3:49" x14ac:dyDescent="0.2">
      <c r="C1842" s="15"/>
      <c r="D1842" s="15"/>
      <c r="E1842" s="15"/>
      <c r="F1842" s="15"/>
      <c r="G1842" s="15"/>
      <c r="H1842" s="15"/>
      <c r="I1842" s="15"/>
      <c r="J1842" s="15"/>
      <c r="K1842" s="15"/>
      <c r="L1842" s="28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5"/>
      <c r="AG1842" s="15"/>
      <c r="AH1842" s="15"/>
      <c r="AI1842" s="15"/>
      <c r="AJ1842" s="15"/>
      <c r="AK1842" s="15"/>
      <c r="AL1842" s="15"/>
      <c r="AM1842" s="15"/>
      <c r="AN1842" s="15"/>
      <c r="AO1842" s="15"/>
      <c r="AP1842" s="15"/>
      <c r="AQ1842" s="15"/>
      <c r="AR1842" s="15"/>
      <c r="AS1842" s="15"/>
      <c r="AT1842" s="15"/>
      <c r="AU1842" s="15"/>
      <c r="AV1842" s="15"/>
      <c r="AW1842" s="15"/>
    </row>
    <row r="1843" spans="3:49" x14ac:dyDescent="0.2">
      <c r="C1843" s="15"/>
      <c r="D1843" s="15"/>
      <c r="E1843" s="15"/>
      <c r="F1843" s="15"/>
      <c r="G1843" s="15"/>
      <c r="H1843" s="15"/>
      <c r="I1843" s="15"/>
      <c r="J1843" s="15"/>
      <c r="K1843" s="15"/>
      <c r="L1843" s="28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5"/>
      <c r="AG1843" s="15"/>
      <c r="AH1843" s="15"/>
      <c r="AI1843" s="15"/>
      <c r="AJ1843" s="15"/>
      <c r="AK1843" s="15"/>
      <c r="AL1843" s="15"/>
      <c r="AM1843" s="15"/>
      <c r="AN1843" s="15"/>
      <c r="AO1843" s="15"/>
      <c r="AP1843" s="15"/>
      <c r="AQ1843" s="15"/>
      <c r="AR1843" s="15"/>
      <c r="AS1843" s="15"/>
      <c r="AT1843" s="15"/>
      <c r="AU1843" s="15"/>
      <c r="AV1843" s="15"/>
      <c r="AW1843" s="15"/>
    </row>
    <row r="1844" spans="3:49" x14ac:dyDescent="0.2">
      <c r="C1844" s="15"/>
      <c r="D1844" s="15"/>
      <c r="E1844" s="15"/>
      <c r="F1844" s="15"/>
      <c r="G1844" s="15"/>
      <c r="H1844" s="15"/>
      <c r="I1844" s="15"/>
      <c r="J1844" s="15"/>
      <c r="K1844" s="15"/>
      <c r="L1844" s="28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5"/>
      <c r="AG1844" s="15"/>
      <c r="AH1844" s="15"/>
      <c r="AI1844" s="15"/>
      <c r="AJ1844" s="15"/>
      <c r="AK1844" s="15"/>
      <c r="AL1844" s="15"/>
      <c r="AM1844" s="15"/>
      <c r="AN1844" s="15"/>
      <c r="AO1844" s="15"/>
      <c r="AP1844" s="15"/>
      <c r="AQ1844" s="15"/>
      <c r="AR1844" s="15"/>
      <c r="AS1844" s="15"/>
      <c r="AT1844" s="15"/>
      <c r="AU1844" s="15"/>
      <c r="AV1844" s="15"/>
      <c r="AW1844" s="15"/>
    </row>
    <row r="1845" spans="3:49" x14ac:dyDescent="0.2">
      <c r="C1845" s="15"/>
      <c r="D1845" s="15"/>
      <c r="E1845" s="15"/>
      <c r="F1845" s="15"/>
      <c r="G1845" s="15"/>
      <c r="H1845" s="15"/>
      <c r="I1845" s="15"/>
      <c r="J1845" s="15"/>
      <c r="K1845" s="15"/>
      <c r="L1845" s="28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5"/>
      <c r="AG1845" s="15"/>
      <c r="AH1845" s="15"/>
      <c r="AI1845" s="15"/>
      <c r="AJ1845" s="15"/>
      <c r="AK1845" s="15"/>
      <c r="AL1845" s="15"/>
      <c r="AM1845" s="15"/>
      <c r="AN1845" s="15"/>
      <c r="AO1845" s="15"/>
      <c r="AP1845" s="15"/>
      <c r="AQ1845" s="15"/>
      <c r="AR1845" s="15"/>
      <c r="AS1845" s="15"/>
      <c r="AT1845" s="15"/>
      <c r="AU1845" s="15"/>
      <c r="AV1845" s="15"/>
      <c r="AW1845" s="15"/>
    </row>
    <row r="1846" spans="3:49" x14ac:dyDescent="0.2">
      <c r="C1846" s="15"/>
      <c r="D1846" s="15"/>
      <c r="E1846" s="15"/>
      <c r="F1846" s="15"/>
      <c r="G1846" s="15"/>
      <c r="H1846" s="15"/>
      <c r="I1846" s="15"/>
      <c r="J1846" s="15"/>
      <c r="K1846" s="15"/>
      <c r="L1846" s="28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5"/>
      <c r="AG1846" s="15"/>
      <c r="AH1846" s="15"/>
      <c r="AI1846" s="15"/>
      <c r="AJ1846" s="15"/>
      <c r="AK1846" s="15"/>
      <c r="AL1846" s="15"/>
      <c r="AM1846" s="15"/>
      <c r="AN1846" s="15"/>
      <c r="AO1846" s="15"/>
      <c r="AP1846" s="15"/>
      <c r="AQ1846" s="15"/>
      <c r="AR1846" s="15"/>
      <c r="AS1846" s="15"/>
      <c r="AT1846" s="15"/>
      <c r="AU1846" s="15"/>
      <c r="AV1846" s="15"/>
      <c r="AW1846" s="15"/>
    </row>
    <row r="1847" spans="3:49" x14ac:dyDescent="0.2">
      <c r="C1847" s="15"/>
      <c r="D1847" s="15"/>
      <c r="E1847" s="15"/>
      <c r="F1847" s="15"/>
      <c r="G1847" s="15"/>
      <c r="H1847" s="15"/>
      <c r="I1847" s="15"/>
      <c r="J1847" s="15"/>
      <c r="K1847" s="15"/>
      <c r="L1847" s="28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5"/>
      <c r="AG1847" s="15"/>
      <c r="AH1847" s="15"/>
      <c r="AI1847" s="15"/>
      <c r="AJ1847" s="15"/>
      <c r="AK1847" s="15"/>
      <c r="AL1847" s="15"/>
      <c r="AM1847" s="15"/>
      <c r="AN1847" s="15"/>
      <c r="AO1847" s="15"/>
      <c r="AP1847" s="15"/>
      <c r="AQ1847" s="15"/>
      <c r="AR1847" s="15"/>
      <c r="AS1847" s="15"/>
      <c r="AT1847" s="15"/>
      <c r="AU1847" s="15"/>
      <c r="AV1847" s="15"/>
      <c r="AW1847" s="15"/>
    </row>
    <row r="1848" spans="3:49" x14ac:dyDescent="0.2">
      <c r="C1848" s="15"/>
      <c r="D1848" s="15"/>
      <c r="E1848" s="15"/>
      <c r="F1848" s="15"/>
      <c r="G1848" s="15"/>
      <c r="H1848" s="15"/>
      <c r="I1848" s="15"/>
      <c r="J1848" s="15"/>
      <c r="K1848" s="15"/>
      <c r="L1848" s="28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5"/>
      <c r="AG1848" s="15"/>
      <c r="AH1848" s="15"/>
      <c r="AI1848" s="15"/>
      <c r="AJ1848" s="15"/>
      <c r="AK1848" s="15"/>
      <c r="AL1848" s="15"/>
      <c r="AM1848" s="15"/>
      <c r="AN1848" s="15"/>
      <c r="AO1848" s="15"/>
      <c r="AP1848" s="15"/>
      <c r="AQ1848" s="15"/>
      <c r="AR1848" s="15"/>
      <c r="AS1848" s="15"/>
      <c r="AT1848" s="15"/>
      <c r="AU1848" s="15"/>
      <c r="AV1848" s="15"/>
      <c r="AW1848" s="15"/>
    </row>
    <row r="1849" spans="3:49" x14ac:dyDescent="0.2">
      <c r="C1849" s="15"/>
      <c r="D1849" s="15"/>
      <c r="E1849" s="15"/>
      <c r="F1849" s="15"/>
      <c r="G1849" s="15"/>
      <c r="H1849" s="15"/>
      <c r="I1849" s="15"/>
      <c r="J1849" s="15"/>
      <c r="K1849" s="15"/>
      <c r="L1849" s="28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5"/>
      <c r="AG1849" s="15"/>
      <c r="AH1849" s="15"/>
      <c r="AI1849" s="15"/>
      <c r="AJ1849" s="15"/>
      <c r="AK1849" s="15"/>
      <c r="AL1849" s="15"/>
      <c r="AM1849" s="15"/>
      <c r="AN1849" s="15"/>
      <c r="AO1849" s="15"/>
      <c r="AP1849" s="15"/>
      <c r="AQ1849" s="15"/>
      <c r="AR1849" s="15"/>
      <c r="AS1849" s="15"/>
      <c r="AT1849" s="15"/>
      <c r="AU1849" s="15"/>
      <c r="AV1849" s="15"/>
      <c r="AW1849" s="15"/>
    </row>
    <row r="1850" spans="3:49" x14ac:dyDescent="0.2">
      <c r="C1850" s="15"/>
      <c r="D1850" s="15"/>
      <c r="E1850" s="15"/>
      <c r="F1850" s="15"/>
      <c r="G1850" s="15"/>
      <c r="H1850" s="15"/>
      <c r="I1850" s="15"/>
      <c r="J1850" s="15"/>
      <c r="K1850" s="15"/>
      <c r="L1850" s="28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5"/>
      <c r="AG1850" s="15"/>
      <c r="AH1850" s="15"/>
      <c r="AI1850" s="15"/>
      <c r="AJ1850" s="15"/>
      <c r="AK1850" s="15"/>
      <c r="AL1850" s="15"/>
      <c r="AM1850" s="15"/>
      <c r="AN1850" s="15"/>
      <c r="AO1850" s="15"/>
      <c r="AP1850" s="15"/>
      <c r="AQ1850" s="15"/>
      <c r="AR1850" s="15"/>
      <c r="AS1850" s="15"/>
      <c r="AT1850" s="15"/>
      <c r="AU1850" s="15"/>
      <c r="AV1850" s="15"/>
      <c r="AW1850" s="15"/>
    </row>
    <row r="1851" spans="3:49" x14ac:dyDescent="0.2">
      <c r="C1851" s="15"/>
      <c r="D1851" s="15"/>
      <c r="E1851" s="15"/>
      <c r="F1851" s="15"/>
      <c r="G1851" s="15"/>
      <c r="H1851" s="15"/>
      <c r="I1851" s="15"/>
      <c r="J1851" s="15"/>
      <c r="K1851" s="15"/>
      <c r="L1851" s="28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5"/>
      <c r="AG1851" s="15"/>
      <c r="AH1851" s="15"/>
      <c r="AI1851" s="15"/>
      <c r="AJ1851" s="15"/>
      <c r="AK1851" s="15"/>
      <c r="AL1851" s="15"/>
      <c r="AM1851" s="15"/>
      <c r="AN1851" s="15"/>
      <c r="AO1851" s="15"/>
      <c r="AP1851" s="15"/>
      <c r="AQ1851" s="15"/>
      <c r="AR1851" s="15"/>
      <c r="AS1851" s="15"/>
      <c r="AT1851" s="15"/>
      <c r="AU1851" s="15"/>
      <c r="AV1851" s="15"/>
      <c r="AW1851" s="15"/>
    </row>
    <row r="1852" spans="3:49" x14ac:dyDescent="0.2">
      <c r="C1852" s="15"/>
      <c r="D1852" s="15"/>
      <c r="E1852" s="15"/>
      <c r="F1852" s="15"/>
      <c r="G1852" s="15"/>
      <c r="H1852" s="15"/>
      <c r="I1852" s="15"/>
      <c r="J1852" s="15"/>
      <c r="K1852" s="15"/>
      <c r="L1852" s="28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5"/>
      <c r="AG1852" s="15"/>
      <c r="AH1852" s="15"/>
      <c r="AI1852" s="15"/>
      <c r="AJ1852" s="15"/>
      <c r="AK1852" s="15"/>
      <c r="AL1852" s="15"/>
      <c r="AM1852" s="15"/>
      <c r="AN1852" s="15"/>
      <c r="AO1852" s="15"/>
      <c r="AP1852" s="15"/>
      <c r="AQ1852" s="15"/>
      <c r="AR1852" s="15"/>
      <c r="AS1852" s="15"/>
      <c r="AT1852" s="15"/>
      <c r="AU1852" s="15"/>
      <c r="AV1852" s="15"/>
      <c r="AW1852" s="15"/>
    </row>
    <row r="1853" spans="3:49" x14ac:dyDescent="0.2">
      <c r="C1853" s="15"/>
      <c r="D1853" s="15"/>
      <c r="E1853" s="15"/>
      <c r="F1853" s="15"/>
      <c r="G1853" s="15"/>
      <c r="H1853" s="15"/>
      <c r="I1853" s="15"/>
      <c r="J1853" s="15"/>
      <c r="K1853" s="15"/>
      <c r="L1853" s="28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5"/>
      <c r="AG1853" s="15"/>
      <c r="AH1853" s="15"/>
      <c r="AI1853" s="15"/>
      <c r="AJ1853" s="15"/>
      <c r="AK1853" s="15"/>
      <c r="AL1853" s="15"/>
      <c r="AM1853" s="15"/>
      <c r="AN1853" s="15"/>
      <c r="AO1853" s="15"/>
      <c r="AP1853" s="15"/>
      <c r="AQ1853" s="15"/>
      <c r="AR1853" s="15"/>
      <c r="AS1853" s="15"/>
      <c r="AT1853" s="15"/>
      <c r="AU1853" s="15"/>
      <c r="AV1853" s="15"/>
      <c r="AW1853" s="15"/>
    </row>
    <row r="1854" spans="3:49" x14ac:dyDescent="0.2">
      <c r="C1854" s="15"/>
      <c r="D1854" s="15"/>
      <c r="E1854" s="15"/>
      <c r="F1854" s="15"/>
      <c r="G1854" s="15"/>
      <c r="H1854" s="15"/>
      <c r="I1854" s="15"/>
      <c r="J1854" s="15"/>
      <c r="K1854" s="15"/>
      <c r="L1854" s="28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5"/>
      <c r="AG1854" s="15"/>
      <c r="AH1854" s="15"/>
      <c r="AI1854" s="15"/>
      <c r="AJ1854" s="15"/>
      <c r="AK1854" s="15"/>
      <c r="AL1854" s="15"/>
      <c r="AM1854" s="15"/>
      <c r="AN1854" s="15"/>
      <c r="AO1854" s="15"/>
      <c r="AP1854" s="15"/>
      <c r="AQ1854" s="15"/>
      <c r="AR1854" s="15"/>
      <c r="AS1854" s="15"/>
      <c r="AT1854" s="15"/>
      <c r="AU1854" s="15"/>
      <c r="AV1854" s="15"/>
      <c r="AW1854" s="15"/>
    </row>
    <row r="1855" spans="3:49" x14ac:dyDescent="0.2">
      <c r="C1855" s="15"/>
      <c r="D1855" s="15"/>
      <c r="E1855" s="15"/>
      <c r="F1855" s="15"/>
      <c r="G1855" s="15"/>
      <c r="H1855" s="15"/>
      <c r="I1855" s="15"/>
      <c r="J1855" s="15"/>
      <c r="K1855" s="15"/>
      <c r="L1855" s="28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5"/>
      <c r="AG1855" s="15"/>
      <c r="AH1855" s="15"/>
      <c r="AI1855" s="15"/>
      <c r="AJ1855" s="15"/>
      <c r="AK1855" s="15"/>
      <c r="AL1855" s="15"/>
      <c r="AM1855" s="15"/>
      <c r="AN1855" s="15"/>
      <c r="AO1855" s="15"/>
      <c r="AP1855" s="15"/>
      <c r="AQ1855" s="15"/>
      <c r="AR1855" s="15"/>
      <c r="AS1855" s="15"/>
      <c r="AT1855" s="15"/>
      <c r="AU1855" s="15"/>
      <c r="AV1855" s="15"/>
      <c r="AW1855" s="15"/>
    </row>
    <row r="1856" spans="3:49" x14ac:dyDescent="0.2">
      <c r="C1856" s="15"/>
      <c r="D1856" s="15"/>
      <c r="E1856" s="15"/>
      <c r="F1856" s="15"/>
      <c r="G1856" s="15"/>
      <c r="H1856" s="15"/>
      <c r="I1856" s="15"/>
      <c r="J1856" s="15"/>
      <c r="K1856" s="15"/>
      <c r="L1856" s="28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5"/>
      <c r="AG1856" s="15"/>
      <c r="AH1856" s="15"/>
      <c r="AI1856" s="15"/>
      <c r="AJ1856" s="15"/>
      <c r="AK1856" s="15"/>
      <c r="AL1856" s="15"/>
      <c r="AM1856" s="15"/>
      <c r="AN1856" s="15"/>
      <c r="AO1856" s="15"/>
      <c r="AP1856" s="15"/>
      <c r="AQ1856" s="15"/>
      <c r="AR1856" s="15"/>
      <c r="AS1856" s="15"/>
      <c r="AT1856" s="15"/>
      <c r="AU1856" s="15"/>
      <c r="AV1856" s="15"/>
      <c r="AW1856" s="15"/>
    </row>
    <row r="1857" spans="3:49" x14ac:dyDescent="0.2">
      <c r="C1857" s="15"/>
      <c r="D1857" s="15"/>
      <c r="E1857" s="15"/>
      <c r="F1857" s="15"/>
      <c r="G1857" s="15"/>
      <c r="H1857" s="15"/>
      <c r="I1857" s="15"/>
      <c r="J1857" s="15"/>
      <c r="K1857" s="15"/>
      <c r="L1857" s="28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5"/>
      <c r="AG1857" s="15"/>
      <c r="AH1857" s="15"/>
      <c r="AI1857" s="15"/>
      <c r="AJ1857" s="15"/>
      <c r="AK1857" s="15"/>
      <c r="AL1857" s="15"/>
      <c r="AM1857" s="15"/>
      <c r="AN1857" s="15"/>
      <c r="AO1857" s="15"/>
      <c r="AP1857" s="15"/>
      <c r="AQ1857" s="15"/>
      <c r="AR1857" s="15"/>
      <c r="AS1857" s="15"/>
      <c r="AT1857" s="15"/>
      <c r="AU1857" s="15"/>
      <c r="AV1857" s="15"/>
      <c r="AW1857" s="15"/>
    </row>
    <row r="1858" spans="3:49" x14ac:dyDescent="0.2">
      <c r="C1858" s="15"/>
      <c r="D1858" s="15"/>
      <c r="E1858" s="15"/>
      <c r="F1858" s="15"/>
      <c r="G1858" s="15"/>
      <c r="H1858" s="15"/>
      <c r="I1858" s="15"/>
      <c r="J1858" s="15"/>
      <c r="K1858" s="15"/>
      <c r="L1858" s="28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5"/>
      <c r="AG1858" s="15"/>
      <c r="AH1858" s="15"/>
      <c r="AI1858" s="15"/>
      <c r="AJ1858" s="15"/>
      <c r="AK1858" s="15"/>
      <c r="AL1858" s="15"/>
      <c r="AM1858" s="15"/>
      <c r="AN1858" s="15"/>
      <c r="AO1858" s="15"/>
      <c r="AP1858" s="15"/>
      <c r="AQ1858" s="15"/>
      <c r="AR1858" s="15"/>
      <c r="AS1858" s="15"/>
      <c r="AT1858" s="15"/>
      <c r="AU1858" s="15"/>
      <c r="AV1858" s="15"/>
      <c r="AW1858" s="15"/>
    </row>
    <row r="1859" spans="3:49" x14ac:dyDescent="0.2">
      <c r="C1859" s="15"/>
      <c r="D1859" s="15"/>
      <c r="E1859" s="15"/>
      <c r="F1859" s="15"/>
      <c r="G1859" s="15"/>
      <c r="H1859" s="15"/>
      <c r="I1859" s="15"/>
      <c r="J1859" s="15"/>
      <c r="K1859" s="15"/>
      <c r="L1859" s="28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5"/>
      <c r="AG1859" s="15"/>
      <c r="AH1859" s="15"/>
      <c r="AI1859" s="15"/>
      <c r="AJ1859" s="15"/>
      <c r="AK1859" s="15"/>
      <c r="AL1859" s="15"/>
      <c r="AM1859" s="15"/>
      <c r="AN1859" s="15"/>
      <c r="AO1859" s="15"/>
      <c r="AP1859" s="15"/>
      <c r="AQ1859" s="15"/>
      <c r="AR1859" s="15"/>
      <c r="AS1859" s="15"/>
      <c r="AT1859" s="15"/>
      <c r="AU1859" s="15"/>
      <c r="AV1859" s="15"/>
      <c r="AW1859" s="15"/>
    </row>
    <row r="1860" spans="3:49" x14ac:dyDescent="0.2">
      <c r="C1860" s="15"/>
      <c r="D1860" s="15"/>
      <c r="E1860" s="15"/>
      <c r="F1860" s="15"/>
      <c r="G1860" s="15"/>
      <c r="H1860" s="15"/>
      <c r="I1860" s="15"/>
      <c r="J1860" s="15"/>
      <c r="K1860" s="15"/>
      <c r="L1860" s="28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5"/>
      <c r="AG1860" s="15"/>
      <c r="AH1860" s="15"/>
      <c r="AI1860" s="15"/>
      <c r="AJ1860" s="15"/>
      <c r="AK1860" s="15"/>
      <c r="AL1860" s="15"/>
      <c r="AM1860" s="15"/>
      <c r="AN1860" s="15"/>
      <c r="AO1860" s="15"/>
      <c r="AP1860" s="15"/>
      <c r="AQ1860" s="15"/>
      <c r="AR1860" s="15"/>
      <c r="AS1860" s="15"/>
      <c r="AT1860" s="15"/>
      <c r="AU1860" s="15"/>
      <c r="AV1860" s="15"/>
      <c r="AW1860" s="15"/>
    </row>
    <row r="1861" spans="3:49" x14ac:dyDescent="0.2">
      <c r="C1861" s="15"/>
      <c r="D1861" s="15"/>
      <c r="E1861" s="15"/>
      <c r="F1861" s="15"/>
      <c r="G1861" s="15"/>
      <c r="H1861" s="15"/>
      <c r="I1861" s="15"/>
      <c r="J1861" s="15"/>
      <c r="K1861" s="15"/>
      <c r="L1861" s="28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5"/>
      <c r="AG1861" s="15"/>
      <c r="AH1861" s="15"/>
      <c r="AI1861" s="15"/>
      <c r="AJ1861" s="15"/>
      <c r="AK1861" s="15"/>
      <c r="AL1861" s="15"/>
      <c r="AM1861" s="15"/>
      <c r="AN1861" s="15"/>
      <c r="AO1861" s="15"/>
      <c r="AP1861" s="15"/>
      <c r="AQ1861" s="15"/>
      <c r="AR1861" s="15"/>
      <c r="AS1861" s="15"/>
      <c r="AT1861" s="15"/>
      <c r="AU1861" s="15"/>
      <c r="AV1861" s="15"/>
      <c r="AW1861" s="15"/>
    </row>
    <row r="1862" spans="3:49" x14ac:dyDescent="0.2">
      <c r="C1862" s="15"/>
      <c r="D1862" s="15"/>
      <c r="E1862" s="15"/>
      <c r="F1862" s="15"/>
      <c r="G1862" s="15"/>
      <c r="H1862" s="15"/>
      <c r="I1862" s="15"/>
      <c r="J1862" s="15"/>
      <c r="K1862" s="15"/>
      <c r="L1862" s="28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5"/>
      <c r="AG1862" s="15"/>
      <c r="AH1862" s="15"/>
      <c r="AI1862" s="15"/>
      <c r="AJ1862" s="15"/>
      <c r="AK1862" s="15"/>
      <c r="AL1862" s="15"/>
      <c r="AM1862" s="15"/>
      <c r="AN1862" s="15"/>
      <c r="AO1862" s="15"/>
      <c r="AP1862" s="15"/>
      <c r="AQ1862" s="15"/>
      <c r="AR1862" s="15"/>
      <c r="AS1862" s="15"/>
      <c r="AT1862" s="15"/>
      <c r="AU1862" s="15"/>
      <c r="AV1862" s="15"/>
      <c r="AW1862" s="15"/>
    </row>
    <row r="1863" spans="3:49" x14ac:dyDescent="0.2">
      <c r="C1863" s="15"/>
      <c r="D1863" s="15"/>
      <c r="E1863" s="15"/>
      <c r="F1863" s="15"/>
      <c r="G1863" s="15"/>
      <c r="H1863" s="15"/>
      <c r="I1863" s="15"/>
      <c r="J1863" s="15"/>
      <c r="K1863" s="15"/>
      <c r="L1863" s="28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5"/>
      <c r="AG1863" s="15"/>
      <c r="AH1863" s="15"/>
      <c r="AI1863" s="15"/>
      <c r="AJ1863" s="15"/>
      <c r="AK1863" s="15"/>
      <c r="AL1863" s="15"/>
      <c r="AM1863" s="15"/>
      <c r="AN1863" s="15"/>
      <c r="AO1863" s="15"/>
      <c r="AP1863" s="15"/>
      <c r="AQ1863" s="15"/>
      <c r="AR1863" s="15"/>
      <c r="AS1863" s="15"/>
      <c r="AT1863" s="15"/>
      <c r="AU1863" s="15"/>
      <c r="AV1863" s="15"/>
      <c r="AW1863" s="15"/>
    </row>
    <row r="1864" spans="3:49" x14ac:dyDescent="0.2">
      <c r="C1864" s="15"/>
      <c r="D1864" s="15"/>
      <c r="E1864" s="15"/>
      <c r="F1864" s="15"/>
      <c r="G1864" s="15"/>
      <c r="H1864" s="15"/>
      <c r="I1864" s="15"/>
      <c r="J1864" s="15"/>
      <c r="K1864" s="15"/>
      <c r="L1864" s="28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5"/>
      <c r="AG1864" s="15"/>
      <c r="AH1864" s="15"/>
      <c r="AI1864" s="15"/>
      <c r="AJ1864" s="15"/>
      <c r="AK1864" s="15"/>
      <c r="AL1864" s="15"/>
      <c r="AM1864" s="15"/>
      <c r="AN1864" s="15"/>
      <c r="AO1864" s="15"/>
      <c r="AP1864" s="15"/>
      <c r="AQ1864" s="15"/>
      <c r="AR1864" s="15"/>
      <c r="AS1864" s="15"/>
      <c r="AT1864" s="15"/>
      <c r="AU1864" s="15"/>
      <c r="AV1864" s="15"/>
      <c r="AW1864" s="15"/>
    </row>
    <row r="1865" spans="3:49" x14ac:dyDescent="0.2">
      <c r="C1865" s="15"/>
      <c r="D1865" s="15"/>
      <c r="E1865" s="15"/>
      <c r="F1865" s="15"/>
      <c r="G1865" s="15"/>
      <c r="H1865" s="15"/>
      <c r="I1865" s="15"/>
      <c r="J1865" s="15"/>
      <c r="K1865" s="15"/>
      <c r="L1865" s="28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5"/>
      <c r="AG1865" s="15"/>
      <c r="AH1865" s="15"/>
      <c r="AI1865" s="15"/>
      <c r="AJ1865" s="15"/>
      <c r="AK1865" s="15"/>
      <c r="AL1865" s="15"/>
      <c r="AM1865" s="15"/>
      <c r="AN1865" s="15"/>
      <c r="AO1865" s="15"/>
      <c r="AP1865" s="15"/>
      <c r="AQ1865" s="15"/>
      <c r="AR1865" s="15"/>
      <c r="AS1865" s="15"/>
      <c r="AT1865" s="15"/>
      <c r="AU1865" s="15"/>
      <c r="AV1865" s="15"/>
      <c r="AW1865" s="15"/>
    </row>
    <row r="1866" spans="3:49" x14ac:dyDescent="0.2">
      <c r="C1866" s="15"/>
      <c r="D1866" s="15"/>
      <c r="E1866" s="15"/>
      <c r="F1866" s="15"/>
      <c r="G1866" s="15"/>
      <c r="H1866" s="15"/>
      <c r="I1866" s="15"/>
      <c r="J1866" s="15"/>
      <c r="K1866" s="15"/>
      <c r="L1866" s="28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5"/>
      <c r="AG1866" s="15"/>
      <c r="AH1866" s="15"/>
      <c r="AI1866" s="15"/>
      <c r="AJ1866" s="15"/>
      <c r="AK1866" s="15"/>
      <c r="AL1866" s="15"/>
      <c r="AM1866" s="15"/>
      <c r="AN1866" s="15"/>
      <c r="AO1866" s="15"/>
      <c r="AP1866" s="15"/>
      <c r="AQ1866" s="15"/>
      <c r="AR1866" s="15"/>
      <c r="AS1866" s="15"/>
      <c r="AT1866" s="15"/>
      <c r="AU1866" s="15"/>
      <c r="AV1866" s="15"/>
      <c r="AW1866" s="15"/>
    </row>
    <row r="1867" spans="3:49" x14ac:dyDescent="0.2">
      <c r="C1867" s="15"/>
      <c r="D1867" s="15"/>
      <c r="E1867" s="15"/>
      <c r="F1867" s="15"/>
      <c r="G1867" s="15"/>
      <c r="H1867" s="15"/>
      <c r="I1867" s="15"/>
      <c r="J1867" s="15"/>
      <c r="K1867" s="15"/>
      <c r="L1867" s="28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5"/>
      <c r="AG1867" s="15"/>
      <c r="AH1867" s="15"/>
      <c r="AI1867" s="15"/>
      <c r="AJ1867" s="15"/>
      <c r="AK1867" s="15"/>
      <c r="AL1867" s="15"/>
      <c r="AM1867" s="15"/>
      <c r="AN1867" s="15"/>
      <c r="AO1867" s="15"/>
      <c r="AP1867" s="15"/>
      <c r="AQ1867" s="15"/>
      <c r="AR1867" s="15"/>
      <c r="AS1867" s="15"/>
      <c r="AT1867" s="15"/>
      <c r="AU1867" s="15"/>
      <c r="AV1867" s="15"/>
      <c r="AW1867" s="15"/>
    </row>
    <row r="1868" spans="3:49" x14ac:dyDescent="0.2">
      <c r="C1868" s="15"/>
      <c r="D1868" s="15"/>
      <c r="E1868" s="15"/>
      <c r="F1868" s="15"/>
      <c r="G1868" s="15"/>
      <c r="H1868" s="15"/>
      <c r="I1868" s="15"/>
      <c r="J1868" s="15"/>
      <c r="K1868" s="15"/>
      <c r="L1868" s="28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5"/>
      <c r="AG1868" s="15"/>
      <c r="AH1868" s="15"/>
      <c r="AI1868" s="15"/>
      <c r="AJ1868" s="15"/>
      <c r="AK1868" s="15"/>
      <c r="AL1868" s="15"/>
      <c r="AM1868" s="15"/>
      <c r="AN1868" s="15"/>
      <c r="AO1868" s="15"/>
      <c r="AP1868" s="15"/>
      <c r="AQ1868" s="15"/>
      <c r="AR1868" s="15"/>
      <c r="AS1868" s="15"/>
      <c r="AT1868" s="15"/>
      <c r="AU1868" s="15"/>
      <c r="AV1868" s="15"/>
      <c r="AW1868" s="15"/>
    </row>
    <row r="1869" spans="3:49" x14ac:dyDescent="0.2">
      <c r="C1869" s="15"/>
      <c r="D1869" s="15"/>
      <c r="E1869" s="15"/>
      <c r="F1869" s="15"/>
      <c r="G1869" s="15"/>
      <c r="H1869" s="15"/>
      <c r="I1869" s="15"/>
      <c r="J1869" s="15"/>
      <c r="K1869" s="15"/>
      <c r="L1869" s="28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5"/>
      <c r="AG1869" s="15"/>
      <c r="AH1869" s="15"/>
      <c r="AI1869" s="15"/>
      <c r="AJ1869" s="15"/>
      <c r="AK1869" s="15"/>
      <c r="AL1869" s="15"/>
      <c r="AM1869" s="15"/>
      <c r="AN1869" s="15"/>
      <c r="AO1869" s="15"/>
      <c r="AP1869" s="15"/>
      <c r="AQ1869" s="15"/>
      <c r="AR1869" s="15"/>
      <c r="AS1869" s="15"/>
      <c r="AT1869" s="15"/>
      <c r="AU1869" s="15"/>
      <c r="AV1869" s="15"/>
      <c r="AW1869" s="15"/>
    </row>
    <row r="1870" spans="3:49" x14ac:dyDescent="0.2">
      <c r="C1870" s="15"/>
      <c r="D1870" s="15"/>
      <c r="E1870" s="15"/>
      <c r="F1870" s="15"/>
      <c r="G1870" s="15"/>
      <c r="H1870" s="15"/>
      <c r="I1870" s="15"/>
      <c r="J1870" s="15"/>
      <c r="K1870" s="15"/>
      <c r="L1870" s="28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5"/>
      <c r="AG1870" s="15"/>
      <c r="AH1870" s="15"/>
      <c r="AI1870" s="15"/>
      <c r="AJ1870" s="15"/>
      <c r="AK1870" s="15"/>
      <c r="AL1870" s="15"/>
      <c r="AM1870" s="15"/>
      <c r="AN1870" s="15"/>
      <c r="AO1870" s="15"/>
      <c r="AP1870" s="15"/>
      <c r="AQ1870" s="15"/>
      <c r="AR1870" s="15"/>
      <c r="AS1870" s="15"/>
      <c r="AT1870" s="15"/>
      <c r="AU1870" s="15"/>
      <c r="AV1870" s="15"/>
      <c r="AW1870" s="15"/>
    </row>
    <row r="1871" spans="3:49" x14ac:dyDescent="0.2">
      <c r="C1871" s="15"/>
      <c r="D1871" s="15"/>
      <c r="E1871" s="15"/>
      <c r="F1871" s="15"/>
      <c r="G1871" s="15"/>
      <c r="H1871" s="15"/>
      <c r="I1871" s="15"/>
      <c r="J1871" s="15"/>
      <c r="K1871" s="15"/>
      <c r="L1871" s="28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5"/>
      <c r="AG1871" s="15"/>
      <c r="AH1871" s="15"/>
      <c r="AI1871" s="15"/>
      <c r="AJ1871" s="15"/>
      <c r="AK1871" s="15"/>
      <c r="AL1871" s="15"/>
      <c r="AM1871" s="15"/>
      <c r="AN1871" s="15"/>
      <c r="AO1871" s="15"/>
      <c r="AP1871" s="15"/>
      <c r="AQ1871" s="15"/>
      <c r="AR1871" s="15"/>
      <c r="AS1871" s="15"/>
      <c r="AT1871" s="15"/>
      <c r="AU1871" s="15"/>
      <c r="AV1871" s="15"/>
      <c r="AW1871" s="15"/>
    </row>
    <row r="1872" spans="3:49" x14ac:dyDescent="0.2">
      <c r="C1872" s="15"/>
      <c r="D1872" s="15"/>
      <c r="E1872" s="15"/>
      <c r="F1872" s="15"/>
      <c r="G1872" s="15"/>
      <c r="H1872" s="15"/>
      <c r="I1872" s="15"/>
      <c r="J1872" s="15"/>
      <c r="K1872" s="15"/>
      <c r="L1872" s="28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5"/>
      <c r="AG1872" s="15"/>
      <c r="AH1872" s="15"/>
      <c r="AI1872" s="15"/>
      <c r="AJ1872" s="15"/>
      <c r="AK1872" s="15"/>
      <c r="AL1872" s="15"/>
      <c r="AM1872" s="15"/>
      <c r="AN1872" s="15"/>
      <c r="AO1872" s="15"/>
      <c r="AP1872" s="15"/>
      <c r="AQ1872" s="15"/>
      <c r="AR1872" s="15"/>
      <c r="AS1872" s="15"/>
      <c r="AT1872" s="15"/>
      <c r="AU1872" s="15"/>
      <c r="AV1872" s="15"/>
      <c r="AW1872" s="15"/>
    </row>
    <row r="1873" spans="3:49" x14ac:dyDescent="0.2">
      <c r="C1873" s="15"/>
      <c r="D1873" s="15"/>
      <c r="E1873" s="15"/>
      <c r="F1873" s="15"/>
      <c r="G1873" s="15"/>
      <c r="H1873" s="15"/>
      <c r="I1873" s="15"/>
      <c r="J1873" s="15"/>
      <c r="K1873" s="15"/>
      <c r="L1873" s="28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5"/>
      <c r="AG1873" s="15"/>
      <c r="AH1873" s="15"/>
      <c r="AI1873" s="15"/>
      <c r="AJ1873" s="15"/>
      <c r="AK1873" s="15"/>
      <c r="AL1873" s="15"/>
      <c r="AM1873" s="15"/>
      <c r="AN1873" s="15"/>
      <c r="AO1873" s="15"/>
      <c r="AP1873" s="15"/>
      <c r="AQ1873" s="15"/>
      <c r="AR1873" s="15"/>
      <c r="AS1873" s="15"/>
      <c r="AT1873" s="15"/>
      <c r="AU1873" s="15"/>
      <c r="AV1873" s="15"/>
      <c r="AW1873" s="15"/>
    </row>
    <row r="1874" spans="3:49" x14ac:dyDescent="0.2">
      <c r="C1874" s="15"/>
      <c r="D1874" s="15"/>
      <c r="E1874" s="15"/>
      <c r="F1874" s="15"/>
      <c r="G1874" s="15"/>
      <c r="H1874" s="15"/>
      <c r="I1874" s="15"/>
      <c r="J1874" s="15"/>
      <c r="K1874" s="15"/>
      <c r="L1874" s="28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5"/>
      <c r="AG1874" s="15"/>
      <c r="AH1874" s="15"/>
      <c r="AI1874" s="15"/>
      <c r="AJ1874" s="15"/>
      <c r="AK1874" s="15"/>
      <c r="AL1874" s="15"/>
      <c r="AM1874" s="15"/>
      <c r="AN1874" s="15"/>
      <c r="AO1874" s="15"/>
      <c r="AP1874" s="15"/>
      <c r="AQ1874" s="15"/>
      <c r="AR1874" s="15"/>
      <c r="AS1874" s="15"/>
      <c r="AT1874" s="15"/>
      <c r="AU1874" s="15"/>
      <c r="AV1874" s="15"/>
      <c r="AW1874" s="15"/>
    </row>
    <row r="1875" spans="3:49" x14ac:dyDescent="0.2">
      <c r="C1875" s="15"/>
      <c r="D1875" s="15"/>
      <c r="E1875" s="15"/>
      <c r="F1875" s="15"/>
      <c r="G1875" s="15"/>
      <c r="H1875" s="15"/>
      <c r="I1875" s="15"/>
      <c r="J1875" s="15"/>
      <c r="K1875" s="15"/>
      <c r="L1875" s="28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5"/>
      <c r="AG1875" s="15"/>
      <c r="AH1875" s="15"/>
      <c r="AI1875" s="15"/>
      <c r="AJ1875" s="15"/>
      <c r="AK1875" s="15"/>
      <c r="AL1875" s="15"/>
      <c r="AM1875" s="15"/>
      <c r="AN1875" s="15"/>
      <c r="AO1875" s="15"/>
      <c r="AP1875" s="15"/>
      <c r="AQ1875" s="15"/>
      <c r="AR1875" s="15"/>
      <c r="AS1875" s="15"/>
      <c r="AT1875" s="15"/>
      <c r="AU1875" s="15"/>
      <c r="AV1875" s="15"/>
      <c r="AW1875" s="15"/>
    </row>
    <row r="1876" spans="3:49" x14ac:dyDescent="0.2">
      <c r="C1876" s="15"/>
      <c r="D1876" s="15"/>
      <c r="E1876" s="15"/>
      <c r="F1876" s="15"/>
      <c r="G1876" s="15"/>
      <c r="H1876" s="15"/>
      <c r="I1876" s="15"/>
      <c r="J1876" s="15"/>
      <c r="K1876" s="15"/>
      <c r="L1876" s="28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5"/>
      <c r="AG1876" s="15"/>
      <c r="AH1876" s="15"/>
      <c r="AI1876" s="15"/>
      <c r="AJ1876" s="15"/>
      <c r="AK1876" s="15"/>
      <c r="AL1876" s="15"/>
      <c r="AM1876" s="15"/>
      <c r="AN1876" s="15"/>
      <c r="AO1876" s="15"/>
      <c r="AP1876" s="15"/>
      <c r="AQ1876" s="15"/>
      <c r="AR1876" s="15"/>
      <c r="AS1876" s="15"/>
      <c r="AT1876" s="15"/>
      <c r="AU1876" s="15"/>
      <c r="AV1876" s="15"/>
      <c r="AW1876" s="15"/>
    </row>
    <row r="1877" spans="3:49" x14ac:dyDescent="0.2">
      <c r="C1877" s="15"/>
      <c r="D1877" s="15"/>
      <c r="E1877" s="15"/>
      <c r="F1877" s="15"/>
      <c r="G1877" s="15"/>
      <c r="H1877" s="15"/>
      <c r="I1877" s="15"/>
      <c r="J1877" s="15"/>
      <c r="K1877" s="15"/>
      <c r="L1877" s="28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5"/>
      <c r="AG1877" s="15"/>
      <c r="AH1877" s="15"/>
      <c r="AI1877" s="15"/>
      <c r="AJ1877" s="15"/>
      <c r="AK1877" s="15"/>
      <c r="AL1877" s="15"/>
      <c r="AM1877" s="15"/>
      <c r="AN1877" s="15"/>
      <c r="AO1877" s="15"/>
      <c r="AP1877" s="15"/>
      <c r="AQ1877" s="15"/>
      <c r="AR1877" s="15"/>
      <c r="AS1877" s="15"/>
      <c r="AT1877" s="15"/>
      <c r="AU1877" s="15"/>
      <c r="AV1877" s="15"/>
      <c r="AW1877" s="15"/>
    </row>
    <row r="1878" spans="3:49" x14ac:dyDescent="0.2">
      <c r="C1878" s="15"/>
      <c r="D1878" s="15"/>
      <c r="E1878" s="15"/>
      <c r="F1878" s="15"/>
      <c r="G1878" s="15"/>
      <c r="H1878" s="15"/>
      <c r="I1878" s="15"/>
      <c r="J1878" s="15"/>
      <c r="K1878" s="15"/>
      <c r="L1878" s="28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5"/>
      <c r="AG1878" s="15"/>
      <c r="AH1878" s="15"/>
      <c r="AI1878" s="15"/>
      <c r="AJ1878" s="15"/>
      <c r="AK1878" s="15"/>
      <c r="AL1878" s="15"/>
      <c r="AM1878" s="15"/>
      <c r="AN1878" s="15"/>
      <c r="AO1878" s="15"/>
      <c r="AP1878" s="15"/>
      <c r="AQ1878" s="15"/>
      <c r="AR1878" s="15"/>
      <c r="AS1878" s="15"/>
      <c r="AT1878" s="15"/>
      <c r="AU1878" s="15"/>
      <c r="AV1878" s="15"/>
      <c r="AW1878" s="15"/>
    </row>
    <row r="1879" spans="3:49" x14ac:dyDescent="0.2">
      <c r="C1879" s="15"/>
      <c r="D1879" s="15"/>
      <c r="E1879" s="15"/>
      <c r="F1879" s="15"/>
      <c r="G1879" s="15"/>
      <c r="H1879" s="15"/>
      <c r="I1879" s="15"/>
      <c r="J1879" s="15"/>
      <c r="K1879" s="15"/>
      <c r="L1879" s="28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5"/>
      <c r="AG1879" s="15"/>
      <c r="AH1879" s="15"/>
      <c r="AI1879" s="15"/>
      <c r="AJ1879" s="15"/>
      <c r="AK1879" s="15"/>
      <c r="AL1879" s="15"/>
      <c r="AM1879" s="15"/>
      <c r="AN1879" s="15"/>
      <c r="AO1879" s="15"/>
      <c r="AP1879" s="15"/>
      <c r="AQ1879" s="15"/>
      <c r="AR1879" s="15"/>
      <c r="AS1879" s="15"/>
      <c r="AT1879" s="15"/>
      <c r="AU1879" s="15"/>
      <c r="AV1879" s="15"/>
      <c r="AW1879" s="15"/>
    </row>
    <row r="1880" spans="3:49" x14ac:dyDescent="0.2">
      <c r="C1880" s="15"/>
      <c r="D1880" s="15"/>
      <c r="E1880" s="15"/>
      <c r="F1880" s="15"/>
      <c r="G1880" s="15"/>
      <c r="H1880" s="15"/>
      <c r="I1880" s="15"/>
      <c r="J1880" s="15"/>
      <c r="K1880" s="15"/>
      <c r="L1880" s="28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5"/>
      <c r="AG1880" s="15"/>
      <c r="AH1880" s="15"/>
      <c r="AI1880" s="15"/>
      <c r="AJ1880" s="15"/>
      <c r="AK1880" s="15"/>
      <c r="AL1880" s="15"/>
      <c r="AM1880" s="15"/>
      <c r="AN1880" s="15"/>
      <c r="AO1880" s="15"/>
      <c r="AP1880" s="15"/>
      <c r="AQ1880" s="15"/>
      <c r="AR1880" s="15"/>
      <c r="AS1880" s="15"/>
      <c r="AT1880" s="15"/>
      <c r="AU1880" s="15"/>
      <c r="AV1880" s="15"/>
      <c r="AW1880" s="15"/>
    </row>
    <row r="1881" spans="3:49" x14ac:dyDescent="0.2">
      <c r="C1881" s="15"/>
      <c r="D1881" s="15"/>
      <c r="E1881" s="15"/>
      <c r="F1881" s="15"/>
      <c r="G1881" s="15"/>
      <c r="H1881" s="15"/>
      <c r="I1881" s="15"/>
      <c r="J1881" s="15"/>
      <c r="K1881" s="15"/>
      <c r="L1881" s="28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5"/>
      <c r="AG1881" s="15"/>
      <c r="AH1881" s="15"/>
      <c r="AI1881" s="15"/>
      <c r="AJ1881" s="15"/>
      <c r="AK1881" s="15"/>
      <c r="AL1881" s="15"/>
      <c r="AM1881" s="15"/>
      <c r="AN1881" s="15"/>
      <c r="AO1881" s="15"/>
      <c r="AP1881" s="15"/>
      <c r="AQ1881" s="15"/>
      <c r="AR1881" s="15"/>
      <c r="AS1881" s="15"/>
      <c r="AT1881" s="15"/>
      <c r="AU1881" s="15"/>
      <c r="AV1881" s="15"/>
      <c r="AW1881" s="15"/>
    </row>
    <row r="1882" spans="3:49" x14ac:dyDescent="0.2">
      <c r="C1882" s="15"/>
      <c r="D1882" s="15"/>
      <c r="E1882" s="15"/>
      <c r="F1882" s="15"/>
      <c r="G1882" s="15"/>
      <c r="H1882" s="15"/>
      <c r="I1882" s="15"/>
      <c r="J1882" s="15"/>
      <c r="K1882" s="15"/>
      <c r="L1882" s="28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5"/>
      <c r="AG1882" s="15"/>
      <c r="AH1882" s="15"/>
      <c r="AI1882" s="15"/>
      <c r="AJ1882" s="15"/>
      <c r="AK1882" s="15"/>
      <c r="AL1882" s="15"/>
      <c r="AM1882" s="15"/>
      <c r="AN1882" s="15"/>
      <c r="AO1882" s="15"/>
      <c r="AP1882" s="15"/>
      <c r="AQ1882" s="15"/>
      <c r="AR1882" s="15"/>
      <c r="AS1882" s="15"/>
      <c r="AT1882" s="15"/>
      <c r="AU1882" s="15"/>
      <c r="AV1882" s="15"/>
      <c r="AW1882" s="15"/>
    </row>
    <row r="1883" spans="3:49" x14ac:dyDescent="0.2">
      <c r="C1883" s="15"/>
      <c r="D1883" s="15"/>
      <c r="E1883" s="15"/>
      <c r="F1883" s="15"/>
      <c r="G1883" s="15"/>
      <c r="H1883" s="15"/>
      <c r="I1883" s="15"/>
      <c r="J1883" s="15"/>
      <c r="K1883" s="15"/>
      <c r="L1883" s="28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5"/>
      <c r="AG1883" s="15"/>
      <c r="AH1883" s="15"/>
      <c r="AI1883" s="15"/>
      <c r="AJ1883" s="15"/>
      <c r="AK1883" s="15"/>
      <c r="AL1883" s="15"/>
      <c r="AM1883" s="15"/>
      <c r="AN1883" s="15"/>
      <c r="AO1883" s="15"/>
      <c r="AP1883" s="15"/>
      <c r="AQ1883" s="15"/>
      <c r="AR1883" s="15"/>
      <c r="AS1883" s="15"/>
      <c r="AT1883" s="15"/>
      <c r="AU1883" s="15"/>
      <c r="AV1883" s="15"/>
      <c r="AW1883" s="15"/>
    </row>
    <row r="1884" spans="3:49" x14ac:dyDescent="0.2">
      <c r="C1884" s="15"/>
      <c r="D1884" s="15"/>
      <c r="E1884" s="15"/>
      <c r="F1884" s="15"/>
      <c r="G1884" s="15"/>
      <c r="H1884" s="15"/>
      <c r="I1884" s="15"/>
      <c r="J1884" s="15"/>
      <c r="K1884" s="15"/>
      <c r="L1884" s="28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5"/>
      <c r="AG1884" s="15"/>
      <c r="AH1884" s="15"/>
      <c r="AI1884" s="15"/>
      <c r="AJ1884" s="15"/>
      <c r="AK1884" s="15"/>
      <c r="AL1884" s="15"/>
      <c r="AM1884" s="15"/>
      <c r="AN1884" s="15"/>
      <c r="AO1884" s="15"/>
      <c r="AP1884" s="15"/>
      <c r="AQ1884" s="15"/>
      <c r="AR1884" s="15"/>
      <c r="AS1884" s="15"/>
      <c r="AT1884" s="15"/>
      <c r="AU1884" s="15"/>
      <c r="AV1884" s="15"/>
      <c r="AW1884" s="15"/>
    </row>
    <row r="1885" spans="3:49" x14ac:dyDescent="0.2">
      <c r="C1885" s="15"/>
      <c r="D1885" s="15"/>
      <c r="E1885" s="15"/>
      <c r="F1885" s="15"/>
      <c r="G1885" s="15"/>
      <c r="H1885" s="15"/>
      <c r="I1885" s="15"/>
      <c r="J1885" s="15"/>
      <c r="K1885" s="15"/>
      <c r="L1885" s="28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5"/>
      <c r="AG1885" s="15"/>
      <c r="AH1885" s="15"/>
      <c r="AI1885" s="15"/>
      <c r="AJ1885" s="15"/>
      <c r="AK1885" s="15"/>
      <c r="AL1885" s="15"/>
      <c r="AM1885" s="15"/>
      <c r="AN1885" s="15"/>
      <c r="AO1885" s="15"/>
      <c r="AP1885" s="15"/>
      <c r="AQ1885" s="15"/>
      <c r="AR1885" s="15"/>
      <c r="AS1885" s="15"/>
      <c r="AT1885" s="15"/>
      <c r="AU1885" s="15"/>
      <c r="AV1885" s="15"/>
      <c r="AW1885" s="15"/>
    </row>
    <row r="1886" spans="3:49" x14ac:dyDescent="0.2">
      <c r="C1886" s="15"/>
      <c r="D1886" s="15"/>
      <c r="E1886" s="15"/>
      <c r="F1886" s="15"/>
      <c r="G1886" s="15"/>
      <c r="H1886" s="15"/>
      <c r="I1886" s="15"/>
      <c r="J1886" s="15"/>
      <c r="K1886" s="15"/>
      <c r="L1886" s="28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5"/>
      <c r="AG1886" s="15"/>
      <c r="AH1886" s="15"/>
      <c r="AI1886" s="15"/>
      <c r="AJ1886" s="15"/>
      <c r="AK1886" s="15"/>
      <c r="AL1886" s="15"/>
      <c r="AM1886" s="15"/>
      <c r="AN1886" s="15"/>
      <c r="AO1886" s="15"/>
      <c r="AP1886" s="15"/>
      <c r="AQ1886" s="15"/>
      <c r="AR1886" s="15"/>
      <c r="AS1886" s="15"/>
      <c r="AT1886" s="15"/>
      <c r="AU1886" s="15"/>
      <c r="AV1886" s="15"/>
      <c r="AW1886" s="15"/>
    </row>
    <row r="1887" spans="3:49" x14ac:dyDescent="0.2">
      <c r="C1887" s="15"/>
      <c r="D1887" s="15"/>
      <c r="E1887" s="15"/>
      <c r="F1887" s="15"/>
      <c r="G1887" s="15"/>
      <c r="H1887" s="15"/>
      <c r="I1887" s="15"/>
      <c r="J1887" s="15"/>
      <c r="K1887" s="15"/>
      <c r="L1887" s="28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5"/>
      <c r="AG1887" s="15"/>
      <c r="AH1887" s="15"/>
      <c r="AI1887" s="15"/>
      <c r="AJ1887" s="15"/>
      <c r="AK1887" s="15"/>
      <c r="AL1887" s="15"/>
      <c r="AM1887" s="15"/>
      <c r="AN1887" s="15"/>
      <c r="AO1887" s="15"/>
      <c r="AP1887" s="15"/>
      <c r="AQ1887" s="15"/>
      <c r="AR1887" s="15"/>
      <c r="AS1887" s="15"/>
      <c r="AT1887" s="15"/>
      <c r="AU1887" s="15"/>
      <c r="AV1887" s="15"/>
      <c r="AW1887" s="15"/>
    </row>
    <row r="1888" spans="3:49" x14ac:dyDescent="0.2">
      <c r="C1888" s="15"/>
      <c r="D1888" s="15"/>
      <c r="E1888" s="15"/>
      <c r="F1888" s="15"/>
      <c r="G1888" s="15"/>
      <c r="H1888" s="15"/>
      <c r="I1888" s="15"/>
      <c r="J1888" s="15"/>
      <c r="K1888" s="15"/>
      <c r="L1888" s="28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5"/>
      <c r="AG1888" s="15"/>
      <c r="AH1888" s="15"/>
      <c r="AI1888" s="15"/>
      <c r="AJ1888" s="15"/>
      <c r="AK1888" s="15"/>
      <c r="AL1888" s="15"/>
      <c r="AM1888" s="15"/>
      <c r="AN1888" s="15"/>
      <c r="AO1888" s="15"/>
      <c r="AP1888" s="15"/>
      <c r="AQ1888" s="15"/>
      <c r="AR1888" s="15"/>
      <c r="AS1888" s="15"/>
      <c r="AT1888" s="15"/>
      <c r="AU1888" s="15"/>
      <c r="AV1888" s="15"/>
      <c r="AW1888" s="15"/>
    </row>
    <row r="1889" spans="3:49" x14ac:dyDescent="0.2">
      <c r="C1889" s="15"/>
      <c r="D1889" s="15"/>
      <c r="E1889" s="15"/>
      <c r="F1889" s="15"/>
      <c r="G1889" s="15"/>
      <c r="H1889" s="15"/>
      <c r="I1889" s="15"/>
      <c r="J1889" s="15"/>
      <c r="K1889" s="15"/>
      <c r="L1889" s="28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5"/>
      <c r="AG1889" s="15"/>
      <c r="AH1889" s="15"/>
      <c r="AI1889" s="15"/>
      <c r="AJ1889" s="15"/>
      <c r="AK1889" s="15"/>
      <c r="AL1889" s="15"/>
      <c r="AM1889" s="15"/>
      <c r="AN1889" s="15"/>
      <c r="AO1889" s="15"/>
      <c r="AP1889" s="15"/>
      <c r="AQ1889" s="15"/>
      <c r="AR1889" s="15"/>
      <c r="AS1889" s="15"/>
      <c r="AT1889" s="15"/>
      <c r="AU1889" s="15"/>
      <c r="AV1889" s="15"/>
      <c r="AW1889" s="15"/>
    </row>
    <row r="1890" spans="3:49" x14ac:dyDescent="0.2">
      <c r="C1890" s="15"/>
      <c r="D1890" s="15"/>
      <c r="E1890" s="15"/>
      <c r="F1890" s="15"/>
      <c r="G1890" s="15"/>
      <c r="H1890" s="15"/>
      <c r="I1890" s="15"/>
      <c r="J1890" s="15"/>
      <c r="K1890" s="15"/>
      <c r="L1890" s="28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5"/>
      <c r="AG1890" s="15"/>
      <c r="AH1890" s="15"/>
      <c r="AI1890" s="15"/>
      <c r="AJ1890" s="15"/>
      <c r="AK1890" s="15"/>
      <c r="AL1890" s="15"/>
      <c r="AM1890" s="15"/>
      <c r="AN1890" s="15"/>
      <c r="AO1890" s="15"/>
      <c r="AP1890" s="15"/>
      <c r="AQ1890" s="15"/>
      <c r="AR1890" s="15"/>
      <c r="AS1890" s="15"/>
      <c r="AT1890" s="15"/>
      <c r="AU1890" s="15"/>
      <c r="AV1890" s="15"/>
      <c r="AW1890" s="15"/>
    </row>
    <row r="1891" spans="3:49" x14ac:dyDescent="0.2">
      <c r="C1891" s="15"/>
      <c r="D1891" s="15"/>
      <c r="E1891" s="15"/>
      <c r="F1891" s="15"/>
      <c r="G1891" s="15"/>
      <c r="H1891" s="15"/>
      <c r="I1891" s="15"/>
      <c r="J1891" s="15"/>
      <c r="K1891" s="15"/>
      <c r="L1891" s="28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5"/>
      <c r="AG1891" s="15"/>
      <c r="AH1891" s="15"/>
      <c r="AI1891" s="15"/>
      <c r="AJ1891" s="15"/>
      <c r="AK1891" s="15"/>
      <c r="AL1891" s="15"/>
      <c r="AM1891" s="15"/>
      <c r="AN1891" s="15"/>
      <c r="AO1891" s="15"/>
      <c r="AP1891" s="15"/>
      <c r="AQ1891" s="15"/>
      <c r="AR1891" s="15"/>
      <c r="AS1891" s="15"/>
      <c r="AT1891" s="15"/>
      <c r="AU1891" s="15"/>
      <c r="AV1891" s="15"/>
      <c r="AW1891" s="15"/>
    </row>
    <row r="1892" spans="3:49" x14ac:dyDescent="0.2">
      <c r="C1892" s="15"/>
      <c r="D1892" s="15"/>
      <c r="E1892" s="15"/>
      <c r="F1892" s="15"/>
      <c r="G1892" s="15"/>
      <c r="H1892" s="15"/>
      <c r="I1892" s="15"/>
      <c r="J1892" s="15"/>
      <c r="K1892" s="15"/>
      <c r="L1892" s="28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5"/>
      <c r="AG1892" s="15"/>
      <c r="AH1892" s="15"/>
      <c r="AI1892" s="15"/>
      <c r="AJ1892" s="15"/>
      <c r="AK1892" s="15"/>
      <c r="AL1892" s="15"/>
      <c r="AM1892" s="15"/>
      <c r="AN1892" s="15"/>
      <c r="AO1892" s="15"/>
      <c r="AP1892" s="15"/>
      <c r="AQ1892" s="15"/>
      <c r="AR1892" s="15"/>
      <c r="AS1892" s="15"/>
      <c r="AT1892" s="15"/>
      <c r="AU1892" s="15"/>
      <c r="AV1892" s="15"/>
      <c r="AW1892" s="15"/>
    </row>
    <row r="1893" spans="3:49" x14ac:dyDescent="0.2">
      <c r="C1893" s="15"/>
      <c r="D1893" s="15"/>
      <c r="E1893" s="15"/>
      <c r="F1893" s="15"/>
      <c r="G1893" s="15"/>
      <c r="H1893" s="15"/>
      <c r="I1893" s="15"/>
      <c r="J1893" s="15"/>
      <c r="K1893" s="15"/>
      <c r="L1893" s="28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5"/>
      <c r="AG1893" s="15"/>
      <c r="AH1893" s="15"/>
      <c r="AI1893" s="15"/>
      <c r="AJ1893" s="15"/>
      <c r="AK1893" s="15"/>
      <c r="AL1893" s="15"/>
      <c r="AM1893" s="15"/>
      <c r="AN1893" s="15"/>
      <c r="AO1893" s="15"/>
      <c r="AP1893" s="15"/>
      <c r="AQ1893" s="15"/>
      <c r="AR1893" s="15"/>
      <c r="AS1893" s="15"/>
      <c r="AT1893" s="15"/>
      <c r="AU1893" s="15"/>
      <c r="AV1893" s="15"/>
      <c r="AW1893" s="15"/>
    </row>
    <row r="1894" spans="3:49" x14ac:dyDescent="0.2">
      <c r="C1894" s="15"/>
      <c r="D1894" s="15"/>
      <c r="E1894" s="15"/>
      <c r="F1894" s="15"/>
      <c r="G1894" s="15"/>
      <c r="H1894" s="15"/>
      <c r="I1894" s="15"/>
      <c r="J1894" s="15"/>
      <c r="K1894" s="15"/>
      <c r="L1894" s="28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5"/>
      <c r="AG1894" s="15"/>
      <c r="AH1894" s="15"/>
      <c r="AI1894" s="15"/>
      <c r="AJ1894" s="15"/>
      <c r="AK1894" s="15"/>
      <c r="AL1894" s="15"/>
      <c r="AM1894" s="15"/>
      <c r="AN1894" s="15"/>
      <c r="AO1894" s="15"/>
      <c r="AP1894" s="15"/>
      <c r="AQ1894" s="15"/>
      <c r="AR1894" s="15"/>
      <c r="AS1894" s="15"/>
      <c r="AT1894" s="15"/>
      <c r="AU1894" s="15"/>
      <c r="AV1894" s="15"/>
      <c r="AW1894" s="15"/>
    </row>
    <row r="1895" spans="3:49" x14ac:dyDescent="0.2">
      <c r="C1895" s="15"/>
      <c r="D1895" s="15"/>
      <c r="E1895" s="15"/>
      <c r="F1895" s="15"/>
      <c r="G1895" s="15"/>
      <c r="H1895" s="15"/>
      <c r="I1895" s="15"/>
      <c r="J1895" s="15"/>
      <c r="K1895" s="15"/>
      <c r="L1895" s="28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5"/>
      <c r="AG1895" s="15"/>
      <c r="AH1895" s="15"/>
      <c r="AI1895" s="15"/>
      <c r="AJ1895" s="15"/>
      <c r="AK1895" s="15"/>
      <c r="AL1895" s="15"/>
      <c r="AM1895" s="15"/>
      <c r="AN1895" s="15"/>
      <c r="AO1895" s="15"/>
      <c r="AP1895" s="15"/>
      <c r="AQ1895" s="15"/>
      <c r="AR1895" s="15"/>
      <c r="AS1895" s="15"/>
      <c r="AT1895" s="15"/>
      <c r="AU1895" s="15"/>
      <c r="AV1895" s="15"/>
      <c r="AW1895" s="15"/>
    </row>
    <row r="1896" spans="3:49" x14ac:dyDescent="0.2">
      <c r="C1896" s="15"/>
      <c r="D1896" s="15"/>
      <c r="E1896" s="15"/>
      <c r="F1896" s="15"/>
      <c r="G1896" s="15"/>
      <c r="H1896" s="15"/>
      <c r="I1896" s="15"/>
      <c r="J1896" s="15"/>
      <c r="K1896" s="15"/>
      <c r="L1896" s="28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5"/>
      <c r="AG1896" s="15"/>
      <c r="AH1896" s="15"/>
      <c r="AI1896" s="15"/>
      <c r="AJ1896" s="15"/>
      <c r="AK1896" s="15"/>
      <c r="AL1896" s="15"/>
      <c r="AM1896" s="15"/>
      <c r="AN1896" s="15"/>
      <c r="AO1896" s="15"/>
      <c r="AP1896" s="15"/>
      <c r="AQ1896" s="15"/>
      <c r="AR1896" s="15"/>
      <c r="AS1896" s="15"/>
      <c r="AT1896" s="15"/>
      <c r="AU1896" s="15"/>
      <c r="AV1896" s="15"/>
      <c r="AW1896" s="15"/>
    </row>
    <row r="1897" spans="3:49" x14ac:dyDescent="0.2">
      <c r="C1897" s="15"/>
      <c r="D1897" s="15"/>
      <c r="E1897" s="15"/>
      <c r="F1897" s="15"/>
      <c r="G1897" s="15"/>
      <c r="H1897" s="15"/>
      <c r="I1897" s="15"/>
      <c r="J1897" s="15"/>
      <c r="K1897" s="15"/>
      <c r="L1897" s="28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5"/>
      <c r="AG1897" s="15"/>
      <c r="AH1897" s="15"/>
      <c r="AI1897" s="15"/>
      <c r="AJ1897" s="15"/>
      <c r="AK1897" s="15"/>
      <c r="AL1897" s="15"/>
      <c r="AM1897" s="15"/>
      <c r="AN1897" s="15"/>
      <c r="AO1897" s="15"/>
      <c r="AP1897" s="15"/>
      <c r="AQ1897" s="15"/>
      <c r="AR1897" s="15"/>
      <c r="AS1897" s="15"/>
      <c r="AT1897" s="15"/>
      <c r="AU1897" s="15"/>
      <c r="AV1897" s="15"/>
      <c r="AW1897" s="15"/>
    </row>
    <row r="1898" spans="3:49" x14ac:dyDescent="0.2">
      <c r="C1898" s="15"/>
      <c r="D1898" s="15"/>
      <c r="E1898" s="15"/>
      <c r="F1898" s="15"/>
      <c r="G1898" s="15"/>
      <c r="H1898" s="15"/>
      <c r="I1898" s="15"/>
      <c r="J1898" s="15"/>
      <c r="K1898" s="15"/>
      <c r="L1898" s="28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5"/>
      <c r="AG1898" s="15"/>
      <c r="AH1898" s="15"/>
      <c r="AI1898" s="15"/>
      <c r="AJ1898" s="15"/>
      <c r="AK1898" s="15"/>
      <c r="AL1898" s="15"/>
      <c r="AM1898" s="15"/>
      <c r="AN1898" s="15"/>
      <c r="AO1898" s="15"/>
      <c r="AP1898" s="15"/>
      <c r="AQ1898" s="15"/>
      <c r="AR1898" s="15"/>
      <c r="AS1898" s="15"/>
      <c r="AT1898" s="15"/>
      <c r="AU1898" s="15"/>
      <c r="AV1898" s="15"/>
      <c r="AW1898" s="15"/>
    </row>
    <row r="1899" spans="3:49" x14ac:dyDescent="0.2">
      <c r="C1899" s="15"/>
      <c r="D1899" s="15"/>
      <c r="E1899" s="15"/>
      <c r="F1899" s="15"/>
      <c r="G1899" s="15"/>
      <c r="H1899" s="15"/>
      <c r="I1899" s="15"/>
      <c r="J1899" s="15"/>
      <c r="K1899" s="15"/>
      <c r="L1899" s="28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5"/>
      <c r="AG1899" s="15"/>
      <c r="AH1899" s="15"/>
      <c r="AI1899" s="15"/>
      <c r="AJ1899" s="15"/>
      <c r="AK1899" s="15"/>
      <c r="AL1899" s="15"/>
      <c r="AM1899" s="15"/>
      <c r="AN1899" s="15"/>
      <c r="AO1899" s="15"/>
      <c r="AP1899" s="15"/>
      <c r="AQ1899" s="15"/>
      <c r="AR1899" s="15"/>
      <c r="AS1899" s="15"/>
      <c r="AT1899" s="15"/>
      <c r="AU1899" s="15"/>
      <c r="AV1899" s="15"/>
      <c r="AW1899" s="15"/>
    </row>
    <row r="1900" spans="3:49" x14ac:dyDescent="0.2">
      <c r="C1900" s="15"/>
      <c r="D1900" s="15"/>
      <c r="E1900" s="15"/>
      <c r="F1900" s="15"/>
      <c r="G1900" s="15"/>
      <c r="H1900" s="15"/>
      <c r="I1900" s="15"/>
      <c r="J1900" s="15"/>
      <c r="K1900" s="15"/>
      <c r="L1900" s="28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5"/>
      <c r="AG1900" s="15"/>
      <c r="AH1900" s="15"/>
      <c r="AI1900" s="15"/>
      <c r="AJ1900" s="15"/>
      <c r="AK1900" s="15"/>
      <c r="AL1900" s="15"/>
      <c r="AM1900" s="15"/>
      <c r="AN1900" s="15"/>
      <c r="AO1900" s="15"/>
      <c r="AP1900" s="15"/>
      <c r="AQ1900" s="15"/>
      <c r="AR1900" s="15"/>
      <c r="AS1900" s="15"/>
      <c r="AT1900" s="15"/>
      <c r="AU1900" s="15"/>
      <c r="AV1900" s="15"/>
      <c r="AW1900" s="15"/>
    </row>
    <row r="1901" spans="3:49" x14ac:dyDescent="0.2">
      <c r="C1901" s="15"/>
      <c r="D1901" s="15"/>
      <c r="E1901" s="15"/>
      <c r="F1901" s="15"/>
      <c r="G1901" s="15"/>
      <c r="H1901" s="15"/>
      <c r="I1901" s="15"/>
      <c r="J1901" s="15"/>
      <c r="K1901" s="15"/>
      <c r="L1901" s="28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5"/>
      <c r="AG1901" s="15"/>
      <c r="AH1901" s="15"/>
      <c r="AI1901" s="15"/>
      <c r="AJ1901" s="15"/>
      <c r="AK1901" s="15"/>
      <c r="AL1901" s="15"/>
      <c r="AM1901" s="15"/>
      <c r="AN1901" s="15"/>
      <c r="AO1901" s="15"/>
      <c r="AP1901" s="15"/>
      <c r="AQ1901" s="15"/>
      <c r="AR1901" s="15"/>
      <c r="AS1901" s="15"/>
      <c r="AT1901" s="15"/>
      <c r="AU1901" s="15"/>
      <c r="AV1901" s="15"/>
      <c r="AW1901" s="15"/>
    </row>
    <row r="1902" spans="3:49" x14ac:dyDescent="0.2">
      <c r="C1902" s="15"/>
      <c r="D1902" s="15"/>
      <c r="E1902" s="15"/>
      <c r="F1902" s="15"/>
      <c r="G1902" s="15"/>
      <c r="H1902" s="15"/>
      <c r="I1902" s="15"/>
      <c r="J1902" s="15"/>
      <c r="K1902" s="15"/>
      <c r="L1902" s="28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5"/>
      <c r="AG1902" s="15"/>
      <c r="AH1902" s="15"/>
      <c r="AI1902" s="15"/>
      <c r="AJ1902" s="15"/>
      <c r="AK1902" s="15"/>
      <c r="AL1902" s="15"/>
      <c r="AM1902" s="15"/>
      <c r="AN1902" s="15"/>
      <c r="AO1902" s="15"/>
      <c r="AP1902" s="15"/>
      <c r="AQ1902" s="15"/>
      <c r="AR1902" s="15"/>
      <c r="AS1902" s="15"/>
      <c r="AT1902" s="15"/>
      <c r="AU1902" s="15"/>
      <c r="AV1902" s="15"/>
      <c r="AW1902" s="15"/>
    </row>
    <row r="1903" spans="3:49" x14ac:dyDescent="0.2">
      <c r="C1903" s="15"/>
      <c r="D1903" s="15"/>
      <c r="E1903" s="15"/>
      <c r="F1903" s="15"/>
      <c r="G1903" s="15"/>
      <c r="H1903" s="15"/>
      <c r="I1903" s="15"/>
      <c r="J1903" s="15"/>
      <c r="K1903" s="15"/>
      <c r="L1903" s="28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5"/>
      <c r="AG1903" s="15"/>
      <c r="AH1903" s="15"/>
      <c r="AI1903" s="15"/>
      <c r="AJ1903" s="15"/>
      <c r="AK1903" s="15"/>
      <c r="AL1903" s="15"/>
      <c r="AM1903" s="15"/>
      <c r="AN1903" s="15"/>
      <c r="AO1903" s="15"/>
      <c r="AP1903" s="15"/>
      <c r="AQ1903" s="15"/>
      <c r="AR1903" s="15"/>
      <c r="AS1903" s="15"/>
      <c r="AT1903" s="15"/>
      <c r="AU1903" s="15"/>
      <c r="AV1903" s="15"/>
      <c r="AW1903" s="15"/>
    </row>
    <row r="1904" spans="3:49" x14ac:dyDescent="0.2">
      <c r="C1904" s="15"/>
      <c r="D1904" s="15"/>
      <c r="E1904" s="15"/>
      <c r="F1904" s="15"/>
      <c r="G1904" s="15"/>
      <c r="H1904" s="15"/>
      <c r="I1904" s="15"/>
      <c r="J1904" s="15"/>
      <c r="K1904" s="15"/>
      <c r="L1904" s="28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5"/>
      <c r="AG1904" s="15"/>
      <c r="AH1904" s="15"/>
      <c r="AI1904" s="15"/>
      <c r="AJ1904" s="15"/>
      <c r="AK1904" s="15"/>
      <c r="AL1904" s="15"/>
      <c r="AM1904" s="15"/>
      <c r="AN1904" s="15"/>
      <c r="AO1904" s="15"/>
      <c r="AP1904" s="15"/>
      <c r="AQ1904" s="15"/>
      <c r="AR1904" s="15"/>
      <c r="AS1904" s="15"/>
      <c r="AT1904" s="15"/>
      <c r="AU1904" s="15"/>
      <c r="AV1904" s="15"/>
      <c r="AW1904" s="15"/>
    </row>
    <row r="1905" spans="3:49" x14ac:dyDescent="0.2">
      <c r="C1905" s="15"/>
      <c r="D1905" s="15"/>
      <c r="E1905" s="15"/>
      <c r="F1905" s="15"/>
      <c r="G1905" s="15"/>
      <c r="H1905" s="15"/>
      <c r="I1905" s="15"/>
      <c r="J1905" s="15"/>
      <c r="K1905" s="15"/>
      <c r="L1905" s="28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5"/>
      <c r="AG1905" s="15"/>
      <c r="AH1905" s="15"/>
      <c r="AI1905" s="15"/>
      <c r="AJ1905" s="15"/>
      <c r="AK1905" s="15"/>
      <c r="AL1905" s="15"/>
      <c r="AM1905" s="15"/>
      <c r="AN1905" s="15"/>
      <c r="AO1905" s="15"/>
      <c r="AP1905" s="15"/>
      <c r="AQ1905" s="15"/>
      <c r="AR1905" s="15"/>
      <c r="AS1905" s="15"/>
      <c r="AT1905" s="15"/>
      <c r="AU1905" s="15"/>
      <c r="AV1905" s="15"/>
      <c r="AW1905" s="15"/>
    </row>
    <row r="1906" spans="3:49" x14ac:dyDescent="0.2">
      <c r="C1906" s="15"/>
      <c r="D1906" s="15"/>
      <c r="E1906" s="15"/>
      <c r="F1906" s="15"/>
      <c r="G1906" s="15"/>
      <c r="H1906" s="15"/>
      <c r="I1906" s="15"/>
      <c r="J1906" s="15"/>
      <c r="K1906" s="15"/>
      <c r="L1906" s="28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5"/>
      <c r="AG1906" s="15"/>
      <c r="AH1906" s="15"/>
      <c r="AI1906" s="15"/>
      <c r="AJ1906" s="15"/>
      <c r="AK1906" s="15"/>
      <c r="AL1906" s="15"/>
      <c r="AM1906" s="15"/>
      <c r="AN1906" s="15"/>
      <c r="AO1906" s="15"/>
      <c r="AP1906" s="15"/>
      <c r="AQ1906" s="15"/>
      <c r="AR1906" s="15"/>
      <c r="AS1906" s="15"/>
      <c r="AT1906" s="15"/>
      <c r="AU1906" s="15"/>
      <c r="AV1906" s="15"/>
      <c r="AW1906" s="15"/>
    </row>
    <row r="1907" spans="3:49" x14ac:dyDescent="0.2">
      <c r="C1907" s="15"/>
      <c r="D1907" s="15"/>
      <c r="E1907" s="15"/>
      <c r="F1907" s="15"/>
      <c r="G1907" s="15"/>
      <c r="H1907" s="15"/>
      <c r="I1907" s="15"/>
      <c r="J1907" s="15"/>
      <c r="K1907" s="15"/>
      <c r="L1907" s="28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5"/>
      <c r="AG1907" s="15"/>
      <c r="AH1907" s="15"/>
      <c r="AI1907" s="15"/>
      <c r="AJ1907" s="15"/>
      <c r="AK1907" s="15"/>
      <c r="AL1907" s="15"/>
      <c r="AM1907" s="15"/>
      <c r="AN1907" s="15"/>
      <c r="AO1907" s="15"/>
      <c r="AP1907" s="15"/>
      <c r="AQ1907" s="15"/>
      <c r="AR1907" s="15"/>
      <c r="AS1907" s="15"/>
      <c r="AT1907" s="15"/>
      <c r="AU1907" s="15"/>
      <c r="AV1907" s="15"/>
      <c r="AW1907" s="15"/>
    </row>
    <row r="1908" spans="3:49" x14ac:dyDescent="0.2">
      <c r="C1908" s="15"/>
      <c r="D1908" s="15"/>
      <c r="E1908" s="15"/>
      <c r="F1908" s="15"/>
      <c r="G1908" s="15"/>
      <c r="H1908" s="15"/>
      <c r="I1908" s="15"/>
      <c r="J1908" s="15"/>
      <c r="K1908" s="15"/>
      <c r="L1908" s="28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5"/>
      <c r="AG1908" s="15"/>
      <c r="AH1908" s="15"/>
      <c r="AI1908" s="15"/>
      <c r="AJ1908" s="15"/>
      <c r="AK1908" s="15"/>
      <c r="AL1908" s="15"/>
      <c r="AM1908" s="15"/>
      <c r="AN1908" s="15"/>
      <c r="AO1908" s="15"/>
      <c r="AP1908" s="15"/>
      <c r="AQ1908" s="15"/>
      <c r="AR1908" s="15"/>
      <c r="AS1908" s="15"/>
      <c r="AT1908" s="15"/>
      <c r="AU1908" s="15"/>
      <c r="AV1908" s="15"/>
      <c r="AW1908" s="15"/>
    </row>
    <row r="1909" spans="3:49" x14ac:dyDescent="0.2">
      <c r="C1909" s="15"/>
      <c r="D1909" s="15"/>
      <c r="E1909" s="15"/>
      <c r="F1909" s="15"/>
      <c r="G1909" s="15"/>
      <c r="H1909" s="15"/>
      <c r="I1909" s="15"/>
      <c r="J1909" s="15"/>
      <c r="K1909" s="15"/>
      <c r="L1909" s="28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5"/>
      <c r="AG1909" s="15"/>
      <c r="AH1909" s="15"/>
      <c r="AI1909" s="15"/>
      <c r="AJ1909" s="15"/>
      <c r="AK1909" s="15"/>
      <c r="AL1909" s="15"/>
      <c r="AM1909" s="15"/>
      <c r="AN1909" s="15"/>
      <c r="AO1909" s="15"/>
      <c r="AP1909" s="15"/>
      <c r="AQ1909" s="15"/>
      <c r="AR1909" s="15"/>
      <c r="AS1909" s="15"/>
      <c r="AT1909" s="15"/>
      <c r="AU1909" s="15"/>
      <c r="AV1909" s="15"/>
      <c r="AW1909" s="15"/>
    </row>
    <row r="1910" spans="3:49" x14ac:dyDescent="0.2">
      <c r="C1910" s="15"/>
      <c r="D1910" s="15"/>
      <c r="E1910" s="15"/>
      <c r="F1910" s="15"/>
      <c r="G1910" s="15"/>
      <c r="H1910" s="15"/>
      <c r="I1910" s="15"/>
      <c r="J1910" s="15"/>
      <c r="K1910" s="15"/>
      <c r="L1910" s="28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5"/>
      <c r="AG1910" s="15"/>
      <c r="AH1910" s="15"/>
      <c r="AI1910" s="15"/>
      <c r="AJ1910" s="15"/>
      <c r="AK1910" s="15"/>
      <c r="AL1910" s="15"/>
      <c r="AM1910" s="15"/>
      <c r="AN1910" s="15"/>
      <c r="AO1910" s="15"/>
      <c r="AP1910" s="15"/>
      <c r="AQ1910" s="15"/>
      <c r="AR1910" s="15"/>
      <c r="AS1910" s="15"/>
      <c r="AT1910" s="15"/>
      <c r="AU1910" s="15"/>
      <c r="AV1910" s="15"/>
      <c r="AW1910" s="15"/>
    </row>
    <row r="1911" spans="3:49" x14ac:dyDescent="0.2">
      <c r="C1911" s="15"/>
      <c r="D1911" s="15"/>
      <c r="E1911" s="15"/>
      <c r="F1911" s="15"/>
      <c r="G1911" s="15"/>
      <c r="H1911" s="15"/>
      <c r="I1911" s="15"/>
      <c r="J1911" s="15"/>
      <c r="K1911" s="15"/>
      <c r="L1911" s="28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5"/>
      <c r="AG1911" s="15"/>
      <c r="AH1911" s="15"/>
      <c r="AI1911" s="15"/>
      <c r="AJ1911" s="15"/>
      <c r="AK1911" s="15"/>
      <c r="AL1911" s="15"/>
      <c r="AM1911" s="15"/>
      <c r="AN1911" s="15"/>
      <c r="AO1911" s="15"/>
      <c r="AP1911" s="15"/>
      <c r="AQ1911" s="15"/>
      <c r="AR1911" s="15"/>
      <c r="AS1911" s="15"/>
      <c r="AT1911" s="15"/>
      <c r="AU1911" s="15"/>
      <c r="AV1911" s="15"/>
      <c r="AW1911" s="15"/>
    </row>
    <row r="1912" spans="3:49" x14ac:dyDescent="0.2">
      <c r="C1912" s="15"/>
      <c r="D1912" s="15"/>
      <c r="E1912" s="15"/>
      <c r="F1912" s="15"/>
      <c r="G1912" s="15"/>
      <c r="H1912" s="15"/>
      <c r="I1912" s="15"/>
      <c r="J1912" s="15"/>
      <c r="K1912" s="15"/>
      <c r="L1912" s="28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5"/>
      <c r="AG1912" s="15"/>
      <c r="AH1912" s="15"/>
      <c r="AI1912" s="15"/>
      <c r="AJ1912" s="15"/>
      <c r="AK1912" s="15"/>
      <c r="AL1912" s="15"/>
      <c r="AM1912" s="15"/>
      <c r="AN1912" s="15"/>
      <c r="AO1912" s="15"/>
      <c r="AP1912" s="15"/>
      <c r="AQ1912" s="15"/>
      <c r="AR1912" s="15"/>
      <c r="AS1912" s="15"/>
      <c r="AT1912" s="15"/>
      <c r="AU1912" s="15"/>
      <c r="AV1912" s="15"/>
      <c r="AW1912" s="15"/>
    </row>
    <row r="1913" spans="3:49" x14ac:dyDescent="0.2">
      <c r="C1913" s="15"/>
      <c r="D1913" s="15"/>
      <c r="E1913" s="15"/>
      <c r="F1913" s="15"/>
      <c r="G1913" s="15"/>
      <c r="H1913" s="15"/>
      <c r="I1913" s="15"/>
      <c r="J1913" s="15"/>
      <c r="K1913" s="15"/>
      <c r="L1913" s="28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5"/>
      <c r="AG1913" s="15"/>
      <c r="AH1913" s="15"/>
      <c r="AI1913" s="15"/>
      <c r="AJ1913" s="15"/>
      <c r="AK1913" s="15"/>
      <c r="AL1913" s="15"/>
      <c r="AM1913" s="15"/>
      <c r="AN1913" s="15"/>
      <c r="AO1913" s="15"/>
      <c r="AP1913" s="15"/>
      <c r="AQ1913" s="15"/>
      <c r="AR1913" s="15"/>
      <c r="AS1913" s="15"/>
      <c r="AT1913" s="15"/>
      <c r="AU1913" s="15"/>
      <c r="AV1913" s="15"/>
      <c r="AW1913" s="15"/>
    </row>
    <row r="1914" spans="3:49" x14ac:dyDescent="0.2">
      <c r="C1914" s="15"/>
      <c r="D1914" s="15"/>
      <c r="E1914" s="15"/>
      <c r="F1914" s="15"/>
      <c r="G1914" s="15"/>
      <c r="H1914" s="15"/>
      <c r="I1914" s="15"/>
      <c r="J1914" s="15"/>
      <c r="K1914" s="15"/>
      <c r="L1914" s="28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5"/>
      <c r="AG1914" s="15"/>
      <c r="AH1914" s="15"/>
      <c r="AI1914" s="15"/>
      <c r="AJ1914" s="15"/>
      <c r="AK1914" s="15"/>
      <c r="AL1914" s="15"/>
      <c r="AM1914" s="15"/>
      <c r="AN1914" s="15"/>
      <c r="AO1914" s="15"/>
      <c r="AP1914" s="15"/>
      <c r="AQ1914" s="15"/>
      <c r="AR1914" s="15"/>
      <c r="AS1914" s="15"/>
      <c r="AT1914" s="15"/>
      <c r="AU1914" s="15"/>
      <c r="AV1914" s="15"/>
      <c r="AW1914" s="15"/>
    </row>
    <row r="1915" spans="3:49" x14ac:dyDescent="0.2">
      <c r="C1915" s="15"/>
      <c r="D1915" s="15"/>
      <c r="E1915" s="15"/>
      <c r="F1915" s="15"/>
      <c r="G1915" s="15"/>
      <c r="H1915" s="15"/>
      <c r="I1915" s="15"/>
      <c r="J1915" s="15"/>
      <c r="K1915" s="15"/>
      <c r="L1915" s="28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5"/>
      <c r="AG1915" s="15"/>
      <c r="AH1915" s="15"/>
      <c r="AI1915" s="15"/>
      <c r="AJ1915" s="15"/>
      <c r="AK1915" s="15"/>
      <c r="AL1915" s="15"/>
      <c r="AM1915" s="15"/>
      <c r="AN1915" s="15"/>
      <c r="AO1915" s="15"/>
      <c r="AP1915" s="15"/>
      <c r="AQ1915" s="15"/>
      <c r="AR1915" s="15"/>
      <c r="AS1915" s="15"/>
      <c r="AT1915" s="15"/>
      <c r="AU1915" s="15"/>
      <c r="AV1915" s="15"/>
      <c r="AW1915" s="15"/>
    </row>
    <row r="1916" spans="3:49" x14ac:dyDescent="0.2">
      <c r="C1916" s="15"/>
      <c r="D1916" s="15"/>
      <c r="E1916" s="15"/>
      <c r="F1916" s="15"/>
      <c r="G1916" s="15"/>
      <c r="H1916" s="15"/>
      <c r="I1916" s="15"/>
      <c r="J1916" s="15"/>
      <c r="K1916" s="15"/>
      <c r="L1916" s="28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5"/>
      <c r="AG1916" s="15"/>
      <c r="AH1916" s="15"/>
      <c r="AI1916" s="15"/>
      <c r="AJ1916" s="15"/>
      <c r="AK1916" s="15"/>
      <c r="AL1916" s="15"/>
      <c r="AM1916" s="15"/>
      <c r="AN1916" s="15"/>
      <c r="AO1916" s="15"/>
      <c r="AP1916" s="15"/>
      <c r="AQ1916" s="15"/>
      <c r="AR1916" s="15"/>
      <c r="AS1916" s="15"/>
      <c r="AT1916" s="15"/>
      <c r="AU1916" s="15"/>
      <c r="AV1916" s="15"/>
      <c r="AW1916" s="15"/>
    </row>
    <row r="1917" spans="3:49" x14ac:dyDescent="0.2">
      <c r="C1917" s="15"/>
      <c r="D1917" s="15"/>
      <c r="E1917" s="15"/>
      <c r="F1917" s="15"/>
      <c r="G1917" s="15"/>
      <c r="H1917" s="15"/>
      <c r="I1917" s="15"/>
      <c r="J1917" s="15"/>
      <c r="K1917" s="15"/>
      <c r="L1917" s="28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5"/>
      <c r="AG1917" s="15"/>
      <c r="AH1917" s="15"/>
      <c r="AI1917" s="15"/>
      <c r="AJ1917" s="15"/>
      <c r="AK1917" s="15"/>
      <c r="AL1917" s="15"/>
      <c r="AM1917" s="15"/>
      <c r="AN1917" s="15"/>
      <c r="AO1917" s="15"/>
      <c r="AP1917" s="15"/>
      <c r="AQ1917" s="15"/>
      <c r="AR1917" s="15"/>
      <c r="AS1917" s="15"/>
      <c r="AT1917" s="15"/>
      <c r="AU1917" s="15"/>
      <c r="AV1917" s="15"/>
      <c r="AW1917" s="15"/>
    </row>
    <row r="1918" spans="3:49" x14ac:dyDescent="0.2">
      <c r="C1918" s="15"/>
      <c r="D1918" s="15"/>
      <c r="E1918" s="15"/>
      <c r="F1918" s="15"/>
      <c r="G1918" s="15"/>
      <c r="H1918" s="15"/>
      <c r="I1918" s="15"/>
      <c r="J1918" s="15"/>
      <c r="K1918" s="15"/>
      <c r="L1918" s="28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5"/>
      <c r="AG1918" s="15"/>
      <c r="AH1918" s="15"/>
      <c r="AI1918" s="15"/>
      <c r="AJ1918" s="15"/>
      <c r="AK1918" s="15"/>
      <c r="AL1918" s="15"/>
      <c r="AM1918" s="15"/>
      <c r="AN1918" s="15"/>
      <c r="AO1918" s="15"/>
      <c r="AP1918" s="15"/>
      <c r="AQ1918" s="15"/>
      <c r="AR1918" s="15"/>
      <c r="AS1918" s="15"/>
      <c r="AT1918" s="15"/>
      <c r="AU1918" s="15"/>
      <c r="AV1918" s="15"/>
      <c r="AW1918" s="15"/>
    </row>
    <row r="1919" spans="3:49" x14ac:dyDescent="0.2">
      <c r="C1919" s="15"/>
      <c r="D1919" s="15"/>
      <c r="E1919" s="15"/>
      <c r="F1919" s="15"/>
      <c r="G1919" s="15"/>
      <c r="H1919" s="15"/>
      <c r="I1919" s="15"/>
      <c r="J1919" s="15"/>
      <c r="K1919" s="15"/>
      <c r="L1919" s="28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5"/>
      <c r="AG1919" s="15"/>
      <c r="AH1919" s="15"/>
      <c r="AI1919" s="15"/>
      <c r="AJ1919" s="15"/>
      <c r="AK1919" s="15"/>
      <c r="AL1919" s="15"/>
      <c r="AM1919" s="15"/>
      <c r="AN1919" s="15"/>
      <c r="AO1919" s="15"/>
      <c r="AP1919" s="15"/>
      <c r="AQ1919" s="15"/>
      <c r="AR1919" s="15"/>
      <c r="AS1919" s="15"/>
      <c r="AT1919" s="15"/>
      <c r="AU1919" s="15"/>
      <c r="AV1919" s="15"/>
      <c r="AW1919" s="15"/>
    </row>
    <row r="1920" spans="3:49" x14ac:dyDescent="0.2">
      <c r="C1920" s="15"/>
      <c r="D1920" s="15"/>
      <c r="E1920" s="15"/>
      <c r="F1920" s="15"/>
      <c r="G1920" s="15"/>
      <c r="H1920" s="15"/>
      <c r="I1920" s="15"/>
      <c r="J1920" s="15"/>
      <c r="K1920" s="15"/>
      <c r="L1920" s="28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5"/>
      <c r="AG1920" s="15"/>
      <c r="AH1920" s="15"/>
      <c r="AI1920" s="15"/>
      <c r="AJ1920" s="15"/>
      <c r="AK1920" s="15"/>
      <c r="AL1920" s="15"/>
      <c r="AM1920" s="15"/>
      <c r="AN1920" s="15"/>
      <c r="AO1920" s="15"/>
      <c r="AP1920" s="15"/>
      <c r="AQ1920" s="15"/>
      <c r="AR1920" s="15"/>
      <c r="AS1920" s="15"/>
      <c r="AT1920" s="15"/>
      <c r="AU1920" s="15"/>
      <c r="AV1920" s="15"/>
      <c r="AW1920" s="15"/>
    </row>
    <row r="1921" spans="3:49" x14ac:dyDescent="0.2">
      <c r="C1921" s="15"/>
      <c r="D1921" s="15"/>
      <c r="E1921" s="15"/>
      <c r="F1921" s="15"/>
      <c r="G1921" s="15"/>
      <c r="H1921" s="15"/>
      <c r="I1921" s="15"/>
      <c r="J1921" s="15"/>
      <c r="K1921" s="15"/>
      <c r="L1921" s="28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5"/>
      <c r="AG1921" s="15"/>
      <c r="AH1921" s="15"/>
      <c r="AI1921" s="15"/>
      <c r="AJ1921" s="15"/>
      <c r="AK1921" s="15"/>
      <c r="AL1921" s="15"/>
      <c r="AM1921" s="15"/>
      <c r="AN1921" s="15"/>
      <c r="AO1921" s="15"/>
      <c r="AP1921" s="15"/>
      <c r="AQ1921" s="15"/>
      <c r="AR1921" s="15"/>
      <c r="AS1921" s="15"/>
      <c r="AT1921" s="15"/>
      <c r="AU1921" s="15"/>
      <c r="AV1921" s="15"/>
      <c r="AW1921" s="15"/>
    </row>
    <row r="1922" spans="3:49" x14ac:dyDescent="0.2">
      <c r="C1922" s="15"/>
      <c r="D1922" s="15"/>
      <c r="E1922" s="15"/>
      <c r="F1922" s="15"/>
      <c r="G1922" s="15"/>
      <c r="H1922" s="15"/>
      <c r="I1922" s="15"/>
      <c r="J1922" s="15"/>
      <c r="K1922" s="15"/>
      <c r="L1922" s="28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5"/>
      <c r="AG1922" s="15"/>
      <c r="AH1922" s="15"/>
      <c r="AI1922" s="15"/>
      <c r="AJ1922" s="15"/>
      <c r="AK1922" s="15"/>
      <c r="AL1922" s="15"/>
      <c r="AM1922" s="15"/>
      <c r="AN1922" s="15"/>
      <c r="AO1922" s="15"/>
      <c r="AP1922" s="15"/>
      <c r="AQ1922" s="15"/>
      <c r="AR1922" s="15"/>
      <c r="AS1922" s="15"/>
      <c r="AT1922" s="15"/>
      <c r="AU1922" s="15"/>
      <c r="AV1922" s="15"/>
      <c r="AW1922" s="15"/>
    </row>
    <row r="1923" spans="3:49" x14ac:dyDescent="0.2">
      <c r="C1923" s="15"/>
      <c r="D1923" s="15"/>
      <c r="E1923" s="15"/>
      <c r="F1923" s="15"/>
      <c r="G1923" s="15"/>
      <c r="H1923" s="15"/>
      <c r="I1923" s="15"/>
      <c r="J1923" s="15"/>
      <c r="K1923" s="15"/>
      <c r="L1923" s="28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5"/>
      <c r="AG1923" s="15"/>
      <c r="AH1923" s="15"/>
      <c r="AI1923" s="15"/>
      <c r="AJ1923" s="15"/>
      <c r="AK1923" s="15"/>
      <c r="AL1923" s="15"/>
      <c r="AM1923" s="15"/>
      <c r="AN1923" s="15"/>
      <c r="AO1923" s="15"/>
      <c r="AP1923" s="15"/>
      <c r="AQ1923" s="15"/>
      <c r="AR1923" s="15"/>
      <c r="AS1923" s="15"/>
      <c r="AT1923" s="15"/>
      <c r="AU1923" s="15"/>
      <c r="AV1923" s="15"/>
      <c r="AW1923" s="15"/>
    </row>
    <row r="1924" spans="3:49" x14ac:dyDescent="0.2">
      <c r="C1924" s="15"/>
      <c r="D1924" s="15"/>
      <c r="E1924" s="15"/>
      <c r="F1924" s="15"/>
      <c r="G1924" s="15"/>
      <c r="H1924" s="15"/>
      <c r="I1924" s="15"/>
      <c r="J1924" s="15"/>
      <c r="K1924" s="15"/>
      <c r="L1924" s="28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5"/>
      <c r="AG1924" s="15"/>
      <c r="AH1924" s="15"/>
      <c r="AI1924" s="15"/>
      <c r="AJ1924" s="15"/>
      <c r="AK1924" s="15"/>
      <c r="AL1924" s="15"/>
      <c r="AM1924" s="15"/>
      <c r="AN1924" s="15"/>
      <c r="AO1924" s="15"/>
      <c r="AP1924" s="15"/>
      <c r="AQ1924" s="15"/>
      <c r="AR1924" s="15"/>
      <c r="AS1924" s="15"/>
      <c r="AT1924" s="15"/>
      <c r="AU1924" s="15"/>
      <c r="AV1924" s="15"/>
      <c r="AW1924" s="15"/>
    </row>
    <row r="1925" spans="3:49" x14ac:dyDescent="0.2">
      <c r="C1925" s="15"/>
      <c r="D1925" s="15"/>
      <c r="E1925" s="15"/>
      <c r="F1925" s="15"/>
      <c r="G1925" s="15"/>
      <c r="H1925" s="15"/>
      <c r="I1925" s="15"/>
      <c r="J1925" s="15"/>
      <c r="K1925" s="15"/>
      <c r="L1925" s="28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5"/>
      <c r="AG1925" s="15"/>
      <c r="AH1925" s="15"/>
      <c r="AI1925" s="15"/>
      <c r="AJ1925" s="15"/>
      <c r="AK1925" s="15"/>
      <c r="AL1925" s="15"/>
      <c r="AM1925" s="15"/>
      <c r="AN1925" s="15"/>
      <c r="AO1925" s="15"/>
      <c r="AP1925" s="15"/>
      <c r="AQ1925" s="15"/>
      <c r="AR1925" s="15"/>
      <c r="AS1925" s="15"/>
      <c r="AT1925" s="15"/>
      <c r="AU1925" s="15"/>
      <c r="AV1925" s="15"/>
      <c r="AW1925" s="15"/>
    </row>
    <row r="1926" spans="3:49" x14ac:dyDescent="0.2">
      <c r="C1926" s="15"/>
      <c r="D1926" s="15"/>
      <c r="E1926" s="15"/>
      <c r="F1926" s="15"/>
      <c r="G1926" s="15"/>
      <c r="H1926" s="15"/>
      <c r="I1926" s="15"/>
      <c r="J1926" s="15"/>
      <c r="K1926" s="15"/>
      <c r="L1926" s="28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5"/>
      <c r="AG1926" s="15"/>
      <c r="AH1926" s="15"/>
      <c r="AI1926" s="15"/>
      <c r="AJ1926" s="15"/>
      <c r="AK1926" s="15"/>
      <c r="AL1926" s="15"/>
      <c r="AM1926" s="15"/>
      <c r="AN1926" s="15"/>
      <c r="AO1926" s="15"/>
      <c r="AP1926" s="15"/>
      <c r="AQ1926" s="15"/>
      <c r="AR1926" s="15"/>
      <c r="AS1926" s="15"/>
      <c r="AT1926" s="15"/>
      <c r="AU1926" s="15"/>
      <c r="AV1926" s="15"/>
      <c r="AW1926" s="15"/>
    </row>
    <row r="1927" spans="3:49" x14ac:dyDescent="0.2">
      <c r="C1927" s="15"/>
      <c r="D1927" s="15"/>
      <c r="E1927" s="15"/>
      <c r="F1927" s="15"/>
      <c r="G1927" s="15"/>
      <c r="H1927" s="15"/>
      <c r="I1927" s="15"/>
      <c r="J1927" s="15"/>
      <c r="K1927" s="15"/>
      <c r="L1927" s="28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5"/>
      <c r="AG1927" s="15"/>
      <c r="AH1927" s="15"/>
      <c r="AI1927" s="15"/>
      <c r="AJ1927" s="15"/>
      <c r="AK1927" s="15"/>
      <c r="AL1927" s="15"/>
      <c r="AM1927" s="15"/>
      <c r="AN1927" s="15"/>
      <c r="AO1927" s="15"/>
      <c r="AP1927" s="15"/>
      <c r="AQ1927" s="15"/>
      <c r="AR1927" s="15"/>
      <c r="AS1927" s="15"/>
      <c r="AT1927" s="15"/>
      <c r="AU1927" s="15"/>
      <c r="AV1927" s="15"/>
      <c r="AW1927" s="15"/>
    </row>
    <row r="1928" spans="3:49" x14ac:dyDescent="0.2">
      <c r="C1928" s="15"/>
      <c r="D1928" s="15"/>
      <c r="E1928" s="15"/>
      <c r="F1928" s="15"/>
      <c r="G1928" s="15"/>
      <c r="H1928" s="15"/>
      <c r="I1928" s="15"/>
      <c r="J1928" s="15"/>
      <c r="K1928" s="15"/>
      <c r="L1928" s="28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5"/>
      <c r="AG1928" s="15"/>
      <c r="AH1928" s="15"/>
      <c r="AI1928" s="15"/>
      <c r="AJ1928" s="15"/>
      <c r="AK1928" s="15"/>
      <c r="AL1928" s="15"/>
      <c r="AM1928" s="15"/>
      <c r="AN1928" s="15"/>
      <c r="AO1928" s="15"/>
      <c r="AP1928" s="15"/>
      <c r="AQ1928" s="15"/>
      <c r="AR1928" s="15"/>
      <c r="AS1928" s="15"/>
      <c r="AT1928" s="15"/>
      <c r="AU1928" s="15"/>
      <c r="AV1928" s="15"/>
      <c r="AW1928" s="15"/>
    </row>
    <row r="1929" spans="3:49" x14ac:dyDescent="0.2">
      <c r="C1929" s="15"/>
      <c r="D1929" s="15"/>
      <c r="E1929" s="15"/>
      <c r="F1929" s="15"/>
      <c r="G1929" s="15"/>
      <c r="H1929" s="15"/>
      <c r="I1929" s="15"/>
      <c r="J1929" s="15"/>
      <c r="K1929" s="15"/>
      <c r="L1929" s="28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5"/>
      <c r="AG1929" s="15"/>
      <c r="AH1929" s="15"/>
      <c r="AI1929" s="15"/>
      <c r="AJ1929" s="15"/>
      <c r="AK1929" s="15"/>
      <c r="AL1929" s="15"/>
      <c r="AM1929" s="15"/>
      <c r="AN1929" s="15"/>
      <c r="AO1929" s="15"/>
      <c r="AP1929" s="15"/>
      <c r="AQ1929" s="15"/>
      <c r="AR1929" s="15"/>
      <c r="AS1929" s="15"/>
      <c r="AT1929" s="15"/>
      <c r="AU1929" s="15"/>
      <c r="AV1929" s="15"/>
      <c r="AW1929" s="15"/>
    </row>
    <row r="1930" spans="3:49" x14ac:dyDescent="0.2">
      <c r="C1930" s="15"/>
      <c r="D1930" s="15"/>
      <c r="E1930" s="15"/>
      <c r="F1930" s="15"/>
      <c r="G1930" s="15"/>
      <c r="H1930" s="15"/>
      <c r="I1930" s="15"/>
      <c r="J1930" s="15"/>
      <c r="K1930" s="15"/>
      <c r="L1930" s="28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5"/>
      <c r="AG1930" s="15"/>
      <c r="AH1930" s="15"/>
      <c r="AI1930" s="15"/>
      <c r="AJ1930" s="15"/>
      <c r="AK1930" s="15"/>
      <c r="AL1930" s="15"/>
      <c r="AM1930" s="15"/>
      <c r="AN1930" s="15"/>
      <c r="AO1930" s="15"/>
      <c r="AP1930" s="15"/>
      <c r="AQ1930" s="15"/>
      <c r="AR1930" s="15"/>
      <c r="AS1930" s="15"/>
      <c r="AT1930" s="15"/>
      <c r="AU1930" s="15"/>
      <c r="AV1930" s="15"/>
      <c r="AW1930" s="15"/>
    </row>
    <row r="1931" spans="3:49" x14ac:dyDescent="0.2">
      <c r="C1931" s="15"/>
      <c r="D1931" s="15"/>
      <c r="E1931" s="15"/>
      <c r="F1931" s="15"/>
      <c r="G1931" s="15"/>
      <c r="H1931" s="15"/>
      <c r="I1931" s="15"/>
      <c r="J1931" s="15"/>
      <c r="K1931" s="15"/>
      <c r="L1931" s="28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5"/>
      <c r="AG1931" s="15"/>
      <c r="AH1931" s="15"/>
      <c r="AI1931" s="15"/>
      <c r="AJ1931" s="15"/>
      <c r="AK1931" s="15"/>
      <c r="AL1931" s="15"/>
      <c r="AM1931" s="15"/>
      <c r="AN1931" s="15"/>
      <c r="AO1931" s="15"/>
      <c r="AP1931" s="15"/>
      <c r="AQ1931" s="15"/>
      <c r="AR1931" s="15"/>
      <c r="AS1931" s="15"/>
      <c r="AT1931" s="15"/>
      <c r="AU1931" s="15"/>
      <c r="AV1931" s="15"/>
      <c r="AW1931" s="15"/>
    </row>
    <row r="1932" spans="3:49" x14ac:dyDescent="0.2">
      <c r="C1932" s="15"/>
      <c r="D1932" s="15"/>
      <c r="E1932" s="15"/>
      <c r="F1932" s="15"/>
      <c r="G1932" s="15"/>
      <c r="H1932" s="15"/>
      <c r="I1932" s="15"/>
      <c r="J1932" s="15"/>
      <c r="K1932" s="15"/>
      <c r="L1932" s="28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5"/>
      <c r="AG1932" s="15"/>
      <c r="AH1932" s="15"/>
      <c r="AI1932" s="15"/>
      <c r="AJ1932" s="15"/>
      <c r="AK1932" s="15"/>
      <c r="AL1932" s="15"/>
      <c r="AM1932" s="15"/>
      <c r="AN1932" s="15"/>
      <c r="AO1932" s="15"/>
      <c r="AP1932" s="15"/>
      <c r="AQ1932" s="15"/>
      <c r="AR1932" s="15"/>
      <c r="AS1932" s="15"/>
      <c r="AT1932" s="15"/>
      <c r="AU1932" s="15"/>
      <c r="AV1932" s="15"/>
      <c r="AW1932" s="15"/>
    </row>
    <row r="1933" spans="3:49" x14ac:dyDescent="0.2">
      <c r="C1933" s="15"/>
      <c r="D1933" s="15"/>
      <c r="E1933" s="15"/>
      <c r="F1933" s="15"/>
      <c r="G1933" s="15"/>
      <c r="H1933" s="15"/>
      <c r="I1933" s="15"/>
      <c r="J1933" s="15"/>
      <c r="K1933" s="15"/>
      <c r="L1933" s="28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5"/>
      <c r="AG1933" s="15"/>
      <c r="AH1933" s="15"/>
      <c r="AI1933" s="15"/>
      <c r="AJ1933" s="15"/>
      <c r="AK1933" s="15"/>
      <c r="AL1933" s="15"/>
      <c r="AM1933" s="15"/>
      <c r="AN1933" s="15"/>
      <c r="AO1933" s="15"/>
      <c r="AP1933" s="15"/>
      <c r="AQ1933" s="15"/>
      <c r="AR1933" s="15"/>
      <c r="AS1933" s="15"/>
      <c r="AT1933" s="15"/>
      <c r="AU1933" s="15"/>
      <c r="AV1933" s="15"/>
      <c r="AW1933" s="15"/>
    </row>
    <row r="1934" spans="3:49" x14ac:dyDescent="0.2">
      <c r="C1934" s="15"/>
      <c r="D1934" s="15"/>
      <c r="E1934" s="15"/>
      <c r="F1934" s="15"/>
      <c r="G1934" s="15"/>
      <c r="H1934" s="15"/>
      <c r="I1934" s="15"/>
      <c r="J1934" s="15"/>
      <c r="K1934" s="15"/>
      <c r="L1934" s="28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5"/>
      <c r="AG1934" s="15"/>
      <c r="AH1934" s="15"/>
      <c r="AI1934" s="15"/>
      <c r="AJ1934" s="15"/>
      <c r="AK1934" s="15"/>
      <c r="AL1934" s="15"/>
      <c r="AM1934" s="15"/>
      <c r="AN1934" s="15"/>
      <c r="AO1934" s="15"/>
      <c r="AP1934" s="15"/>
      <c r="AQ1934" s="15"/>
      <c r="AR1934" s="15"/>
      <c r="AS1934" s="15"/>
      <c r="AT1934" s="15"/>
      <c r="AU1934" s="15"/>
      <c r="AV1934" s="15"/>
      <c r="AW1934" s="15"/>
    </row>
    <row r="1935" spans="3:49" x14ac:dyDescent="0.2">
      <c r="C1935" s="15"/>
      <c r="D1935" s="15"/>
      <c r="E1935" s="15"/>
      <c r="F1935" s="15"/>
      <c r="G1935" s="15"/>
      <c r="H1935" s="15"/>
      <c r="I1935" s="15"/>
      <c r="J1935" s="15"/>
      <c r="K1935" s="15"/>
      <c r="L1935" s="28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5"/>
      <c r="AG1935" s="15"/>
      <c r="AH1935" s="15"/>
      <c r="AI1935" s="15"/>
      <c r="AJ1935" s="15"/>
      <c r="AK1935" s="15"/>
      <c r="AL1935" s="15"/>
      <c r="AM1935" s="15"/>
      <c r="AN1935" s="15"/>
      <c r="AO1935" s="15"/>
      <c r="AP1935" s="15"/>
      <c r="AQ1935" s="15"/>
      <c r="AR1935" s="15"/>
      <c r="AS1935" s="15"/>
      <c r="AT1935" s="15"/>
      <c r="AU1935" s="15"/>
      <c r="AV1935" s="15"/>
      <c r="AW1935" s="15"/>
    </row>
    <row r="1936" spans="3:49" x14ac:dyDescent="0.2">
      <c r="C1936" s="15"/>
      <c r="D1936" s="15"/>
      <c r="E1936" s="15"/>
      <c r="F1936" s="15"/>
      <c r="G1936" s="15"/>
      <c r="H1936" s="15"/>
      <c r="I1936" s="15"/>
      <c r="J1936" s="15"/>
      <c r="K1936" s="15"/>
      <c r="L1936" s="28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5"/>
      <c r="AG1936" s="15"/>
      <c r="AH1936" s="15"/>
      <c r="AI1936" s="15"/>
      <c r="AJ1936" s="15"/>
      <c r="AK1936" s="15"/>
      <c r="AL1936" s="15"/>
      <c r="AM1936" s="15"/>
      <c r="AN1936" s="15"/>
      <c r="AO1936" s="15"/>
      <c r="AP1936" s="15"/>
      <c r="AQ1936" s="15"/>
      <c r="AR1936" s="15"/>
      <c r="AS1936" s="15"/>
      <c r="AT1936" s="15"/>
      <c r="AU1936" s="15"/>
      <c r="AV1936" s="15"/>
      <c r="AW1936" s="15"/>
    </row>
    <row r="1937" spans="3:49" x14ac:dyDescent="0.2">
      <c r="C1937" s="15"/>
      <c r="D1937" s="15"/>
      <c r="E1937" s="15"/>
      <c r="F1937" s="15"/>
      <c r="G1937" s="15"/>
      <c r="H1937" s="15"/>
      <c r="I1937" s="15"/>
      <c r="J1937" s="15"/>
      <c r="K1937" s="15"/>
      <c r="L1937" s="28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5"/>
      <c r="AG1937" s="15"/>
      <c r="AH1937" s="15"/>
      <c r="AI1937" s="15"/>
      <c r="AJ1937" s="15"/>
      <c r="AK1937" s="15"/>
      <c r="AL1937" s="15"/>
      <c r="AM1937" s="15"/>
      <c r="AN1937" s="15"/>
      <c r="AO1937" s="15"/>
      <c r="AP1937" s="15"/>
      <c r="AQ1937" s="15"/>
      <c r="AR1937" s="15"/>
      <c r="AS1937" s="15"/>
      <c r="AT1937" s="15"/>
      <c r="AU1937" s="15"/>
      <c r="AV1937" s="15"/>
      <c r="AW1937" s="15"/>
    </row>
    <row r="1938" spans="3:49" x14ac:dyDescent="0.2">
      <c r="C1938" s="15"/>
      <c r="D1938" s="15"/>
      <c r="E1938" s="15"/>
      <c r="F1938" s="15"/>
      <c r="G1938" s="15"/>
      <c r="H1938" s="15"/>
      <c r="I1938" s="15"/>
      <c r="J1938" s="15"/>
      <c r="K1938" s="15"/>
      <c r="L1938" s="28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5"/>
      <c r="AG1938" s="15"/>
      <c r="AH1938" s="15"/>
      <c r="AI1938" s="15"/>
      <c r="AJ1938" s="15"/>
      <c r="AK1938" s="15"/>
      <c r="AL1938" s="15"/>
      <c r="AM1938" s="15"/>
      <c r="AN1938" s="15"/>
      <c r="AO1938" s="15"/>
      <c r="AP1938" s="15"/>
      <c r="AQ1938" s="15"/>
      <c r="AR1938" s="15"/>
      <c r="AS1938" s="15"/>
      <c r="AT1938" s="15"/>
      <c r="AU1938" s="15"/>
      <c r="AV1938" s="15"/>
      <c r="AW1938" s="15"/>
    </row>
    <row r="1939" spans="3:49" x14ac:dyDescent="0.2">
      <c r="C1939" s="15"/>
      <c r="D1939" s="15"/>
      <c r="E1939" s="15"/>
      <c r="F1939" s="15"/>
      <c r="G1939" s="15"/>
      <c r="H1939" s="15"/>
      <c r="I1939" s="15"/>
      <c r="J1939" s="15"/>
      <c r="K1939" s="15"/>
      <c r="L1939" s="28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5"/>
      <c r="AG1939" s="15"/>
      <c r="AH1939" s="15"/>
      <c r="AI1939" s="15"/>
      <c r="AJ1939" s="15"/>
      <c r="AK1939" s="15"/>
      <c r="AL1939" s="15"/>
      <c r="AM1939" s="15"/>
      <c r="AN1939" s="15"/>
      <c r="AO1939" s="15"/>
      <c r="AP1939" s="15"/>
      <c r="AQ1939" s="15"/>
      <c r="AR1939" s="15"/>
      <c r="AS1939" s="15"/>
      <c r="AT1939" s="15"/>
      <c r="AU1939" s="15"/>
      <c r="AV1939" s="15"/>
      <c r="AW1939" s="15"/>
    </row>
    <row r="1940" spans="3:49" x14ac:dyDescent="0.2">
      <c r="C1940" s="15"/>
      <c r="D1940" s="15"/>
      <c r="E1940" s="15"/>
      <c r="F1940" s="15"/>
      <c r="G1940" s="15"/>
      <c r="H1940" s="15"/>
      <c r="I1940" s="15"/>
      <c r="J1940" s="15"/>
      <c r="K1940" s="15"/>
      <c r="L1940" s="28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5"/>
      <c r="AG1940" s="15"/>
      <c r="AH1940" s="15"/>
      <c r="AI1940" s="15"/>
      <c r="AJ1940" s="15"/>
      <c r="AK1940" s="15"/>
      <c r="AL1940" s="15"/>
      <c r="AM1940" s="15"/>
      <c r="AN1940" s="15"/>
      <c r="AO1940" s="15"/>
      <c r="AP1940" s="15"/>
      <c r="AQ1940" s="15"/>
      <c r="AR1940" s="15"/>
      <c r="AS1940" s="15"/>
      <c r="AT1940" s="15"/>
      <c r="AU1940" s="15"/>
      <c r="AV1940" s="15"/>
      <c r="AW1940" s="15"/>
    </row>
    <row r="1941" spans="3:49" x14ac:dyDescent="0.2">
      <c r="C1941" s="15"/>
      <c r="D1941" s="15"/>
      <c r="E1941" s="15"/>
      <c r="F1941" s="15"/>
      <c r="G1941" s="15"/>
      <c r="H1941" s="15"/>
      <c r="I1941" s="15"/>
      <c r="J1941" s="15"/>
      <c r="K1941" s="15"/>
      <c r="L1941" s="28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5"/>
      <c r="AG1941" s="15"/>
      <c r="AH1941" s="15"/>
      <c r="AI1941" s="15"/>
      <c r="AJ1941" s="15"/>
      <c r="AK1941" s="15"/>
      <c r="AL1941" s="15"/>
      <c r="AM1941" s="15"/>
      <c r="AN1941" s="15"/>
      <c r="AO1941" s="15"/>
      <c r="AP1941" s="15"/>
      <c r="AQ1941" s="15"/>
      <c r="AR1941" s="15"/>
      <c r="AS1941" s="15"/>
      <c r="AT1941" s="15"/>
      <c r="AU1941" s="15"/>
      <c r="AV1941" s="15"/>
      <c r="AW1941" s="15"/>
    </row>
    <row r="1942" spans="3:49" x14ac:dyDescent="0.2">
      <c r="C1942" s="15"/>
      <c r="D1942" s="15"/>
      <c r="E1942" s="15"/>
      <c r="F1942" s="15"/>
      <c r="G1942" s="15"/>
      <c r="H1942" s="15"/>
      <c r="I1942" s="15"/>
      <c r="J1942" s="15"/>
      <c r="K1942" s="15"/>
      <c r="L1942" s="28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5"/>
      <c r="AG1942" s="15"/>
      <c r="AH1942" s="15"/>
      <c r="AI1942" s="15"/>
      <c r="AJ1942" s="15"/>
      <c r="AK1942" s="15"/>
      <c r="AL1942" s="15"/>
      <c r="AM1942" s="15"/>
      <c r="AN1942" s="15"/>
      <c r="AO1942" s="15"/>
      <c r="AP1942" s="15"/>
      <c r="AQ1942" s="15"/>
      <c r="AR1942" s="15"/>
      <c r="AS1942" s="15"/>
      <c r="AT1942" s="15"/>
      <c r="AU1942" s="15"/>
      <c r="AV1942" s="15"/>
      <c r="AW1942" s="15"/>
    </row>
    <row r="1943" spans="3:49" x14ac:dyDescent="0.2">
      <c r="C1943" s="15"/>
      <c r="D1943" s="15"/>
      <c r="E1943" s="15"/>
      <c r="F1943" s="15"/>
      <c r="G1943" s="15"/>
      <c r="H1943" s="15"/>
      <c r="I1943" s="15"/>
      <c r="J1943" s="15"/>
      <c r="K1943" s="15"/>
      <c r="L1943" s="28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5"/>
      <c r="AG1943" s="15"/>
      <c r="AH1943" s="15"/>
      <c r="AI1943" s="15"/>
      <c r="AJ1943" s="15"/>
      <c r="AK1943" s="15"/>
      <c r="AL1943" s="15"/>
      <c r="AM1943" s="15"/>
      <c r="AN1943" s="15"/>
      <c r="AO1943" s="15"/>
      <c r="AP1943" s="15"/>
      <c r="AQ1943" s="15"/>
      <c r="AR1943" s="15"/>
      <c r="AS1943" s="15"/>
      <c r="AT1943" s="15"/>
      <c r="AU1943" s="15"/>
      <c r="AV1943" s="15"/>
      <c r="AW1943" s="15"/>
    </row>
    <row r="1944" spans="3:49" x14ac:dyDescent="0.2">
      <c r="C1944" s="15"/>
      <c r="D1944" s="15"/>
      <c r="E1944" s="15"/>
      <c r="F1944" s="15"/>
      <c r="G1944" s="15"/>
      <c r="H1944" s="15"/>
      <c r="I1944" s="15"/>
      <c r="J1944" s="15"/>
      <c r="K1944" s="15"/>
      <c r="L1944" s="28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5"/>
      <c r="AG1944" s="15"/>
      <c r="AH1944" s="15"/>
      <c r="AI1944" s="15"/>
      <c r="AJ1944" s="15"/>
      <c r="AK1944" s="15"/>
      <c r="AL1944" s="15"/>
      <c r="AM1944" s="15"/>
      <c r="AN1944" s="15"/>
      <c r="AO1944" s="15"/>
      <c r="AP1944" s="15"/>
      <c r="AQ1944" s="15"/>
      <c r="AR1944" s="15"/>
      <c r="AS1944" s="15"/>
      <c r="AT1944" s="15"/>
      <c r="AU1944" s="15"/>
      <c r="AV1944" s="15"/>
      <c r="AW1944" s="15"/>
    </row>
    <row r="1945" spans="3:49" x14ac:dyDescent="0.2">
      <c r="C1945" s="15"/>
      <c r="D1945" s="15"/>
      <c r="E1945" s="15"/>
      <c r="F1945" s="15"/>
      <c r="G1945" s="15"/>
      <c r="H1945" s="15"/>
      <c r="I1945" s="15"/>
      <c r="J1945" s="15"/>
      <c r="K1945" s="15"/>
      <c r="L1945" s="28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5"/>
      <c r="AG1945" s="15"/>
      <c r="AH1945" s="15"/>
      <c r="AI1945" s="15"/>
      <c r="AJ1945" s="15"/>
      <c r="AK1945" s="15"/>
      <c r="AL1945" s="15"/>
      <c r="AM1945" s="15"/>
      <c r="AN1945" s="15"/>
      <c r="AO1945" s="15"/>
      <c r="AP1945" s="15"/>
      <c r="AQ1945" s="15"/>
      <c r="AR1945" s="15"/>
      <c r="AS1945" s="15"/>
      <c r="AT1945" s="15"/>
      <c r="AU1945" s="15"/>
      <c r="AV1945" s="15"/>
      <c r="AW1945" s="15"/>
    </row>
    <row r="1946" spans="3:49" x14ac:dyDescent="0.2">
      <c r="C1946" s="15"/>
      <c r="D1946" s="15"/>
      <c r="E1946" s="15"/>
      <c r="F1946" s="15"/>
      <c r="G1946" s="15"/>
      <c r="H1946" s="15"/>
      <c r="I1946" s="15"/>
      <c r="J1946" s="15"/>
      <c r="K1946" s="15"/>
      <c r="L1946" s="28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5"/>
      <c r="AG1946" s="15"/>
      <c r="AH1946" s="15"/>
      <c r="AI1946" s="15"/>
      <c r="AJ1946" s="15"/>
      <c r="AK1946" s="15"/>
      <c r="AL1946" s="15"/>
      <c r="AM1946" s="15"/>
      <c r="AN1946" s="15"/>
      <c r="AO1946" s="15"/>
      <c r="AP1946" s="15"/>
      <c r="AQ1946" s="15"/>
      <c r="AR1946" s="15"/>
      <c r="AS1946" s="15"/>
      <c r="AT1946" s="15"/>
      <c r="AU1946" s="15"/>
      <c r="AV1946" s="15"/>
      <c r="AW1946" s="15"/>
    </row>
    <row r="1947" spans="3:49" x14ac:dyDescent="0.2">
      <c r="C1947" s="15"/>
      <c r="D1947" s="15"/>
      <c r="E1947" s="15"/>
      <c r="F1947" s="15"/>
      <c r="G1947" s="15"/>
      <c r="H1947" s="15"/>
      <c r="I1947" s="15"/>
      <c r="J1947" s="15"/>
      <c r="K1947" s="15"/>
      <c r="L1947" s="28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5"/>
      <c r="AG1947" s="15"/>
      <c r="AH1947" s="15"/>
      <c r="AI1947" s="15"/>
      <c r="AJ1947" s="15"/>
      <c r="AK1947" s="15"/>
      <c r="AL1947" s="15"/>
      <c r="AM1947" s="15"/>
      <c r="AN1947" s="15"/>
      <c r="AO1947" s="15"/>
      <c r="AP1947" s="15"/>
      <c r="AQ1947" s="15"/>
      <c r="AR1947" s="15"/>
      <c r="AS1947" s="15"/>
      <c r="AT1947" s="15"/>
      <c r="AU1947" s="15"/>
      <c r="AV1947" s="15"/>
      <c r="AW1947" s="15"/>
    </row>
    <row r="1948" spans="3:49" x14ac:dyDescent="0.2">
      <c r="C1948" s="15"/>
      <c r="D1948" s="15"/>
      <c r="E1948" s="15"/>
      <c r="F1948" s="15"/>
      <c r="G1948" s="15"/>
      <c r="H1948" s="15"/>
      <c r="I1948" s="15"/>
      <c r="J1948" s="15"/>
      <c r="K1948" s="15"/>
      <c r="L1948" s="28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5"/>
      <c r="AG1948" s="15"/>
      <c r="AH1948" s="15"/>
      <c r="AI1948" s="15"/>
      <c r="AJ1948" s="15"/>
      <c r="AK1948" s="15"/>
      <c r="AL1948" s="15"/>
      <c r="AM1948" s="15"/>
      <c r="AN1948" s="15"/>
      <c r="AO1948" s="15"/>
      <c r="AP1948" s="15"/>
      <c r="AQ1948" s="15"/>
      <c r="AR1948" s="15"/>
      <c r="AS1948" s="15"/>
      <c r="AT1948" s="15"/>
      <c r="AU1948" s="15"/>
      <c r="AV1948" s="15"/>
      <c r="AW1948" s="15"/>
    </row>
    <row r="1949" spans="3:49" x14ac:dyDescent="0.2">
      <c r="C1949" s="15"/>
      <c r="D1949" s="15"/>
      <c r="E1949" s="15"/>
      <c r="F1949" s="15"/>
      <c r="G1949" s="15"/>
      <c r="H1949" s="15"/>
      <c r="I1949" s="15"/>
      <c r="J1949" s="15"/>
      <c r="K1949" s="15"/>
      <c r="L1949" s="28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5"/>
      <c r="AG1949" s="15"/>
      <c r="AH1949" s="15"/>
      <c r="AI1949" s="15"/>
      <c r="AJ1949" s="15"/>
      <c r="AK1949" s="15"/>
      <c r="AL1949" s="15"/>
      <c r="AM1949" s="15"/>
      <c r="AN1949" s="15"/>
      <c r="AO1949" s="15"/>
      <c r="AP1949" s="15"/>
      <c r="AQ1949" s="15"/>
      <c r="AR1949" s="15"/>
      <c r="AS1949" s="15"/>
      <c r="AT1949" s="15"/>
      <c r="AU1949" s="15"/>
      <c r="AV1949" s="15"/>
      <c r="AW1949" s="15"/>
    </row>
    <row r="1950" spans="3:49" x14ac:dyDescent="0.2">
      <c r="C1950" s="15"/>
      <c r="D1950" s="15"/>
      <c r="E1950" s="15"/>
      <c r="F1950" s="15"/>
      <c r="G1950" s="15"/>
      <c r="H1950" s="15"/>
      <c r="I1950" s="15"/>
      <c r="J1950" s="15"/>
      <c r="K1950" s="15"/>
      <c r="L1950" s="28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5"/>
      <c r="AG1950" s="15"/>
      <c r="AH1950" s="15"/>
      <c r="AI1950" s="15"/>
      <c r="AJ1950" s="15"/>
      <c r="AK1950" s="15"/>
      <c r="AL1950" s="15"/>
      <c r="AM1950" s="15"/>
      <c r="AN1950" s="15"/>
      <c r="AO1950" s="15"/>
      <c r="AP1950" s="15"/>
      <c r="AQ1950" s="15"/>
      <c r="AR1950" s="15"/>
      <c r="AS1950" s="15"/>
      <c r="AT1950" s="15"/>
      <c r="AU1950" s="15"/>
      <c r="AV1950" s="15"/>
      <c r="AW1950" s="15"/>
    </row>
    <row r="1951" spans="3:49" x14ac:dyDescent="0.2">
      <c r="C1951" s="15"/>
      <c r="D1951" s="15"/>
      <c r="E1951" s="15"/>
      <c r="F1951" s="15"/>
      <c r="G1951" s="15"/>
      <c r="H1951" s="15"/>
      <c r="I1951" s="15"/>
      <c r="J1951" s="15"/>
      <c r="K1951" s="15"/>
      <c r="L1951" s="28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5"/>
      <c r="AG1951" s="15"/>
      <c r="AH1951" s="15"/>
      <c r="AI1951" s="15"/>
      <c r="AJ1951" s="15"/>
      <c r="AK1951" s="15"/>
      <c r="AL1951" s="15"/>
      <c r="AM1951" s="15"/>
      <c r="AN1951" s="15"/>
      <c r="AO1951" s="15"/>
      <c r="AP1951" s="15"/>
      <c r="AQ1951" s="15"/>
      <c r="AR1951" s="15"/>
      <c r="AS1951" s="15"/>
      <c r="AT1951" s="15"/>
      <c r="AU1951" s="15"/>
      <c r="AV1951" s="15"/>
      <c r="AW1951" s="15"/>
    </row>
    <row r="1952" spans="3:49" x14ac:dyDescent="0.2">
      <c r="C1952" s="15"/>
      <c r="D1952" s="15"/>
      <c r="E1952" s="15"/>
      <c r="F1952" s="15"/>
      <c r="G1952" s="15"/>
      <c r="H1952" s="15"/>
      <c r="I1952" s="15"/>
      <c r="J1952" s="15"/>
      <c r="K1952" s="15"/>
      <c r="L1952" s="28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5"/>
      <c r="AG1952" s="15"/>
      <c r="AH1952" s="15"/>
      <c r="AI1952" s="15"/>
      <c r="AJ1952" s="15"/>
      <c r="AK1952" s="15"/>
      <c r="AL1952" s="15"/>
      <c r="AM1952" s="15"/>
      <c r="AN1952" s="15"/>
      <c r="AO1952" s="15"/>
      <c r="AP1952" s="15"/>
      <c r="AQ1952" s="15"/>
      <c r="AR1952" s="15"/>
      <c r="AS1952" s="15"/>
      <c r="AT1952" s="15"/>
      <c r="AU1952" s="15"/>
      <c r="AV1952" s="15"/>
      <c r="AW1952" s="15"/>
    </row>
    <row r="1953" spans="3:49" x14ac:dyDescent="0.2">
      <c r="C1953" s="15"/>
      <c r="D1953" s="15"/>
      <c r="E1953" s="15"/>
      <c r="F1953" s="15"/>
      <c r="G1953" s="15"/>
      <c r="H1953" s="15"/>
      <c r="I1953" s="15"/>
      <c r="J1953" s="15"/>
      <c r="K1953" s="15"/>
      <c r="L1953" s="28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5"/>
      <c r="AG1953" s="15"/>
      <c r="AH1953" s="15"/>
      <c r="AI1953" s="15"/>
      <c r="AJ1953" s="15"/>
      <c r="AK1953" s="15"/>
      <c r="AL1953" s="15"/>
      <c r="AM1953" s="15"/>
      <c r="AN1953" s="15"/>
      <c r="AO1953" s="15"/>
      <c r="AP1953" s="15"/>
      <c r="AQ1953" s="15"/>
      <c r="AR1953" s="15"/>
      <c r="AS1953" s="15"/>
      <c r="AT1953" s="15"/>
      <c r="AU1953" s="15"/>
      <c r="AV1953" s="15"/>
      <c r="AW1953" s="15"/>
    </row>
    <row r="1954" spans="3:49" x14ac:dyDescent="0.2">
      <c r="C1954" s="15"/>
      <c r="D1954" s="15"/>
      <c r="E1954" s="15"/>
      <c r="F1954" s="15"/>
      <c r="G1954" s="15"/>
      <c r="H1954" s="15"/>
      <c r="I1954" s="15"/>
      <c r="J1954" s="15"/>
      <c r="K1954" s="15"/>
      <c r="L1954" s="28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5"/>
      <c r="AG1954" s="15"/>
      <c r="AH1954" s="15"/>
      <c r="AI1954" s="15"/>
      <c r="AJ1954" s="15"/>
      <c r="AK1954" s="15"/>
      <c r="AL1954" s="15"/>
      <c r="AM1954" s="15"/>
      <c r="AN1954" s="15"/>
      <c r="AO1954" s="15"/>
      <c r="AP1954" s="15"/>
      <c r="AQ1954" s="15"/>
      <c r="AR1954" s="15"/>
      <c r="AS1954" s="15"/>
      <c r="AT1954" s="15"/>
      <c r="AU1954" s="15"/>
      <c r="AV1954" s="15"/>
      <c r="AW1954" s="15"/>
    </row>
    <row r="1955" spans="3:49" x14ac:dyDescent="0.2">
      <c r="C1955" s="15"/>
      <c r="D1955" s="15"/>
      <c r="E1955" s="15"/>
      <c r="F1955" s="15"/>
      <c r="G1955" s="15"/>
      <c r="H1955" s="15"/>
      <c r="I1955" s="15"/>
      <c r="J1955" s="15"/>
      <c r="K1955" s="15"/>
      <c r="L1955" s="28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5"/>
      <c r="AG1955" s="15"/>
      <c r="AH1955" s="15"/>
      <c r="AI1955" s="15"/>
      <c r="AJ1955" s="15"/>
      <c r="AK1955" s="15"/>
      <c r="AL1955" s="15"/>
      <c r="AM1955" s="15"/>
      <c r="AN1955" s="15"/>
      <c r="AO1955" s="15"/>
      <c r="AP1955" s="15"/>
      <c r="AQ1955" s="15"/>
      <c r="AR1955" s="15"/>
      <c r="AS1955" s="15"/>
      <c r="AT1955" s="15"/>
      <c r="AU1955" s="15"/>
      <c r="AV1955" s="15"/>
      <c r="AW1955" s="15"/>
    </row>
    <row r="1956" spans="3:49" x14ac:dyDescent="0.2">
      <c r="C1956" s="15"/>
      <c r="D1956" s="15"/>
      <c r="E1956" s="15"/>
      <c r="F1956" s="15"/>
      <c r="G1956" s="15"/>
      <c r="H1956" s="15"/>
      <c r="I1956" s="15"/>
      <c r="J1956" s="15"/>
      <c r="K1956" s="15"/>
      <c r="L1956" s="28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5"/>
      <c r="AG1956" s="15"/>
      <c r="AH1956" s="15"/>
      <c r="AI1956" s="15"/>
      <c r="AJ1956" s="15"/>
      <c r="AK1956" s="15"/>
      <c r="AL1956" s="15"/>
      <c r="AM1956" s="15"/>
      <c r="AN1956" s="15"/>
      <c r="AO1956" s="15"/>
      <c r="AP1956" s="15"/>
      <c r="AQ1956" s="15"/>
      <c r="AR1956" s="15"/>
      <c r="AS1956" s="15"/>
      <c r="AT1956" s="15"/>
      <c r="AU1956" s="15"/>
      <c r="AV1956" s="15"/>
      <c r="AW1956" s="15"/>
    </row>
    <row r="1957" spans="3:49" x14ac:dyDescent="0.2">
      <c r="C1957" s="15"/>
      <c r="D1957" s="15"/>
      <c r="E1957" s="15"/>
      <c r="F1957" s="15"/>
      <c r="G1957" s="15"/>
      <c r="H1957" s="15"/>
      <c r="I1957" s="15"/>
      <c r="J1957" s="15"/>
      <c r="K1957" s="15"/>
      <c r="L1957" s="28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5"/>
      <c r="AG1957" s="15"/>
      <c r="AH1957" s="15"/>
      <c r="AI1957" s="15"/>
      <c r="AJ1957" s="15"/>
      <c r="AK1957" s="15"/>
      <c r="AL1957" s="15"/>
      <c r="AM1957" s="15"/>
      <c r="AN1957" s="15"/>
      <c r="AO1957" s="15"/>
      <c r="AP1957" s="15"/>
      <c r="AQ1957" s="15"/>
      <c r="AR1957" s="15"/>
      <c r="AS1957" s="15"/>
      <c r="AT1957" s="15"/>
      <c r="AU1957" s="15"/>
      <c r="AV1957" s="15"/>
      <c r="AW1957" s="15"/>
    </row>
    <row r="1958" spans="3:49" x14ac:dyDescent="0.2">
      <c r="C1958" s="15"/>
      <c r="D1958" s="15"/>
      <c r="E1958" s="15"/>
      <c r="F1958" s="15"/>
      <c r="G1958" s="15"/>
      <c r="H1958" s="15"/>
      <c r="I1958" s="15"/>
      <c r="J1958" s="15"/>
      <c r="K1958" s="15"/>
      <c r="L1958" s="28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5"/>
      <c r="AG1958" s="15"/>
      <c r="AH1958" s="15"/>
      <c r="AI1958" s="15"/>
      <c r="AJ1958" s="15"/>
      <c r="AK1958" s="15"/>
      <c r="AL1958" s="15"/>
      <c r="AM1958" s="15"/>
      <c r="AN1958" s="15"/>
      <c r="AO1958" s="15"/>
      <c r="AP1958" s="15"/>
      <c r="AQ1958" s="15"/>
      <c r="AR1958" s="15"/>
      <c r="AS1958" s="15"/>
      <c r="AT1958" s="15"/>
      <c r="AU1958" s="15"/>
      <c r="AV1958" s="15"/>
      <c r="AW1958" s="15"/>
    </row>
    <row r="1959" spans="3:49" x14ac:dyDescent="0.2">
      <c r="C1959" s="15"/>
      <c r="D1959" s="15"/>
      <c r="E1959" s="15"/>
      <c r="F1959" s="15"/>
      <c r="G1959" s="15"/>
      <c r="H1959" s="15"/>
      <c r="I1959" s="15"/>
      <c r="J1959" s="15"/>
      <c r="K1959" s="15"/>
      <c r="L1959" s="28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5"/>
      <c r="AG1959" s="15"/>
      <c r="AH1959" s="15"/>
      <c r="AI1959" s="15"/>
      <c r="AJ1959" s="15"/>
      <c r="AK1959" s="15"/>
      <c r="AL1959" s="15"/>
      <c r="AM1959" s="15"/>
      <c r="AN1959" s="15"/>
      <c r="AO1959" s="15"/>
      <c r="AP1959" s="15"/>
      <c r="AQ1959" s="15"/>
      <c r="AR1959" s="15"/>
      <c r="AS1959" s="15"/>
      <c r="AT1959" s="15"/>
      <c r="AU1959" s="15"/>
      <c r="AV1959" s="15"/>
      <c r="AW1959" s="15"/>
    </row>
    <row r="1960" spans="3:49" x14ac:dyDescent="0.2">
      <c r="C1960" s="15"/>
      <c r="D1960" s="15"/>
      <c r="E1960" s="15"/>
      <c r="F1960" s="15"/>
      <c r="G1960" s="15"/>
      <c r="H1960" s="15"/>
      <c r="I1960" s="15"/>
      <c r="J1960" s="15"/>
      <c r="K1960" s="15"/>
      <c r="L1960" s="28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5"/>
      <c r="AG1960" s="15"/>
      <c r="AH1960" s="15"/>
      <c r="AI1960" s="15"/>
      <c r="AJ1960" s="15"/>
      <c r="AK1960" s="15"/>
      <c r="AL1960" s="15"/>
      <c r="AM1960" s="15"/>
      <c r="AN1960" s="15"/>
      <c r="AO1960" s="15"/>
      <c r="AP1960" s="15"/>
      <c r="AQ1960" s="15"/>
      <c r="AR1960" s="15"/>
      <c r="AS1960" s="15"/>
      <c r="AT1960" s="15"/>
      <c r="AU1960" s="15"/>
      <c r="AV1960" s="15"/>
      <c r="AW1960" s="15"/>
    </row>
    <row r="1961" spans="3:49" x14ac:dyDescent="0.2">
      <c r="C1961" s="15"/>
      <c r="D1961" s="15"/>
      <c r="E1961" s="15"/>
      <c r="F1961" s="15"/>
      <c r="G1961" s="15"/>
      <c r="H1961" s="15"/>
      <c r="I1961" s="15"/>
      <c r="J1961" s="15"/>
      <c r="K1961" s="15"/>
      <c r="L1961" s="28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5"/>
      <c r="AG1961" s="15"/>
      <c r="AH1961" s="15"/>
      <c r="AI1961" s="15"/>
      <c r="AJ1961" s="15"/>
      <c r="AK1961" s="15"/>
      <c r="AL1961" s="15"/>
      <c r="AM1961" s="15"/>
      <c r="AN1961" s="15"/>
      <c r="AO1961" s="15"/>
      <c r="AP1961" s="15"/>
      <c r="AQ1961" s="15"/>
      <c r="AR1961" s="15"/>
      <c r="AS1961" s="15"/>
      <c r="AT1961" s="15"/>
      <c r="AU1961" s="15"/>
      <c r="AV1961" s="15"/>
      <c r="AW1961" s="15"/>
    </row>
    <row r="1962" spans="3:49" x14ac:dyDescent="0.2">
      <c r="C1962" s="15"/>
      <c r="D1962" s="15"/>
      <c r="E1962" s="15"/>
      <c r="F1962" s="15"/>
      <c r="G1962" s="15"/>
      <c r="H1962" s="15"/>
      <c r="I1962" s="15"/>
      <c r="J1962" s="15"/>
      <c r="K1962" s="15"/>
      <c r="L1962" s="28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5"/>
      <c r="AG1962" s="15"/>
      <c r="AH1962" s="15"/>
      <c r="AI1962" s="15"/>
      <c r="AJ1962" s="15"/>
      <c r="AK1962" s="15"/>
      <c r="AL1962" s="15"/>
      <c r="AM1962" s="15"/>
      <c r="AN1962" s="15"/>
      <c r="AO1962" s="15"/>
      <c r="AP1962" s="15"/>
      <c r="AQ1962" s="15"/>
      <c r="AR1962" s="15"/>
      <c r="AS1962" s="15"/>
      <c r="AT1962" s="15"/>
      <c r="AU1962" s="15"/>
      <c r="AV1962" s="15"/>
      <c r="AW1962" s="15"/>
    </row>
    <row r="1963" spans="3:49" x14ac:dyDescent="0.2">
      <c r="C1963" s="15"/>
      <c r="D1963" s="15"/>
      <c r="E1963" s="15"/>
      <c r="F1963" s="15"/>
      <c r="G1963" s="15"/>
      <c r="H1963" s="15"/>
      <c r="I1963" s="15"/>
      <c r="J1963" s="15"/>
      <c r="K1963" s="15"/>
      <c r="L1963" s="28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5"/>
      <c r="AG1963" s="15"/>
      <c r="AH1963" s="15"/>
      <c r="AI1963" s="15"/>
      <c r="AJ1963" s="15"/>
      <c r="AK1963" s="15"/>
      <c r="AL1963" s="15"/>
      <c r="AM1963" s="15"/>
      <c r="AN1963" s="15"/>
      <c r="AO1963" s="15"/>
      <c r="AP1963" s="15"/>
      <c r="AQ1963" s="15"/>
      <c r="AR1963" s="15"/>
      <c r="AS1963" s="15"/>
      <c r="AT1963" s="15"/>
      <c r="AU1963" s="15"/>
      <c r="AV1963" s="15"/>
      <c r="AW1963" s="15"/>
    </row>
    <row r="1964" spans="3:49" x14ac:dyDescent="0.2">
      <c r="C1964" s="15"/>
      <c r="D1964" s="15"/>
      <c r="E1964" s="15"/>
      <c r="F1964" s="15"/>
      <c r="G1964" s="15"/>
      <c r="H1964" s="15"/>
      <c r="I1964" s="15"/>
      <c r="J1964" s="15"/>
      <c r="K1964" s="15"/>
      <c r="L1964" s="28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5"/>
      <c r="AG1964" s="15"/>
      <c r="AH1964" s="15"/>
      <c r="AI1964" s="15"/>
      <c r="AJ1964" s="15"/>
      <c r="AK1964" s="15"/>
      <c r="AL1964" s="15"/>
      <c r="AM1964" s="15"/>
      <c r="AN1964" s="15"/>
      <c r="AO1964" s="15"/>
      <c r="AP1964" s="15"/>
      <c r="AQ1964" s="15"/>
      <c r="AR1964" s="15"/>
      <c r="AS1964" s="15"/>
      <c r="AT1964" s="15"/>
      <c r="AU1964" s="15"/>
      <c r="AV1964" s="15"/>
      <c r="AW1964" s="15"/>
    </row>
    <row r="1965" spans="3:49" x14ac:dyDescent="0.2">
      <c r="C1965" s="15"/>
      <c r="D1965" s="15"/>
      <c r="E1965" s="15"/>
      <c r="F1965" s="15"/>
      <c r="G1965" s="15"/>
      <c r="H1965" s="15"/>
      <c r="I1965" s="15"/>
      <c r="J1965" s="15"/>
      <c r="K1965" s="15"/>
      <c r="L1965" s="28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5"/>
      <c r="AG1965" s="15"/>
      <c r="AH1965" s="15"/>
      <c r="AI1965" s="15"/>
      <c r="AJ1965" s="15"/>
      <c r="AK1965" s="15"/>
      <c r="AL1965" s="15"/>
      <c r="AM1965" s="15"/>
      <c r="AN1965" s="15"/>
      <c r="AO1965" s="15"/>
      <c r="AP1965" s="15"/>
      <c r="AQ1965" s="15"/>
      <c r="AR1965" s="15"/>
      <c r="AS1965" s="15"/>
      <c r="AT1965" s="15"/>
      <c r="AU1965" s="15"/>
      <c r="AV1965" s="15"/>
      <c r="AW1965" s="15"/>
    </row>
    <row r="1966" spans="3:49" x14ac:dyDescent="0.2">
      <c r="C1966" s="15"/>
      <c r="D1966" s="15"/>
      <c r="E1966" s="15"/>
      <c r="F1966" s="15"/>
      <c r="G1966" s="15"/>
      <c r="H1966" s="15"/>
      <c r="I1966" s="15"/>
      <c r="J1966" s="15"/>
      <c r="K1966" s="15"/>
      <c r="L1966" s="28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5"/>
      <c r="AG1966" s="15"/>
      <c r="AH1966" s="15"/>
      <c r="AI1966" s="15"/>
      <c r="AJ1966" s="15"/>
      <c r="AK1966" s="15"/>
      <c r="AL1966" s="15"/>
      <c r="AM1966" s="15"/>
      <c r="AN1966" s="15"/>
      <c r="AO1966" s="15"/>
      <c r="AP1966" s="15"/>
      <c r="AQ1966" s="15"/>
      <c r="AR1966" s="15"/>
      <c r="AS1966" s="15"/>
      <c r="AT1966" s="15"/>
      <c r="AU1966" s="15"/>
      <c r="AV1966" s="15"/>
      <c r="AW1966" s="15"/>
    </row>
    <row r="1967" spans="3:49" x14ac:dyDescent="0.2">
      <c r="C1967" s="15"/>
      <c r="D1967" s="15"/>
      <c r="E1967" s="15"/>
      <c r="F1967" s="15"/>
      <c r="G1967" s="15"/>
      <c r="H1967" s="15"/>
      <c r="I1967" s="15"/>
      <c r="J1967" s="15"/>
      <c r="K1967" s="15"/>
      <c r="L1967" s="28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5"/>
      <c r="AG1967" s="15"/>
      <c r="AH1967" s="15"/>
      <c r="AI1967" s="15"/>
      <c r="AJ1967" s="15"/>
      <c r="AK1967" s="15"/>
      <c r="AL1967" s="15"/>
      <c r="AM1967" s="15"/>
      <c r="AN1967" s="15"/>
      <c r="AO1967" s="15"/>
      <c r="AP1967" s="15"/>
      <c r="AQ1967" s="15"/>
      <c r="AR1967" s="15"/>
      <c r="AS1967" s="15"/>
      <c r="AT1967" s="15"/>
      <c r="AU1967" s="15"/>
      <c r="AV1967" s="15"/>
      <c r="AW1967" s="15"/>
    </row>
    <row r="1968" spans="3:49" x14ac:dyDescent="0.2">
      <c r="C1968" s="15"/>
      <c r="D1968" s="15"/>
      <c r="E1968" s="15"/>
      <c r="F1968" s="15"/>
      <c r="G1968" s="15"/>
      <c r="H1968" s="15"/>
      <c r="I1968" s="15"/>
      <c r="J1968" s="15"/>
      <c r="K1968" s="15"/>
      <c r="L1968" s="28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5"/>
      <c r="AG1968" s="15"/>
      <c r="AH1968" s="15"/>
      <c r="AI1968" s="15"/>
      <c r="AJ1968" s="15"/>
      <c r="AK1968" s="15"/>
      <c r="AL1968" s="15"/>
      <c r="AM1968" s="15"/>
      <c r="AN1968" s="15"/>
      <c r="AO1968" s="15"/>
      <c r="AP1968" s="15"/>
      <c r="AQ1968" s="15"/>
      <c r="AR1968" s="15"/>
      <c r="AS1968" s="15"/>
      <c r="AT1968" s="15"/>
      <c r="AU1968" s="15"/>
      <c r="AV1968" s="15"/>
      <c r="AW1968" s="15"/>
    </row>
    <row r="1969" spans="3:49" x14ac:dyDescent="0.2">
      <c r="C1969" s="15"/>
      <c r="D1969" s="15"/>
      <c r="E1969" s="15"/>
      <c r="F1969" s="15"/>
      <c r="G1969" s="15"/>
      <c r="H1969" s="15"/>
      <c r="I1969" s="15"/>
      <c r="J1969" s="15"/>
      <c r="K1969" s="15"/>
      <c r="L1969" s="28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5"/>
      <c r="AG1969" s="15"/>
      <c r="AH1969" s="15"/>
      <c r="AI1969" s="15"/>
      <c r="AJ1969" s="15"/>
      <c r="AK1969" s="15"/>
      <c r="AL1969" s="15"/>
      <c r="AM1969" s="15"/>
      <c r="AN1969" s="15"/>
      <c r="AO1969" s="15"/>
      <c r="AP1969" s="15"/>
      <c r="AQ1969" s="15"/>
      <c r="AR1969" s="15"/>
      <c r="AS1969" s="15"/>
      <c r="AT1969" s="15"/>
      <c r="AU1969" s="15"/>
      <c r="AV1969" s="15"/>
      <c r="AW1969" s="15"/>
    </row>
    <row r="1970" spans="3:49" x14ac:dyDescent="0.2">
      <c r="C1970" s="15"/>
      <c r="D1970" s="15"/>
      <c r="E1970" s="15"/>
      <c r="F1970" s="15"/>
      <c r="G1970" s="15"/>
      <c r="H1970" s="15"/>
      <c r="I1970" s="15"/>
      <c r="J1970" s="15"/>
      <c r="K1970" s="15"/>
      <c r="L1970" s="28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5"/>
      <c r="AG1970" s="15"/>
      <c r="AH1970" s="15"/>
      <c r="AI1970" s="15"/>
      <c r="AJ1970" s="15"/>
      <c r="AK1970" s="15"/>
      <c r="AL1970" s="15"/>
      <c r="AM1970" s="15"/>
      <c r="AN1970" s="15"/>
      <c r="AO1970" s="15"/>
      <c r="AP1970" s="15"/>
      <c r="AQ1970" s="15"/>
      <c r="AR1970" s="15"/>
      <c r="AS1970" s="15"/>
      <c r="AT1970" s="15"/>
      <c r="AU1970" s="15"/>
      <c r="AV1970" s="15"/>
      <c r="AW1970" s="15"/>
    </row>
    <row r="1971" spans="3:49" x14ac:dyDescent="0.2">
      <c r="C1971" s="15"/>
      <c r="D1971" s="15"/>
      <c r="E1971" s="15"/>
      <c r="F1971" s="15"/>
      <c r="G1971" s="15"/>
      <c r="H1971" s="15"/>
      <c r="I1971" s="15"/>
      <c r="J1971" s="15"/>
      <c r="K1971" s="15"/>
      <c r="L1971" s="28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5"/>
      <c r="AG1971" s="15"/>
      <c r="AH1971" s="15"/>
      <c r="AI1971" s="15"/>
      <c r="AJ1971" s="15"/>
      <c r="AK1971" s="15"/>
      <c r="AL1971" s="15"/>
      <c r="AM1971" s="15"/>
      <c r="AN1971" s="15"/>
      <c r="AO1971" s="15"/>
      <c r="AP1971" s="15"/>
      <c r="AQ1971" s="15"/>
      <c r="AR1971" s="15"/>
      <c r="AS1971" s="15"/>
      <c r="AT1971" s="15"/>
      <c r="AU1971" s="15"/>
      <c r="AV1971" s="15"/>
      <c r="AW1971" s="15"/>
    </row>
    <row r="1972" spans="3:49" x14ac:dyDescent="0.2">
      <c r="C1972" s="15"/>
      <c r="D1972" s="15"/>
      <c r="E1972" s="15"/>
      <c r="F1972" s="15"/>
      <c r="G1972" s="15"/>
      <c r="H1972" s="15"/>
      <c r="I1972" s="15"/>
      <c r="J1972" s="15"/>
      <c r="K1972" s="15"/>
      <c r="L1972" s="28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5"/>
      <c r="AG1972" s="15"/>
      <c r="AH1972" s="15"/>
      <c r="AI1972" s="15"/>
      <c r="AJ1972" s="15"/>
      <c r="AK1972" s="15"/>
      <c r="AL1972" s="15"/>
      <c r="AM1972" s="15"/>
      <c r="AN1972" s="15"/>
      <c r="AO1972" s="15"/>
      <c r="AP1972" s="15"/>
      <c r="AQ1972" s="15"/>
      <c r="AR1972" s="15"/>
      <c r="AS1972" s="15"/>
      <c r="AT1972" s="15"/>
      <c r="AU1972" s="15"/>
      <c r="AV1972" s="15"/>
      <c r="AW1972" s="15"/>
    </row>
    <row r="1973" spans="3:49" x14ac:dyDescent="0.2">
      <c r="C1973" s="15"/>
      <c r="D1973" s="15"/>
      <c r="E1973" s="15"/>
      <c r="F1973" s="15"/>
      <c r="G1973" s="15"/>
      <c r="H1973" s="15"/>
      <c r="I1973" s="15"/>
      <c r="J1973" s="15"/>
      <c r="K1973" s="15"/>
      <c r="L1973" s="28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5"/>
      <c r="AG1973" s="15"/>
      <c r="AH1973" s="15"/>
      <c r="AI1973" s="15"/>
      <c r="AJ1973" s="15"/>
      <c r="AK1973" s="15"/>
      <c r="AL1973" s="15"/>
      <c r="AM1973" s="15"/>
      <c r="AN1973" s="15"/>
      <c r="AO1973" s="15"/>
      <c r="AP1973" s="15"/>
      <c r="AQ1973" s="15"/>
      <c r="AR1973" s="15"/>
      <c r="AS1973" s="15"/>
      <c r="AT1973" s="15"/>
      <c r="AU1973" s="15"/>
      <c r="AV1973" s="15"/>
      <c r="AW1973" s="15"/>
    </row>
    <row r="1974" spans="3:49" x14ac:dyDescent="0.2">
      <c r="C1974" s="15"/>
      <c r="D1974" s="15"/>
      <c r="E1974" s="15"/>
      <c r="F1974" s="15"/>
      <c r="G1974" s="15"/>
      <c r="H1974" s="15"/>
      <c r="I1974" s="15"/>
      <c r="J1974" s="15"/>
      <c r="K1974" s="15"/>
      <c r="L1974" s="28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5"/>
      <c r="AG1974" s="15"/>
      <c r="AH1974" s="15"/>
      <c r="AI1974" s="15"/>
      <c r="AJ1974" s="15"/>
      <c r="AK1974" s="15"/>
      <c r="AL1974" s="15"/>
      <c r="AM1974" s="15"/>
      <c r="AN1974" s="15"/>
      <c r="AO1974" s="15"/>
      <c r="AP1974" s="15"/>
      <c r="AQ1974" s="15"/>
      <c r="AR1974" s="15"/>
      <c r="AS1974" s="15"/>
      <c r="AT1974" s="15"/>
      <c r="AU1974" s="15"/>
      <c r="AV1974" s="15"/>
      <c r="AW1974" s="15"/>
    </row>
    <row r="1975" spans="3:49" x14ac:dyDescent="0.2">
      <c r="C1975" s="15"/>
      <c r="D1975" s="15"/>
      <c r="E1975" s="15"/>
      <c r="F1975" s="15"/>
      <c r="G1975" s="15"/>
      <c r="H1975" s="15"/>
      <c r="I1975" s="15"/>
      <c r="J1975" s="15"/>
      <c r="K1975" s="15"/>
      <c r="L1975" s="28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5"/>
      <c r="AG1975" s="15"/>
      <c r="AH1975" s="15"/>
      <c r="AI1975" s="15"/>
      <c r="AJ1975" s="15"/>
      <c r="AK1975" s="15"/>
      <c r="AL1975" s="15"/>
      <c r="AM1975" s="15"/>
      <c r="AN1975" s="15"/>
      <c r="AO1975" s="15"/>
      <c r="AP1975" s="15"/>
      <c r="AQ1975" s="15"/>
      <c r="AR1975" s="15"/>
      <c r="AS1975" s="15"/>
      <c r="AT1975" s="15"/>
      <c r="AU1975" s="15"/>
      <c r="AV1975" s="15"/>
      <c r="AW1975" s="15"/>
    </row>
    <row r="1976" spans="3:49" x14ac:dyDescent="0.2">
      <c r="C1976" s="15"/>
      <c r="D1976" s="15"/>
      <c r="E1976" s="15"/>
      <c r="F1976" s="15"/>
      <c r="G1976" s="15"/>
      <c r="H1976" s="15"/>
      <c r="I1976" s="15"/>
      <c r="J1976" s="15"/>
      <c r="K1976" s="15"/>
      <c r="L1976" s="28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5"/>
      <c r="AG1976" s="15"/>
      <c r="AH1976" s="15"/>
      <c r="AI1976" s="15"/>
      <c r="AJ1976" s="15"/>
      <c r="AK1976" s="15"/>
      <c r="AL1976" s="15"/>
      <c r="AM1976" s="15"/>
      <c r="AN1976" s="15"/>
      <c r="AO1976" s="15"/>
      <c r="AP1976" s="15"/>
      <c r="AQ1976" s="15"/>
      <c r="AR1976" s="15"/>
      <c r="AS1976" s="15"/>
      <c r="AT1976" s="15"/>
      <c r="AU1976" s="15"/>
      <c r="AV1976" s="15"/>
      <c r="AW1976" s="15"/>
    </row>
    <row r="1977" spans="3:49" x14ac:dyDescent="0.2">
      <c r="C1977" s="15"/>
      <c r="D1977" s="15"/>
      <c r="E1977" s="15"/>
      <c r="F1977" s="15"/>
      <c r="G1977" s="15"/>
      <c r="H1977" s="15"/>
      <c r="I1977" s="15"/>
      <c r="J1977" s="15"/>
      <c r="K1977" s="15"/>
      <c r="L1977" s="28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5"/>
      <c r="AG1977" s="15"/>
      <c r="AH1977" s="15"/>
      <c r="AI1977" s="15"/>
      <c r="AJ1977" s="15"/>
      <c r="AK1977" s="15"/>
      <c r="AL1977" s="15"/>
      <c r="AM1977" s="15"/>
      <c r="AN1977" s="15"/>
      <c r="AO1977" s="15"/>
      <c r="AP1977" s="15"/>
      <c r="AQ1977" s="15"/>
      <c r="AR1977" s="15"/>
      <c r="AS1977" s="15"/>
      <c r="AT1977" s="15"/>
      <c r="AU1977" s="15"/>
      <c r="AV1977" s="15"/>
      <c r="AW1977" s="15"/>
    </row>
    <row r="1978" spans="3:49" x14ac:dyDescent="0.2">
      <c r="C1978" s="15"/>
      <c r="D1978" s="15"/>
      <c r="E1978" s="15"/>
      <c r="F1978" s="15"/>
      <c r="G1978" s="15"/>
      <c r="H1978" s="15"/>
      <c r="I1978" s="15"/>
      <c r="J1978" s="15"/>
      <c r="K1978" s="15"/>
      <c r="L1978" s="28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5"/>
      <c r="AG1978" s="15"/>
      <c r="AH1978" s="15"/>
      <c r="AI1978" s="15"/>
      <c r="AJ1978" s="15"/>
      <c r="AK1978" s="15"/>
      <c r="AL1978" s="15"/>
      <c r="AM1978" s="15"/>
      <c r="AN1978" s="15"/>
      <c r="AO1978" s="15"/>
      <c r="AP1978" s="15"/>
      <c r="AQ1978" s="15"/>
      <c r="AR1978" s="15"/>
      <c r="AS1978" s="15"/>
      <c r="AT1978" s="15"/>
      <c r="AU1978" s="15"/>
      <c r="AV1978" s="15"/>
      <c r="AW1978" s="15"/>
    </row>
    <row r="1979" spans="3:49" x14ac:dyDescent="0.2">
      <c r="C1979" s="15"/>
      <c r="D1979" s="15"/>
      <c r="E1979" s="15"/>
      <c r="F1979" s="15"/>
      <c r="G1979" s="15"/>
      <c r="H1979" s="15"/>
      <c r="I1979" s="15"/>
      <c r="J1979" s="15"/>
      <c r="K1979" s="15"/>
      <c r="L1979" s="28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5"/>
      <c r="AG1979" s="15"/>
      <c r="AH1979" s="15"/>
      <c r="AI1979" s="15"/>
      <c r="AJ1979" s="15"/>
      <c r="AK1979" s="15"/>
      <c r="AL1979" s="15"/>
      <c r="AM1979" s="15"/>
      <c r="AN1979" s="15"/>
      <c r="AO1979" s="15"/>
      <c r="AP1979" s="15"/>
      <c r="AQ1979" s="15"/>
      <c r="AR1979" s="15"/>
      <c r="AS1979" s="15"/>
      <c r="AT1979" s="15"/>
      <c r="AU1979" s="15"/>
      <c r="AV1979" s="15"/>
      <c r="AW1979" s="15"/>
    </row>
    <row r="1980" spans="3:49" x14ac:dyDescent="0.2">
      <c r="C1980" s="15"/>
      <c r="D1980" s="15"/>
      <c r="E1980" s="15"/>
      <c r="F1980" s="15"/>
      <c r="G1980" s="15"/>
      <c r="H1980" s="15"/>
      <c r="I1980" s="15"/>
      <c r="J1980" s="15"/>
      <c r="K1980" s="15"/>
      <c r="L1980" s="28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5"/>
      <c r="AG1980" s="15"/>
      <c r="AH1980" s="15"/>
      <c r="AI1980" s="15"/>
      <c r="AJ1980" s="15"/>
      <c r="AK1980" s="15"/>
      <c r="AL1980" s="15"/>
      <c r="AM1980" s="15"/>
      <c r="AN1980" s="15"/>
      <c r="AO1980" s="15"/>
      <c r="AP1980" s="15"/>
      <c r="AQ1980" s="15"/>
      <c r="AR1980" s="15"/>
      <c r="AS1980" s="15"/>
      <c r="AT1980" s="15"/>
      <c r="AU1980" s="15"/>
      <c r="AV1980" s="15"/>
      <c r="AW1980" s="15"/>
    </row>
    <row r="1981" spans="3:49" x14ac:dyDescent="0.2">
      <c r="C1981" s="15"/>
      <c r="D1981" s="15"/>
      <c r="E1981" s="15"/>
      <c r="F1981" s="15"/>
      <c r="G1981" s="15"/>
      <c r="H1981" s="15"/>
      <c r="I1981" s="15"/>
      <c r="J1981" s="15"/>
      <c r="K1981" s="15"/>
      <c r="L1981" s="28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5"/>
      <c r="AG1981" s="15"/>
      <c r="AH1981" s="15"/>
      <c r="AI1981" s="15"/>
      <c r="AJ1981" s="15"/>
      <c r="AK1981" s="15"/>
      <c r="AL1981" s="15"/>
      <c r="AM1981" s="15"/>
      <c r="AN1981" s="15"/>
      <c r="AO1981" s="15"/>
      <c r="AP1981" s="15"/>
      <c r="AQ1981" s="15"/>
      <c r="AR1981" s="15"/>
      <c r="AS1981" s="15"/>
      <c r="AT1981" s="15"/>
      <c r="AU1981" s="15"/>
      <c r="AV1981" s="15"/>
      <c r="AW1981" s="15"/>
    </row>
    <row r="1982" spans="3:49" x14ac:dyDescent="0.2">
      <c r="C1982" s="15"/>
      <c r="D1982" s="15"/>
      <c r="E1982" s="15"/>
      <c r="F1982" s="15"/>
      <c r="G1982" s="15"/>
      <c r="H1982" s="15"/>
      <c r="I1982" s="15"/>
      <c r="J1982" s="15"/>
      <c r="K1982" s="15"/>
      <c r="L1982" s="28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5"/>
      <c r="AG1982" s="15"/>
      <c r="AH1982" s="15"/>
      <c r="AI1982" s="15"/>
      <c r="AJ1982" s="15"/>
      <c r="AK1982" s="15"/>
      <c r="AL1982" s="15"/>
      <c r="AM1982" s="15"/>
      <c r="AN1982" s="15"/>
      <c r="AO1982" s="15"/>
      <c r="AP1982" s="15"/>
      <c r="AQ1982" s="15"/>
      <c r="AR1982" s="15"/>
      <c r="AS1982" s="15"/>
      <c r="AT1982" s="15"/>
      <c r="AU1982" s="15"/>
      <c r="AV1982" s="15"/>
      <c r="AW1982" s="15"/>
    </row>
    <row r="1983" spans="3:49" x14ac:dyDescent="0.2">
      <c r="C1983" s="15"/>
      <c r="D1983" s="15"/>
      <c r="E1983" s="15"/>
      <c r="F1983" s="15"/>
      <c r="G1983" s="15"/>
      <c r="H1983" s="15"/>
      <c r="I1983" s="15"/>
      <c r="J1983" s="15"/>
      <c r="K1983" s="15"/>
      <c r="L1983" s="28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5"/>
      <c r="AG1983" s="15"/>
      <c r="AH1983" s="15"/>
      <c r="AI1983" s="15"/>
      <c r="AJ1983" s="15"/>
      <c r="AK1983" s="15"/>
      <c r="AL1983" s="15"/>
      <c r="AM1983" s="15"/>
      <c r="AN1983" s="15"/>
      <c r="AO1983" s="15"/>
      <c r="AP1983" s="15"/>
      <c r="AQ1983" s="15"/>
      <c r="AR1983" s="15"/>
      <c r="AS1983" s="15"/>
      <c r="AT1983" s="15"/>
      <c r="AU1983" s="15"/>
      <c r="AV1983" s="15"/>
      <c r="AW1983" s="15"/>
    </row>
    <row r="1984" spans="3:49" x14ac:dyDescent="0.2">
      <c r="C1984" s="15"/>
      <c r="D1984" s="15"/>
      <c r="E1984" s="15"/>
      <c r="F1984" s="15"/>
      <c r="G1984" s="15"/>
      <c r="H1984" s="15"/>
      <c r="I1984" s="15"/>
      <c r="J1984" s="15"/>
      <c r="K1984" s="15"/>
      <c r="L1984" s="28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5"/>
      <c r="AG1984" s="15"/>
      <c r="AH1984" s="15"/>
      <c r="AI1984" s="15"/>
      <c r="AJ1984" s="15"/>
      <c r="AK1984" s="15"/>
      <c r="AL1984" s="15"/>
      <c r="AM1984" s="15"/>
      <c r="AN1984" s="15"/>
      <c r="AO1984" s="15"/>
      <c r="AP1984" s="15"/>
      <c r="AQ1984" s="15"/>
      <c r="AR1984" s="15"/>
      <c r="AS1984" s="15"/>
      <c r="AT1984" s="15"/>
      <c r="AU1984" s="15"/>
      <c r="AV1984" s="15"/>
      <c r="AW1984" s="15"/>
    </row>
    <row r="1985" spans="3:49" x14ac:dyDescent="0.2">
      <c r="C1985" s="15"/>
      <c r="D1985" s="15"/>
      <c r="E1985" s="15"/>
      <c r="F1985" s="15"/>
      <c r="G1985" s="15"/>
      <c r="H1985" s="15"/>
      <c r="I1985" s="15"/>
      <c r="J1985" s="15"/>
      <c r="K1985" s="15"/>
      <c r="L1985" s="28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5"/>
      <c r="AG1985" s="15"/>
      <c r="AH1985" s="15"/>
      <c r="AI1985" s="15"/>
      <c r="AJ1985" s="15"/>
      <c r="AK1985" s="15"/>
      <c r="AL1985" s="15"/>
      <c r="AM1985" s="15"/>
      <c r="AN1985" s="15"/>
      <c r="AO1985" s="15"/>
      <c r="AP1985" s="15"/>
      <c r="AQ1985" s="15"/>
      <c r="AR1985" s="15"/>
      <c r="AS1985" s="15"/>
      <c r="AT1985" s="15"/>
      <c r="AU1985" s="15"/>
      <c r="AV1985" s="15"/>
      <c r="AW1985" s="15"/>
    </row>
    <row r="1986" spans="3:49" x14ac:dyDescent="0.2">
      <c r="C1986" s="15"/>
      <c r="D1986" s="15"/>
      <c r="E1986" s="15"/>
      <c r="F1986" s="15"/>
      <c r="G1986" s="15"/>
      <c r="H1986" s="15"/>
      <c r="I1986" s="15"/>
      <c r="J1986" s="15"/>
      <c r="K1986" s="15"/>
      <c r="L1986" s="28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5"/>
      <c r="AG1986" s="15"/>
      <c r="AH1986" s="15"/>
      <c r="AI1986" s="15"/>
      <c r="AJ1986" s="15"/>
      <c r="AK1986" s="15"/>
      <c r="AL1986" s="15"/>
      <c r="AM1986" s="15"/>
      <c r="AN1986" s="15"/>
      <c r="AO1986" s="15"/>
      <c r="AP1986" s="15"/>
      <c r="AQ1986" s="15"/>
      <c r="AR1986" s="15"/>
      <c r="AS1986" s="15"/>
      <c r="AT1986" s="15"/>
      <c r="AU1986" s="15"/>
      <c r="AV1986" s="15"/>
      <c r="AW1986" s="15"/>
    </row>
    <row r="1987" spans="3:49" x14ac:dyDescent="0.2">
      <c r="C1987" s="15"/>
      <c r="D1987" s="15"/>
      <c r="E1987" s="15"/>
      <c r="F1987" s="15"/>
      <c r="G1987" s="15"/>
      <c r="H1987" s="15"/>
      <c r="I1987" s="15"/>
      <c r="J1987" s="15"/>
      <c r="K1987" s="15"/>
      <c r="L1987" s="28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5"/>
      <c r="AG1987" s="15"/>
      <c r="AH1987" s="15"/>
      <c r="AI1987" s="15"/>
      <c r="AJ1987" s="15"/>
      <c r="AK1987" s="15"/>
      <c r="AL1987" s="15"/>
      <c r="AM1987" s="15"/>
      <c r="AN1987" s="15"/>
      <c r="AO1987" s="15"/>
      <c r="AP1987" s="15"/>
      <c r="AQ1987" s="15"/>
      <c r="AR1987" s="15"/>
      <c r="AS1987" s="15"/>
      <c r="AT1987" s="15"/>
      <c r="AU1987" s="15"/>
      <c r="AV1987" s="15"/>
      <c r="AW1987" s="15"/>
    </row>
    <row r="1988" spans="3:49" x14ac:dyDescent="0.2">
      <c r="C1988" s="15"/>
      <c r="D1988" s="15"/>
      <c r="E1988" s="15"/>
      <c r="F1988" s="15"/>
      <c r="G1988" s="15"/>
      <c r="H1988" s="15"/>
      <c r="I1988" s="15"/>
      <c r="J1988" s="15"/>
      <c r="K1988" s="15"/>
      <c r="L1988" s="28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5"/>
      <c r="AG1988" s="15"/>
      <c r="AH1988" s="15"/>
      <c r="AI1988" s="15"/>
      <c r="AJ1988" s="15"/>
      <c r="AK1988" s="15"/>
      <c r="AL1988" s="15"/>
      <c r="AM1988" s="15"/>
      <c r="AN1988" s="15"/>
      <c r="AO1988" s="15"/>
      <c r="AP1988" s="15"/>
      <c r="AQ1988" s="15"/>
      <c r="AR1988" s="15"/>
      <c r="AS1988" s="15"/>
      <c r="AT1988" s="15"/>
      <c r="AU1988" s="15"/>
      <c r="AV1988" s="15"/>
      <c r="AW1988" s="15"/>
    </row>
    <row r="1989" spans="3:49" x14ac:dyDescent="0.2">
      <c r="C1989" s="15"/>
      <c r="D1989" s="15"/>
      <c r="E1989" s="15"/>
      <c r="F1989" s="15"/>
      <c r="G1989" s="15"/>
      <c r="H1989" s="15"/>
      <c r="I1989" s="15"/>
      <c r="J1989" s="15"/>
      <c r="K1989" s="15"/>
      <c r="L1989" s="28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5"/>
      <c r="AG1989" s="15"/>
      <c r="AH1989" s="15"/>
      <c r="AI1989" s="15"/>
      <c r="AJ1989" s="15"/>
      <c r="AK1989" s="15"/>
      <c r="AL1989" s="15"/>
      <c r="AM1989" s="15"/>
      <c r="AN1989" s="15"/>
      <c r="AO1989" s="15"/>
      <c r="AP1989" s="15"/>
      <c r="AQ1989" s="15"/>
      <c r="AR1989" s="15"/>
      <c r="AS1989" s="15"/>
      <c r="AT1989" s="15"/>
      <c r="AU1989" s="15"/>
      <c r="AV1989" s="15"/>
      <c r="AW1989" s="15"/>
    </row>
    <row r="1990" spans="3:49" x14ac:dyDescent="0.2">
      <c r="C1990" s="15"/>
      <c r="D1990" s="15"/>
      <c r="E1990" s="15"/>
      <c r="F1990" s="15"/>
      <c r="G1990" s="15"/>
      <c r="H1990" s="15"/>
      <c r="I1990" s="15"/>
      <c r="J1990" s="15"/>
      <c r="K1990" s="15"/>
      <c r="L1990" s="28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5"/>
      <c r="AG1990" s="15"/>
      <c r="AH1990" s="15"/>
      <c r="AI1990" s="15"/>
      <c r="AJ1990" s="15"/>
      <c r="AK1990" s="15"/>
      <c r="AL1990" s="15"/>
      <c r="AM1990" s="15"/>
      <c r="AN1990" s="15"/>
      <c r="AO1990" s="15"/>
      <c r="AP1990" s="15"/>
      <c r="AQ1990" s="15"/>
      <c r="AR1990" s="15"/>
      <c r="AS1990" s="15"/>
      <c r="AT1990" s="15"/>
      <c r="AU1990" s="15"/>
      <c r="AV1990" s="15"/>
      <c r="AW1990" s="15"/>
    </row>
    <row r="1991" spans="3:49" x14ac:dyDescent="0.2">
      <c r="C1991" s="15"/>
      <c r="D1991" s="15"/>
      <c r="E1991" s="15"/>
      <c r="F1991" s="15"/>
      <c r="G1991" s="15"/>
      <c r="H1991" s="15"/>
      <c r="I1991" s="15"/>
      <c r="J1991" s="15"/>
      <c r="K1991" s="15"/>
      <c r="L1991" s="28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5"/>
      <c r="AG1991" s="15"/>
      <c r="AH1991" s="15"/>
      <c r="AI1991" s="15"/>
      <c r="AJ1991" s="15"/>
      <c r="AK1991" s="15"/>
      <c r="AL1991" s="15"/>
      <c r="AM1991" s="15"/>
      <c r="AN1991" s="15"/>
      <c r="AO1991" s="15"/>
      <c r="AP1991" s="15"/>
      <c r="AQ1991" s="15"/>
      <c r="AR1991" s="15"/>
      <c r="AS1991" s="15"/>
      <c r="AT1991" s="15"/>
      <c r="AU1991" s="15"/>
      <c r="AV1991" s="15"/>
      <c r="AW1991" s="15"/>
    </row>
    <row r="1992" spans="3:49" x14ac:dyDescent="0.2">
      <c r="C1992" s="15"/>
      <c r="D1992" s="15"/>
      <c r="E1992" s="15"/>
      <c r="F1992" s="15"/>
      <c r="G1992" s="15"/>
      <c r="H1992" s="15"/>
      <c r="I1992" s="15"/>
      <c r="J1992" s="15"/>
      <c r="K1992" s="15"/>
      <c r="L1992" s="28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5"/>
      <c r="AG1992" s="15"/>
      <c r="AH1992" s="15"/>
      <c r="AI1992" s="15"/>
      <c r="AJ1992" s="15"/>
      <c r="AK1992" s="15"/>
      <c r="AL1992" s="15"/>
      <c r="AM1992" s="15"/>
      <c r="AN1992" s="15"/>
      <c r="AO1992" s="15"/>
      <c r="AP1992" s="15"/>
      <c r="AQ1992" s="15"/>
      <c r="AR1992" s="15"/>
      <c r="AS1992" s="15"/>
      <c r="AT1992" s="15"/>
      <c r="AU1992" s="15"/>
      <c r="AV1992" s="15"/>
      <c r="AW1992" s="15"/>
    </row>
    <row r="1993" spans="3:49" x14ac:dyDescent="0.2">
      <c r="C1993" s="15"/>
      <c r="D1993" s="15"/>
      <c r="E1993" s="15"/>
      <c r="F1993" s="15"/>
      <c r="G1993" s="15"/>
      <c r="H1993" s="15"/>
      <c r="I1993" s="15"/>
      <c r="J1993" s="15"/>
      <c r="K1993" s="15"/>
      <c r="L1993" s="28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5"/>
      <c r="AG1993" s="15"/>
      <c r="AH1993" s="15"/>
      <c r="AI1993" s="15"/>
      <c r="AJ1993" s="15"/>
      <c r="AK1993" s="15"/>
      <c r="AL1993" s="15"/>
      <c r="AM1993" s="15"/>
      <c r="AN1993" s="15"/>
      <c r="AO1993" s="15"/>
      <c r="AP1993" s="15"/>
      <c r="AQ1993" s="15"/>
      <c r="AR1993" s="15"/>
      <c r="AS1993" s="15"/>
      <c r="AT1993" s="15"/>
      <c r="AU1993" s="15"/>
      <c r="AV1993" s="15"/>
      <c r="AW1993" s="15"/>
    </row>
    <row r="1994" spans="3:49" x14ac:dyDescent="0.2">
      <c r="C1994" s="15"/>
      <c r="D1994" s="15"/>
      <c r="E1994" s="15"/>
      <c r="F1994" s="15"/>
      <c r="G1994" s="15"/>
      <c r="H1994" s="15"/>
      <c r="I1994" s="15"/>
      <c r="J1994" s="15"/>
      <c r="K1994" s="15"/>
      <c r="L1994" s="28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5"/>
      <c r="AG1994" s="15"/>
      <c r="AH1994" s="15"/>
      <c r="AI1994" s="15"/>
      <c r="AJ1994" s="15"/>
      <c r="AK1994" s="15"/>
      <c r="AL1994" s="15"/>
      <c r="AM1994" s="15"/>
      <c r="AN1994" s="15"/>
      <c r="AO1994" s="15"/>
      <c r="AP1994" s="15"/>
      <c r="AQ1994" s="15"/>
      <c r="AR1994" s="15"/>
      <c r="AS1994" s="15"/>
      <c r="AT1994" s="15"/>
      <c r="AU1994" s="15"/>
      <c r="AV1994" s="15"/>
      <c r="AW1994" s="15"/>
    </row>
    <row r="1995" spans="3:49" x14ac:dyDescent="0.2">
      <c r="C1995" s="15"/>
      <c r="D1995" s="15"/>
      <c r="E1995" s="15"/>
      <c r="F1995" s="15"/>
      <c r="G1995" s="15"/>
      <c r="H1995" s="15"/>
      <c r="I1995" s="15"/>
      <c r="J1995" s="15"/>
      <c r="K1995" s="15"/>
      <c r="L1995" s="28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5"/>
      <c r="AG1995" s="15"/>
      <c r="AH1995" s="15"/>
      <c r="AI1995" s="15"/>
      <c r="AJ1995" s="15"/>
      <c r="AK1995" s="15"/>
      <c r="AL1995" s="15"/>
      <c r="AM1995" s="15"/>
      <c r="AN1995" s="15"/>
      <c r="AO1995" s="15"/>
      <c r="AP1995" s="15"/>
      <c r="AQ1995" s="15"/>
      <c r="AR1995" s="15"/>
      <c r="AS1995" s="15"/>
      <c r="AT1995" s="15"/>
      <c r="AU1995" s="15"/>
      <c r="AV1995" s="15"/>
      <c r="AW1995" s="15"/>
    </row>
    <row r="1996" spans="3:49" x14ac:dyDescent="0.2">
      <c r="C1996" s="15"/>
      <c r="D1996" s="15"/>
      <c r="E1996" s="15"/>
      <c r="F1996" s="15"/>
      <c r="G1996" s="15"/>
      <c r="H1996" s="15"/>
      <c r="I1996" s="15"/>
      <c r="J1996" s="15"/>
      <c r="K1996" s="15"/>
      <c r="L1996" s="28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5"/>
      <c r="AG1996" s="15"/>
      <c r="AH1996" s="15"/>
      <c r="AI1996" s="15"/>
      <c r="AJ1996" s="15"/>
      <c r="AK1996" s="15"/>
      <c r="AL1996" s="15"/>
      <c r="AM1996" s="15"/>
      <c r="AN1996" s="15"/>
      <c r="AO1996" s="15"/>
      <c r="AP1996" s="15"/>
      <c r="AQ1996" s="15"/>
      <c r="AR1996" s="15"/>
      <c r="AS1996" s="15"/>
      <c r="AT1996" s="15"/>
      <c r="AU1996" s="15"/>
      <c r="AV1996" s="15"/>
      <c r="AW1996" s="15"/>
    </row>
    <row r="1997" spans="3:49" x14ac:dyDescent="0.2">
      <c r="C1997" s="15"/>
      <c r="D1997" s="15"/>
      <c r="E1997" s="15"/>
      <c r="F1997" s="15"/>
      <c r="G1997" s="15"/>
      <c r="H1997" s="15"/>
      <c r="I1997" s="15"/>
      <c r="J1997" s="15"/>
      <c r="K1997" s="15"/>
      <c r="L1997" s="28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5"/>
      <c r="AG1997" s="15"/>
      <c r="AH1997" s="15"/>
      <c r="AI1997" s="15"/>
      <c r="AJ1997" s="15"/>
      <c r="AK1997" s="15"/>
      <c r="AL1997" s="15"/>
      <c r="AM1997" s="15"/>
      <c r="AN1997" s="15"/>
      <c r="AO1997" s="15"/>
      <c r="AP1997" s="15"/>
      <c r="AQ1997" s="15"/>
      <c r="AR1997" s="15"/>
      <c r="AS1997" s="15"/>
      <c r="AT1997" s="15"/>
      <c r="AU1997" s="15"/>
      <c r="AV1997" s="15"/>
      <c r="AW1997" s="15"/>
    </row>
    <row r="1998" spans="3:49" x14ac:dyDescent="0.2">
      <c r="C1998" s="15"/>
      <c r="D1998" s="15"/>
      <c r="E1998" s="15"/>
      <c r="F1998" s="15"/>
      <c r="G1998" s="15"/>
      <c r="H1998" s="15"/>
      <c r="I1998" s="15"/>
      <c r="J1998" s="15"/>
      <c r="K1998" s="15"/>
      <c r="L1998" s="28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5"/>
      <c r="AG1998" s="15"/>
      <c r="AH1998" s="15"/>
      <c r="AI1998" s="15"/>
      <c r="AJ1998" s="15"/>
      <c r="AK1998" s="15"/>
      <c r="AL1998" s="15"/>
      <c r="AM1998" s="15"/>
      <c r="AN1998" s="15"/>
      <c r="AO1998" s="15"/>
      <c r="AP1998" s="15"/>
      <c r="AQ1998" s="15"/>
      <c r="AR1998" s="15"/>
      <c r="AS1998" s="15"/>
      <c r="AT1998" s="15"/>
      <c r="AU1998" s="15"/>
      <c r="AV1998" s="15"/>
      <c r="AW1998" s="15"/>
    </row>
    <row r="1999" spans="3:49" x14ac:dyDescent="0.2">
      <c r="C1999" s="15"/>
      <c r="D1999" s="15"/>
      <c r="E1999" s="15"/>
      <c r="F1999" s="15"/>
      <c r="G1999" s="15"/>
      <c r="H1999" s="15"/>
      <c r="I1999" s="15"/>
      <c r="J1999" s="15"/>
      <c r="K1999" s="15"/>
      <c r="L1999" s="28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5"/>
      <c r="AG1999" s="15"/>
      <c r="AH1999" s="15"/>
      <c r="AI1999" s="15"/>
      <c r="AJ1999" s="15"/>
      <c r="AK1999" s="15"/>
      <c r="AL1999" s="15"/>
      <c r="AM1999" s="15"/>
      <c r="AN1999" s="15"/>
      <c r="AO1999" s="15"/>
      <c r="AP1999" s="15"/>
      <c r="AQ1999" s="15"/>
      <c r="AR1999" s="15"/>
      <c r="AS1999" s="15"/>
      <c r="AT1999" s="15"/>
      <c r="AU1999" s="15"/>
      <c r="AV1999" s="15"/>
      <c r="AW1999" s="15"/>
    </row>
    <row r="2000" spans="3:49" x14ac:dyDescent="0.2">
      <c r="C2000" s="15"/>
      <c r="D2000" s="15"/>
      <c r="E2000" s="15"/>
      <c r="F2000" s="15"/>
      <c r="G2000" s="15"/>
      <c r="H2000" s="15"/>
      <c r="I2000" s="15"/>
      <c r="J2000" s="15"/>
      <c r="K2000" s="15"/>
      <c r="L2000" s="28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5"/>
      <c r="AG2000" s="15"/>
      <c r="AH2000" s="15"/>
      <c r="AI2000" s="15"/>
      <c r="AJ2000" s="15"/>
      <c r="AK2000" s="15"/>
      <c r="AL2000" s="15"/>
      <c r="AM2000" s="15"/>
      <c r="AN2000" s="15"/>
      <c r="AO2000" s="15"/>
      <c r="AP2000" s="15"/>
      <c r="AQ2000" s="15"/>
      <c r="AR2000" s="15"/>
      <c r="AS2000" s="15"/>
      <c r="AT2000" s="15"/>
      <c r="AU2000" s="15"/>
      <c r="AV2000" s="15"/>
      <c r="AW2000" s="15"/>
    </row>
    <row r="2001" spans="3:49" x14ac:dyDescent="0.2">
      <c r="C2001" s="15"/>
      <c r="D2001" s="15"/>
      <c r="E2001" s="15"/>
      <c r="F2001" s="15"/>
      <c r="G2001" s="15"/>
      <c r="H2001" s="15"/>
      <c r="I2001" s="15"/>
      <c r="J2001" s="15"/>
      <c r="K2001" s="15"/>
      <c r="L2001" s="28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5"/>
      <c r="AG2001" s="15"/>
      <c r="AH2001" s="15"/>
      <c r="AI2001" s="15"/>
      <c r="AJ2001" s="15"/>
      <c r="AK2001" s="15"/>
      <c r="AL2001" s="15"/>
      <c r="AM2001" s="15"/>
      <c r="AN2001" s="15"/>
      <c r="AO2001" s="15"/>
      <c r="AP2001" s="15"/>
      <c r="AQ2001" s="15"/>
      <c r="AR2001" s="15"/>
      <c r="AS2001" s="15"/>
      <c r="AT2001" s="15"/>
      <c r="AU2001" s="15"/>
      <c r="AV2001" s="15"/>
      <c r="AW2001" s="15"/>
    </row>
    <row r="2002" spans="3:49" x14ac:dyDescent="0.2">
      <c r="C2002" s="15"/>
      <c r="D2002" s="15"/>
      <c r="E2002" s="15"/>
      <c r="F2002" s="15"/>
      <c r="G2002" s="15"/>
      <c r="H2002" s="15"/>
      <c r="I2002" s="15"/>
      <c r="J2002" s="15"/>
      <c r="K2002" s="15"/>
      <c r="L2002" s="28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5"/>
      <c r="AG2002" s="15"/>
      <c r="AH2002" s="15"/>
      <c r="AI2002" s="15"/>
      <c r="AJ2002" s="15"/>
      <c r="AK2002" s="15"/>
      <c r="AL2002" s="15"/>
      <c r="AM2002" s="15"/>
      <c r="AN2002" s="15"/>
      <c r="AO2002" s="15"/>
      <c r="AP2002" s="15"/>
      <c r="AQ2002" s="15"/>
      <c r="AR2002" s="15"/>
      <c r="AS2002" s="15"/>
      <c r="AT2002" s="15"/>
      <c r="AU2002" s="15"/>
      <c r="AV2002" s="15"/>
      <c r="AW2002" s="15"/>
    </row>
    <row r="2003" spans="3:49" x14ac:dyDescent="0.2">
      <c r="C2003" s="15"/>
      <c r="D2003" s="15"/>
      <c r="E2003" s="15"/>
      <c r="F2003" s="15"/>
      <c r="G2003" s="15"/>
      <c r="H2003" s="15"/>
      <c r="I2003" s="15"/>
      <c r="J2003" s="15"/>
      <c r="K2003" s="15"/>
      <c r="L2003" s="28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5"/>
      <c r="AG2003" s="15"/>
      <c r="AH2003" s="15"/>
      <c r="AI2003" s="15"/>
      <c r="AJ2003" s="15"/>
      <c r="AK2003" s="15"/>
      <c r="AL2003" s="15"/>
      <c r="AM2003" s="15"/>
      <c r="AN2003" s="15"/>
      <c r="AO2003" s="15"/>
      <c r="AP2003" s="15"/>
      <c r="AQ2003" s="15"/>
      <c r="AR2003" s="15"/>
      <c r="AS2003" s="15"/>
      <c r="AT2003" s="15"/>
      <c r="AU2003" s="15"/>
      <c r="AV2003" s="15"/>
      <c r="AW2003" s="15"/>
    </row>
    <row r="2004" spans="3:49" x14ac:dyDescent="0.2">
      <c r="C2004" s="15"/>
      <c r="D2004" s="15"/>
      <c r="E2004" s="15"/>
      <c r="F2004" s="15"/>
      <c r="G2004" s="15"/>
      <c r="H2004" s="15"/>
      <c r="I2004" s="15"/>
      <c r="J2004" s="15"/>
      <c r="K2004" s="15"/>
      <c r="L2004" s="28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5"/>
      <c r="AG2004" s="15"/>
      <c r="AH2004" s="15"/>
      <c r="AI2004" s="15"/>
      <c r="AJ2004" s="15"/>
      <c r="AK2004" s="15"/>
      <c r="AL2004" s="15"/>
      <c r="AM2004" s="15"/>
      <c r="AN2004" s="15"/>
      <c r="AO2004" s="15"/>
      <c r="AP2004" s="15"/>
      <c r="AQ2004" s="15"/>
      <c r="AR2004" s="15"/>
      <c r="AS2004" s="15"/>
      <c r="AT2004" s="15"/>
      <c r="AU2004" s="15"/>
      <c r="AV2004" s="15"/>
      <c r="AW2004" s="15"/>
    </row>
    <row r="2005" spans="3:49" x14ac:dyDescent="0.2">
      <c r="C2005" s="15"/>
      <c r="D2005" s="15"/>
      <c r="E2005" s="15"/>
      <c r="F2005" s="15"/>
      <c r="G2005" s="15"/>
      <c r="H2005" s="15"/>
      <c r="I2005" s="15"/>
      <c r="J2005" s="15"/>
      <c r="K2005" s="15"/>
      <c r="L2005" s="28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5"/>
      <c r="AG2005" s="15"/>
      <c r="AH2005" s="15"/>
      <c r="AI2005" s="15"/>
      <c r="AJ2005" s="15"/>
      <c r="AK2005" s="15"/>
      <c r="AL2005" s="15"/>
      <c r="AM2005" s="15"/>
      <c r="AN2005" s="15"/>
      <c r="AO2005" s="15"/>
      <c r="AP2005" s="15"/>
      <c r="AQ2005" s="15"/>
      <c r="AR2005" s="15"/>
      <c r="AS2005" s="15"/>
      <c r="AT2005" s="15"/>
      <c r="AU2005" s="15"/>
      <c r="AV2005" s="15"/>
      <c r="AW2005" s="15"/>
    </row>
    <row r="2006" spans="3:49" x14ac:dyDescent="0.2">
      <c r="C2006" s="15"/>
      <c r="D2006" s="15"/>
      <c r="E2006" s="15"/>
      <c r="F2006" s="15"/>
      <c r="G2006" s="15"/>
      <c r="H2006" s="15"/>
      <c r="I2006" s="15"/>
      <c r="J2006" s="15"/>
      <c r="K2006" s="15"/>
      <c r="L2006" s="28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5"/>
      <c r="AG2006" s="15"/>
      <c r="AH2006" s="15"/>
      <c r="AI2006" s="15"/>
      <c r="AJ2006" s="15"/>
      <c r="AK2006" s="15"/>
      <c r="AL2006" s="15"/>
      <c r="AM2006" s="15"/>
      <c r="AN2006" s="15"/>
      <c r="AO2006" s="15"/>
      <c r="AP2006" s="15"/>
      <c r="AQ2006" s="15"/>
      <c r="AR2006" s="15"/>
      <c r="AS2006" s="15"/>
      <c r="AT2006" s="15"/>
      <c r="AU2006" s="15"/>
      <c r="AV2006" s="15"/>
      <c r="AW2006" s="15"/>
    </row>
    <row r="2007" spans="3:49" x14ac:dyDescent="0.2">
      <c r="C2007" s="15"/>
      <c r="D2007" s="15"/>
      <c r="E2007" s="15"/>
      <c r="F2007" s="15"/>
      <c r="G2007" s="15"/>
      <c r="H2007" s="15"/>
      <c r="I2007" s="15"/>
      <c r="J2007" s="15"/>
      <c r="K2007" s="15"/>
      <c r="L2007" s="28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5"/>
      <c r="AG2007" s="15"/>
      <c r="AH2007" s="15"/>
      <c r="AI2007" s="15"/>
      <c r="AJ2007" s="15"/>
      <c r="AK2007" s="15"/>
      <c r="AL2007" s="15"/>
      <c r="AM2007" s="15"/>
      <c r="AN2007" s="15"/>
      <c r="AO2007" s="15"/>
      <c r="AP2007" s="15"/>
      <c r="AQ2007" s="15"/>
      <c r="AR2007" s="15"/>
      <c r="AS2007" s="15"/>
      <c r="AT2007" s="15"/>
      <c r="AU2007" s="15"/>
      <c r="AV2007" s="15"/>
      <c r="AW2007" s="15"/>
    </row>
    <row r="2008" spans="3:49" x14ac:dyDescent="0.2">
      <c r="C2008" s="15"/>
      <c r="D2008" s="15"/>
      <c r="E2008" s="15"/>
      <c r="F2008" s="15"/>
      <c r="G2008" s="15"/>
      <c r="H2008" s="15"/>
      <c r="I2008" s="15"/>
      <c r="J2008" s="15"/>
      <c r="K2008" s="15"/>
      <c r="L2008" s="28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5"/>
      <c r="AG2008" s="15"/>
      <c r="AH2008" s="15"/>
      <c r="AI2008" s="15"/>
      <c r="AJ2008" s="15"/>
      <c r="AK2008" s="15"/>
      <c r="AL2008" s="15"/>
      <c r="AM2008" s="15"/>
      <c r="AN2008" s="15"/>
      <c r="AO2008" s="15"/>
      <c r="AP2008" s="15"/>
      <c r="AQ2008" s="15"/>
      <c r="AR2008" s="15"/>
      <c r="AS2008" s="15"/>
      <c r="AT2008" s="15"/>
      <c r="AU2008" s="15"/>
      <c r="AV2008" s="15"/>
      <c r="AW2008" s="15"/>
    </row>
    <row r="2009" spans="3:49" x14ac:dyDescent="0.2">
      <c r="C2009" s="15"/>
      <c r="D2009" s="15"/>
      <c r="E2009" s="15"/>
      <c r="F2009" s="15"/>
      <c r="G2009" s="15"/>
      <c r="H2009" s="15"/>
      <c r="I2009" s="15"/>
      <c r="J2009" s="15"/>
      <c r="K2009" s="15"/>
      <c r="L2009" s="28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5"/>
      <c r="AG2009" s="15"/>
      <c r="AH2009" s="15"/>
      <c r="AI2009" s="15"/>
      <c r="AJ2009" s="15"/>
      <c r="AK2009" s="15"/>
      <c r="AL2009" s="15"/>
      <c r="AM2009" s="15"/>
      <c r="AN2009" s="15"/>
      <c r="AO2009" s="15"/>
      <c r="AP2009" s="15"/>
      <c r="AQ2009" s="15"/>
      <c r="AR2009" s="15"/>
      <c r="AS2009" s="15"/>
      <c r="AT2009" s="15"/>
      <c r="AU2009" s="15"/>
      <c r="AV2009" s="15"/>
      <c r="AW2009" s="15"/>
    </row>
    <row r="2010" spans="3:49" x14ac:dyDescent="0.2">
      <c r="C2010" s="15"/>
      <c r="D2010" s="15"/>
      <c r="E2010" s="15"/>
      <c r="F2010" s="15"/>
      <c r="G2010" s="15"/>
      <c r="H2010" s="15"/>
      <c r="I2010" s="15"/>
      <c r="J2010" s="15"/>
      <c r="K2010" s="15"/>
      <c r="L2010" s="28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5"/>
      <c r="AG2010" s="15"/>
      <c r="AH2010" s="15"/>
      <c r="AI2010" s="15"/>
      <c r="AJ2010" s="15"/>
      <c r="AK2010" s="15"/>
      <c r="AL2010" s="15"/>
      <c r="AM2010" s="15"/>
      <c r="AN2010" s="15"/>
      <c r="AO2010" s="15"/>
      <c r="AP2010" s="15"/>
      <c r="AQ2010" s="15"/>
      <c r="AR2010" s="15"/>
      <c r="AS2010" s="15"/>
      <c r="AT2010" s="15"/>
      <c r="AU2010" s="15"/>
      <c r="AV2010" s="15"/>
      <c r="AW2010" s="15"/>
    </row>
    <row r="2011" spans="3:49" x14ac:dyDescent="0.2">
      <c r="C2011" s="15"/>
      <c r="D2011" s="15"/>
      <c r="E2011" s="15"/>
      <c r="F2011" s="15"/>
      <c r="G2011" s="15"/>
      <c r="H2011" s="15"/>
      <c r="I2011" s="15"/>
      <c r="J2011" s="15"/>
      <c r="K2011" s="15"/>
      <c r="L2011" s="28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5"/>
      <c r="AG2011" s="15"/>
      <c r="AH2011" s="15"/>
      <c r="AI2011" s="15"/>
      <c r="AJ2011" s="15"/>
      <c r="AK2011" s="15"/>
      <c r="AL2011" s="15"/>
      <c r="AM2011" s="15"/>
      <c r="AN2011" s="15"/>
      <c r="AO2011" s="15"/>
      <c r="AP2011" s="15"/>
      <c r="AQ2011" s="15"/>
      <c r="AR2011" s="15"/>
      <c r="AS2011" s="15"/>
      <c r="AT2011" s="15"/>
      <c r="AU2011" s="15"/>
      <c r="AV2011" s="15"/>
      <c r="AW2011" s="15"/>
    </row>
    <row r="2012" spans="3:49" x14ac:dyDescent="0.2">
      <c r="C2012" s="15"/>
      <c r="D2012" s="15"/>
      <c r="E2012" s="15"/>
      <c r="F2012" s="15"/>
      <c r="G2012" s="15"/>
      <c r="H2012" s="15"/>
      <c r="I2012" s="15"/>
      <c r="J2012" s="15"/>
      <c r="K2012" s="15"/>
      <c r="L2012" s="28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5"/>
      <c r="AG2012" s="15"/>
      <c r="AH2012" s="15"/>
      <c r="AI2012" s="15"/>
      <c r="AJ2012" s="15"/>
      <c r="AK2012" s="15"/>
      <c r="AL2012" s="15"/>
      <c r="AM2012" s="15"/>
      <c r="AN2012" s="15"/>
      <c r="AO2012" s="15"/>
      <c r="AP2012" s="15"/>
      <c r="AQ2012" s="15"/>
      <c r="AR2012" s="15"/>
      <c r="AS2012" s="15"/>
      <c r="AT2012" s="15"/>
      <c r="AU2012" s="15"/>
      <c r="AV2012" s="15"/>
      <c r="AW2012" s="15"/>
    </row>
    <row r="2013" spans="3:49" x14ac:dyDescent="0.2">
      <c r="C2013" s="15"/>
      <c r="D2013" s="15"/>
      <c r="E2013" s="15"/>
      <c r="F2013" s="15"/>
      <c r="G2013" s="15"/>
      <c r="H2013" s="15"/>
      <c r="I2013" s="15"/>
      <c r="J2013" s="15"/>
      <c r="K2013" s="15"/>
      <c r="L2013" s="28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5"/>
      <c r="AG2013" s="15"/>
      <c r="AH2013" s="15"/>
      <c r="AI2013" s="15"/>
      <c r="AJ2013" s="15"/>
      <c r="AK2013" s="15"/>
      <c r="AL2013" s="15"/>
      <c r="AM2013" s="15"/>
      <c r="AN2013" s="15"/>
      <c r="AO2013" s="15"/>
      <c r="AP2013" s="15"/>
      <c r="AQ2013" s="15"/>
      <c r="AR2013" s="15"/>
      <c r="AS2013" s="15"/>
      <c r="AT2013" s="15"/>
      <c r="AU2013" s="15"/>
      <c r="AV2013" s="15"/>
      <c r="AW2013" s="15"/>
    </row>
    <row r="2014" spans="3:49" x14ac:dyDescent="0.2">
      <c r="C2014" s="15"/>
      <c r="D2014" s="15"/>
      <c r="E2014" s="15"/>
      <c r="F2014" s="15"/>
      <c r="G2014" s="15"/>
      <c r="H2014" s="15"/>
      <c r="I2014" s="15"/>
      <c r="J2014" s="15"/>
      <c r="K2014" s="15"/>
      <c r="L2014" s="28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5"/>
      <c r="AG2014" s="15"/>
      <c r="AH2014" s="15"/>
      <c r="AI2014" s="15"/>
      <c r="AJ2014" s="15"/>
      <c r="AK2014" s="15"/>
      <c r="AL2014" s="15"/>
      <c r="AM2014" s="15"/>
      <c r="AN2014" s="15"/>
      <c r="AO2014" s="15"/>
      <c r="AP2014" s="15"/>
      <c r="AQ2014" s="15"/>
      <c r="AR2014" s="15"/>
      <c r="AS2014" s="15"/>
      <c r="AT2014" s="15"/>
      <c r="AU2014" s="15"/>
      <c r="AV2014" s="15"/>
      <c r="AW2014" s="15"/>
    </row>
    <row r="2015" spans="3:49" x14ac:dyDescent="0.2">
      <c r="C2015" s="15"/>
      <c r="D2015" s="15"/>
      <c r="E2015" s="15"/>
      <c r="F2015" s="15"/>
      <c r="G2015" s="15"/>
      <c r="H2015" s="15"/>
      <c r="I2015" s="15"/>
      <c r="J2015" s="15"/>
      <c r="K2015" s="15"/>
      <c r="L2015" s="28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5"/>
      <c r="AG2015" s="15"/>
      <c r="AH2015" s="15"/>
      <c r="AI2015" s="15"/>
      <c r="AJ2015" s="15"/>
      <c r="AK2015" s="15"/>
      <c r="AL2015" s="15"/>
      <c r="AM2015" s="15"/>
      <c r="AN2015" s="15"/>
      <c r="AO2015" s="15"/>
      <c r="AP2015" s="15"/>
      <c r="AQ2015" s="15"/>
      <c r="AR2015" s="15"/>
      <c r="AS2015" s="15"/>
      <c r="AT2015" s="15"/>
      <c r="AU2015" s="15"/>
      <c r="AV2015" s="15"/>
      <c r="AW2015" s="15"/>
    </row>
    <row r="2016" spans="3:49" x14ac:dyDescent="0.2">
      <c r="C2016" s="15"/>
      <c r="D2016" s="15"/>
      <c r="E2016" s="15"/>
      <c r="F2016" s="15"/>
      <c r="G2016" s="15"/>
      <c r="H2016" s="15"/>
      <c r="I2016" s="15"/>
      <c r="J2016" s="15"/>
      <c r="K2016" s="15"/>
      <c r="L2016" s="28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5"/>
      <c r="AG2016" s="15"/>
      <c r="AH2016" s="15"/>
      <c r="AI2016" s="15"/>
      <c r="AJ2016" s="15"/>
      <c r="AK2016" s="15"/>
      <c r="AL2016" s="15"/>
      <c r="AM2016" s="15"/>
      <c r="AN2016" s="15"/>
      <c r="AO2016" s="15"/>
      <c r="AP2016" s="15"/>
      <c r="AQ2016" s="15"/>
      <c r="AR2016" s="15"/>
      <c r="AS2016" s="15"/>
      <c r="AT2016" s="15"/>
      <c r="AU2016" s="15"/>
      <c r="AV2016" s="15"/>
      <c r="AW2016" s="15"/>
    </row>
    <row r="2017" spans="3:49" x14ac:dyDescent="0.2">
      <c r="C2017" s="15"/>
      <c r="D2017" s="15"/>
      <c r="E2017" s="15"/>
      <c r="F2017" s="15"/>
      <c r="G2017" s="15"/>
      <c r="H2017" s="15"/>
      <c r="I2017" s="15"/>
      <c r="J2017" s="15"/>
      <c r="K2017" s="15"/>
      <c r="L2017" s="28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5"/>
      <c r="AG2017" s="15"/>
      <c r="AH2017" s="15"/>
      <c r="AI2017" s="15"/>
      <c r="AJ2017" s="15"/>
      <c r="AK2017" s="15"/>
      <c r="AL2017" s="15"/>
      <c r="AM2017" s="15"/>
      <c r="AN2017" s="15"/>
      <c r="AO2017" s="15"/>
      <c r="AP2017" s="15"/>
      <c r="AQ2017" s="15"/>
      <c r="AR2017" s="15"/>
      <c r="AS2017" s="15"/>
      <c r="AT2017" s="15"/>
      <c r="AU2017" s="15"/>
      <c r="AV2017" s="15"/>
      <c r="AW2017" s="15"/>
    </row>
    <row r="2018" spans="3:49" x14ac:dyDescent="0.2">
      <c r="C2018" s="15"/>
      <c r="D2018" s="15"/>
      <c r="E2018" s="15"/>
      <c r="F2018" s="15"/>
      <c r="G2018" s="15"/>
      <c r="H2018" s="15"/>
      <c r="I2018" s="15"/>
      <c r="J2018" s="15"/>
      <c r="K2018" s="15"/>
      <c r="L2018" s="28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5"/>
      <c r="AG2018" s="15"/>
      <c r="AH2018" s="15"/>
      <c r="AI2018" s="15"/>
      <c r="AJ2018" s="15"/>
      <c r="AK2018" s="15"/>
      <c r="AL2018" s="15"/>
      <c r="AM2018" s="15"/>
      <c r="AN2018" s="15"/>
      <c r="AO2018" s="15"/>
      <c r="AP2018" s="15"/>
      <c r="AQ2018" s="15"/>
      <c r="AR2018" s="15"/>
      <c r="AS2018" s="15"/>
      <c r="AT2018" s="15"/>
      <c r="AU2018" s="15"/>
      <c r="AV2018" s="15"/>
      <c r="AW2018" s="15"/>
    </row>
    <row r="2019" spans="3:49" x14ac:dyDescent="0.2">
      <c r="C2019" s="15"/>
      <c r="D2019" s="15"/>
      <c r="E2019" s="15"/>
      <c r="F2019" s="15"/>
      <c r="G2019" s="15"/>
      <c r="H2019" s="15"/>
      <c r="I2019" s="15"/>
      <c r="J2019" s="15"/>
      <c r="K2019" s="15"/>
      <c r="L2019" s="28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5"/>
      <c r="AG2019" s="15"/>
      <c r="AH2019" s="15"/>
      <c r="AI2019" s="15"/>
      <c r="AJ2019" s="15"/>
      <c r="AK2019" s="15"/>
      <c r="AL2019" s="15"/>
      <c r="AM2019" s="15"/>
      <c r="AN2019" s="15"/>
      <c r="AO2019" s="15"/>
      <c r="AP2019" s="15"/>
      <c r="AQ2019" s="15"/>
      <c r="AR2019" s="15"/>
      <c r="AS2019" s="15"/>
      <c r="AT2019" s="15"/>
      <c r="AU2019" s="15"/>
      <c r="AV2019" s="15"/>
      <c r="AW2019" s="15"/>
    </row>
    <row r="2020" spans="3:49" x14ac:dyDescent="0.2">
      <c r="C2020" s="15"/>
      <c r="D2020" s="15"/>
      <c r="E2020" s="15"/>
      <c r="F2020" s="15"/>
      <c r="G2020" s="15"/>
      <c r="H2020" s="15"/>
      <c r="I2020" s="15"/>
      <c r="J2020" s="15"/>
      <c r="K2020" s="15"/>
      <c r="L2020" s="28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5"/>
      <c r="AG2020" s="15"/>
      <c r="AH2020" s="15"/>
      <c r="AI2020" s="15"/>
      <c r="AJ2020" s="15"/>
      <c r="AK2020" s="15"/>
      <c r="AL2020" s="15"/>
      <c r="AM2020" s="15"/>
      <c r="AN2020" s="15"/>
      <c r="AO2020" s="15"/>
      <c r="AP2020" s="15"/>
      <c r="AQ2020" s="15"/>
      <c r="AR2020" s="15"/>
      <c r="AS2020" s="15"/>
      <c r="AT2020" s="15"/>
      <c r="AU2020" s="15"/>
      <c r="AV2020" s="15"/>
      <c r="AW2020" s="15"/>
    </row>
    <row r="2021" spans="3:49" x14ac:dyDescent="0.2">
      <c r="C2021" s="15"/>
      <c r="D2021" s="15"/>
      <c r="E2021" s="15"/>
      <c r="F2021" s="15"/>
      <c r="G2021" s="15"/>
      <c r="H2021" s="15"/>
      <c r="I2021" s="15"/>
      <c r="J2021" s="15"/>
      <c r="K2021" s="15"/>
      <c r="L2021" s="28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5"/>
      <c r="AG2021" s="15"/>
      <c r="AH2021" s="15"/>
      <c r="AI2021" s="15"/>
      <c r="AJ2021" s="15"/>
      <c r="AK2021" s="15"/>
      <c r="AL2021" s="15"/>
      <c r="AM2021" s="15"/>
      <c r="AN2021" s="15"/>
      <c r="AO2021" s="15"/>
      <c r="AP2021" s="15"/>
      <c r="AQ2021" s="15"/>
      <c r="AR2021" s="15"/>
      <c r="AS2021" s="15"/>
      <c r="AT2021" s="15"/>
      <c r="AU2021" s="15"/>
      <c r="AV2021" s="15"/>
      <c r="AW2021" s="15"/>
    </row>
    <row r="2022" spans="3:49" x14ac:dyDescent="0.2">
      <c r="C2022" s="15"/>
      <c r="D2022" s="15"/>
      <c r="E2022" s="15"/>
      <c r="F2022" s="15"/>
      <c r="G2022" s="15"/>
      <c r="H2022" s="15"/>
      <c r="I2022" s="15"/>
      <c r="J2022" s="15"/>
      <c r="K2022" s="15"/>
      <c r="L2022" s="28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5"/>
      <c r="AG2022" s="15"/>
      <c r="AH2022" s="15"/>
      <c r="AI2022" s="15"/>
      <c r="AJ2022" s="15"/>
      <c r="AK2022" s="15"/>
      <c r="AL2022" s="15"/>
      <c r="AM2022" s="15"/>
      <c r="AN2022" s="15"/>
      <c r="AO2022" s="15"/>
      <c r="AP2022" s="15"/>
      <c r="AQ2022" s="15"/>
      <c r="AR2022" s="15"/>
      <c r="AS2022" s="15"/>
      <c r="AT2022" s="15"/>
      <c r="AU2022" s="15"/>
      <c r="AV2022" s="15"/>
      <c r="AW2022" s="15"/>
    </row>
    <row r="2023" spans="3:49" x14ac:dyDescent="0.2">
      <c r="C2023" s="15"/>
      <c r="D2023" s="15"/>
      <c r="E2023" s="15"/>
      <c r="F2023" s="15"/>
      <c r="G2023" s="15"/>
      <c r="H2023" s="15"/>
      <c r="I2023" s="15"/>
      <c r="J2023" s="15"/>
      <c r="K2023" s="15"/>
      <c r="L2023" s="28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5"/>
      <c r="AG2023" s="15"/>
      <c r="AH2023" s="15"/>
      <c r="AI2023" s="15"/>
      <c r="AJ2023" s="15"/>
      <c r="AK2023" s="15"/>
      <c r="AL2023" s="15"/>
      <c r="AM2023" s="15"/>
      <c r="AN2023" s="15"/>
      <c r="AO2023" s="15"/>
      <c r="AP2023" s="15"/>
      <c r="AQ2023" s="15"/>
      <c r="AR2023" s="15"/>
      <c r="AS2023" s="15"/>
      <c r="AT2023" s="15"/>
      <c r="AU2023" s="15"/>
      <c r="AV2023" s="15"/>
      <c r="AW2023" s="15"/>
    </row>
    <row r="2024" spans="3:49" x14ac:dyDescent="0.2">
      <c r="C2024" s="15"/>
      <c r="D2024" s="15"/>
      <c r="E2024" s="15"/>
      <c r="F2024" s="15"/>
      <c r="G2024" s="15"/>
      <c r="H2024" s="15"/>
      <c r="I2024" s="15"/>
      <c r="J2024" s="15"/>
      <c r="K2024" s="15"/>
      <c r="L2024" s="28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5"/>
      <c r="AG2024" s="15"/>
      <c r="AH2024" s="15"/>
      <c r="AI2024" s="15"/>
      <c r="AJ2024" s="15"/>
      <c r="AK2024" s="15"/>
      <c r="AL2024" s="15"/>
      <c r="AM2024" s="15"/>
      <c r="AN2024" s="15"/>
      <c r="AO2024" s="15"/>
      <c r="AP2024" s="15"/>
      <c r="AQ2024" s="15"/>
      <c r="AR2024" s="15"/>
      <c r="AS2024" s="15"/>
      <c r="AT2024" s="15"/>
      <c r="AU2024" s="15"/>
      <c r="AV2024" s="15"/>
      <c r="AW2024" s="15"/>
    </row>
    <row r="2025" spans="3:49" x14ac:dyDescent="0.2">
      <c r="C2025" s="15"/>
      <c r="D2025" s="15"/>
      <c r="E2025" s="15"/>
      <c r="F2025" s="15"/>
      <c r="G2025" s="15"/>
      <c r="H2025" s="15"/>
      <c r="I2025" s="15"/>
      <c r="J2025" s="15"/>
      <c r="K2025" s="15"/>
      <c r="L2025" s="28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5"/>
      <c r="AG2025" s="15"/>
      <c r="AH2025" s="15"/>
      <c r="AI2025" s="15"/>
      <c r="AJ2025" s="15"/>
      <c r="AK2025" s="15"/>
      <c r="AL2025" s="15"/>
      <c r="AM2025" s="15"/>
      <c r="AN2025" s="15"/>
      <c r="AO2025" s="15"/>
      <c r="AP2025" s="15"/>
      <c r="AQ2025" s="15"/>
      <c r="AR2025" s="15"/>
      <c r="AS2025" s="15"/>
      <c r="AT2025" s="15"/>
      <c r="AU2025" s="15"/>
      <c r="AV2025" s="15"/>
      <c r="AW2025" s="15"/>
    </row>
    <row r="2026" spans="3:49" x14ac:dyDescent="0.2">
      <c r="C2026" s="15"/>
      <c r="D2026" s="15"/>
      <c r="E2026" s="15"/>
      <c r="F2026" s="15"/>
      <c r="G2026" s="15"/>
      <c r="H2026" s="15"/>
      <c r="I2026" s="15"/>
      <c r="J2026" s="15"/>
      <c r="K2026" s="15"/>
      <c r="L2026" s="28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5"/>
      <c r="AG2026" s="15"/>
      <c r="AH2026" s="15"/>
      <c r="AI2026" s="15"/>
      <c r="AJ2026" s="15"/>
      <c r="AK2026" s="15"/>
      <c r="AL2026" s="15"/>
      <c r="AM2026" s="15"/>
      <c r="AN2026" s="15"/>
      <c r="AO2026" s="15"/>
      <c r="AP2026" s="15"/>
      <c r="AQ2026" s="15"/>
      <c r="AR2026" s="15"/>
      <c r="AS2026" s="15"/>
      <c r="AT2026" s="15"/>
      <c r="AU2026" s="15"/>
      <c r="AV2026" s="15"/>
      <c r="AW2026" s="15"/>
    </row>
    <row r="2027" spans="3:49" x14ac:dyDescent="0.2">
      <c r="C2027" s="15"/>
      <c r="D2027" s="15"/>
      <c r="E2027" s="15"/>
      <c r="F2027" s="15"/>
      <c r="G2027" s="15"/>
      <c r="H2027" s="15"/>
      <c r="I2027" s="15"/>
      <c r="J2027" s="15"/>
      <c r="K2027" s="15"/>
      <c r="L2027" s="28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5"/>
      <c r="AG2027" s="15"/>
      <c r="AH2027" s="15"/>
      <c r="AI2027" s="15"/>
      <c r="AJ2027" s="15"/>
      <c r="AK2027" s="15"/>
      <c r="AL2027" s="15"/>
      <c r="AM2027" s="15"/>
      <c r="AN2027" s="15"/>
      <c r="AO2027" s="15"/>
      <c r="AP2027" s="15"/>
      <c r="AQ2027" s="15"/>
      <c r="AR2027" s="15"/>
      <c r="AS2027" s="15"/>
      <c r="AT2027" s="15"/>
      <c r="AU2027" s="15"/>
      <c r="AV2027" s="15"/>
      <c r="AW2027" s="15"/>
    </row>
    <row r="2028" spans="3:49" x14ac:dyDescent="0.2">
      <c r="C2028" s="15"/>
      <c r="D2028" s="15"/>
      <c r="E2028" s="15"/>
      <c r="F2028" s="15"/>
      <c r="G2028" s="15"/>
      <c r="H2028" s="15"/>
      <c r="I2028" s="15"/>
      <c r="J2028" s="15"/>
      <c r="K2028" s="15"/>
      <c r="L2028" s="28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5"/>
      <c r="AG2028" s="15"/>
      <c r="AH2028" s="15"/>
      <c r="AI2028" s="15"/>
      <c r="AJ2028" s="15"/>
      <c r="AK2028" s="15"/>
      <c r="AL2028" s="15"/>
      <c r="AM2028" s="15"/>
      <c r="AN2028" s="15"/>
      <c r="AO2028" s="15"/>
      <c r="AP2028" s="15"/>
      <c r="AQ2028" s="15"/>
      <c r="AR2028" s="15"/>
      <c r="AS2028" s="15"/>
      <c r="AT2028" s="15"/>
      <c r="AU2028" s="15"/>
      <c r="AV2028" s="15"/>
      <c r="AW2028" s="15"/>
    </row>
    <row r="2029" spans="3:49" x14ac:dyDescent="0.2">
      <c r="C2029" s="15"/>
      <c r="D2029" s="15"/>
      <c r="E2029" s="15"/>
      <c r="F2029" s="15"/>
      <c r="G2029" s="15"/>
      <c r="H2029" s="15"/>
      <c r="I2029" s="15"/>
      <c r="J2029" s="15"/>
      <c r="K2029" s="15"/>
      <c r="L2029" s="28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5"/>
      <c r="AG2029" s="15"/>
      <c r="AH2029" s="15"/>
      <c r="AI2029" s="15"/>
      <c r="AJ2029" s="15"/>
      <c r="AK2029" s="15"/>
      <c r="AL2029" s="15"/>
      <c r="AM2029" s="15"/>
      <c r="AN2029" s="15"/>
      <c r="AO2029" s="15"/>
      <c r="AP2029" s="15"/>
      <c r="AQ2029" s="15"/>
      <c r="AR2029" s="15"/>
      <c r="AS2029" s="15"/>
      <c r="AT2029" s="15"/>
      <c r="AU2029" s="15"/>
      <c r="AV2029" s="15"/>
      <c r="AW2029" s="15"/>
    </row>
    <row r="2030" spans="3:49" x14ac:dyDescent="0.2">
      <c r="C2030" s="15"/>
      <c r="D2030" s="15"/>
      <c r="E2030" s="15"/>
      <c r="F2030" s="15"/>
      <c r="G2030" s="15"/>
      <c r="H2030" s="15"/>
      <c r="I2030" s="15"/>
      <c r="J2030" s="15"/>
      <c r="K2030" s="15"/>
      <c r="L2030" s="28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5"/>
      <c r="AG2030" s="15"/>
      <c r="AH2030" s="15"/>
      <c r="AI2030" s="15"/>
      <c r="AJ2030" s="15"/>
      <c r="AK2030" s="15"/>
      <c r="AL2030" s="15"/>
      <c r="AM2030" s="15"/>
      <c r="AN2030" s="15"/>
      <c r="AO2030" s="15"/>
      <c r="AP2030" s="15"/>
      <c r="AQ2030" s="15"/>
      <c r="AR2030" s="15"/>
      <c r="AS2030" s="15"/>
      <c r="AT2030" s="15"/>
      <c r="AU2030" s="15"/>
      <c r="AV2030" s="15"/>
      <c r="AW2030" s="15"/>
    </row>
    <row r="2031" spans="3:49" x14ac:dyDescent="0.2">
      <c r="C2031" s="15"/>
      <c r="D2031" s="15"/>
      <c r="E2031" s="15"/>
      <c r="F2031" s="15"/>
      <c r="G2031" s="15"/>
      <c r="H2031" s="15"/>
      <c r="I2031" s="15"/>
      <c r="J2031" s="15"/>
      <c r="K2031" s="15"/>
      <c r="L2031" s="28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5"/>
      <c r="AG2031" s="15"/>
      <c r="AH2031" s="15"/>
      <c r="AI2031" s="15"/>
      <c r="AJ2031" s="15"/>
      <c r="AK2031" s="15"/>
      <c r="AL2031" s="15"/>
      <c r="AM2031" s="15"/>
      <c r="AN2031" s="15"/>
      <c r="AO2031" s="15"/>
      <c r="AP2031" s="15"/>
      <c r="AQ2031" s="15"/>
      <c r="AR2031" s="15"/>
      <c r="AS2031" s="15"/>
      <c r="AT2031" s="15"/>
      <c r="AU2031" s="15"/>
      <c r="AV2031" s="15"/>
      <c r="AW2031" s="15"/>
    </row>
    <row r="2032" spans="3:49" x14ac:dyDescent="0.2">
      <c r="C2032" s="15"/>
      <c r="D2032" s="15"/>
      <c r="E2032" s="15"/>
      <c r="F2032" s="15"/>
      <c r="G2032" s="15"/>
      <c r="H2032" s="15"/>
      <c r="I2032" s="15"/>
      <c r="J2032" s="15"/>
      <c r="K2032" s="15"/>
      <c r="L2032" s="28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5"/>
      <c r="AG2032" s="15"/>
      <c r="AH2032" s="15"/>
      <c r="AI2032" s="15"/>
      <c r="AJ2032" s="15"/>
      <c r="AK2032" s="15"/>
      <c r="AL2032" s="15"/>
      <c r="AM2032" s="15"/>
      <c r="AN2032" s="15"/>
      <c r="AO2032" s="15"/>
      <c r="AP2032" s="15"/>
      <c r="AQ2032" s="15"/>
      <c r="AR2032" s="15"/>
      <c r="AS2032" s="15"/>
      <c r="AT2032" s="15"/>
      <c r="AU2032" s="15"/>
      <c r="AV2032" s="15"/>
      <c r="AW2032" s="15"/>
    </row>
    <row r="2033" spans="3:49" x14ac:dyDescent="0.2">
      <c r="C2033" s="15"/>
      <c r="D2033" s="15"/>
      <c r="E2033" s="15"/>
      <c r="F2033" s="15"/>
      <c r="G2033" s="15"/>
      <c r="H2033" s="15"/>
      <c r="I2033" s="15"/>
      <c r="J2033" s="15"/>
      <c r="K2033" s="15"/>
      <c r="L2033" s="28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5"/>
      <c r="AG2033" s="15"/>
      <c r="AH2033" s="15"/>
      <c r="AI2033" s="15"/>
      <c r="AJ2033" s="15"/>
      <c r="AK2033" s="15"/>
      <c r="AL2033" s="15"/>
      <c r="AM2033" s="15"/>
      <c r="AN2033" s="15"/>
      <c r="AO2033" s="15"/>
      <c r="AP2033" s="15"/>
      <c r="AQ2033" s="15"/>
      <c r="AR2033" s="15"/>
      <c r="AS2033" s="15"/>
      <c r="AT2033" s="15"/>
      <c r="AU2033" s="15"/>
      <c r="AV2033" s="15"/>
      <c r="AW2033" s="15"/>
    </row>
    <row r="2034" spans="3:49" x14ac:dyDescent="0.2">
      <c r="C2034" s="15"/>
      <c r="D2034" s="15"/>
      <c r="E2034" s="15"/>
      <c r="F2034" s="15"/>
      <c r="G2034" s="15"/>
      <c r="H2034" s="15"/>
      <c r="I2034" s="15"/>
      <c r="J2034" s="15"/>
      <c r="K2034" s="15"/>
      <c r="L2034" s="28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5"/>
      <c r="AG2034" s="15"/>
      <c r="AH2034" s="15"/>
      <c r="AI2034" s="15"/>
      <c r="AJ2034" s="15"/>
      <c r="AK2034" s="15"/>
      <c r="AL2034" s="15"/>
      <c r="AM2034" s="15"/>
      <c r="AN2034" s="15"/>
      <c r="AO2034" s="15"/>
      <c r="AP2034" s="15"/>
      <c r="AQ2034" s="15"/>
      <c r="AR2034" s="15"/>
      <c r="AS2034" s="15"/>
      <c r="AT2034" s="15"/>
      <c r="AU2034" s="15"/>
      <c r="AV2034" s="15"/>
      <c r="AW2034" s="15"/>
    </row>
    <row r="2035" spans="3:49" x14ac:dyDescent="0.2">
      <c r="C2035" s="15"/>
      <c r="D2035" s="15"/>
      <c r="E2035" s="15"/>
      <c r="F2035" s="15"/>
      <c r="G2035" s="15"/>
      <c r="H2035" s="15"/>
      <c r="I2035" s="15"/>
      <c r="J2035" s="15"/>
      <c r="K2035" s="15"/>
      <c r="L2035" s="28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5"/>
      <c r="AG2035" s="15"/>
      <c r="AH2035" s="15"/>
      <c r="AI2035" s="15"/>
      <c r="AJ2035" s="15"/>
      <c r="AK2035" s="15"/>
      <c r="AL2035" s="15"/>
      <c r="AM2035" s="15"/>
      <c r="AN2035" s="15"/>
      <c r="AO2035" s="15"/>
      <c r="AP2035" s="15"/>
      <c r="AQ2035" s="15"/>
      <c r="AR2035" s="15"/>
      <c r="AS2035" s="15"/>
      <c r="AT2035" s="15"/>
      <c r="AU2035" s="15"/>
      <c r="AV2035" s="15"/>
      <c r="AW2035" s="15"/>
    </row>
    <row r="2036" spans="3:49" x14ac:dyDescent="0.2">
      <c r="C2036" s="15"/>
      <c r="D2036" s="15"/>
      <c r="E2036" s="15"/>
      <c r="F2036" s="15"/>
      <c r="G2036" s="15"/>
      <c r="H2036" s="15"/>
      <c r="I2036" s="15"/>
      <c r="J2036" s="15"/>
      <c r="K2036" s="15"/>
      <c r="L2036" s="28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5"/>
      <c r="AG2036" s="15"/>
      <c r="AH2036" s="15"/>
      <c r="AI2036" s="15"/>
      <c r="AJ2036" s="15"/>
      <c r="AK2036" s="15"/>
      <c r="AL2036" s="15"/>
      <c r="AM2036" s="15"/>
      <c r="AN2036" s="15"/>
      <c r="AO2036" s="15"/>
      <c r="AP2036" s="15"/>
      <c r="AQ2036" s="15"/>
      <c r="AR2036" s="15"/>
      <c r="AS2036" s="15"/>
      <c r="AT2036" s="15"/>
      <c r="AU2036" s="15"/>
      <c r="AV2036" s="15"/>
      <c r="AW2036" s="15"/>
    </row>
    <row r="2037" spans="3:49" x14ac:dyDescent="0.2">
      <c r="C2037" s="15"/>
      <c r="D2037" s="15"/>
      <c r="E2037" s="15"/>
      <c r="F2037" s="15"/>
      <c r="G2037" s="15"/>
      <c r="H2037" s="15"/>
      <c r="I2037" s="15"/>
      <c r="J2037" s="15"/>
      <c r="K2037" s="15"/>
      <c r="L2037" s="28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5"/>
      <c r="AG2037" s="15"/>
      <c r="AH2037" s="15"/>
      <c r="AI2037" s="15"/>
      <c r="AJ2037" s="15"/>
      <c r="AK2037" s="15"/>
      <c r="AL2037" s="15"/>
      <c r="AM2037" s="15"/>
      <c r="AN2037" s="15"/>
      <c r="AO2037" s="15"/>
      <c r="AP2037" s="15"/>
      <c r="AQ2037" s="15"/>
      <c r="AR2037" s="15"/>
      <c r="AS2037" s="15"/>
      <c r="AT2037" s="15"/>
      <c r="AU2037" s="15"/>
      <c r="AV2037" s="15"/>
      <c r="AW2037" s="15"/>
    </row>
    <row r="2038" spans="3:49" x14ac:dyDescent="0.2">
      <c r="C2038" s="15"/>
      <c r="D2038" s="15"/>
      <c r="E2038" s="15"/>
      <c r="F2038" s="15"/>
      <c r="G2038" s="15"/>
      <c r="H2038" s="15"/>
      <c r="I2038" s="15"/>
      <c r="J2038" s="15"/>
      <c r="K2038" s="15"/>
      <c r="L2038" s="28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5"/>
      <c r="AG2038" s="15"/>
      <c r="AH2038" s="15"/>
      <c r="AI2038" s="15"/>
      <c r="AJ2038" s="15"/>
      <c r="AK2038" s="15"/>
      <c r="AL2038" s="15"/>
      <c r="AM2038" s="15"/>
      <c r="AN2038" s="15"/>
      <c r="AO2038" s="15"/>
      <c r="AP2038" s="15"/>
      <c r="AQ2038" s="15"/>
      <c r="AR2038" s="15"/>
      <c r="AS2038" s="15"/>
      <c r="AT2038" s="15"/>
      <c r="AU2038" s="15"/>
      <c r="AV2038" s="15"/>
      <c r="AW2038" s="15"/>
    </row>
    <row r="2039" spans="3:49" x14ac:dyDescent="0.2">
      <c r="C2039" s="15"/>
      <c r="D2039" s="15"/>
      <c r="E2039" s="15"/>
      <c r="F2039" s="15"/>
      <c r="G2039" s="15"/>
      <c r="H2039" s="15"/>
      <c r="I2039" s="15"/>
      <c r="J2039" s="15"/>
      <c r="K2039" s="15"/>
      <c r="L2039" s="28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5"/>
      <c r="AG2039" s="15"/>
      <c r="AH2039" s="15"/>
      <c r="AI2039" s="15"/>
      <c r="AJ2039" s="15"/>
      <c r="AK2039" s="15"/>
      <c r="AL2039" s="15"/>
      <c r="AM2039" s="15"/>
      <c r="AN2039" s="15"/>
      <c r="AO2039" s="15"/>
      <c r="AP2039" s="15"/>
      <c r="AQ2039" s="15"/>
      <c r="AR2039" s="15"/>
      <c r="AS2039" s="15"/>
      <c r="AT2039" s="15"/>
      <c r="AU2039" s="15"/>
      <c r="AV2039" s="15"/>
      <c r="AW2039" s="15"/>
    </row>
    <row r="2040" spans="3:49" x14ac:dyDescent="0.2">
      <c r="C2040" s="15"/>
      <c r="D2040" s="15"/>
      <c r="E2040" s="15"/>
      <c r="F2040" s="15"/>
      <c r="G2040" s="15"/>
      <c r="H2040" s="15"/>
      <c r="I2040" s="15"/>
      <c r="J2040" s="15"/>
      <c r="K2040" s="15"/>
      <c r="L2040" s="28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5"/>
      <c r="AG2040" s="15"/>
      <c r="AH2040" s="15"/>
      <c r="AI2040" s="15"/>
      <c r="AJ2040" s="15"/>
      <c r="AK2040" s="15"/>
      <c r="AL2040" s="15"/>
      <c r="AM2040" s="15"/>
      <c r="AN2040" s="15"/>
      <c r="AO2040" s="15"/>
      <c r="AP2040" s="15"/>
      <c r="AQ2040" s="15"/>
      <c r="AR2040" s="15"/>
      <c r="AS2040" s="15"/>
      <c r="AT2040" s="15"/>
      <c r="AU2040" s="15"/>
      <c r="AV2040" s="15"/>
      <c r="AW2040" s="15"/>
    </row>
    <row r="2041" spans="3:49" x14ac:dyDescent="0.2">
      <c r="C2041" s="15"/>
      <c r="D2041" s="15"/>
      <c r="E2041" s="15"/>
      <c r="F2041" s="15"/>
      <c r="G2041" s="15"/>
      <c r="H2041" s="15"/>
      <c r="I2041" s="15"/>
      <c r="J2041" s="15"/>
      <c r="K2041" s="15"/>
      <c r="L2041" s="28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5"/>
      <c r="AG2041" s="15"/>
      <c r="AH2041" s="15"/>
      <c r="AI2041" s="15"/>
      <c r="AJ2041" s="15"/>
      <c r="AK2041" s="15"/>
      <c r="AL2041" s="15"/>
      <c r="AM2041" s="15"/>
      <c r="AN2041" s="15"/>
      <c r="AO2041" s="15"/>
      <c r="AP2041" s="15"/>
      <c r="AQ2041" s="15"/>
      <c r="AR2041" s="15"/>
      <c r="AS2041" s="15"/>
      <c r="AT2041" s="15"/>
      <c r="AU2041" s="15"/>
      <c r="AV2041" s="15"/>
      <c r="AW2041" s="15"/>
    </row>
    <row r="2042" spans="3:49" x14ac:dyDescent="0.2">
      <c r="C2042" s="15"/>
      <c r="D2042" s="15"/>
      <c r="E2042" s="15"/>
      <c r="F2042" s="15"/>
      <c r="G2042" s="15"/>
      <c r="H2042" s="15"/>
      <c r="I2042" s="15"/>
      <c r="J2042" s="15"/>
      <c r="K2042" s="15"/>
      <c r="L2042" s="28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5"/>
      <c r="AG2042" s="15"/>
      <c r="AH2042" s="15"/>
      <c r="AI2042" s="15"/>
      <c r="AJ2042" s="15"/>
      <c r="AK2042" s="15"/>
      <c r="AL2042" s="15"/>
      <c r="AM2042" s="15"/>
      <c r="AN2042" s="15"/>
      <c r="AO2042" s="15"/>
      <c r="AP2042" s="15"/>
      <c r="AQ2042" s="15"/>
      <c r="AR2042" s="15"/>
      <c r="AS2042" s="15"/>
      <c r="AT2042" s="15"/>
      <c r="AU2042" s="15"/>
      <c r="AV2042" s="15"/>
      <c r="AW2042" s="15"/>
    </row>
    <row r="2043" spans="3:49" x14ac:dyDescent="0.2">
      <c r="C2043" s="15"/>
      <c r="D2043" s="15"/>
      <c r="E2043" s="15"/>
      <c r="F2043" s="15"/>
      <c r="G2043" s="15"/>
      <c r="H2043" s="15"/>
      <c r="I2043" s="15"/>
      <c r="J2043" s="15"/>
      <c r="K2043" s="15"/>
      <c r="L2043" s="28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5"/>
      <c r="AG2043" s="15"/>
      <c r="AH2043" s="15"/>
      <c r="AI2043" s="15"/>
      <c r="AJ2043" s="15"/>
      <c r="AK2043" s="15"/>
      <c r="AL2043" s="15"/>
      <c r="AM2043" s="15"/>
      <c r="AN2043" s="15"/>
      <c r="AO2043" s="15"/>
      <c r="AP2043" s="15"/>
      <c r="AQ2043" s="15"/>
      <c r="AR2043" s="15"/>
      <c r="AS2043" s="15"/>
      <c r="AT2043" s="15"/>
      <c r="AU2043" s="15"/>
      <c r="AV2043" s="15"/>
      <c r="AW2043" s="15"/>
    </row>
    <row r="2044" spans="3:49" x14ac:dyDescent="0.2">
      <c r="C2044" s="15"/>
      <c r="D2044" s="15"/>
      <c r="E2044" s="15"/>
      <c r="F2044" s="15"/>
      <c r="G2044" s="15"/>
      <c r="H2044" s="15"/>
      <c r="I2044" s="15"/>
      <c r="J2044" s="15"/>
      <c r="K2044" s="15"/>
      <c r="L2044" s="28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5"/>
      <c r="AG2044" s="15"/>
      <c r="AH2044" s="15"/>
      <c r="AI2044" s="15"/>
      <c r="AJ2044" s="15"/>
      <c r="AK2044" s="15"/>
      <c r="AL2044" s="15"/>
      <c r="AM2044" s="15"/>
      <c r="AN2044" s="15"/>
      <c r="AO2044" s="15"/>
      <c r="AP2044" s="15"/>
      <c r="AQ2044" s="15"/>
      <c r="AR2044" s="15"/>
      <c r="AS2044" s="15"/>
      <c r="AT2044" s="15"/>
      <c r="AU2044" s="15"/>
      <c r="AV2044" s="15"/>
      <c r="AW2044" s="15"/>
    </row>
    <row r="2045" spans="3:49" x14ac:dyDescent="0.2">
      <c r="C2045" s="15"/>
      <c r="D2045" s="15"/>
      <c r="E2045" s="15"/>
      <c r="F2045" s="15"/>
      <c r="G2045" s="15"/>
      <c r="H2045" s="15"/>
      <c r="I2045" s="15"/>
      <c r="J2045" s="15"/>
      <c r="K2045" s="15"/>
      <c r="L2045" s="28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5"/>
      <c r="AG2045" s="15"/>
      <c r="AH2045" s="15"/>
      <c r="AI2045" s="15"/>
      <c r="AJ2045" s="15"/>
      <c r="AK2045" s="15"/>
      <c r="AL2045" s="15"/>
      <c r="AM2045" s="15"/>
      <c r="AN2045" s="15"/>
      <c r="AO2045" s="15"/>
      <c r="AP2045" s="15"/>
      <c r="AQ2045" s="15"/>
      <c r="AR2045" s="15"/>
      <c r="AS2045" s="15"/>
      <c r="AT2045" s="15"/>
      <c r="AU2045" s="15"/>
      <c r="AV2045" s="15"/>
      <c r="AW2045" s="15"/>
    </row>
    <row r="2046" spans="3:49" x14ac:dyDescent="0.2">
      <c r="C2046" s="15"/>
      <c r="D2046" s="15"/>
      <c r="E2046" s="15"/>
      <c r="F2046" s="15"/>
      <c r="G2046" s="15"/>
      <c r="H2046" s="15"/>
      <c r="I2046" s="15"/>
      <c r="J2046" s="15"/>
      <c r="K2046" s="15"/>
      <c r="L2046" s="28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5"/>
      <c r="AG2046" s="15"/>
      <c r="AH2046" s="15"/>
      <c r="AI2046" s="15"/>
      <c r="AJ2046" s="15"/>
      <c r="AK2046" s="15"/>
      <c r="AL2046" s="15"/>
      <c r="AM2046" s="15"/>
      <c r="AN2046" s="15"/>
      <c r="AO2046" s="15"/>
      <c r="AP2046" s="15"/>
      <c r="AQ2046" s="15"/>
      <c r="AR2046" s="15"/>
      <c r="AS2046" s="15"/>
      <c r="AT2046" s="15"/>
      <c r="AU2046" s="15"/>
      <c r="AV2046" s="15"/>
      <c r="AW2046" s="15"/>
    </row>
    <row r="2047" spans="3:49" x14ac:dyDescent="0.2">
      <c r="C2047" s="15"/>
      <c r="D2047" s="15"/>
      <c r="E2047" s="15"/>
      <c r="F2047" s="15"/>
      <c r="G2047" s="15"/>
      <c r="H2047" s="15"/>
      <c r="I2047" s="15"/>
      <c r="J2047" s="15"/>
      <c r="K2047" s="15"/>
      <c r="L2047" s="28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5"/>
      <c r="AG2047" s="15"/>
      <c r="AH2047" s="15"/>
      <c r="AI2047" s="15"/>
      <c r="AJ2047" s="15"/>
      <c r="AK2047" s="15"/>
      <c r="AL2047" s="15"/>
      <c r="AM2047" s="15"/>
      <c r="AN2047" s="15"/>
      <c r="AO2047" s="15"/>
      <c r="AP2047" s="15"/>
      <c r="AQ2047" s="15"/>
      <c r="AR2047" s="15"/>
      <c r="AS2047" s="15"/>
      <c r="AT2047" s="15"/>
      <c r="AU2047" s="15"/>
      <c r="AV2047" s="15"/>
      <c r="AW2047" s="15"/>
    </row>
    <row r="2048" spans="3:49" x14ac:dyDescent="0.2">
      <c r="C2048" s="15"/>
      <c r="D2048" s="15"/>
      <c r="E2048" s="15"/>
      <c r="F2048" s="15"/>
      <c r="G2048" s="15"/>
      <c r="H2048" s="15"/>
      <c r="I2048" s="15"/>
      <c r="J2048" s="15"/>
      <c r="K2048" s="15"/>
      <c r="L2048" s="28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5"/>
      <c r="AG2048" s="15"/>
      <c r="AH2048" s="15"/>
      <c r="AI2048" s="15"/>
      <c r="AJ2048" s="15"/>
      <c r="AK2048" s="15"/>
      <c r="AL2048" s="15"/>
      <c r="AM2048" s="15"/>
      <c r="AN2048" s="15"/>
      <c r="AO2048" s="15"/>
      <c r="AP2048" s="15"/>
      <c r="AQ2048" s="15"/>
      <c r="AR2048" s="15"/>
      <c r="AS2048" s="15"/>
      <c r="AT2048" s="15"/>
      <c r="AU2048" s="15"/>
      <c r="AV2048" s="15"/>
      <c r="AW2048" s="15"/>
    </row>
    <row r="2049" spans="3:49" x14ac:dyDescent="0.2">
      <c r="C2049" s="15"/>
      <c r="D2049" s="15"/>
      <c r="E2049" s="15"/>
      <c r="F2049" s="15"/>
      <c r="G2049" s="15"/>
      <c r="H2049" s="15"/>
      <c r="I2049" s="15"/>
      <c r="J2049" s="15"/>
      <c r="K2049" s="15"/>
      <c r="L2049" s="28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5"/>
      <c r="AG2049" s="15"/>
      <c r="AH2049" s="15"/>
      <c r="AI2049" s="15"/>
      <c r="AJ2049" s="15"/>
      <c r="AK2049" s="15"/>
      <c r="AL2049" s="15"/>
      <c r="AM2049" s="15"/>
      <c r="AN2049" s="15"/>
      <c r="AO2049" s="15"/>
      <c r="AP2049" s="15"/>
      <c r="AQ2049" s="15"/>
      <c r="AR2049" s="15"/>
      <c r="AS2049" s="15"/>
      <c r="AT2049" s="15"/>
      <c r="AU2049" s="15"/>
      <c r="AV2049" s="15"/>
      <c r="AW2049" s="15"/>
    </row>
    <row r="2050" spans="3:49" x14ac:dyDescent="0.2">
      <c r="C2050" s="15"/>
      <c r="D2050" s="15"/>
      <c r="E2050" s="15"/>
      <c r="F2050" s="15"/>
      <c r="G2050" s="15"/>
      <c r="H2050" s="15"/>
      <c r="I2050" s="15"/>
      <c r="J2050" s="15"/>
      <c r="K2050" s="15"/>
      <c r="L2050" s="28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5"/>
      <c r="AG2050" s="15"/>
      <c r="AH2050" s="15"/>
      <c r="AI2050" s="15"/>
      <c r="AJ2050" s="15"/>
      <c r="AK2050" s="15"/>
      <c r="AL2050" s="15"/>
      <c r="AM2050" s="15"/>
      <c r="AN2050" s="15"/>
      <c r="AO2050" s="15"/>
      <c r="AP2050" s="15"/>
      <c r="AQ2050" s="15"/>
      <c r="AR2050" s="15"/>
      <c r="AS2050" s="15"/>
      <c r="AT2050" s="15"/>
      <c r="AU2050" s="15"/>
      <c r="AV2050" s="15"/>
      <c r="AW2050" s="15"/>
    </row>
    <row r="2051" spans="3:49" x14ac:dyDescent="0.2">
      <c r="C2051" s="15"/>
      <c r="D2051" s="15"/>
      <c r="E2051" s="15"/>
      <c r="F2051" s="15"/>
      <c r="G2051" s="15"/>
      <c r="H2051" s="15"/>
      <c r="I2051" s="15"/>
      <c r="J2051" s="15"/>
      <c r="K2051" s="15"/>
      <c r="L2051" s="28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5"/>
      <c r="AG2051" s="15"/>
      <c r="AH2051" s="15"/>
      <c r="AI2051" s="15"/>
      <c r="AJ2051" s="15"/>
      <c r="AK2051" s="15"/>
      <c r="AL2051" s="15"/>
      <c r="AM2051" s="15"/>
      <c r="AN2051" s="15"/>
      <c r="AO2051" s="15"/>
      <c r="AP2051" s="15"/>
      <c r="AQ2051" s="15"/>
      <c r="AR2051" s="15"/>
      <c r="AS2051" s="15"/>
      <c r="AT2051" s="15"/>
      <c r="AU2051" s="15"/>
      <c r="AV2051" s="15"/>
      <c r="AW2051" s="15"/>
    </row>
    <row r="2052" spans="3:49" x14ac:dyDescent="0.2">
      <c r="C2052" s="15"/>
      <c r="D2052" s="15"/>
      <c r="E2052" s="15"/>
      <c r="F2052" s="15"/>
      <c r="G2052" s="15"/>
      <c r="H2052" s="15"/>
      <c r="I2052" s="15"/>
      <c r="J2052" s="15"/>
      <c r="K2052" s="15"/>
      <c r="L2052" s="28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5"/>
      <c r="AG2052" s="15"/>
      <c r="AH2052" s="15"/>
      <c r="AI2052" s="15"/>
      <c r="AJ2052" s="15"/>
      <c r="AK2052" s="15"/>
      <c r="AL2052" s="15"/>
      <c r="AM2052" s="15"/>
      <c r="AN2052" s="15"/>
      <c r="AO2052" s="15"/>
      <c r="AP2052" s="15"/>
      <c r="AQ2052" s="15"/>
      <c r="AR2052" s="15"/>
      <c r="AS2052" s="15"/>
      <c r="AT2052" s="15"/>
      <c r="AU2052" s="15"/>
      <c r="AV2052" s="15"/>
      <c r="AW2052" s="15"/>
    </row>
    <row r="2053" spans="3:49" x14ac:dyDescent="0.2">
      <c r="C2053" s="15"/>
      <c r="D2053" s="15"/>
      <c r="E2053" s="15"/>
      <c r="F2053" s="15"/>
      <c r="G2053" s="15"/>
      <c r="H2053" s="15"/>
      <c r="I2053" s="15"/>
      <c r="J2053" s="15"/>
      <c r="K2053" s="15"/>
      <c r="L2053" s="28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5"/>
      <c r="AG2053" s="15"/>
      <c r="AH2053" s="15"/>
      <c r="AI2053" s="15"/>
      <c r="AJ2053" s="15"/>
      <c r="AK2053" s="15"/>
      <c r="AL2053" s="15"/>
      <c r="AM2053" s="15"/>
      <c r="AN2053" s="15"/>
      <c r="AO2053" s="15"/>
      <c r="AP2053" s="15"/>
      <c r="AQ2053" s="15"/>
      <c r="AR2053" s="15"/>
      <c r="AS2053" s="15"/>
      <c r="AT2053" s="15"/>
      <c r="AU2053" s="15"/>
      <c r="AV2053" s="15"/>
      <c r="AW2053" s="15"/>
    </row>
    <row r="2054" spans="3:49" x14ac:dyDescent="0.2">
      <c r="C2054" s="15"/>
      <c r="D2054" s="15"/>
      <c r="E2054" s="15"/>
      <c r="F2054" s="15"/>
      <c r="G2054" s="15"/>
      <c r="H2054" s="15"/>
      <c r="I2054" s="15"/>
      <c r="J2054" s="15"/>
      <c r="K2054" s="15"/>
      <c r="L2054" s="28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5"/>
      <c r="AG2054" s="15"/>
      <c r="AH2054" s="15"/>
      <c r="AI2054" s="15"/>
      <c r="AJ2054" s="15"/>
      <c r="AK2054" s="15"/>
      <c r="AL2054" s="15"/>
      <c r="AM2054" s="15"/>
      <c r="AN2054" s="15"/>
      <c r="AO2054" s="15"/>
      <c r="AP2054" s="15"/>
      <c r="AQ2054" s="15"/>
      <c r="AR2054" s="15"/>
      <c r="AS2054" s="15"/>
      <c r="AT2054" s="15"/>
      <c r="AU2054" s="15"/>
      <c r="AV2054" s="15"/>
      <c r="AW2054" s="15"/>
    </row>
    <row r="2055" spans="3:49" x14ac:dyDescent="0.2">
      <c r="C2055" s="15"/>
      <c r="D2055" s="15"/>
      <c r="E2055" s="15"/>
      <c r="F2055" s="15"/>
      <c r="G2055" s="15"/>
      <c r="H2055" s="15"/>
      <c r="I2055" s="15"/>
      <c r="J2055" s="15"/>
      <c r="K2055" s="15"/>
      <c r="L2055" s="28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5"/>
      <c r="AG2055" s="15"/>
      <c r="AH2055" s="15"/>
      <c r="AI2055" s="15"/>
      <c r="AJ2055" s="15"/>
      <c r="AK2055" s="15"/>
      <c r="AL2055" s="15"/>
      <c r="AM2055" s="15"/>
      <c r="AN2055" s="15"/>
      <c r="AO2055" s="15"/>
      <c r="AP2055" s="15"/>
      <c r="AQ2055" s="15"/>
      <c r="AR2055" s="15"/>
      <c r="AS2055" s="15"/>
      <c r="AT2055" s="15"/>
      <c r="AU2055" s="15"/>
      <c r="AV2055" s="15"/>
      <c r="AW2055" s="15"/>
    </row>
    <row r="2056" spans="3:49" x14ac:dyDescent="0.2">
      <c r="C2056" s="15"/>
      <c r="D2056" s="15"/>
      <c r="E2056" s="15"/>
      <c r="F2056" s="15"/>
      <c r="G2056" s="15"/>
      <c r="H2056" s="15"/>
      <c r="I2056" s="15"/>
      <c r="J2056" s="15"/>
      <c r="K2056" s="15"/>
      <c r="L2056" s="28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5"/>
      <c r="AG2056" s="15"/>
      <c r="AH2056" s="15"/>
      <c r="AI2056" s="15"/>
      <c r="AJ2056" s="15"/>
      <c r="AK2056" s="15"/>
      <c r="AL2056" s="15"/>
      <c r="AM2056" s="15"/>
      <c r="AN2056" s="15"/>
      <c r="AO2056" s="15"/>
      <c r="AP2056" s="15"/>
      <c r="AQ2056" s="15"/>
      <c r="AR2056" s="15"/>
      <c r="AS2056" s="15"/>
      <c r="AT2056" s="15"/>
      <c r="AU2056" s="15"/>
      <c r="AV2056" s="15"/>
      <c r="AW2056" s="15"/>
    </row>
    <row r="2057" spans="3:49" x14ac:dyDescent="0.2">
      <c r="C2057" s="15"/>
      <c r="D2057" s="15"/>
      <c r="E2057" s="15"/>
      <c r="F2057" s="15"/>
      <c r="G2057" s="15"/>
      <c r="H2057" s="15"/>
      <c r="I2057" s="15"/>
      <c r="J2057" s="15"/>
      <c r="K2057" s="15"/>
      <c r="L2057" s="28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5"/>
      <c r="AG2057" s="15"/>
      <c r="AH2057" s="15"/>
      <c r="AI2057" s="15"/>
      <c r="AJ2057" s="15"/>
      <c r="AK2057" s="15"/>
      <c r="AL2057" s="15"/>
      <c r="AM2057" s="15"/>
      <c r="AN2057" s="15"/>
      <c r="AO2057" s="15"/>
      <c r="AP2057" s="15"/>
      <c r="AQ2057" s="15"/>
      <c r="AR2057" s="15"/>
      <c r="AS2057" s="15"/>
      <c r="AT2057" s="15"/>
      <c r="AU2057" s="15"/>
      <c r="AV2057" s="15"/>
      <c r="AW2057" s="15"/>
    </row>
    <row r="2058" spans="3:49" x14ac:dyDescent="0.2">
      <c r="C2058" s="15"/>
      <c r="D2058" s="15"/>
      <c r="E2058" s="15"/>
      <c r="F2058" s="15"/>
      <c r="G2058" s="15"/>
      <c r="H2058" s="15"/>
      <c r="I2058" s="15"/>
      <c r="J2058" s="15"/>
      <c r="K2058" s="15"/>
      <c r="L2058" s="28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5"/>
      <c r="AG2058" s="15"/>
      <c r="AH2058" s="15"/>
      <c r="AI2058" s="15"/>
      <c r="AJ2058" s="15"/>
      <c r="AK2058" s="15"/>
      <c r="AL2058" s="15"/>
      <c r="AM2058" s="15"/>
      <c r="AN2058" s="15"/>
      <c r="AO2058" s="15"/>
      <c r="AP2058" s="15"/>
      <c r="AQ2058" s="15"/>
      <c r="AR2058" s="15"/>
      <c r="AS2058" s="15"/>
      <c r="AT2058" s="15"/>
      <c r="AU2058" s="15"/>
      <c r="AV2058" s="15"/>
      <c r="AW2058" s="15"/>
    </row>
    <row r="2059" spans="3:49" x14ac:dyDescent="0.2">
      <c r="C2059" s="15"/>
      <c r="D2059" s="15"/>
      <c r="E2059" s="15"/>
      <c r="F2059" s="15"/>
      <c r="G2059" s="15"/>
      <c r="H2059" s="15"/>
      <c r="I2059" s="15"/>
      <c r="J2059" s="15"/>
      <c r="K2059" s="15"/>
      <c r="L2059" s="28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5"/>
      <c r="AG2059" s="15"/>
      <c r="AH2059" s="15"/>
      <c r="AI2059" s="15"/>
      <c r="AJ2059" s="15"/>
      <c r="AK2059" s="15"/>
      <c r="AL2059" s="15"/>
      <c r="AM2059" s="15"/>
      <c r="AN2059" s="15"/>
      <c r="AO2059" s="15"/>
      <c r="AP2059" s="15"/>
      <c r="AQ2059" s="15"/>
      <c r="AR2059" s="15"/>
      <c r="AS2059" s="15"/>
      <c r="AT2059" s="15"/>
      <c r="AU2059" s="15"/>
      <c r="AV2059" s="15"/>
      <c r="AW2059" s="15"/>
    </row>
    <row r="2060" spans="3:49" x14ac:dyDescent="0.2">
      <c r="C2060" s="15"/>
      <c r="D2060" s="15"/>
      <c r="E2060" s="15"/>
      <c r="F2060" s="15"/>
      <c r="G2060" s="15"/>
      <c r="H2060" s="15"/>
      <c r="I2060" s="15"/>
      <c r="J2060" s="15"/>
      <c r="K2060" s="15"/>
      <c r="L2060" s="28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5"/>
      <c r="AG2060" s="15"/>
      <c r="AH2060" s="15"/>
      <c r="AI2060" s="15"/>
      <c r="AJ2060" s="15"/>
      <c r="AK2060" s="15"/>
      <c r="AL2060" s="15"/>
      <c r="AM2060" s="15"/>
      <c r="AN2060" s="15"/>
      <c r="AO2060" s="15"/>
      <c r="AP2060" s="15"/>
      <c r="AQ2060" s="15"/>
      <c r="AR2060" s="15"/>
      <c r="AS2060" s="15"/>
      <c r="AT2060" s="15"/>
      <c r="AU2060" s="15"/>
      <c r="AV2060" s="15"/>
      <c r="AW2060" s="15"/>
    </row>
    <row r="2061" spans="3:49" x14ac:dyDescent="0.2">
      <c r="C2061" s="15"/>
      <c r="D2061" s="15"/>
      <c r="E2061" s="15"/>
      <c r="F2061" s="15"/>
      <c r="G2061" s="15"/>
      <c r="H2061" s="15"/>
      <c r="I2061" s="15"/>
      <c r="J2061" s="15"/>
      <c r="K2061" s="15"/>
      <c r="L2061" s="28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5"/>
      <c r="AG2061" s="15"/>
      <c r="AH2061" s="15"/>
      <c r="AI2061" s="15"/>
      <c r="AJ2061" s="15"/>
      <c r="AK2061" s="15"/>
      <c r="AL2061" s="15"/>
      <c r="AM2061" s="15"/>
      <c r="AN2061" s="15"/>
      <c r="AO2061" s="15"/>
      <c r="AP2061" s="15"/>
      <c r="AQ2061" s="15"/>
      <c r="AR2061" s="15"/>
      <c r="AS2061" s="15"/>
      <c r="AT2061" s="15"/>
      <c r="AU2061" s="15"/>
      <c r="AV2061" s="15"/>
      <c r="AW2061" s="15"/>
    </row>
    <row r="2062" spans="3:49" x14ac:dyDescent="0.2">
      <c r="C2062" s="15"/>
      <c r="D2062" s="15"/>
      <c r="E2062" s="15"/>
      <c r="F2062" s="15"/>
      <c r="G2062" s="15"/>
      <c r="H2062" s="15"/>
      <c r="I2062" s="15"/>
      <c r="J2062" s="15"/>
      <c r="K2062" s="15"/>
      <c r="L2062" s="28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5"/>
      <c r="AG2062" s="15"/>
      <c r="AH2062" s="15"/>
      <c r="AI2062" s="15"/>
      <c r="AJ2062" s="15"/>
      <c r="AK2062" s="15"/>
      <c r="AL2062" s="15"/>
      <c r="AM2062" s="15"/>
      <c r="AN2062" s="15"/>
      <c r="AO2062" s="15"/>
      <c r="AP2062" s="15"/>
      <c r="AQ2062" s="15"/>
      <c r="AR2062" s="15"/>
      <c r="AS2062" s="15"/>
      <c r="AT2062" s="15"/>
      <c r="AU2062" s="15"/>
      <c r="AV2062" s="15"/>
      <c r="AW2062" s="15"/>
    </row>
    <row r="2063" spans="3:49" x14ac:dyDescent="0.2">
      <c r="C2063" s="15"/>
      <c r="D2063" s="15"/>
      <c r="E2063" s="15"/>
      <c r="F2063" s="15"/>
      <c r="G2063" s="15"/>
      <c r="H2063" s="15"/>
      <c r="I2063" s="15"/>
      <c r="J2063" s="15"/>
      <c r="K2063" s="15"/>
      <c r="L2063" s="28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5"/>
      <c r="AG2063" s="15"/>
      <c r="AH2063" s="15"/>
      <c r="AI2063" s="15"/>
      <c r="AJ2063" s="15"/>
      <c r="AK2063" s="15"/>
      <c r="AL2063" s="15"/>
      <c r="AM2063" s="15"/>
      <c r="AN2063" s="15"/>
      <c r="AO2063" s="15"/>
      <c r="AP2063" s="15"/>
      <c r="AQ2063" s="15"/>
      <c r="AR2063" s="15"/>
      <c r="AS2063" s="15"/>
      <c r="AT2063" s="15"/>
      <c r="AU2063" s="15"/>
      <c r="AV2063" s="15"/>
      <c r="AW2063" s="15"/>
    </row>
    <row r="2064" spans="3:49" x14ac:dyDescent="0.2">
      <c r="C2064" s="15"/>
      <c r="D2064" s="15"/>
      <c r="E2064" s="15"/>
      <c r="F2064" s="15"/>
      <c r="G2064" s="15"/>
      <c r="H2064" s="15"/>
      <c r="I2064" s="15"/>
      <c r="J2064" s="15"/>
      <c r="K2064" s="15"/>
      <c r="L2064" s="28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5"/>
      <c r="AG2064" s="15"/>
      <c r="AH2064" s="15"/>
      <c r="AI2064" s="15"/>
      <c r="AJ2064" s="15"/>
      <c r="AK2064" s="15"/>
      <c r="AL2064" s="15"/>
      <c r="AM2064" s="15"/>
      <c r="AN2064" s="15"/>
      <c r="AO2064" s="15"/>
      <c r="AP2064" s="15"/>
      <c r="AQ2064" s="15"/>
      <c r="AR2064" s="15"/>
      <c r="AS2064" s="15"/>
      <c r="AT2064" s="15"/>
      <c r="AU2064" s="15"/>
      <c r="AV2064" s="15"/>
      <c r="AW2064" s="15"/>
    </row>
    <row r="2065" spans="3:49" x14ac:dyDescent="0.2">
      <c r="C2065" s="15"/>
      <c r="D2065" s="15"/>
      <c r="E2065" s="15"/>
      <c r="F2065" s="15"/>
      <c r="G2065" s="15"/>
      <c r="H2065" s="15"/>
      <c r="I2065" s="15"/>
      <c r="J2065" s="15"/>
      <c r="K2065" s="15"/>
      <c r="L2065" s="28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5"/>
      <c r="AG2065" s="15"/>
      <c r="AH2065" s="15"/>
      <c r="AI2065" s="15"/>
      <c r="AJ2065" s="15"/>
      <c r="AK2065" s="15"/>
      <c r="AL2065" s="15"/>
      <c r="AM2065" s="15"/>
      <c r="AN2065" s="15"/>
      <c r="AO2065" s="15"/>
      <c r="AP2065" s="15"/>
      <c r="AQ2065" s="15"/>
      <c r="AR2065" s="15"/>
      <c r="AS2065" s="15"/>
      <c r="AT2065" s="15"/>
      <c r="AU2065" s="15"/>
      <c r="AV2065" s="15"/>
      <c r="AW2065" s="15"/>
    </row>
    <row r="2066" spans="3:49" x14ac:dyDescent="0.2">
      <c r="C2066" s="15"/>
      <c r="D2066" s="15"/>
      <c r="E2066" s="15"/>
      <c r="F2066" s="15"/>
      <c r="G2066" s="15"/>
      <c r="H2066" s="15"/>
      <c r="I2066" s="15"/>
      <c r="J2066" s="15"/>
      <c r="K2066" s="15"/>
      <c r="L2066" s="28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5"/>
      <c r="AG2066" s="15"/>
      <c r="AH2066" s="15"/>
      <c r="AI2066" s="15"/>
      <c r="AJ2066" s="15"/>
      <c r="AK2066" s="15"/>
      <c r="AL2066" s="15"/>
      <c r="AM2066" s="15"/>
      <c r="AN2066" s="15"/>
      <c r="AO2066" s="15"/>
      <c r="AP2066" s="15"/>
      <c r="AQ2066" s="15"/>
      <c r="AR2066" s="15"/>
      <c r="AS2066" s="15"/>
      <c r="AT2066" s="15"/>
      <c r="AU2066" s="15"/>
      <c r="AV2066" s="15"/>
      <c r="AW2066" s="15"/>
    </row>
    <row r="2067" spans="3:49" x14ac:dyDescent="0.2">
      <c r="C2067" s="15"/>
      <c r="D2067" s="15"/>
      <c r="E2067" s="15"/>
      <c r="F2067" s="15"/>
      <c r="G2067" s="15"/>
      <c r="H2067" s="15"/>
      <c r="I2067" s="15"/>
      <c r="J2067" s="15"/>
      <c r="K2067" s="15"/>
      <c r="L2067" s="28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5"/>
      <c r="AG2067" s="15"/>
      <c r="AH2067" s="15"/>
      <c r="AI2067" s="15"/>
      <c r="AJ2067" s="15"/>
      <c r="AK2067" s="15"/>
      <c r="AL2067" s="15"/>
      <c r="AM2067" s="15"/>
      <c r="AN2067" s="15"/>
      <c r="AO2067" s="15"/>
      <c r="AP2067" s="15"/>
      <c r="AQ2067" s="15"/>
      <c r="AR2067" s="15"/>
      <c r="AS2067" s="15"/>
      <c r="AT2067" s="15"/>
      <c r="AU2067" s="15"/>
      <c r="AV2067" s="15"/>
      <c r="AW2067" s="15"/>
    </row>
    <row r="2068" spans="3:49" x14ac:dyDescent="0.2">
      <c r="C2068" s="15"/>
      <c r="D2068" s="15"/>
      <c r="E2068" s="15"/>
      <c r="F2068" s="15"/>
      <c r="G2068" s="15"/>
      <c r="H2068" s="15"/>
      <c r="I2068" s="15"/>
      <c r="J2068" s="15"/>
      <c r="K2068" s="15"/>
      <c r="L2068" s="28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5"/>
      <c r="AG2068" s="15"/>
      <c r="AH2068" s="15"/>
      <c r="AI2068" s="15"/>
      <c r="AJ2068" s="15"/>
      <c r="AK2068" s="15"/>
      <c r="AL2068" s="15"/>
      <c r="AM2068" s="15"/>
      <c r="AN2068" s="15"/>
      <c r="AO2068" s="15"/>
      <c r="AP2068" s="15"/>
      <c r="AQ2068" s="15"/>
      <c r="AR2068" s="15"/>
      <c r="AS2068" s="15"/>
      <c r="AT2068" s="15"/>
      <c r="AU2068" s="15"/>
      <c r="AV2068" s="15"/>
      <c r="AW2068" s="15"/>
    </row>
    <row r="2069" spans="3:49" x14ac:dyDescent="0.2">
      <c r="C2069" s="15"/>
      <c r="D2069" s="15"/>
      <c r="E2069" s="15"/>
      <c r="F2069" s="15"/>
      <c r="G2069" s="15"/>
      <c r="H2069" s="15"/>
      <c r="I2069" s="15"/>
      <c r="J2069" s="15"/>
      <c r="K2069" s="15"/>
      <c r="L2069" s="28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5"/>
      <c r="AG2069" s="15"/>
      <c r="AH2069" s="15"/>
      <c r="AI2069" s="15"/>
      <c r="AJ2069" s="15"/>
      <c r="AK2069" s="15"/>
      <c r="AL2069" s="15"/>
      <c r="AM2069" s="15"/>
      <c r="AN2069" s="15"/>
      <c r="AO2069" s="15"/>
      <c r="AP2069" s="15"/>
      <c r="AQ2069" s="15"/>
      <c r="AR2069" s="15"/>
      <c r="AS2069" s="15"/>
      <c r="AT2069" s="15"/>
      <c r="AU2069" s="15"/>
      <c r="AV2069" s="15"/>
      <c r="AW2069" s="15"/>
    </row>
    <row r="2070" spans="3:49" x14ac:dyDescent="0.2">
      <c r="C2070" s="15"/>
      <c r="D2070" s="15"/>
      <c r="E2070" s="15"/>
      <c r="F2070" s="15"/>
      <c r="G2070" s="15"/>
      <c r="H2070" s="15"/>
      <c r="I2070" s="15"/>
      <c r="J2070" s="15"/>
      <c r="K2070" s="15"/>
      <c r="L2070" s="28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5"/>
      <c r="AG2070" s="15"/>
      <c r="AH2070" s="15"/>
      <c r="AI2070" s="15"/>
      <c r="AJ2070" s="15"/>
      <c r="AK2070" s="15"/>
      <c r="AL2070" s="15"/>
      <c r="AM2070" s="15"/>
      <c r="AN2070" s="15"/>
      <c r="AO2070" s="15"/>
      <c r="AP2070" s="15"/>
      <c r="AQ2070" s="15"/>
      <c r="AR2070" s="15"/>
      <c r="AS2070" s="15"/>
      <c r="AT2070" s="15"/>
      <c r="AU2070" s="15"/>
      <c r="AV2070" s="15"/>
      <c r="AW2070" s="15"/>
    </row>
    <row r="2071" spans="3:49" x14ac:dyDescent="0.2">
      <c r="C2071" s="15"/>
      <c r="D2071" s="15"/>
      <c r="E2071" s="15"/>
      <c r="F2071" s="15"/>
      <c r="G2071" s="15"/>
      <c r="H2071" s="15"/>
      <c r="I2071" s="15"/>
      <c r="J2071" s="15"/>
      <c r="K2071" s="15"/>
      <c r="L2071" s="28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5"/>
      <c r="AG2071" s="15"/>
      <c r="AH2071" s="15"/>
      <c r="AI2071" s="15"/>
      <c r="AJ2071" s="15"/>
      <c r="AK2071" s="15"/>
      <c r="AL2071" s="15"/>
      <c r="AM2071" s="15"/>
      <c r="AN2071" s="15"/>
      <c r="AO2071" s="15"/>
      <c r="AP2071" s="15"/>
      <c r="AQ2071" s="15"/>
      <c r="AR2071" s="15"/>
      <c r="AS2071" s="15"/>
      <c r="AT2071" s="15"/>
      <c r="AU2071" s="15"/>
      <c r="AV2071" s="15"/>
      <c r="AW2071" s="15"/>
    </row>
    <row r="2072" spans="3:49" x14ac:dyDescent="0.2">
      <c r="C2072" s="15"/>
      <c r="D2072" s="15"/>
      <c r="E2072" s="15"/>
      <c r="F2072" s="15"/>
      <c r="G2072" s="15"/>
      <c r="H2072" s="15"/>
      <c r="I2072" s="15"/>
      <c r="J2072" s="15"/>
      <c r="K2072" s="15"/>
      <c r="L2072" s="28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5"/>
      <c r="AG2072" s="15"/>
      <c r="AH2072" s="15"/>
      <c r="AI2072" s="15"/>
      <c r="AJ2072" s="15"/>
      <c r="AK2072" s="15"/>
      <c r="AL2072" s="15"/>
      <c r="AM2072" s="15"/>
      <c r="AN2072" s="15"/>
      <c r="AO2072" s="15"/>
      <c r="AP2072" s="15"/>
      <c r="AQ2072" s="15"/>
      <c r="AR2072" s="15"/>
      <c r="AS2072" s="15"/>
      <c r="AT2072" s="15"/>
      <c r="AU2072" s="15"/>
      <c r="AV2072" s="15"/>
      <c r="AW2072" s="15"/>
    </row>
    <row r="2073" spans="3:49" x14ac:dyDescent="0.2">
      <c r="C2073" s="15"/>
      <c r="D2073" s="15"/>
      <c r="E2073" s="15"/>
      <c r="F2073" s="15"/>
      <c r="G2073" s="15"/>
      <c r="H2073" s="15"/>
      <c r="I2073" s="15"/>
      <c r="J2073" s="15"/>
      <c r="K2073" s="15"/>
      <c r="L2073" s="28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5"/>
      <c r="AG2073" s="15"/>
      <c r="AH2073" s="15"/>
      <c r="AI2073" s="15"/>
      <c r="AJ2073" s="15"/>
      <c r="AK2073" s="15"/>
      <c r="AL2073" s="15"/>
      <c r="AM2073" s="15"/>
      <c r="AN2073" s="15"/>
      <c r="AO2073" s="15"/>
      <c r="AP2073" s="15"/>
      <c r="AQ2073" s="15"/>
      <c r="AR2073" s="15"/>
      <c r="AS2073" s="15"/>
      <c r="AT2073" s="15"/>
      <c r="AU2073" s="15"/>
      <c r="AV2073" s="15"/>
      <c r="AW2073" s="15"/>
    </row>
    <row r="2074" spans="3:49" x14ac:dyDescent="0.2">
      <c r="C2074" s="15"/>
      <c r="D2074" s="15"/>
      <c r="E2074" s="15"/>
      <c r="F2074" s="15"/>
      <c r="G2074" s="15"/>
      <c r="H2074" s="15"/>
      <c r="I2074" s="15"/>
      <c r="J2074" s="15"/>
      <c r="K2074" s="15"/>
      <c r="L2074" s="28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5"/>
      <c r="AG2074" s="15"/>
      <c r="AH2074" s="15"/>
      <c r="AI2074" s="15"/>
      <c r="AJ2074" s="15"/>
      <c r="AK2074" s="15"/>
      <c r="AL2074" s="15"/>
      <c r="AM2074" s="15"/>
      <c r="AN2074" s="15"/>
      <c r="AO2074" s="15"/>
      <c r="AP2074" s="15"/>
      <c r="AQ2074" s="15"/>
      <c r="AR2074" s="15"/>
      <c r="AS2074" s="15"/>
      <c r="AT2074" s="15"/>
      <c r="AU2074" s="15"/>
      <c r="AV2074" s="15"/>
      <c r="AW2074" s="15"/>
    </row>
    <row r="2075" spans="3:49" x14ac:dyDescent="0.2">
      <c r="C2075" s="15"/>
      <c r="D2075" s="15"/>
      <c r="E2075" s="15"/>
      <c r="F2075" s="15"/>
      <c r="G2075" s="15"/>
      <c r="H2075" s="15"/>
      <c r="I2075" s="15"/>
      <c r="J2075" s="15"/>
      <c r="K2075" s="15"/>
      <c r="L2075" s="28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5"/>
      <c r="AG2075" s="15"/>
      <c r="AH2075" s="15"/>
      <c r="AI2075" s="15"/>
      <c r="AJ2075" s="15"/>
      <c r="AK2075" s="15"/>
      <c r="AL2075" s="15"/>
      <c r="AM2075" s="15"/>
      <c r="AN2075" s="15"/>
      <c r="AO2075" s="15"/>
      <c r="AP2075" s="15"/>
      <c r="AQ2075" s="15"/>
      <c r="AR2075" s="15"/>
      <c r="AS2075" s="15"/>
      <c r="AT2075" s="15"/>
      <c r="AU2075" s="15"/>
      <c r="AV2075" s="15"/>
      <c r="AW2075" s="15"/>
    </row>
    <row r="2076" spans="3:49" x14ac:dyDescent="0.2">
      <c r="C2076" s="15"/>
      <c r="D2076" s="15"/>
      <c r="E2076" s="15"/>
      <c r="F2076" s="15"/>
      <c r="G2076" s="15"/>
      <c r="H2076" s="15"/>
      <c r="I2076" s="15"/>
      <c r="J2076" s="15"/>
      <c r="K2076" s="15"/>
      <c r="L2076" s="28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5"/>
      <c r="AG2076" s="15"/>
      <c r="AH2076" s="15"/>
      <c r="AI2076" s="15"/>
      <c r="AJ2076" s="15"/>
      <c r="AK2076" s="15"/>
      <c r="AL2076" s="15"/>
      <c r="AM2076" s="15"/>
      <c r="AN2076" s="15"/>
      <c r="AO2076" s="15"/>
      <c r="AP2076" s="15"/>
      <c r="AQ2076" s="15"/>
      <c r="AR2076" s="15"/>
      <c r="AS2076" s="15"/>
      <c r="AT2076" s="15"/>
      <c r="AU2076" s="15"/>
      <c r="AV2076" s="15"/>
      <c r="AW2076" s="15"/>
    </row>
    <row r="2077" spans="3:49" x14ac:dyDescent="0.2">
      <c r="C2077" s="15"/>
      <c r="D2077" s="15"/>
      <c r="E2077" s="15"/>
      <c r="F2077" s="15"/>
      <c r="G2077" s="15"/>
      <c r="H2077" s="15"/>
      <c r="I2077" s="15"/>
      <c r="J2077" s="15"/>
      <c r="K2077" s="15"/>
      <c r="L2077" s="28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5"/>
      <c r="AG2077" s="15"/>
      <c r="AH2077" s="15"/>
      <c r="AI2077" s="15"/>
      <c r="AJ2077" s="15"/>
      <c r="AK2077" s="15"/>
      <c r="AL2077" s="15"/>
      <c r="AM2077" s="15"/>
      <c r="AN2077" s="15"/>
      <c r="AO2077" s="15"/>
      <c r="AP2077" s="15"/>
      <c r="AQ2077" s="15"/>
      <c r="AR2077" s="15"/>
      <c r="AS2077" s="15"/>
      <c r="AT2077" s="15"/>
      <c r="AU2077" s="15"/>
      <c r="AV2077" s="15"/>
      <c r="AW2077" s="15"/>
    </row>
    <row r="2078" spans="3:49" x14ac:dyDescent="0.2">
      <c r="C2078" s="15"/>
      <c r="D2078" s="15"/>
      <c r="E2078" s="15"/>
      <c r="F2078" s="15"/>
      <c r="G2078" s="15"/>
      <c r="H2078" s="15"/>
      <c r="I2078" s="15"/>
      <c r="J2078" s="15"/>
      <c r="K2078" s="15"/>
      <c r="L2078" s="28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5"/>
      <c r="AG2078" s="15"/>
      <c r="AH2078" s="15"/>
      <c r="AI2078" s="15"/>
      <c r="AJ2078" s="15"/>
      <c r="AK2078" s="15"/>
      <c r="AL2078" s="15"/>
      <c r="AM2078" s="15"/>
      <c r="AN2078" s="15"/>
      <c r="AO2078" s="15"/>
      <c r="AP2078" s="15"/>
      <c r="AQ2078" s="15"/>
      <c r="AR2078" s="15"/>
      <c r="AS2078" s="15"/>
      <c r="AT2078" s="15"/>
      <c r="AU2078" s="15"/>
      <c r="AV2078" s="15"/>
      <c r="AW2078" s="15"/>
    </row>
    <row r="2079" spans="3:49" x14ac:dyDescent="0.2">
      <c r="C2079" s="15"/>
      <c r="D2079" s="15"/>
      <c r="E2079" s="15"/>
      <c r="F2079" s="15"/>
      <c r="G2079" s="15"/>
      <c r="H2079" s="15"/>
      <c r="I2079" s="15"/>
      <c r="J2079" s="15"/>
      <c r="K2079" s="15"/>
      <c r="L2079" s="28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5"/>
      <c r="AG2079" s="15"/>
      <c r="AH2079" s="15"/>
      <c r="AI2079" s="15"/>
      <c r="AJ2079" s="15"/>
      <c r="AK2079" s="15"/>
      <c r="AL2079" s="15"/>
      <c r="AM2079" s="15"/>
      <c r="AN2079" s="15"/>
      <c r="AO2079" s="15"/>
      <c r="AP2079" s="15"/>
      <c r="AQ2079" s="15"/>
      <c r="AR2079" s="15"/>
      <c r="AS2079" s="15"/>
      <c r="AT2079" s="15"/>
      <c r="AU2079" s="15"/>
      <c r="AV2079" s="15"/>
      <c r="AW2079" s="15"/>
    </row>
    <row r="2080" spans="3:49" x14ac:dyDescent="0.2">
      <c r="C2080" s="15"/>
      <c r="D2080" s="15"/>
      <c r="E2080" s="15"/>
      <c r="F2080" s="15"/>
      <c r="G2080" s="15"/>
      <c r="H2080" s="15"/>
      <c r="I2080" s="15"/>
      <c r="J2080" s="15"/>
      <c r="K2080" s="15"/>
      <c r="L2080" s="28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5"/>
      <c r="AG2080" s="15"/>
      <c r="AH2080" s="15"/>
      <c r="AI2080" s="15"/>
      <c r="AJ2080" s="15"/>
      <c r="AK2080" s="15"/>
      <c r="AL2080" s="15"/>
      <c r="AM2080" s="15"/>
      <c r="AN2080" s="15"/>
      <c r="AO2080" s="15"/>
      <c r="AP2080" s="15"/>
      <c r="AQ2080" s="15"/>
      <c r="AR2080" s="15"/>
      <c r="AS2080" s="15"/>
      <c r="AT2080" s="15"/>
      <c r="AU2080" s="15"/>
      <c r="AV2080" s="15"/>
      <c r="AW2080" s="15"/>
    </row>
    <row r="2081" spans="3:49" x14ac:dyDescent="0.2">
      <c r="C2081" s="15"/>
      <c r="D2081" s="15"/>
      <c r="E2081" s="15"/>
      <c r="F2081" s="15"/>
      <c r="G2081" s="15"/>
      <c r="H2081" s="15"/>
      <c r="I2081" s="15"/>
      <c r="J2081" s="15"/>
      <c r="K2081" s="15"/>
      <c r="L2081" s="28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5"/>
      <c r="AG2081" s="15"/>
      <c r="AH2081" s="15"/>
      <c r="AI2081" s="15"/>
      <c r="AJ2081" s="15"/>
      <c r="AK2081" s="15"/>
      <c r="AL2081" s="15"/>
      <c r="AM2081" s="15"/>
      <c r="AN2081" s="15"/>
      <c r="AO2081" s="15"/>
      <c r="AP2081" s="15"/>
      <c r="AQ2081" s="15"/>
      <c r="AR2081" s="15"/>
      <c r="AS2081" s="15"/>
      <c r="AT2081" s="15"/>
      <c r="AU2081" s="15"/>
      <c r="AV2081" s="15"/>
      <c r="AW2081" s="15"/>
    </row>
    <row r="2082" spans="3:49" x14ac:dyDescent="0.2">
      <c r="C2082" s="15"/>
      <c r="D2082" s="15"/>
      <c r="E2082" s="15"/>
      <c r="F2082" s="15"/>
      <c r="G2082" s="15"/>
      <c r="H2082" s="15"/>
      <c r="I2082" s="15"/>
      <c r="J2082" s="15"/>
      <c r="K2082" s="15"/>
      <c r="L2082" s="28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5"/>
      <c r="AG2082" s="15"/>
      <c r="AH2082" s="15"/>
      <c r="AI2082" s="15"/>
      <c r="AJ2082" s="15"/>
      <c r="AK2082" s="15"/>
      <c r="AL2082" s="15"/>
      <c r="AM2082" s="15"/>
      <c r="AN2082" s="15"/>
      <c r="AO2082" s="15"/>
      <c r="AP2082" s="15"/>
      <c r="AQ2082" s="15"/>
      <c r="AR2082" s="15"/>
      <c r="AS2082" s="15"/>
      <c r="AT2082" s="15"/>
      <c r="AU2082" s="15"/>
      <c r="AV2082" s="15"/>
      <c r="AW2082" s="15"/>
    </row>
    <row r="2083" spans="3:49" x14ac:dyDescent="0.2">
      <c r="C2083" s="15"/>
      <c r="D2083" s="15"/>
      <c r="E2083" s="15"/>
      <c r="F2083" s="15"/>
      <c r="G2083" s="15"/>
      <c r="H2083" s="15"/>
      <c r="I2083" s="15"/>
      <c r="J2083" s="15"/>
      <c r="K2083" s="15"/>
      <c r="L2083" s="28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5"/>
      <c r="AG2083" s="15"/>
      <c r="AH2083" s="15"/>
      <c r="AI2083" s="15"/>
      <c r="AJ2083" s="15"/>
      <c r="AK2083" s="15"/>
      <c r="AL2083" s="15"/>
      <c r="AM2083" s="15"/>
      <c r="AN2083" s="15"/>
      <c r="AO2083" s="15"/>
      <c r="AP2083" s="15"/>
      <c r="AQ2083" s="15"/>
      <c r="AR2083" s="15"/>
      <c r="AS2083" s="15"/>
      <c r="AT2083" s="15"/>
      <c r="AU2083" s="15"/>
      <c r="AV2083" s="15"/>
      <c r="AW2083" s="15"/>
    </row>
    <row r="2084" spans="3:49" x14ac:dyDescent="0.2">
      <c r="C2084" s="15"/>
      <c r="D2084" s="15"/>
      <c r="E2084" s="15"/>
      <c r="F2084" s="15"/>
      <c r="G2084" s="15"/>
      <c r="H2084" s="15"/>
      <c r="I2084" s="15"/>
      <c r="J2084" s="15"/>
      <c r="K2084" s="15"/>
      <c r="L2084" s="28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5"/>
      <c r="AG2084" s="15"/>
      <c r="AH2084" s="15"/>
      <c r="AI2084" s="15"/>
      <c r="AJ2084" s="15"/>
      <c r="AK2084" s="15"/>
      <c r="AL2084" s="15"/>
      <c r="AM2084" s="15"/>
      <c r="AN2084" s="15"/>
      <c r="AO2084" s="15"/>
      <c r="AP2084" s="15"/>
      <c r="AQ2084" s="15"/>
      <c r="AR2084" s="15"/>
      <c r="AS2084" s="15"/>
      <c r="AT2084" s="15"/>
      <c r="AU2084" s="15"/>
      <c r="AV2084" s="15"/>
      <c r="AW2084" s="15"/>
    </row>
    <row r="2085" spans="3:49" x14ac:dyDescent="0.2">
      <c r="C2085" s="15"/>
      <c r="D2085" s="15"/>
      <c r="E2085" s="15"/>
      <c r="F2085" s="15"/>
      <c r="G2085" s="15"/>
      <c r="H2085" s="15"/>
      <c r="I2085" s="15"/>
      <c r="J2085" s="15"/>
      <c r="K2085" s="15"/>
      <c r="L2085" s="28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5"/>
      <c r="AG2085" s="15"/>
      <c r="AH2085" s="15"/>
      <c r="AI2085" s="15"/>
      <c r="AJ2085" s="15"/>
      <c r="AK2085" s="15"/>
      <c r="AL2085" s="15"/>
      <c r="AM2085" s="15"/>
      <c r="AN2085" s="15"/>
      <c r="AO2085" s="15"/>
      <c r="AP2085" s="15"/>
      <c r="AQ2085" s="15"/>
      <c r="AR2085" s="15"/>
      <c r="AS2085" s="15"/>
      <c r="AT2085" s="15"/>
      <c r="AU2085" s="15"/>
      <c r="AV2085" s="15"/>
      <c r="AW2085" s="15"/>
    </row>
    <row r="2086" spans="3:49" x14ac:dyDescent="0.2">
      <c r="C2086" s="15"/>
      <c r="D2086" s="15"/>
      <c r="E2086" s="15"/>
      <c r="F2086" s="15"/>
      <c r="G2086" s="15"/>
      <c r="H2086" s="15"/>
      <c r="I2086" s="15"/>
      <c r="J2086" s="15"/>
      <c r="K2086" s="15"/>
      <c r="L2086" s="28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5"/>
      <c r="AG2086" s="15"/>
      <c r="AH2086" s="15"/>
      <c r="AI2086" s="15"/>
      <c r="AJ2086" s="15"/>
      <c r="AK2086" s="15"/>
      <c r="AL2086" s="15"/>
      <c r="AM2086" s="15"/>
      <c r="AN2086" s="15"/>
      <c r="AO2086" s="15"/>
      <c r="AP2086" s="15"/>
      <c r="AQ2086" s="15"/>
      <c r="AR2086" s="15"/>
      <c r="AS2086" s="15"/>
      <c r="AT2086" s="15"/>
      <c r="AU2086" s="15"/>
      <c r="AV2086" s="15"/>
      <c r="AW2086" s="15"/>
    </row>
    <row r="2087" spans="3:49" x14ac:dyDescent="0.2">
      <c r="C2087" s="15"/>
      <c r="D2087" s="15"/>
      <c r="E2087" s="15"/>
      <c r="F2087" s="15"/>
      <c r="G2087" s="15"/>
      <c r="H2087" s="15"/>
      <c r="I2087" s="15"/>
      <c r="J2087" s="15"/>
      <c r="K2087" s="15"/>
      <c r="L2087" s="28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5"/>
      <c r="AG2087" s="15"/>
      <c r="AH2087" s="15"/>
      <c r="AI2087" s="15"/>
      <c r="AJ2087" s="15"/>
      <c r="AK2087" s="15"/>
      <c r="AL2087" s="15"/>
      <c r="AM2087" s="15"/>
      <c r="AN2087" s="15"/>
      <c r="AO2087" s="15"/>
      <c r="AP2087" s="15"/>
      <c r="AQ2087" s="15"/>
      <c r="AR2087" s="15"/>
      <c r="AS2087" s="15"/>
      <c r="AT2087" s="15"/>
      <c r="AU2087" s="15"/>
      <c r="AV2087" s="15"/>
      <c r="AW2087" s="15"/>
    </row>
    <row r="2088" spans="3:49" x14ac:dyDescent="0.2">
      <c r="C2088" s="15"/>
      <c r="D2088" s="15"/>
      <c r="E2088" s="15"/>
      <c r="F2088" s="15"/>
      <c r="G2088" s="15"/>
      <c r="H2088" s="15"/>
      <c r="I2088" s="15"/>
      <c r="J2088" s="15"/>
      <c r="K2088" s="15"/>
      <c r="L2088" s="28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5"/>
      <c r="AG2088" s="15"/>
      <c r="AH2088" s="15"/>
      <c r="AI2088" s="15"/>
      <c r="AJ2088" s="15"/>
      <c r="AK2088" s="15"/>
      <c r="AL2088" s="15"/>
      <c r="AM2088" s="15"/>
      <c r="AN2088" s="15"/>
      <c r="AO2088" s="15"/>
      <c r="AP2088" s="15"/>
      <c r="AQ2088" s="15"/>
      <c r="AR2088" s="15"/>
      <c r="AS2088" s="15"/>
      <c r="AT2088" s="15"/>
      <c r="AU2088" s="15"/>
      <c r="AV2088" s="15"/>
      <c r="AW2088" s="15"/>
    </row>
    <row r="2089" spans="3:49" x14ac:dyDescent="0.2">
      <c r="C2089" s="15"/>
      <c r="D2089" s="15"/>
      <c r="E2089" s="15"/>
      <c r="F2089" s="15"/>
      <c r="G2089" s="15"/>
      <c r="H2089" s="15"/>
      <c r="I2089" s="15"/>
      <c r="J2089" s="15"/>
      <c r="K2089" s="15"/>
      <c r="L2089" s="28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5"/>
      <c r="AG2089" s="15"/>
      <c r="AH2089" s="15"/>
      <c r="AI2089" s="15"/>
      <c r="AJ2089" s="15"/>
      <c r="AK2089" s="15"/>
      <c r="AL2089" s="15"/>
      <c r="AM2089" s="15"/>
      <c r="AN2089" s="15"/>
      <c r="AO2089" s="15"/>
      <c r="AP2089" s="15"/>
      <c r="AQ2089" s="15"/>
      <c r="AR2089" s="15"/>
      <c r="AS2089" s="15"/>
      <c r="AT2089" s="15"/>
      <c r="AU2089" s="15"/>
      <c r="AV2089" s="15"/>
      <c r="AW2089" s="15"/>
    </row>
    <row r="2090" spans="3:49" x14ac:dyDescent="0.2">
      <c r="C2090" s="15"/>
      <c r="D2090" s="15"/>
      <c r="E2090" s="15"/>
      <c r="F2090" s="15"/>
      <c r="G2090" s="15"/>
      <c r="H2090" s="15"/>
      <c r="I2090" s="15"/>
      <c r="J2090" s="15"/>
      <c r="K2090" s="15"/>
      <c r="L2090" s="28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5"/>
      <c r="AG2090" s="15"/>
      <c r="AH2090" s="15"/>
      <c r="AI2090" s="15"/>
      <c r="AJ2090" s="15"/>
      <c r="AK2090" s="15"/>
      <c r="AL2090" s="15"/>
      <c r="AM2090" s="15"/>
      <c r="AN2090" s="15"/>
      <c r="AO2090" s="15"/>
      <c r="AP2090" s="15"/>
      <c r="AQ2090" s="15"/>
      <c r="AR2090" s="15"/>
      <c r="AS2090" s="15"/>
      <c r="AT2090" s="15"/>
      <c r="AU2090" s="15"/>
      <c r="AV2090" s="15"/>
      <c r="AW2090" s="15"/>
    </row>
    <row r="2091" spans="3:49" x14ac:dyDescent="0.2">
      <c r="C2091" s="15"/>
      <c r="D2091" s="15"/>
      <c r="E2091" s="15"/>
      <c r="F2091" s="15"/>
      <c r="G2091" s="15"/>
      <c r="H2091" s="15"/>
      <c r="I2091" s="15"/>
      <c r="J2091" s="15"/>
      <c r="K2091" s="15"/>
      <c r="L2091" s="28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5"/>
      <c r="AG2091" s="15"/>
      <c r="AH2091" s="15"/>
      <c r="AI2091" s="15"/>
      <c r="AJ2091" s="15"/>
      <c r="AK2091" s="15"/>
      <c r="AL2091" s="15"/>
      <c r="AM2091" s="15"/>
      <c r="AN2091" s="15"/>
      <c r="AO2091" s="15"/>
      <c r="AP2091" s="15"/>
      <c r="AQ2091" s="15"/>
      <c r="AR2091" s="15"/>
      <c r="AS2091" s="15"/>
      <c r="AT2091" s="15"/>
      <c r="AU2091" s="15"/>
      <c r="AV2091" s="15"/>
      <c r="AW2091" s="15"/>
    </row>
    <row r="2092" spans="3:49" x14ac:dyDescent="0.2">
      <c r="C2092" s="15"/>
      <c r="D2092" s="15"/>
      <c r="E2092" s="15"/>
      <c r="F2092" s="15"/>
      <c r="G2092" s="15"/>
      <c r="H2092" s="15"/>
      <c r="I2092" s="15"/>
      <c r="J2092" s="15"/>
      <c r="K2092" s="15"/>
      <c r="L2092" s="28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5"/>
      <c r="AG2092" s="15"/>
      <c r="AH2092" s="15"/>
      <c r="AI2092" s="15"/>
      <c r="AJ2092" s="15"/>
      <c r="AK2092" s="15"/>
      <c r="AL2092" s="15"/>
      <c r="AM2092" s="15"/>
      <c r="AN2092" s="15"/>
      <c r="AO2092" s="15"/>
      <c r="AP2092" s="15"/>
      <c r="AQ2092" s="15"/>
      <c r="AR2092" s="15"/>
      <c r="AS2092" s="15"/>
      <c r="AT2092" s="15"/>
      <c r="AU2092" s="15"/>
      <c r="AV2092" s="15"/>
      <c r="AW2092" s="15"/>
    </row>
    <row r="2093" spans="3:49" x14ac:dyDescent="0.2">
      <c r="C2093" s="15"/>
      <c r="D2093" s="15"/>
      <c r="E2093" s="15"/>
      <c r="F2093" s="15"/>
      <c r="G2093" s="15"/>
      <c r="H2093" s="15"/>
      <c r="I2093" s="15"/>
      <c r="J2093" s="15"/>
      <c r="K2093" s="15"/>
      <c r="L2093" s="28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5"/>
      <c r="AG2093" s="15"/>
      <c r="AH2093" s="15"/>
      <c r="AI2093" s="15"/>
      <c r="AJ2093" s="15"/>
      <c r="AK2093" s="15"/>
      <c r="AL2093" s="15"/>
      <c r="AM2093" s="15"/>
      <c r="AN2093" s="15"/>
      <c r="AO2093" s="15"/>
      <c r="AP2093" s="15"/>
      <c r="AQ2093" s="15"/>
      <c r="AR2093" s="15"/>
      <c r="AS2093" s="15"/>
      <c r="AT2093" s="15"/>
      <c r="AU2093" s="15"/>
      <c r="AV2093" s="15"/>
      <c r="AW2093" s="15"/>
    </row>
    <row r="2094" spans="3:49" x14ac:dyDescent="0.2">
      <c r="C2094" s="15"/>
      <c r="D2094" s="15"/>
      <c r="E2094" s="15"/>
      <c r="F2094" s="15"/>
      <c r="G2094" s="15"/>
      <c r="H2094" s="15"/>
      <c r="I2094" s="15"/>
      <c r="J2094" s="15"/>
      <c r="K2094" s="15"/>
      <c r="L2094" s="28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5"/>
      <c r="AG2094" s="15"/>
      <c r="AH2094" s="15"/>
      <c r="AI2094" s="15"/>
      <c r="AJ2094" s="15"/>
      <c r="AK2094" s="15"/>
      <c r="AL2094" s="15"/>
      <c r="AM2094" s="15"/>
      <c r="AN2094" s="15"/>
      <c r="AO2094" s="15"/>
      <c r="AP2094" s="15"/>
      <c r="AQ2094" s="15"/>
      <c r="AR2094" s="15"/>
      <c r="AS2094" s="15"/>
      <c r="AT2094" s="15"/>
      <c r="AU2094" s="15"/>
      <c r="AV2094" s="15"/>
      <c r="AW2094" s="15"/>
    </row>
    <row r="2095" spans="3:49" x14ac:dyDescent="0.2">
      <c r="C2095" s="15"/>
      <c r="D2095" s="15"/>
      <c r="E2095" s="15"/>
      <c r="F2095" s="15"/>
      <c r="G2095" s="15"/>
      <c r="H2095" s="15"/>
      <c r="I2095" s="15"/>
      <c r="J2095" s="15"/>
      <c r="K2095" s="15"/>
      <c r="L2095" s="28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5"/>
      <c r="AG2095" s="15"/>
      <c r="AH2095" s="15"/>
      <c r="AI2095" s="15"/>
      <c r="AJ2095" s="15"/>
      <c r="AK2095" s="15"/>
      <c r="AL2095" s="15"/>
      <c r="AM2095" s="15"/>
      <c r="AN2095" s="15"/>
      <c r="AO2095" s="15"/>
      <c r="AP2095" s="15"/>
      <c r="AQ2095" s="15"/>
      <c r="AR2095" s="15"/>
      <c r="AS2095" s="15"/>
      <c r="AT2095" s="15"/>
      <c r="AU2095" s="15"/>
      <c r="AV2095" s="15"/>
      <c r="AW2095" s="15"/>
    </row>
    <row r="2096" spans="3:49" x14ac:dyDescent="0.2">
      <c r="C2096" s="15"/>
      <c r="D2096" s="15"/>
      <c r="E2096" s="15"/>
      <c r="F2096" s="15"/>
      <c r="G2096" s="15"/>
      <c r="H2096" s="15"/>
      <c r="I2096" s="15"/>
      <c r="J2096" s="15"/>
      <c r="K2096" s="15"/>
      <c r="L2096" s="28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5"/>
      <c r="AG2096" s="15"/>
      <c r="AH2096" s="15"/>
      <c r="AI2096" s="15"/>
      <c r="AJ2096" s="15"/>
      <c r="AK2096" s="15"/>
      <c r="AL2096" s="15"/>
      <c r="AM2096" s="15"/>
      <c r="AN2096" s="15"/>
      <c r="AO2096" s="15"/>
      <c r="AP2096" s="15"/>
      <c r="AQ2096" s="15"/>
      <c r="AR2096" s="15"/>
      <c r="AS2096" s="15"/>
      <c r="AT2096" s="15"/>
      <c r="AU2096" s="15"/>
      <c r="AV2096" s="15"/>
      <c r="AW2096" s="15"/>
    </row>
    <row r="2097" spans="3:49" x14ac:dyDescent="0.2">
      <c r="C2097" s="15"/>
      <c r="D2097" s="15"/>
      <c r="E2097" s="15"/>
      <c r="F2097" s="15"/>
      <c r="G2097" s="15"/>
      <c r="H2097" s="15"/>
      <c r="I2097" s="15"/>
      <c r="J2097" s="15"/>
      <c r="K2097" s="15"/>
      <c r="L2097" s="28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5"/>
      <c r="AG2097" s="15"/>
      <c r="AH2097" s="15"/>
      <c r="AI2097" s="15"/>
      <c r="AJ2097" s="15"/>
      <c r="AK2097" s="15"/>
      <c r="AL2097" s="15"/>
      <c r="AM2097" s="15"/>
      <c r="AN2097" s="15"/>
      <c r="AO2097" s="15"/>
      <c r="AP2097" s="15"/>
      <c r="AQ2097" s="15"/>
      <c r="AR2097" s="15"/>
      <c r="AS2097" s="15"/>
      <c r="AT2097" s="15"/>
      <c r="AU2097" s="15"/>
      <c r="AV2097" s="15"/>
      <c r="AW2097" s="15"/>
    </row>
    <row r="2098" spans="3:49" x14ac:dyDescent="0.2">
      <c r="C2098" s="15"/>
      <c r="D2098" s="15"/>
      <c r="E2098" s="15"/>
      <c r="F2098" s="15"/>
      <c r="G2098" s="15"/>
      <c r="H2098" s="15"/>
      <c r="I2098" s="15"/>
      <c r="J2098" s="15"/>
      <c r="K2098" s="15"/>
      <c r="L2098" s="28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5"/>
      <c r="AG2098" s="15"/>
      <c r="AH2098" s="15"/>
      <c r="AI2098" s="15"/>
      <c r="AJ2098" s="15"/>
      <c r="AK2098" s="15"/>
      <c r="AL2098" s="15"/>
      <c r="AM2098" s="15"/>
      <c r="AN2098" s="15"/>
      <c r="AO2098" s="15"/>
      <c r="AP2098" s="15"/>
      <c r="AQ2098" s="15"/>
      <c r="AR2098" s="15"/>
      <c r="AS2098" s="15"/>
      <c r="AT2098" s="15"/>
      <c r="AU2098" s="15"/>
      <c r="AV2098" s="15"/>
      <c r="AW2098" s="15"/>
    </row>
    <row r="2099" spans="3:49" x14ac:dyDescent="0.2">
      <c r="C2099" s="15"/>
      <c r="D2099" s="15"/>
      <c r="E2099" s="15"/>
      <c r="F2099" s="15"/>
      <c r="G2099" s="15"/>
      <c r="H2099" s="15"/>
      <c r="I2099" s="15"/>
      <c r="J2099" s="15"/>
      <c r="K2099" s="15"/>
      <c r="L2099" s="28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5"/>
      <c r="AG2099" s="15"/>
      <c r="AH2099" s="15"/>
      <c r="AI2099" s="15"/>
      <c r="AJ2099" s="15"/>
      <c r="AK2099" s="15"/>
      <c r="AL2099" s="15"/>
      <c r="AM2099" s="15"/>
      <c r="AN2099" s="15"/>
      <c r="AO2099" s="15"/>
      <c r="AP2099" s="15"/>
      <c r="AQ2099" s="15"/>
      <c r="AR2099" s="15"/>
      <c r="AS2099" s="15"/>
      <c r="AT2099" s="15"/>
      <c r="AU2099" s="15"/>
      <c r="AV2099" s="15"/>
      <c r="AW2099" s="15"/>
    </row>
    <row r="2100" spans="3:49" x14ac:dyDescent="0.2">
      <c r="C2100" s="15"/>
      <c r="D2100" s="15"/>
      <c r="E2100" s="15"/>
      <c r="F2100" s="15"/>
      <c r="G2100" s="15"/>
      <c r="H2100" s="15"/>
      <c r="I2100" s="15"/>
      <c r="J2100" s="15"/>
      <c r="K2100" s="15"/>
      <c r="L2100" s="28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5"/>
      <c r="AG2100" s="15"/>
      <c r="AH2100" s="15"/>
      <c r="AI2100" s="15"/>
      <c r="AJ2100" s="15"/>
      <c r="AK2100" s="15"/>
      <c r="AL2100" s="15"/>
      <c r="AM2100" s="15"/>
      <c r="AN2100" s="15"/>
      <c r="AO2100" s="15"/>
      <c r="AP2100" s="15"/>
      <c r="AQ2100" s="15"/>
      <c r="AR2100" s="15"/>
      <c r="AS2100" s="15"/>
      <c r="AT2100" s="15"/>
      <c r="AU2100" s="15"/>
      <c r="AV2100" s="15"/>
      <c r="AW2100" s="15"/>
    </row>
    <row r="2101" spans="3:49" x14ac:dyDescent="0.2">
      <c r="C2101" s="15"/>
      <c r="D2101" s="15"/>
      <c r="E2101" s="15"/>
      <c r="F2101" s="15"/>
      <c r="G2101" s="15"/>
      <c r="H2101" s="15"/>
      <c r="I2101" s="15"/>
      <c r="J2101" s="15"/>
      <c r="K2101" s="15"/>
      <c r="L2101" s="28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5"/>
      <c r="AG2101" s="15"/>
      <c r="AH2101" s="15"/>
      <c r="AI2101" s="15"/>
      <c r="AJ2101" s="15"/>
      <c r="AK2101" s="15"/>
      <c r="AL2101" s="15"/>
      <c r="AM2101" s="15"/>
      <c r="AN2101" s="15"/>
      <c r="AO2101" s="15"/>
      <c r="AP2101" s="15"/>
      <c r="AQ2101" s="15"/>
      <c r="AR2101" s="15"/>
      <c r="AS2101" s="15"/>
      <c r="AT2101" s="15"/>
      <c r="AU2101" s="15"/>
      <c r="AV2101" s="15"/>
      <c r="AW2101" s="15"/>
    </row>
    <row r="2102" spans="3:49" x14ac:dyDescent="0.2">
      <c r="C2102" s="15"/>
      <c r="D2102" s="15"/>
      <c r="E2102" s="15"/>
      <c r="F2102" s="15"/>
      <c r="G2102" s="15"/>
      <c r="H2102" s="15"/>
      <c r="I2102" s="15"/>
      <c r="J2102" s="15"/>
      <c r="K2102" s="15"/>
      <c r="L2102" s="28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5"/>
      <c r="AG2102" s="15"/>
      <c r="AH2102" s="15"/>
      <c r="AI2102" s="15"/>
      <c r="AJ2102" s="15"/>
      <c r="AK2102" s="15"/>
      <c r="AL2102" s="15"/>
      <c r="AM2102" s="15"/>
      <c r="AN2102" s="15"/>
      <c r="AO2102" s="15"/>
      <c r="AP2102" s="15"/>
      <c r="AQ2102" s="15"/>
      <c r="AR2102" s="15"/>
      <c r="AS2102" s="15"/>
      <c r="AT2102" s="15"/>
      <c r="AU2102" s="15"/>
      <c r="AV2102" s="15"/>
      <c r="AW2102" s="15"/>
    </row>
    <row r="2103" spans="3:49" x14ac:dyDescent="0.2">
      <c r="C2103" s="15"/>
      <c r="D2103" s="15"/>
      <c r="E2103" s="15"/>
      <c r="F2103" s="15"/>
      <c r="G2103" s="15"/>
      <c r="H2103" s="15"/>
      <c r="I2103" s="15"/>
      <c r="J2103" s="15"/>
      <c r="K2103" s="15"/>
      <c r="L2103" s="28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5"/>
      <c r="AG2103" s="15"/>
      <c r="AH2103" s="15"/>
      <c r="AI2103" s="15"/>
      <c r="AJ2103" s="15"/>
      <c r="AK2103" s="15"/>
      <c r="AL2103" s="15"/>
      <c r="AM2103" s="15"/>
      <c r="AN2103" s="15"/>
      <c r="AO2103" s="15"/>
      <c r="AP2103" s="15"/>
      <c r="AQ2103" s="15"/>
      <c r="AR2103" s="15"/>
      <c r="AS2103" s="15"/>
      <c r="AT2103" s="15"/>
      <c r="AU2103" s="15"/>
      <c r="AV2103" s="15"/>
      <c r="AW2103" s="15"/>
    </row>
    <row r="2104" spans="3:49" x14ac:dyDescent="0.2">
      <c r="C2104" s="15"/>
      <c r="D2104" s="15"/>
      <c r="E2104" s="15"/>
      <c r="F2104" s="15"/>
      <c r="G2104" s="15"/>
      <c r="H2104" s="15"/>
      <c r="I2104" s="15"/>
      <c r="J2104" s="15"/>
      <c r="K2104" s="15"/>
      <c r="L2104" s="28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5"/>
      <c r="AG2104" s="15"/>
      <c r="AH2104" s="15"/>
      <c r="AI2104" s="15"/>
      <c r="AJ2104" s="15"/>
      <c r="AK2104" s="15"/>
      <c r="AL2104" s="15"/>
      <c r="AM2104" s="15"/>
      <c r="AN2104" s="15"/>
      <c r="AO2104" s="15"/>
      <c r="AP2104" s="15"/>
      <c r="AQ2104" s="15"/>
      <c r="AR2104" s="15"/>
      <c r="AS2104" s="15"/>
      <c r="AT2104" s="15"/>
      <c r="AU2104" s="15"/>
      <c r="AV2104" s="15"/>
      <c r="AW2104" s="15"/>
    </row>
    <row r="2105" spans="3:49" x14ac:dyDescent="0.2">
      <c r="C2105" s="15"/>
      <c r="D2105" s="15"/>
      <c r="E2105" s="15"/>
      <c r="F2105" s="15"/>
      <c r="G2105" s="15"/>
      <c r="H2105" s="15"/>
      <c r="I2105" s="15"/>
      <c r="J2105" s="15"/>
      <c r="K2105" s="15"/>
      <c r="L2105" s="28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5"/>
      <c r="AG2105" s="15"/>
      <c r="AH2105" s="15"/>
      <c r="AI2105" s="15"/>
      <c r="AJ2105" s="15"/>
      <c r="AK2105" s="15"/>
      <c r="AL2105" s="15"/>
      <c r="AM2105" s="15"/>
      <c r="AN2105" s="15"/>
      <c r="AO2105" s="15"/>
      <c r="AP2105" s="15"/>
      <c r="AQ2105" s="15"/>
      <c r="AR2105" s="15"/>
      <c r="AS2105" s="15"/>
      <c r="AT2105" s="15"/>
      <c r="AU2105" s="15"/>
      <c r="AV2105" s="15"/>
      <c r="AW2105" s="15"/>
    </row>
    <row r="2106" spans="3:49" x14ac:dyDescent="0.2">
      <c r="C2106" s="15"/>
      <c r="D2106" s="15"/>
      <c r="E2106" s="15"/>
      <c r="F2106" s="15"/>
      <c r="G2106" s="15"/>
      <c r="H2106" s="15"/>
      <c r="I2106" s="15"/>
      <c r="J2106" s="15"/>
      <c r="K2106" s="15"/>
      <c r="L2106" s="28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5"/>
      <c r="AG2106" s="15"/>
      <c r="AH2106" s="15"/>
      <c r="AI2106" s="15"/>
      <c r="AJ2106" s="15"/>
      <c r="AK2106" s="15"/>
      <c r="AL2106" s="15"/>
      <c r="AM2106" s="15"/>
      <c r="AN2106" s="15"/>
      <c r="AO2106" s="15"/>
      <c r="AP2106" s="15"/>
      <c r="AQ2106" s="15"/>
      <c r="AR2106" s="15"/>
      <c r="AS2106" s="15"/>
      <c r="AT2106" s="15"/>
      <c r="AU2106" s="15"/>
      <c r="AV2106" s="15"/>
      <c r="AW2106" s="15"/>
    </row>
    <row r="2107" spans="3:49" x14ac:dyDescent="0.2">
      <c r="C2107" s="15"/>
      <c r="D2107" s="15"/>
      <c r="E2107" s="15"/>
      <c r="F2107" s="15"/>
      <c r="G2107" s="15"/>
      <c r="H2107" s="15"/>
      <c r="I2107" s="15"/>
      <c r="J2107" s="15"/>
      <c r="K2107" s="15"/>
      <c r="L2107" s="28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5"/>
      <c r="AG2107" s="15"/>
      <c r="AH2107" s="15"/>
      <c r="AI2107" s="15"/>
      <c r="AJ2107" s="15"/>
      <c r="AK2107" s="15"/>
      <c r="AL2107" s="15"/>
      <c r="AM2107" s="15"/>
      <c r="AN2107" s="15"/>
      <c r="AO2107" s="15"/>
      <c r="AP2107" s="15"/>
      <c r="AQ2107" s="15"/>
      <c r="AR2107" s="15"/>
      <c r="AS2107" s="15"/>
      <c r="AT2107" s="15"/>
      <c r="AU2107" s="15"/>
      <c r="AV2107" s="15"/>
      <c r="AW2107" s="15"/>
    </row>
    <row r="2108" spans="3:49" x14ac:dyDescent="0.2">
      <c r="C2108" s="15"/>
      <c r="D2108" s="15"/>
      <c r="E2108" s="15"/>
      <c r="F2108" s="15"/>
      <c r="G2108" s="15"/>
      <c r="H2108" s="15"/>
      <c r="I2108" s="15"/>
      <c r="J2108" s="15"/>
      <c r="K2108" s="15"/>
      <c r="L2108" s="28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5"/>
      <c r="AG2108" s="15"/>
      <c r="AH2108" s="15"/>
      <c r="AI2108" s="15"/>
      <c r="AJ2108" s="15"/>
      <c r="AK2108" s="15"/>
      <c r="AL2108" s="15"/>
      <c r="AM2108" s="15"/>
      <c r="AN2108" s="15"/>
      <c r="AO2108" s="15"/>
      <c r="AP2108" s="15"/>
      <c r="AQ2108" s="15"/>
      <c r="AR2108" s="15"/>
      <c r="AS2108" s="15"/>
      <c r="AT2108" s="15"/>
      <c r="AU2108" s="15"/>
      <c r="AV2108" s="15"/>
      <c r="AW2108" s="15"/>
    </row>
    <row r="2109" spans="3:49" x14ac:dyDescent="0.2">
      <c r="C2109" s="15"/>
      <c r="D2109" s="15"/>
      <c r="E2109" s="15"/>
      <c r="F2109" s="15"/>
      <c r="G2109" s="15"/>
      <c r="H2109" s="15"/>
      <c r="I2109" s="15"/>
      <c r="J2109" s="15"/>
      <c r="K2109" s="15"/>
      <c r="L2109" s="28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5"/>
      <c r="AG2109" s="15"/>
      <c r="AH2109" s="15"/>
      <c r="AI2109" s="15"/>
      <c r="AJ2109" s="15"/>
      <c r="AK2109" s="15"/>
      <c r="AL2109" s="15"/>
      <c r="AM2109" s="15"/>
      <c r="AN2109" s="15"/>
      <c r="AO2109" s="15"/>
      <c r="AP2109" s="15"/>
      <c r="AQ2109" s="15"/>
      <c r="AR2109" s="15"/>
      <c r="AS2109" s="15"/>
      <c r="AT2109" s="15"/>
      <c r="AU2109" s="15"/>
      <c r="AV2109" s="15"/>
      <c r="AW2109" s="15"/>
    </row>
    <row r="2110" spans="3:49" x14ac:dyDescent="0.2">
      <c r="C2110" s="15"/>
      <c r="D2110" s="15"/>
      <c r="E2110" s="15"/>
      <c r="F2110" s="15"/>
      <c r="G2110" s="15"/>
      <c r="H2110" s="15"/>
      <c r="I2110" s="15"/>
      <c r="J2110" s="15"/>
      <c r="K2110" s="15"/>
      <c r="L2110" s="28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5"/>
      <c r="AG2110" s="15"/>
      <c r="AH2110" s="15"/>
      <c r="AI2110" s="15"/>
      <c r="AJ2110" s="15"/>
      <c r="AK2110" s="15"/>
      <c r="AL2110" s="15"/>
      <c r="AM2110" s="15"/>
      <c r="AN2110" s="15"/>
      <c r="AO2110" s="15"/>
      <c r="AP2110" s="15"/>
      <c r="AQ2110" s="15"/>
      <c r="AR2110" s="15"/>
      <c r="AS2110" s="15"/>
      <c r="AT2110" s="15"/>
      <c r="AU2110" s="15"/>
      <c r="AV2110" s="15"/>
      <c r="AW2110" s="15"/>
    </row>
    <row r="2111" spans="3:49" x14ac:dyDescent="0.2">
      <c r="C2111" s="15"/>
      <c r="D2111" s="15"/>
      <c r="E2111" s="15"/>
      <c r="F2111" s="15"/>
      <c r="G2111" s="15"/>
      <c r="H2111" s="15"/>
      <c r="I2111" s="15"/>
      <c r="J2111" s="15"/>
      <c r="K2111" s="15"/>
      <c r="L2111" s="28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5"/>
      <c r="AG2111" s="15"/>
      <c r="AH2111" s="15"/>
      <c r="AI2111" s="15"/>
      <c r="AJ2111" s="15"/>
      <c r="AK2111" s="15"/>
      <c r="AL2111" s="15"/>
      <c r="AM2111" s="15"/>
      <c r="AN2111" s="15"/>
      <c r="AO2111" s="15"/>
      <c r="AP2111" s="15"/>
      <c r="AQ2111" s="15"/>
      <c r="AR2111" s="15"/>
      <c r="AS2111" s="15"/>
      <c r="AT2111" s="15"/>
      <c r="AU2111" s="15"/>
      <c r="AV2111" s="15"/>
      <c r="AW2111" s="15"/>
    </row>
    <row r="2112" spans="3:49" x14ac:dyDescent="0.2">
      <c r="C2112" s="15"/>
      <c r="D2112" s="15"/>
      <c r="E2112" s="15"/>
      <c r="F2112" s="15"/>
      <c r="G2112" s="15"/>
      <c r="H2112" s="15"/>
      <c r="I2112" s="15"/>
      <c r="J2112" s="15"/>
      <c r="K2112" s="15"/>
      <c r="L2112" s="28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5"/>
      <c r="AG2112" s="15"/>
      <c r="AH2112" s="15"/>
      <c r="AI2112" s="15"/>
      <c r="AJ2112" s="15"/>
      <c r="AK2112" s="15"/>
      <c r="AL2112" s="15"/>
      <c r="AM2112" s="15"/>
      <c r="AN2112" s="15"/>
      <c r="AO2112" s="15"/>
      <c r="AP2112" s="15"/>
      <c r="AQ2112" s="15"/>
      <c r="AR2112" s="15"/>
      <c r="AS2112" s="15"/>
      <c r="AT2112" s="15"/>
      <c r="AU2112" s="15"/>
      <c r="AV2112" s="15"/>
      <c r="AW2112" s="15"/>
    </row>
    <row r="2113" spans="3:49" x14ac:dyDescent="0.2">
      <c r="C2113" s="15"/>
      <c r="D2113" s="15"/>
      <c r="E2113" s="15"/>
      <c r="F2113" s="15"/>
      <c r="G2113" s="15"/>
      <c r="H2113" s="15"/>
      <c r="I2113" s="15"/>
      <c r="J2113" s="15"/>
      <c r="K2113" s="15"/>
      <c r="L2113" s="28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5"/>
      <c r="AG2113" s="15"/>
      <c r="AH2113" s="15"/>
      <c r="AI2113" s="15"/>
      <c r="AJ2113" s="15"/>
      <c r="AK2113" s="15"/>
      <c r="AL2113" s="15"/>
      <c r="AM2113" s="15"/>
      <c r="AN2113" s="15"/>
      <c r="AO2113" s="15"/>
      <c r="AP2113" s="15"/>
      <c r="AQ2113" s="15"/>
      <c r="AR2113" s="15"/>
      <c r="AS2113" s="15"/>
      <c r="AT2113" s="15"/>
      <c r="AU2113" s="15"/>
      <c r="AV2113" s="15"/>
      <c r="AW2113" s="15"/>
    </row>
    <row r="2114" spans="3:49" x14ac:dyDescent="0.2">
      <c r="C2114" s="15"/>
      <c r="D2114" s="15"/>
      <c r="E2114" s="15"/>
      <c r="F2114" s="15"/>
      <c r="G2114" s="15"/>
      <c r="H2114" s="15"/>
      <c r="I2114" s="15"/>
      <c r="J2114" s="15"/>
      <c r="K2114" s="15"/>
      <c r="L2114" s="28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5"/>
      <c r="AG2114" s="15"/>
      <c r="AH2114" s="15"/>
      <c r="AI2114" s="15"/>
      <c r="AJ2114" s="15"/>
      <c r="AK2114" s="15"/>
      <c r="AL2114" s="15"/>
      <c r="AM2114" s="15"/>
      <c r="AN2114" s="15"/>
      <c r="AO2114" s="15"/>
      <c r="AP2114" s="15"/>
      <c r="AQ2114" s="15"/>
      <c r="AR2114" s="15"/>
      <c r="AS2114" s="15"/>
      <c r="AT2114" s="15"/>
      <c r="AU2114" s="15"/>
      <c r="AV2114" s="15"/>
      <c r="AW2114" s="15"/>
    </row>
    <row r="2115" spans="3:49" x14ac:dyDescent="0.2">
      <c r="C2115" s="15"/>
      <c r="D2115" s="15"/>
      <c r="E2115" s="15"/>
      <c r="F2115" s="15"/>
      <c r="G2115" s="15"/>
      <c r="H2115" s="15"/>
      <c r="I2115" s="15"/>
      <c r="J2115" s="15"/>
      <c r="K2115" s="15"/>
      <c r="L2115" s="28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5"/>
      <c r="AG2115" s="15"/>
      <c r="AH2115" s="15"/>
      <c r="AI2115" s="15"/>
      <c r="AJ2115" s="15"/>
      <c r="AK2115" s="15"/>
      <c r="AL2115" s="15"/>
      <c r="AM2115" s="15"/>
      <c r="AN2115" s="15"/>
      <c r="AO2115" s="15"/>
      <c r="AP2115" s="15"/>
      <c r="AQ2115" s="15"/>
      <c r="AR2115" s="15"/>
      <c r="AS2115" s="15"/>
      <c r="AT2115" s="15"/>
      <c r="AU2115" s="15"/>
      <c r="AV2115" s="15"/>
      <c r="AW2115" s="15"/>
    </row>
    <row r="2116" spans="3:49" x14ac:dyDescent="0.2">
      <c r="C2116" s="15"/>
      <c r="D2116" s="15"/>
      <c r="E2116" s="15"/>
      <c r="F2116" s="15"/>
      <c r="G2116" s="15"/>
      <c r="H2116" s="15"/>
      <c r="I2116" s="15"/>
      <c r="J2116" s="15"/>
      <c r="K2116" s="15"/>
      <c r="L2116" s="28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5"/>
      <c r="AG2116" s="15"/>
      <c r="AH2116" s="15"/>
      <c r="AI2116" s="15"/>
      <c r="AJ2116" s="15"/>
      <c r="AK2116" s="15"/>
      <c r="AL2116" s="15"/>
      <c r="AM2116" s="15"/>
      <c r="AN2116" s="15"/>
      <c r="AO2116" s="15"/>
      <c r="AP2116" s="15"/>
      <c r="AQ2116" s="15"/>
      <c r="AR2116" s="15"/>
      <c r="AS2116" s="15"/>
      <c r="AT2116" s="15"/>
      <c r="AU2116" s="15"/>
      <c r="AV2116" s="15"/>
      <c r="AW2116" s="15"/>
    </row>
    <row r="2117" spans="3:49" x14ac:dyDescent="0.2">
      <c r="C2117" s="15"/>
      <c r="D2117" s="15"/>
      <c r="E2117" s="15"/>
      <c r="F2117" s="15"/>
      <c r="G2117" s="15"/>
      <c r="H2117" s="15"/>
      <c r="I2117" s="15"/>
      <c r="J2117" s="15"/>
      <c r="K2117" s="15"/>
      <c r="L2117" s="28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5"/>
      <c r="AG2117" s="15"/>
      <c r="AH2117" s="15"/>
      <c r="AI2117" s="15"/>
      <c r="AJ2117" s="15"/>
      <c r="AK2117" s="15"/>
      <c r="AL2117" s="15"/>
      <c r="AM2117" s="15"/>
      <c r="AN2117" s="15"/>
      <c r="AO2117" s="15"/>
      <c r="AP2117" s="15"/>
      <c r="AQ2117" s="15"/>
      <c r="AR2117" s="15"/>
      <c r="AS2117" s="15"/>
      <c r="AT2117" s="15"/>
      <c r="AU2117" s="15"/>
      <c r="AV2117" s="15"/>
      <c r="AW2117" s="15"/>
    </row>
    <row r="2118" spans="3:49" x14ac:dyDescent="0.2">
      <c r="C2118" s="15"/>
      <c r="D2118" s="15"/>
      <c r="E2118" s="15"/>
      <c r="F2118" s="15"/>
      <c r="G2118" s="15"/>
      <c r="H2118" s="15"/>
      <c r="I2118" s="15"/>
      <c r="J2118" s="15"/>
      <c r="K2118" s="15"/>
      <c r="L2118" s="28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5"/>
      <c r="AG2118" s="15"/>
      <c r="AH2118" s="15"/>
      <c r="AI2118" s="15"/>
      <c r="AJ2118" s="15"/>
      <c r="AK2118" s="15"/>
      <c r="AL2118" s="15"/>
      <c r="AM2118" s="15"/>
      <c r="AN2118" s="15"/>
      <c r="AO2118" s="15"/>
      <c r="AP2118" s="15"/>
      <c r="AQ2118" s="15"/>
      <c r="AR2118" s="15"/>
      <c r="AS2118" s="15"/>
      <c r="AT2118" s="15"/>
      <c r="AU2118" s="15"/>
      <c r="AV2118" s="15"/>
      <c r="AW2118" s="15"/>
    </row>
    <row r="2119" spans="3:49" x14ac:dyDescent="0.2">
      <c r="C2119" s="15"/>
      <c r="D2119" s="15"/>
      <c r="E2119" s="15"/>
      <c r="F2119" s="15"/>
      <c r="G2119" s="15"/>
      <c r="H2119" s="15"/>
      <c r="I2119" s="15"/>
      <c r="J2119" s="15"/>
      <c r="K2119" s="15"/>
      <c r="L2119" s="28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5"/>
      <c r="AG2119" s="15"/>
      <c r="AH2119" s="15"/>
      <c r="AI2119" s="15"/>
      <c r="AJ2119" s="15"/>
      <c r="AK2119" s="15"/>
      <c r="AL2119" s="15"/>
      <c r="AM2119" s="15"/>
      <c r="AN2119" s="15"/>
      <c r="AO2119" s="15"/>
      <c r="AP2119" s="15"/>
      <c r="AQ2119" s="15"/>
      <c r="AR2119" s="15"/>
      <c r="AS2119" s="15"/>
      <c r="AT2119" s="15"/>
      <c r="AU2119" s="15"/>
      <c r="AV2119" s="15"/>
      <c r="AW2119" s="15"/>
    </row>
    <row r="2120" spans="3:49" x14ac:dyDescent="0.2">
      <c r="C2120" s="15"/>
      <c r="D2120" s="15"/>
      <c r="E2120" s="15"/>
      <c r="F2120" s="15"/>
      <c r="G2120" s="15"/>
      <c r="H2120" s="15"/>
      <c r="I2120" s="15"/>
      <c r="J2120" s="15"/>
      <c r="K2120" s="15"/>
      <c r="L2120" s="28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5"/>
      <c r="AG2120" s="15"/>
      <c r="AH2120" s="15"/>
      <c r="AI2120" s="15"/>
      <c r="AJ2120" s="15"/>
      <c r="AK2120" s="15"/>
      <c r="AL2120" s="15"/>
      <c r="AM2120" s="15"/>
      <c r="AN2120" s="15"/>
      <c r="AO2120" s="15"/>
      <c r="AP2120" s="15"/>
      <c r="AQ2120" s="15"/>
      <c r="AR2120" s="15"/>
      <c r="AS2120" s="15"/>
      <c r="AT2120" s="15"/>
      <c r="AU2120" s="15"/>
      <c r="AV2120" s="15"/>
      <c r="AW2120" s="15"/>
    </row>
    <row r="2121" spans="3:49" x14ac:dyDescent="0.2">
      <c r="C2121" s="15"/>
      <c r="D2121" s="15"/>
      <c r="E2121" s="15"/>
      <c r="F2121" s="15"/>
      <c r="G2121" s="15"/>
      <c r="H2121" s="15"/>
      <c r="I2121" s="15"/>
      <c r="J2121" s="15"/>
      <c r="K2121" s="15"/>
      <c r="L2121" s="28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5"/>
      <c r="AG2121" s="15"/>
      <c r="AH2121" s="15"/>
      <c r="AI2121" s="15"/>
      <c r="AJ2121" s="15"/>
      <c r="AK2121" s="15"/>
      <c r="AL2121" s="15"/>
      <c r="AM2121" s="15"/>
      <c r="AN2121" s="15"/>
      <c r="AO2121" s="15"/>
      <c r="AP2121" s="15"/>
      <c r="AQ2121" s="15"/>
      <c r="AR2121" s="15"/>
      <c r="AS2121" s="15"/>
      <c r="AT2121" s="15"/>
      <c r="AU2121" s="15"/>
      <c r="AV2121" s="15"/>
      <c r="AW2121" s="15"/>
    </row>
    <row r="2122" spans="3:49" x14ac:dyDescent="0.2">
      <c r="C2122" s="15"/>
      <c r="D2122" s="15"/>
      <c r="E2122" s="15"/>
      <c r="F2122" s="15"/>
      <c r="G2122" s="15"/>
      <c r="H2122" s="15"/>
      <c r="I2122" s="15"/>
      <c r="J2122" s="15"/>
      <c r="K2122" s="15"/>
      <c r="L2122" s="28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5"/>
      <c r="AG2122" s="15"/>
      <c r="AH2122" s="15"/>
      <c r="AI2122" s="15"/>
      <c r="AJ2122" s="15"/>
      <c r="AK2122" s="15"/>
      <c r="AL2122" s="15"/>
      <c r="AM2122" s="15"/>
      <c r="AN2122" s="15"/>
      <c r="AO2122" s="15"/>
      <c r="AP2122" s="15"/>
      <c r="AQ2122" s="15"/>
      <c r="AR2122" s="15"/>
      <c r="AS2122" s="15"/>
      <c r="AT2122" s="15"/>
      <c r="AU2122" s="15"/>
      <c r="AV2122" s="15"/>
      <c r="AW2122" s="15"/>
    </row>
    <row r="2123" spans="3:49" x14ac:dyDescent="0.2">
      <c r="C2123" s="15"/>
      <c r="D2123" s="15"/>
      <c r="E2123" s="15"/>
      <c r="F2123" s="15"/>
      <c r="G2123" s="15"/>
      <c r="H2123" s="15"/>
      <c r="I2123" s="15"/>
      <c r="J2123" s="15"/>
      <c r="K2123" s="15"/>
      <c r="L2123" s="28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5"/>
      <c r="AG2123" s="15"/>
      <c r="AH2123" s="15"/>
      <c r="AI2123" s="15"/>
      <c r="AJ2123" s="15"/>
      <c r="AK2123" s="15"/>
      <c r="AL2123" s="15"/>
      <c r="AM2123" s="15"/>
      <c r="AN2123" s="15"/>
      <c r="AO2123" s="15"/>
      <c r="AP2123" s="15"/>
      <c r="AQ2123" s="15"/>
      <c r="AR2123" s="15"/>
      <c r="AS2123" s="15"/>
      <c r="AT2123" s="15"/>
      <c r="AU2123" s="15"/>
      <c r="AV2123" s="15"/>
      <c r="AW2123" s="15"/>
    </row>
    <row r="2124" spans="3:49" x14ac:dyDescent="0.2">
      <c r="C2124" s="15"/>
      <c r="D2124" s="15"/>
      <c r="E2124" s="15"/>
      <c r="F2124" s="15"/>
      <c r="G2124" s="15"/>
      <c r="H2124" s="15"/>
      <c r="I2124" s="15"/>
      <c r="J2124" s="15"/>
      <c r="K2124" s="15"/>
      <c r="L2124" s="28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5"/>
      <c r="AG2124" s="15"/>
      <c r="AH2124" s="15"/>
      <c r="AI2124" s="15"/>
      <c r="AJ2124" s="15"/>
      <c r="AK2124" s="15"/>
      <c r="AL2124" s="15"/>
      <c r="AM2124" s="15"/>
      <c r="AN2124" s="15"/>
      <c r="AO2124" s="15"/>
      <c r="AP2124" s="15"/>
      <c r="AQ2124" s="15"/>
      <c r="AR2124" s="15"/>
      <c r="AS2124" s="15"/>
      <c r="AT2124" s="15"/>
      <c r="AU2124" s="15"/>
      <c r="AV2124" s="15"/>
      <c r="AW2124" s="15"/>
    </row>
    <row r="2125" spans="3:49" x14ac:dyDescent="0.2">
      <c r="C2125" s="15"/>
      <c r="D2125" s="15"/>
      <c r="E2125" s="15"/>
      <c r="F2125" s="15"/>
      <c r="G2125" s="15"/>
      <c r="H2125" s="15"/>
      <c r="I2125" s="15"/>
      <c r="J2125" s="15"/>
      <c r="K2125" s="15"/>
      <c r="L2125" s="28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5"/>
      <c r="AG2125" s="15"/>
      <c r="AH2125" s="15"/>
      <c r="AI2125" s="15"/>
      <c r="AJ2125" s="15"/>
      <c r="AK2125" s="15"/>
      <c r="AL2125" s="15"/>
      <c r="AM2125" s="15"/>
      <c r="AN2125" s="15"/>
      <c r="AO2125" s="15"/>
      <c r="AP2125" s="15"/>
      <c r="AQ2125" s="15"/>
      <c r="AR2125" s="15"/>
      <c r="AS2125" s="15"/>
      <c r="AT2125" s="15"/>
      <c r="AU2125" s="15"/>
      <c r="AV2125" s="15"/>
      <c r="AW2125" s="15"/>
    </row>
    <row r="2126" spans="3:49" x14ac:dyDescent="0.2">
      <c r="C2126" s="15"/>
      <c r="D2126" s="15"/>
      <c r="E2126" s="15"/>
      <c r="F2126" s="15"/>
      <c r="G2126" s="15"/>
      <c r="H2126" s="15"/>
      <c r="I2126" s="15"/>
      <c r="J2126" s="15"/>
      <c r="K2126" s="15"/>
      <c r="L2126" s="28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5"/>
      <c r="AG2126" s="15"/>
      <c r="AH2126" s="15"/>
      <c r="AI2126" s="15"/>
      <c r="AJ2126" s="15"/>
      <c r="AK2126" s="15"/>
      <c r="AL2126" s="15"/>
      <c r="AM2126" s="15"/>
      <c r="AN2126" s="15"/>
      <c r="AO2126" s="15"/>
      <c r="AP2126" s="15"/>
      <c r="AQ2126" s="15"/>
      <c r="AR2126" s="15"/>
      <c r="AS2126" s="15"/>
      <c r="AT2126" s="15"/>
      <c r="AU2126" s="15"/>
      <c r="AV2126" s="15"/>
      <c r="AW2126" s="15"/>
    </row>
    <row r="2127" spans="3:49" x14ac:dyDescent="0.2">
      <c r="C2127" s="15"/>
      <c r="D2127" s="15"/>
      <c r="E2127" s="15"/>
      <c r="F2127" s="15"/>
      <c r="G2127" s="15"/>
      <c r="H2127" s="15"/>
      <c r="I2127" s="15"/>
      <c r="J2127" s="15"/>
      <c r="K2127" s="15"/>
      <c r="L2127" s="28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5"/>
      <c r="AG2127" s="15"/>
      <c r="AH2127" s="15"/>
      <c r="AI2127" s="15"/>
      <c r="AJ2127" s="15"/>
      <c r="AK2127" s="15"/>
      <c r="AL2127" s="15"/>
      <c r="AM2127" s="15"/>
      <c r="AN2127" s="15"/>
      <c r="AO2127" s="15"/>
      <c r="AP2127" s="15"/>
      <c r="AQ2127" s="15"/>
      <c r="AR2127" s="15"/>
      <c r="AS2127" s="15"/>
      <c r="AT2127" s="15"/>
      <c r="AU2127" s="15"/>
      <c r="AV2127" s="15"/>
      <c r="AW2127" s="15"/>
    </row>
    <row r="2128" spans="3:49" x14ac:dyDescent="0.2">
      <c r="C2128" s="15"/>
      <c r="D2128" s="15"/>
      <c r="E2128" s="15"/>
      <c r="F2128" s="15"/>
      <c r="G2128" s="15"/>
      <c r="H2128" s="15"/>
      <c r="I2128" s="15"/>
      <c r="J2128" s="15"/>
      <c r="K2128" s="15"/>
      <c r="L2128" s="28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5"/>
      <c r="AG2128" s="15"/>
      <c r="AH2128" s="15"/>
      <c r="AI2128" s="15"/>
      <c r="AJ2128" s="15"/>
      <c r="AK2128" s="15"/>
      <c r="AL2128" s="15"/>
      <c r="AM2128" s="15"/>
      <c r="AN2128" s="15"/>
      <c r="AO2128" s="15"/>
      <c r="AP2128" s="15"/>
      <c r="AQ2128" s="15"/>
      <c r="AR2128" s="15"/>
      <c r="AS2128" s="15"/>
      <c r="AT2128" s="15"/>
      <c r="AU2128" s="15"/>
      <c r="AV2128" s="15"/>
      <c r="AW2128" s="15"/>
    </row>
    <row r="2129" spans="3:49" x14ac:dyDescent="0.2">
      <c r="C2129" s="15"/>
      <c r="D2129" s="15"/>
      <c r="E2129" s="15"/>
      <c r="F2129" s="15"/>
      <c r="G2129" s="15"/>
      <c r="H2129" s="15"/>
      <c r="I2129" s="15"/>
      <c r="J2129" s="15"/>
      <c r="K2129" s="15"/>
      <c r="L2129" s="28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5"/>
      <c r="AG2129" s="15"/>
      <c r="AH2129" s="15"/>
      <c r="AI2129" s="15"/>
      <c r="AJ2129" s="15"/>
      <c r="AK2129" s="15"/>
      <c r="AL2129" s="15"/>
      <c r="AM2129" s="15"/>
      <c r="AN2129" s="15"/>
      <c r="AO2129" s="15"/>
      <c r="AP2129" s="15"/>
      <c r="AQ2129" s="15"/>
      <c r="AR2129" s="15"/>
      <c r="AS2129" s="15"/>
      <c r="AT2129" s="15"/>
      <c r="AU2129" s="15"/>
      <c r="AV2129" s="15"/>
      <c r="AW2129" s="15"/>
    </row>
    <row r="2130" spans="3:49" x14ac:dyDescent="0.2">
      <c r="C2130" s="15"/>
      <c r="D2130" s="15"/>
      <c r="E2130" s="15"/>
      <c r="F2130" s="15"/>
      <c r="G2130" s="15"/>
      <c r="H2130" s="15"/>
      <c r="I2130" s="15"/>
      <c r="J2130" s="15"/>
      <c r="K2130" s="15"/>
      <c r="L2130" s="28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5"/>
      <c r="AG2130" s="15"/>
      <c r="AH2130" s="15"/>
      <c r="AI2130" s="15"/>
      <c r="AJ2130" s="15"/>
      <c r="AK2130" s="15"/>
      <c r="AL2130" s="15"/>
      <c r="AM2130" s="15"/>
      <c r="AN2130" s="15"/>
      <c r="AO2130" s="15"/>
      <c r="AP2130" s="15"/>
      <c r="AQ2130" s="15"/>
      <c r="AR2130" s="15"/>
      <c r="AS2130" s="15"/>
      <c r="AT2130" s="15"/>
      <c r="AU2130" s="15"/>
      <c r="AV2130" s="15"/>
      <c r="AW2130" s="15"/>
    </row>
    <row r="2131" spans="3:49" x14ac:dyDescent="0.2">
      <c r="C2131" s="15"/>
      <c r="D2131" s="15"/>
      <c r="E2131" s="15"/>
      <c r="F2131" s="15"/>
      <c r="G2131" s="15"/>
      <c r="H2131" s="15"/>
      <c r="I2131" s="15"/>
      <c r="J2131" s="15"/>
      <c r="K2131" s="15"/>
      <c r="L2131" s="28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5"/>
      <c r="AG2131" s="15"/>
      <c r="AH2131" s="15"/>
      <c r="AI2131" s="15"/>
      <c r="AJ2131" s="15"/>
      <c r="AK2131" s="15"/>
      <c r="AL2131" s="15"/>
      <c r="AM2131" s="15"/>
      <c r="AN2131" s="15"/>
      <c r="AO2131" s="15"/>
      <c r="AP2131" s="15"/>
      <c r="AQ2131" s="15"/>
      <c r="AR2131" s="15"/>
      <c r="AS2131" s="15"/>
      <c r="AT2131" s="15"/>
      <c r="AU2131" s="15"/>
      <c r="AV2131" s="15"/>
      <c r="AW2131" s="15"/>
    </row>
    <row r="2132" spans="3:49" x14ac:dyDescent="0.2">
      <c r="C2132" s="15"/>
      <c r="D2132" s="15"/>
      <c r="E2132" s="15"/>
      <c r="F2132" s="15"/>
      <c r="G2132" s="15"/>
      <c r="H2132" s="15"/>
      <c r="I2132" s="15"/>
      <c r="J2132" s="15"/>
      <c r="K2132" s="15"/>
      <c r="L2132" s="28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5"/>
      <c r="AG2132" s="15"/>
      <c r="AH2132" s="15"/>
      <c r="AI2132" s="15"/>
      <c r="AJ2132" s="15"/>
      <c r="AK2132" s="15"/>
      <c r="AL2132" s="15"/>
      <c r="AM2132" s="15"/>
      <c r="AN2132" s="15"/>
      <c r="AO2132" s="15"/>
      <c r="AP2132" s="15"/>
      <c r="AQ2132" s="15"/>
      <c r="AR2132" s="15"/>
      <c r="AS2132" s="15"/>
      <c r="AT2132" s="15"/>
      <c r="AU2132" s="15"/>
      <c r="AV2132" s="15"/>
      <c r="AW2132" s="15"/>
    </row>
    <row r="2133" spans="3:49" x14ac:dyDescent="0.2">
      <c r="C2133" s="15"/>
      <c r="D2133" s="15"/>
      <c r="E2133" s="15"/>
      <c r="F2133" s="15"/>
      <c r="G2133" s="15"/>
      <c r="H2133" s="15"/>
      <c r="I2133" s="15"/>
      <c r="J2133" s="15"/>
      <c r="K2133" s="15"/>
      <c r="L2133" s="28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5"/>
      <c r="AG2133" s="15"/>
      <c r="AH2133" s="15"/>
      <c r="AI2133" s="15"/>
      <c r="AJ2133" s="15"/>
      <c r="AK2133" s="15"/>
      <c r="AL2133" s="15"/>
      <c r="AM2133" s="15"/>
      <c r="AN2133" s="15"/>
      <c r="AO2133" s="15"/>
      <c r="AP2133" s="15"/>
      <c r="AQ2133" s="15"/>
      <c r="AR2133" s="15"/>
      <c r="AS2133" s="15"/>
      <c r="AT2133" s="15"/>
      <c r="AU2133" s="15"/>
      <c r="AV2133" s="15"/>
      <c r="AW2133" s="15"/>
    </row>
    <row r="2134" spans="3:49" x14ac:dyDescent="0.2">
      <c r="C2134" s="15"/>
      <c r="D2134" s="15"/>
      <c r="E2134" s="15"/>
      <c r="F2134" s="15"/>
      <c r="G2134" s="15"/>
      <c r="H2134" s="15"/>
      <c r="I2134" s="15"/>
      <c r="J2134" s="15"/>
      <c r="K2134" s="15"/>
      <c r="L2134" s="28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5"/>
      <c r="AG2134" s="15"/>
      <c r="AH2134" s="15"/>
      <c r="AI2134" s="15"/>
      <c r="AJ2134" s="15"/>
      <c r="AK2134" s="15"/>
      <c r="AL2134" s="15"/>
      <c r="AM2134" s="15"/>
      <c r="AN2134" s="15"/>
      <c r="AO2134" s="15"/>
      <c r="AP2134" s="15"/>
      <c r="AQ2134" s="15"/>
      <c r="AR2134" s="15"/>
      <c r="AS2134" s="15"/>
      <c r="AT2134" s="15"/>
      <c r="AU2134" s="15"/>
      <c r="AV2134" s="15"/>
      <c r="AW2134" s="15"/>
    </row>
    <row r="2135" spans="3:49" x14ac:dyDescent="0.2">
      <c r="C2135" s="15"/>
      <c r="D2135" s="15"/>
      <c r="E2135" s="15"/>
      <c r="F2135" s="15"/>
      <c r="G2135" s="15"/>
      <c r="H2135" s="15"/>
      <c r="I2135" s="15"/>
      <c r="J2135" s="15"/>
      <c r="K2135" s="15"/>
      <c r="L2135" s="28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5"/>
      <c r="AG2135" s="15"/>
      <c r="AH2135" s="15"/>
      <c r="AI2135" s="15"/>
      <c r="AJ2135" s="15"/>
      <c r="AK2135" s="15"/>
      <c r="AL2135" s="15"/>
      <c r="AM2135" s="15"/>
      <c r="AN2135" s="15"/>
      <c r="AO2135" s="15"/>
      <c r="AP2135" s="15"/>
      <c r="AQ2135" s="15"/>
      <c r="AR2135" s="15"/>
      <c r="AS2135" s="15"/>
      <c r="AT2135" s="15"/>
      <c r="AU2135" s="15"/>
      <c r="AV2135" s="15"/>
      <c r="AW2135" s="15"/>
    </row>
    <row r="2136" spans="3:49" x14ac:dyDescent="0.2">
      <c r="C2136" s="15"/>
      <c r="D2136" s="15"/>
      <c r="E2136" s="15"/>
      <c r="F2136" s="15"/>
      <c r="G2136" s="15"/>
      <c r="H2136" s="15"/>
      <c r="I2136" s="15"/>
      <c r="J2136" s="15"/>
      <c r="K2136" s="15"/>
      <c r="L2136" s="28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5"/>
      <c r="AG2136" s="15"/>
      <c r="AH2136" s="15"/>
      <c r="AI2136" s="15"/>
      <c r="AJ2136" s="15"/>
      <c r="AK2136" s="15"/>
      <c r="AL2136" s="15"/>
      <c r="AM2136" s="15"/>
      <c r="AN2136" s="15"/>
      <c r="AO2136" s="15"/>
      <c r="AP2136" s="15"/>
      <c r="AQ2136" s="15"/>
      <c r="AR2136" s="15"/>
      <c r="AS2136" s="15"/>
      <c r="AT2136" s="15"/>
      <c r="AU2136" s="15"/>
      <c r="AV2136" s="15"/>
      <c r="AW2136" s="15"/>
    </row>
    <row r="2137" spans="3:49" x14ac:dyDescent="0.2">
      <c r="C2137" s="15"/>
      <c r="D2137" s="15"/>
      <c r="E2137" s="15"/>
      <c r="F2137" s="15"/>
      <c r="G2137" s="15"/>
      <c r="H2137" s="15"/>
      <c r="I2137" s="15"/>
      <c r="J2137" s="15"/>
      <c r="K2137" s="15"/>
      <c r="L2137" s="28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5"/>
      <c r="AG2137" s="15"/>
      <c r="AH2137" s="15"/>
      <c r="AI2137" s="15"/>
      <c r="AJ2137" s="15"/>
      <c r="AK2137" s="15"/>
      <c r="AL2137" s="15"/>
      <c r="AM2137" s="15"/>
      <c r="AN2137" s="15"/>
      <c r="AO2137" s="15"/>
      <c r="AP2137" s="15"/>
      <c r="AQ2137" s="15"/>
      <c r="AR2137" s="15"/>
      <c r="AS2137" s="15"/>
      <c r="AT2137" s="15"/>
      <c r="AU2137" s="15"/>
      <c r="AV2137" s="15"/>
      <c r="AW2137" s="15"/>
    </row>
    <row r="2138" spans="3:49" x14ac:dyDescent="0.2">
      <c r="C2138" s="15"/>
      <c r="D2138" s="15"/>
      <c r="E2138" s="15"/>
      <c r="F2138" s="15"/>
      <c r="G2138" s="15"/>
      <c r="H2138" s="15"/>
      <c r="I2138" s="15"/>
      <c r="J2138" s="15"/>
      <c r="K2138" s="15"/>
      <c r="L2138" s="28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5"/>
      <c r="AG2138" s="15"/>
      <c r="AH2138" s="15"/>
      <c r="AI2138" s="15"/>
      <c r="AJ2138" s="15"/>
      <c r="AK2138" s="15"/>
      <c r="AL2138" s="15"/>
      <c r="AM2138" s="15"/>
      <c r="AN2138" s="15"/>
      <c r="AO2138" s="15"/>
      <c r="AP2138" s="15"/>
      <c r="AQ2138" s="15"/>
      <c r="AR2138" s="15"/>
      <c r="AS2138" s="15"/>
      <c r="AT2138" s="15"/>
      <c r="AU2138" s="15"/>
      <c r="AV2138" s="15"/>
      <c r="AW2138" s="15"/>
    </row>
    <row r="2139" spans="3:49" x14ac:dyDescent="0.2">
      <c r="C2139" s="15"/>
      <c r="D2139" s="15"/>
      <c r="E2139" s="15"/>
      <c r="F2139" s="15"/>
      <c r="G2139" s="15"/>
      <c r="H2139" s="15"/>
      <c r="I2139" s="15"/>
      <c r="J2139" s="15"/>
      <c r="K2139" s="15"/>
      <c r="L2139" s="28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5"/>
      <c r="AG2139" s="15"/>
      <c r="AH2139" s="15"/>
      <c r="AI2139" s="15"/>
      <c r="AJ2139" s="15"/>
      <c r="AK2139" s="15"/>
      <c r="AL2139" s="15"/>
      <c r="AM2139" s="15"/>
      <c r="AN2139" s="15"/>
      <c r="AO2139" s="15"/>
      <c r="AP2139" s="15"/>
      <c r="AQ2139" s="15"/>
      <c r="AR2139" s="15"/>
      <c r="AS2139" s="15"/>
      <c r="AT2139" s="15"/>
      <c r="AU2139" s="15"/>
      <c r="AV2139" s="15"/>
      <c r="AW2139" s="15"/>
    </row>
    <row r="2140" spans="3:49" x14ac:dyDescent="0.2">
      <c r="C2140" s="15"/>
      <c r="D2140" s="15"/>
      <c r="E2140" s="15"/>
      <c r="F2140" s="15"/>
      <c r="G2140" s="15"/>
      <c r="H2140" s="15"/>
      <c r="I2140" s="15"/>
      <c r="J2140" s="15"/>
      <c r="K2140" s="15"/>
      <c r="L2140" s="28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5"/>
      <c r="AG2140" s="15"/>
      <c r="AH2140" s="15"/>
      <c r="AI2140" s="15"/>
      <c r="AJ2140" s="15"/>
      <c r="AK2140" s="15"/>
      <c r="AL2140" s="15"/>
      <c r="AM2140" s="15"/>
      <c r="AN2140" s="15"/>
      <c r="AO2140" s="15"/>
      <c r="AP2140" s="15"/>
      <c r="AQ2140" s="15"/>
      <c r="AR2140" s="15"/>
      <c r="AS2140" s="15"/>
      <c r="AT2140" s="15"/>
      <c r="AU2140" s="15"/>
      <c r="AV2140" s="15"/>
      <c r="AW2140" s="15"/>
    </row>
    <row r="2141" spans="3:49" x14ac:dyDescent="0.2">
      <c r="C2141" s="15"/>
      <c r="D2141" s="15"/>
      <c r="E2141" s="15"/>
      <c r="F2141" s="15"/>
      <c r="G2141" s="15"/>
      <c r="H2141" s="15"/>
      <c r="I2141" s="15"/>
      <c r="J2141" s="15"/>
      <c r="K2141" s="15"/>
      <c r="L2141" s="28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5"/>
      <c r="AG2141" s="15"/>
      <c r="AH2141" s="15"/>
      <c r="AI2141" s="15"/>
      <c r="AJ2141" s="15"/>
      <c r="AK2141" s="15"/>
      <c r="AL2141" s="15"/>
      <c r="AM2141" s="15"/>
      <c r="AN2141" s="15"/>
      <c r="AO2141" s="15"/>
      <c r="AP2141" s="15"/>
      <c r="AQ2141" s="15"/>
      <c r="AR2141" s="15"/>
      <c r="AS2141" s="15"/>
      <c r="AT2141" s="15"/>
      <c r="AU2141" s="15"/>
      <c r="AV2141" s="15"/>
      <c r="AW2141" s="15"/>
    </row>
    <row r="2142" spans="3:49" x14ac:dyDescent="0.2">
      <c r="C2142" s="15"/>
      <c r="D2142" s="15"/>
      <c r="E2142" s="15"/>
      <c r="F2142" s="15"/>
      <c r="G2142" s="15"/>
      <c r="H2142" s="15"/>
      <c r="I2142" s="15"/>
      <c r="J2142" s="15"/>
      <c r="K2142" s="15"/>
      <c r="L2142" s="28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5"/>
      <c r="AG2142" s="15"/>
      <c r="AH2142" s="15"/>
      <c r="AI2142" s="15"/>
      <c r="AJ2142" s="15"/>
      <c r="AK2142" s="15"/>
      <c r="AL2142" s="15"/>
      <c r="AM2142" s="15"/>
      <c r="AN2142" s="15"/>
      <c r="AO2142" s="15"/>
      <c r="AP2142" s="15"/>
      <c r="AQ2142" s="15"/>
      <c r="AR2142" s="15"/>
      <c r="AS2142" s="15"/>
      <c r="AT2142" s="15"/>
      <c r="AU2142" s="15"/>
      <c r="AV2142" s="15"/>
      <c r="AW2142" s="15"/>
    </row>
    <row r="2143" spans="3:49" x14ac:dyDescent="0.2">
      <c r="C2143" s="15"/>
      <c r="D2143" s="15"/>
      <c r="E2143" s="15"/>
      <c r="F2143" s="15"/>
      <c r="G2143" s="15"/>
      <c r="H2143" s="15"/>
      <c r="I2143" s="15"/>
      <c r="J2143" s="15"/>
      <c r="K2143" s="15"/>
      <c r="L2143" s="28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5"/>
      <c r="AG2143" s="15"/>
      <c r="AH2143" s="15"/>
      <c r="AI2143" s="15"/>
      <c r="AJ2143" s="15"/>
      <c r="AK2143" s="15"/>
      <c r="AL2143" s="15"/>
      <c r="AM2143" s="15"/>
      <c r="AN2143" s="15"/>
      <c r="AO2143" s="15"/>
      <c r="AP2143" s="15"/>
      <c r="AQ2143" s="15"/>
      <c r="AR2143" s="15"/>
      <c r="AS2143" s="15"/>
      <c r="AT2143" s="15"/>
      <c r="AU2143" s="15"/>
      <c r="AV2143" s="15"/>
      <c r="AW2143" s="15"/>
    </row>
    <row r="2144" spans="3:49" x14ac:dyDescent="0.2">
      <c r="C2144" s="15"/>
      <c r="D2144" s="15"/>
      <c r="E2144" s="15"/>
      <c r="F2144" s="15"/>
      <c r="G2144" s="15"/>
      <c r="H2144" s="15"/>
      <c r="I2144" s="15"/>
      <c r="J2144" s="15"/>
      <c r="K2144" s="15"/>
      <c r="L2144" s="28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5"/>
      <c r="AG2144" s="15"/>
      <c r="AH2144" s="15"/>
      <c r="AI2144" s="15"/>
      <c r="AJ2144" s="15"/>
      <c r="AK2144" s="15"/>
      <c r="AL2144" s="15"/>
      <c r="AM2144" s="15"/>
      <c r="AN2144" s="15"/>
      <c r="AO2144" s="15"/>
      <c r="AP2144" s="15"/>
      <c r="AQ2144" s="15"/>
      <c r="AR2144" s="15"/>
      <c r="AS2144" s="15"/>
      <c r="AT2144" s="15"/>
      <c r="AU2144" s="15"/>
      <c r="AV2144" s="15"/>
      <c r="AW2144" s="15"/>
    </row>
    <row r="2145" spans="3:49" x14ac:dyDescent="0.2">
      <c r="C2145" s="15"/>
      <c r="D2145" s="15"/>
      <c r="E2145" s="15"/>
      <c r="F2145" s="15"/>
      <c r="G2145" s="15"/>
      <c r="H2145" s="15"/>
      <c r="I2145" s="15"/>
      <c r="J2145" s="15"/>
      <c r="K2145" s="15"/>
      <c r="L2145" s="28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5"/>
      <c r="AG2145" s="15"/>
      <c r="AH2145" s="15"/>
      <c r="AI2145" s="15"/>
      <c r="AJ2145" s="15"/>
      <c r="AK2145" s="15"/>
      <c r="AL2145" s="15"/>
      <c r="AM2145" s="15"/>
      <c r="AN2145" s="15"/>
      <c r="AO2145" s="15"/>
      <c r="AP2145" s="15"/>
      <c r="AQ2145" s="15"/>
      <c r="AR2145" s="15"/>
      <c r="AS2145" s="15"/>
      <c r="AT2145" s="15"/>
      <c r="AU2145" s="15"/>
      <c r="AV2145" s="15"/>
      <c r="AW2145" s="15"/>
    </row>
    <row r="2146" spans="3:49" x14ac:dyDescent="0.2">
      <c r="C2146" s="15"/>
      <c r="D2146" s="15"/>
      <c r="E2146" s="15"/>
      <c r="F2146" s="15"/>
      <c r="G2146" s="15"/>
      <c r="H2146" s="15"/>
      <c r="I2146" s="15"/>
      <c r="J2146" s="15"/>
      <c r="K2146" s="15"/>
      <c r="L2146" s="28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5"/>
      <c r="AG2146" s="15"/>
      <c r="AH2146" s="15"/>
      <c r="AI2146" s="15"/>
      <c r="AJ2146" s="15"/>
      <c r="AK2146" s="15"/>
      <c r="AL2146" s="15"/>
      <c r="AM2146" s="15"/>
      <c r="AN2146" s="15"/>
      <c r="AO2146" s="15"/>
      <c r="AP2146" s="15"/>
      <c r="AQ2146" s="15"/>
      <c r="AR2146" s="15"/>
      <c r="AS2146" s="15"/>
      <c r="AT2146" s="15"/>
      <c r="AU2146" s="15"/>
      <c r="AV2146" s="15"/>
      <c r="AW2146" s="15"/>
    </row>
    <row r="2147" spans="3:49" x14ac:dyDescent="0.2">
      <c r="C2147" s="15"/>
      <c r="D2147" s="15"/>
      <c r="E2147" s="15"/>
      <c r="F2147" s="15"/>
      <c r="G2147" s="15"/>
      <c r="H2147" s="15"/>
      <c r="I2147" s="15"/>
      <c r="J2147" s="15"/>
      <c r="K2147" s="15"/>
      <c r="L2147" s="28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5"/>
      <c r="AG2147" s="15"/>
      <c r="AH2147" s="15"/>
      <c r="AI2147" s="15"/>
      <c r="AJ2147" s="15"/>
      <c r="AK2147" s="15"/>
      <c r="AL2147" s="15"/>
      <c r="AM2147" s="15"/>
      <c r="AN2147" s="15"/>
      <c r="AO2147" s="15"/>
      <c r="AP2147" s="15"/>
      <c r="AQ2147" s="15"/>
      <c r="AR2147" s="15"/>
      <c r="AS2147" s="15"/>
      <c r="AT2147" s="15"/>
      <c r="AU2147" s="15"/>
      <c r="AV2147" s="15"/>
      <c r="AW2147" s="15"/>
    </row>
    <row r="2148" spans="3:49" x14ac:dyDescent="0.2">
      <c r="C2148" s="15"/>
      <c r="D2148" s="15"/>
      <c r="E2148" s="15"/>
      <c r="F2148" s="15"/>
      <c r="G2148" s="15"/>
      <c r="H2148" s="15"/>
      <c r="I2148" s="15"/>
      <c r="J2148" s="15"/>
      <c r="K2148" s="15"/>
      <c r="L2148" s="28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5"/>
      <c r="AG2148" s="15"/>
      <c r="AH2148" s="15"/>
      <c r="AI2148" s="15"/>
      <c r="AJ2148" s="15"/>
      <c r="AK2148" s="15"/>
      <c r="AL2148" s="15"/>
      <c r="AM2148" s="15"/>
      <c r="AN2148" s="15"/>
      <c r="AO2148" s="15"/>
      <c r="AP2148" s="15"/>
      <c r="AQ2148" s="15"/>
      <c r="AR2148" s="15"/>
      <c r="AS2148" s="15"/>
      <c r="AT2148" s="15"/>
      <c r="AU2148" s="15"/>
      <c r="AV2148" s="15"/>
      <c r="AW2148" s="15"/>
    </row>
    <row r="2149" spans="3:49" x14ac:dyDescent="0.2">
      <c r="C2149" s="15"/>
      <c r="D2149" s="15"/>
      <c r="E2149" s="15"/>
      <c r="F2149" s="15"/>
      <c r="G2149" s="15"/>
      <c r="H2149" s="15"/>
      <c r="I2149" s="15"/>
      <c r="J2149" s="15"/>
      <c r="K2149" s="15"/>
      <c r="L2149" s="28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5"/>
      <c r="AG2149" s="15"/>
      <c r="AH2149" s="15"/>
      <c r="AI2149" s="15"/>
      <c r="AJ2149" s="15"/>
      <c r="AK2149" s="15"/>
      <c r="AL2149" s="15"/>
      <c r="AM2149" s="15"/>
      <c r="AN2149" s="15"/>
      <c r="AO2149" s="15"/>
      <c r="AP2149" s="15"/>
      <c r="AQ2149" s="15"/>
      <c r="AR2149" s="15"/>
      <c r="AS2149" s="15"/>
      <c r="AT2149" s="15"/>
      <c r="AU2149" s="15"/>
      <c r="AV2149" s="15"/>
      <c r="AW2149" s="15"/>
    </row>
    <row r="2150" spans="3:49" x14ac:dyDescent="0.2">
      <c r="C2150" s="15"/>
      <c r="D2150" s="15"/>
      <c r="E2150" s="15"/>
      <c r="F2150" s="15"/>
      <c r="G2150" s="15"/>
      <c r="H2150" s="15"/>
      <c r="I2150" s="15"/>
      <c r="J2150" s="15"/>
      <c r="K2150" s="15"/>
      <c r="L2150" s="28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5"/>
      <c r="AG2150" s="15"/>
      <c r="AH2150" s="15"/>
      <c r="AI2150" s="15"/>
      <c r="AJ2150" s="15"/>
      <c r="AK2150" s="15"/>
      <c r="AL2150" s="15"/>
      <c r="AM2150" s="15"/>
      <c r="AN2150" s="15"/>
      <c r="AO2150" s="15"/>
      <c r="AP2150" s="15"/>
      <c r="AQ2150" s="15"/>
      <c r="AR2150" s="15"/>
      <c r="AS2150" s="15"/>
      <c r="AT2150" s="15"/>
      <c r="AU2150" s="15"/>
      <c r="AV2150" s="15"/>
      <c r="AW2150" s="15"/>
    </row>
    <row r="2151" spans="3:49" x14ac:dyDescent="0.2">
      <c r="C2151" s="15"/>
      <c r="D2151" s="15"/>
      <c r="E2151" s="15"/>
      <c r="F2151" s="15"/>
      <c r="G2151" s="15"/>
      <c r="H2151" s="15"/>
      <c r="I2151" s="15"/>
      <c r="J2151" s="15"/>
      <c r="K2151" s="15"/>
      <c r="L2151" s="28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5"/>
      <c r="AG2151" s="15"/>
      <c r="AH2151" s="15"/>
      <c r="AI2151" s="15"/>
      <c r="AJ2151" s="15"/>
      <c r="AK2151" s="15"/>
      <c r="AL2151" s="15"/>
      <c r="AM2151" s="15"/>
      <c r="AN2151" s="15"/>
      <c r="AO2151" s="15"/>
      <c r="AP2151" s="15"/>
      <c r="AQ2151" s="15"/>
      <c r="AR2151" s="15"/>
      <c r="AS2151" s="15"/>
      <c r="AT2151" s="15"/>
      <c r="AU2151" s="15"/>
      <c r="AV2151" s="15"/>
      <c r="AW2151" s="15"/>
    </row>
    <row r="2152" spans="3:49" x14ac:dyDescent="0.2">
      <c r="C2152" s="15"/>
      <c r="D2152" s="15"/>
      <c r="E2152" s="15"/>
      <c r="F2152" s="15"/>
      <c r="G2152" s="15"/>
      <c r="H2152" s="15"/>
      <c r="I2152" s="15"/>
      <c r="J2152" s="15"/>
      <c r="K2152" s="15"/>
      <c r="L2152" s="28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5"/>
      <c r="AG2152" s="15"/>
      <c r="AH2152" s="15"/>
      <c r="AI2152" s="15"/>
      <c r="AJ2152" s="15"/>
      <c r="AK2152" s="15"/>
      <c r="AL2152" s="15"/>
      <c r="AM2152" s="15"/>
      <c r="AN2152" s="15"/>
      <c r="AO2152" s="15"/>
      <c r="AP2152" s="15"/>
      <c r="AQ2152" s="15"/>
      <c r="AR2152" s="15"/>
      <c r="AS2152" s="15"/>
      <c r="AT2152" s="15"/>
      <c r="AU2152" s="15"/>
      <c r="AV2152" s="15"/>
      <c r="AW2152" s="15"/>
    </row>
    <row r="2153" spans="3:49" x14ac:dyDescent="0.2">
      <c r="C2153" s="15"/>
      <c r="D2153" s="15"/>
      <c r="E2153" s="15"/>
      <c r="F2153" s="15"/>
      <c r="G2153" s="15"/>
      <c r="H2153" s="15"/>
      <c r="I2153" s="15"/>
      <c r="J2153" s="15"/>
      <c r="K2153" s="15"/>
      <c r="L2153" s="28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5"/>
      <c r="AG2153" s="15"/>
      <c r="AH2153" s="15"/>
      <c r="AI2153" s="15"/>
      <c r="AJ2153" s="15"/>
      <c r="AK2153" s="15"/>
      <c r="AL2153" s="15"/>
      <c r="AM2153" s="15"/>
      <c r="AN2153" s="15"/>
      <c r="AO2153" s="15"/>
      <c r="AP2153" s="15"/>
      <c r="AQ2153" s="15"/>
      <c r="AR2153" s="15"/>
      <c r="AS2153" s="15"/>
      <c r="AT2153" s="15"/>
      <c r="AU2153" s="15"/>
      <c r="AV2153" s="15"/>
      <c r="AW2153" s="15"/>
    </row>
    <row r="2154" spans="3:49" x14ac:dyDescent="0.2">
      <c r="C2154" s="15"/>
      <c r="D2154" s="15"/>
      <c r="E2154" s="15"/>
      <c r="F2154" s="15"/>
      <c r="G2154" s="15"/>
      <c r="H2154" s="15"/>
      <c r="I2154" s="15"/>
      <c r="J2154" s="15"/>
      <c r="K2154" s="15"/>
      <c r="L2154" s="28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5"/>
      <c r="AG2154" s="15"/>
      <c r="AH2154" s="15"/>
      <c r="AI2154" s="15"/>
      <c r="AJ2154" s="15"/>
      <c r="AK2154" s="15"/>
      <c r="AL2154" s="15"/>
      <c r="AM2154" s="15"/>
      <c r="AN2154" s="15"/>
      <c r="AO2154" s="15"/>
      <c r="AP2154" s="15"/>
      <c r="AQ2154" s="15"/>
      <c r="AR2154" s="15"/>
      <c r="AS2154" s="15"/>
      <c r="AT2154" s="15"/>
      <c r="AU2154" s="15"/>
      <c r="AV2154" s="15"/>
      <c r="AW2154" s="15"/>
    </row>
    <row r="2155" spans="3:49" x14ac:dyDescent="0.2">
      <c r="C2155" s="15"/>
      <c r="D2155" s="15"/>
      <c r="E2155" s="15"/>
      <c r="F2155" s="15"/>
      <c r="G2155" s="15"/>
      <c r="H2155" s="15"/>
      <c r="I2155" s="15"/>
      <c r="J2155" s="15"/>
      <c r="K2155" s="15"/>
      <c r="L2155" s="28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5"/>
      <c r="AG2155" s="15"/>
      <c r="AH2155" s="15"/>
      <c r="AI2155" s="15"/>
      <c r="AJ2155" s="15"/>
      <c r="AK2155" s="15"/>
      <c r="AL2155" s="15"/>
      <c r="AM2155" s="15"/>
      <c r="AN2155" s="15"/>
      <c r="AO2155" s="15"/>
      <c r="AP2155" s="15"/>
      <c r="AQ2155" s="15"/>
      <c r="AR2155" s="15"/>
      <c r="AS2155" s="15"/>
      <c r="AT2155" s="15"/>
      <c r="AU2155" s="15"/>
      <c r="AV2155" s="15"/>
      <c r="AW2155" s="15"/>
    </row>
    <row r="2156" spans="3:49" x14ac:dyDescent="0.2">
      <c r="C2156" s="15"/>
      <c r="D2156" s="15"/>
      <c r="E2156" s="15"/>
      <c r="F2156" s="15"/>
      <c r="G2156" s="15"/>
      <c r="H2156" s="15"/>
      <c r="I2156" s="15"/>
      <c r="J2156" s="15"/>
      <c r="K2156" s="15"/>
      <c r="L2156" s="28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5"/>
      <c r="AG2156" s="15"/>
      <c r="AH2156" s="15"/>
      <c r="AI2156" s="15"/>
      <c r="AJ2156" s="15"/>
      <c r="AK2156" s="15"/>
      <c r="AL2156" s="15"/>
      <c r="AM2156" s="15"/>
      <c r="AN2156" s="15"/>
      <c r="AO2156" s="15"/>
      <c r="AP2156" s="15"/>
      <c r="AQ2156" s="15"/>
      <c r="AR2156" s="15"/>
      <c r="AS2156" s="15"/>
      <c r="AT2156" s="15"/>
      <c r="AU2156" s="15"/>
      <c r="AV2156" s="15"/>
      <c r="AW2156" s="15"/>
    </row>
    <row r="2157" spans="3:49" x14ac:dyDescent="0.2">
      <c r="C2157" s="15"/>
      <c r="D2157" s="15"/>
      <c r="E2157" s="15"/>
      <c r="F2157" s="15"/>
      <c r="G2157" s="15"/>
      <c r="H2157" s="15"/>
      <c r="I2157" s="15"/>
      <c r="J2157" s="15"/>
      <c r="K2157" s="15"/>
      <c r="L2157" s="28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5"/>
      <c r="AG2157" s="15"/>
      <c r="AH2157" s="15"/>
      <c r="AI2157" s="15"/>
      <c r="AJ2157" s="15"/>
      <c r="AK2157" s="15"/>
      <c r="AL2157" s="15"/>
      <c r="AM2157" s="15"/>
      <c r="AN2157" s="15"/>
      <c r="AO2157" s="15"/>
      <c r="AP2157" s="15"/>
      <c r="AQ2157" s="15"/>
      <c r="AR2157" s="15"/>
      <c r="AS2157" s="15"/>
      <c r="AT2157" s="15"/>
      <c r="AU2157" s="15"/>
      <c r="AV2157" s="15"/>
      <c r="AW2157" s="15"/>
    </row>
    <row r="2158" spans="3:49" x14ac:dyDescent="0.2">
      <c r="C2158" s="15"/>
      <c r="D2158" s="15"/>
      <c r="E2158" s="15"/>
      <c r="F2158" s="15"/>
      <c r="G2158" s="15"/>
      <c r="H2158" s="15"/>
      <c r="I2158" s="15"/>
      <c r="J2158" s="15"/>
      <c r="K2158" s="15"/>
      <c r="L2158" s="28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5"/>
      <c r="AG2158" s="15"/>
      <c r="AH2158" s="15"/>
      <c r="AI2158" s="15"/>
      <c r="AJ2158" s="15"/>
      <c r="AK2158" s="15"/>
      <c r="AL2158" s="15"/>
      <c r="AM2158" s="15"/>
      <c r="AN2158" s="15"/>
      <c r="AO2158" s="15"/>
      <c r="AP2158" s="15"/>
      <c r="AQ2158" s="15"/>
      <c r="AR2158" s="15"/>
      <c r="AS2158" s="15"/>
      <c r="AT2158" s="15"/>
      <c r="AU2158" s="15"/>
      <c r="AV2158" s="15"/>
      <c r="AW2158" s="15"/>
    </row>
    <row r="2159" spans="3:49" x14ac:dyDescent="0.2">
      <c r="C2159" s="15"/>
      <c r="D2159" s="15"/>
      <c r="E2159" s="15"/>
      <c r="F2159" s="15"/>
      <c r="G2159" s="15"/>
      <c r="H2159" s="15"/>
      <c r="I2159" s="15"/>
      <c r="J2159" s="15"/>
      <c r="K2159" s="15"/>
      <c r="L2159" s="28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5"/>
      <c r="AG2159" s="15"/>
      <c r="AH2159" s="15"/>
      <c r="AI2159" s="15"/>
      <c r="AJ2159" s="15"/>
      <c r="AK2159" s="15"/>
      <c r="AL2159" s="15"/>
      <c r="AM2159" s="15"/>
      <c r="AN2159" s="15"/>
      <c r="AO2159" s="15"/>
      <c r="AP2159" s="15"/>
      <c r="AQ2159" s="15"/>
      <c r="AR2159" s="15"/>
      <c r="AS2159" s="15"/>
      <c r="AT2159" s="15"/>
      <c r="AU2159" s="15"/>
      <c r="AV2159" s="15"/>
      <c r="AW2159" s="15"/>
    </row>
    <row r="2160" spans="3:49" x14ac:dyDescent="0.2">
      <c r="C2160" s="15"/>
      <c r="D2160" s="15"/>
      <c r="E2160" s="15"/>
      <c r="F2160" s="15"/>
      <c r="G2160" s="15"/>
      <c r="H2160" s="15"/>
      <c r="I2160" s="15"/>
      <c r="J2160" s="15"/>
      <c r="K2160" s="15"/>
      <c r="L2160" s="28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5"/>
      <c r="AG2160" s="15"/>
      <c r="AH2160" s="15"/>
      <c r="AI2160" s="15"/>
      <c r="AJ2160" s="15"/>
      <c r="AK2160" s="15"/>
      <c r="AL2160" s="15"/>
      <c r="AM2160" s="15"/>
      <c r="AN2160" s="15"/>
      <c r="AO2160" s="15"/>
      <c r="AP2160" s="15"/>
      <c r="AQ2160" s="15"/>
      <c r="AR2160" s="15"/>
      <c r="AS2160" s="15"/>
      <c r="AT2160" s="15"/>
      <c r="AU2160" s="15"/>
      <c r="AV2160" s="15"/>
      <c r="AW2160" s="15"/>
    </row>
    <row r="2161" spans="3:49" x14ac:dyDescent="0.2">
      <c r="C2161" s="15"/>
      <c r="D2161" s="15"/>
      <c r="E2161" s="15"/>
      <c r="F2161" s="15"/>
      <c r="G2161" s="15"/>
      <c r="H2161" s="15"/>
      <c r="I2161" s="15"/>
      <c r="J2161" s="15"/>
      <c r="K2161" s="15"/>
      <c r="L2161" s="28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5"/>
      <c r="AG2161" s="15"/>
      <c r="AH2161" s="15"/>
      <c r="AI2161" s="15"/>
      <c r="AJ2161" s="15"/>
      <c r="AK2161" s="15"/>
      <c r="AL2161" s="15"/>
      <c r="AM2161" s="15"/>
      <c r="AN2161" s="15"/>
      <c r="AO2161" s="15"/>
      <c r="AP2161" s="15"/>
      <c r="AQ2161" s="15"/>
      <c r="AR2161" s="15"/>
      <c r="AS2161" s="15"/>
      <c r="AT2161" s="15"/>
      <c r="AU2161" s="15"/>
      <c r="AV2161" s="15"/>
      <c r="AW2161" s="15"/>
    </row>
    <row r="2162" spans="3:49" x14ac:dyDescent="0.2">
      <c r="C2162" s="15"/>
      <c r="D2162" s="15"/>
      <c r="E2162" s="15"/>
      <c r="F2162" s="15"/>
      <c r="G2162" s="15"/>
      <c r="H2162" s="15"/>
      <c r="I2162" s="15"/>
      <c r="J2162" s="15"/>
      <c r="K2162" s="15"/>
      <c r="L2162" s="28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5"/>
      <c r="AG2162" s="15"/>
      <c r="AH2162" s="15"/>
      <c r="AI2162" s="15"/>
      <c r="AJ2162" s="15"/>
      <c r="AK2162" s="15"/>
      <c r="AL2162" s="15"/>
      <c r="AM2162" s="15"/>
      <c r="AN2162" s="15"/>
      <c r="AO2162" s="15"/>
      <c r="AP2162" s="15"/>
      <c r="AQ2162" s="15"/>
      <c r="AR2162" s="15"/>
      <c r="AS2162" s="15"/>
      <c r="AT2162" s="15"/>
      <c r="AU2162" s="15"/>
      <c r="AV2162" s="15"/>
      <c r="AW2162" s="15"/>
    </row>
    <row r="2163" spans="3:49" x14ac:dyDescent="0.2">
      <c r="C2163" s="15"/>
      <c r="D2163" s="15"/>
      <c r="E2163" s="15"/>
      <c r="F2163" s="15"/>
      <c r="G2163" s="15"/>
      <c r="H2163" s="15"/>
      <c r="I2163" s="15"/>
      <c r="J2163" s="15"/>
      <c r="K2163" s="15"/>
      <c r="L2163" s="28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5"/>
      <c r="AG2163" s="15"/>
      <c r="AH2163" s="15"/>
      <c r="AI2163" s="15"/>
      <c r="AJ2163" s="15"/>
      <c r="AK2163" s="15"/>
      <c r="AL2163" s="15"/>
      <c r="AM2163" s="15"/>
      <c r="AN2163" s="15"/>
      <c r="AO2163" s="15"/>
      <c r="AP2163" s="15"/>
      <c r="AQ2163" s="15"/>
      <c r="AR2163" s="15"/>
      <c r="AS2163" s="15"/>
      <c r="AT2163" s="15"/>
      <c r="AU2163" s="15"/>
      <c r="AV2163" s="15"/>
      <c r="AW2163" s="15"/>
    </row>
    <row r="2164" spans="3:49" x14ac:dyDescent="0.2">
      <c r="C2164" s="15"/>
      <c r="D2164" s="15"/>
      <c r="E2164" s="15"/>
      <c r="F2164" s="15"/>
      <c r="G2164" s="15"/>
      <c r="H2164" s="15"/>
      <c r="I2164" s="15"/>
      <c r="J2164" s="15"/>
      <c r="K2164" s="15"/>
      <c r="L2164" s="28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5"/>
      <c r="AG2164" s="15"/>
      <c r="AH2164" s="15"/>
      <c r="AI2164" s="15"/>
      <c r="AJ2164" s="15"/>
      <c r="AK2164" s="15"/>
      <c r="AL2164" s="15"/>
      <c r="AM2164" s="15"/>
      <c r="AN2164" s="15"/>
      <c r="AO2164" s="15"/>
      <c r="AP2164" s="15"/>
      <c r="AQ2164" s="15"/>
      <c r="AR2164" s="15"/>
      <c r="AS2164" s="15"/>
      <c r="AT2164" s="15"/>
      <c r="AU2164" s="15"/>
      <c r="AV2164" s="15"/>
      <c r="AW2164" s="15"/>
    </row>
    <row r="2165" spans="3:49" x14ac:dyDescent="0.2">
      <c r="C2165" s="15"/>
      <c r="D2165" s="15"/>
      <c r="E2165" s="15"/>
      <c r="F2165" s="15"/>
      <c r="G2165" s="15"/>
      <c r="H2165" s="15"/>
      <c r="I2165" s="15"/>
      <c r="J2165" s="15"/>
      <c r="K2165" s="15"/>
      <c r="L2165" s="28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5"/>
      <c r="AG2165" s="15"/>
      <c r="AH2165" s="15"/>
      <c r="AI2165" s="15"/>
      <c r="AJ2165" s="15"/>
      <c r="AK2165" s="15"/>
      <c r="AL2165" s="15"/>
      <c r="AM2165" s="15"/>
      <c r="AN2165" s="15"/>
      <c r="AO2165" s="15"/>
      <c r="AP2165" s="15"/>
      <c r="AQ2165" s="15"/>
      <c r="AR2165" s="15"/>
      <c r="AS2165" s="15"/>
      <c r="AT2165" s="15"/>
      <c r="AU2165" s="15"/>
      <c r="AV2165" s="15"/>
      <c r="AW2165" s="15"/>
    </row>
    <row r="2166" spans="3:49" x14ac:dyDescent="0.2">
      <c r="C2166" s="15"/>
      <c r="D2166" s="15"/>
      <c r="E2166" s="15"/>
      <c r="F2166" s="15"/>
      <c r="G2166" s="15"/>
      <c r="H2166" s="15"/>
      <c r="I2166" s="15"/>
      <c r="J2166" s="15"/>
      <c r="K2166" s="15"/>
      <c r="L2166" s="28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5"/>
      <c r="AG2166" s="15"/>
      <c r="AH2166" s="15"/>
      <c r="AI2166" s="15"/>
      <c r="AJ2166" s="15"/>
      <c r="AK2166" s="15"/>
      <c r="AL2166" s="15"/>
      <c r="AM2166" s="15"/>
      <c r="AN2166" s="15"/>
      <c r="AO2166" s="15"/>
      <c r="AP2166" s="15"/>
      <c r="AQ2166" s="15"/>
      <c r="AR2166" s="15"/>
      <c r="AS2166" s="15"/>
      <c r="AT2166" s="15"/>
      <c r="AU2166" s="15"/>
      <c r="AV2166" s="15"/>
      <c r="AW2166" s="15"/>
    </row>
    <row r="2167" spans="3:49" x14ac:dyDescent="0.2">
      <c r="C2167" s="15"/>
      <c r="D2167" s="15"/>
      <c r="E2167" s="15"/>
      <c r="F2167" s="15"/>
      <c r="G2167" s="15"/>
      <c r="H2167" s="15"/>
      <c r="I2167" s="15"/>
      <c r="J2167" s="15"/>
      <c r="K2167" s="15"/>
      <c r="L2167" s="28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5"/>
      <c r="AG2167" s="15"/>
      <c r="AH2167" s="15"/>
      <c r="AI2167" s="15"/>
      <c r="AJ2167" s="15"/>
      <c r="AK2167" s="15"/>
      <c r="AL2167" s="15"/>
      <c r="AM2167" s="15"/>
      <c r="AN2167" s="15"/>
      <c r="AO2167" s="15"/>
      <c r="AP2167" s="15"/>
      <c r="AQ2167" s="15"/>
      <c r="AR2167" s="15"/>
      <c r="AS2167" s="15"/>
      <c r="AT2167" s="15"/>
      <c r="AU2167" s="15"/>
      <c r="AV2167" s="15"/>
      <c r="AW2167" s="15"/>
    </row>
    <row r="2168" spans="3:49" x14ac:dyDescent="0.2">
      <c r="C2168" s="15"/>
      <c r="D2168" s="15"/>
      <c r="E2168" s="15"/>
      <c r="F2168" s="15"/>
      <c r="G2168" s="15"/>
      <c r="H2168" s="15"/>
      <c r="I2168" s="15"/>
      <c r="J2168" s="15"/>
      <c r="K2168" s="15"/>
      <c r="L2168" s="28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5"/>
      <c r="AG2168" s="15"/>
      <c r="AH2168" s="15"/>
      <c r="AI2168" s="15"/>
      <c r="AJ2168" s="15"/>
      <c r="AK2168" s="15"/>
      <c r="AL2168" s="15"/>
      <c r="AM2168" s="15"/>
      <c r="AN2168" s="15"/>
      <c r="AO2168" s="15"/>
      <c r="AP2168" s="15"/>
      <c r="AQ2168" s="15"/>
      <c r="AR2168" s="15"/>
      <c r="AS2168" s="15"/>
      <c r="AT2168" s="15"/>
      <c r="AU2168" s="15"/>
      <c r="AV2168" s="15"/>
      <c r="AW2168" s="15"/>
    </row>
    <row r="2169" spans="3:49" x14ac:dyDescent="0.2">
      <c r="C2169" s="15"/>
      <c r="D2169" s="15"/>
      <c r="E2169" s="15"/>
      <c r="F2169" s="15"/>
      <c r="G2169" s="15"/>
      <c r="H2169" s="15"/>
      <c r="I2169" s="15"/>
      <c r="J2169" s="15"/>
      <c r="K2169" s="15"/>
      <c r="L2169" s="28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5"/>
      <c r="AG2169" s="15"/>
      <c r="AH2169" s="15"/>
      <c r="AI2169" s="15"/>
      <c r="AJ2169" s="15"/>
      <c r="AK2169" s="15"/>
      <c r="AL2169" s="15"/>
      <c r="AM2169" s="15"/>
      <c r="AN2169" s="15"/>
      <c r="AO2169" s="15"/>
      <c r="AP2169" s="15"/>
      <c r="AQ2169" s="15"/>
      <c r="AR2169" s="15"/>
      <c r="AS2169" s="15"/>
      <c r="AT2169" s="15"/>
      <c r="AU2169" s="15"/>
      <c r="AV2169" s="15"/>
      <c r="AW2169" s="15"/>
    </row>
    <row r="2170" spans="3:49" x14ac:dyDescent="0.2">
      <c r="C2170" s="15"/>
      <c r="D2170" s="15"/>
      <c r="E2170" s="15"/>
      <c r="F2170" s="15"/>
      <c r="G2170" s="15"/>
      <c r="H2170" s="15"/>
      <c r="I2170" s="15"/>
      <c r="J2170" s="15"/>
      <c r="K2170" s="15"/>
      <c r="L2170" s="28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5"/>
      <c r="AG2170" s="15"/>
      <c r="AH2170" s="15"/>
      <c r="AI2170" s="15"/>
      <c r="AJ2170" s="15"/>
      <c r="AK2170" s="15"/>
      <c r="AL2170" s="15"/>
      <c r="AM2170" s="15"/>
      <c r="AN2170" s="15"/>
      <c r="AO2170" s="15"/>
      <c r="AP2170" s="15"/>
      <c r="AQ2170" s="15"/>
      <c r="AR2170" s="15"/>
      <c r="AS2170" s="15"/>
      <c r="AT2170" s="15"/>
      <c r="AU2170" s="15"/>
      <c r="AV2170" s="15"/>
      <c r="AW2170" s="15"/>
    </row>
    <row r="2171" spans="3:49" x14ac:dyDescent="0.2">
      <c r="C2171" s="15"/>
      <c r="D2171" s="15"/>
      <c r="E2171" s="15"/>
      <c r="F2171" s="15"/>
      <c r="G2171" s="15"/>
      <c r="H2171" s="15"/>
      <c r="I2171" s="15"/>
      <c r="J2171" s="15"/>
      <c r="K2171" s="15"/>
      <c r="L2171" s="28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5"/>
      <c r="AG2171" s="15"/>
      <c r="AH2171" s="15"/>
      <c r="AI2171" s="15"/>
      <c r="AJ2171" s="15"/>
      <c r="AK2171" s="15"/>
      <c r="AL2171" s="15"/>
      <c r="AM2171" s="15"/>
      <c r="AN2171" s="15"/>
      <c r="AO2171" s="15"/>
      <c r="AP2171" s="15"/>
      <c r="AQ2171" s="15"/>
      <c r="AR2171" s="15"/>
      <c r="AS2171" s="15"/>
      <c r="AT2171" s="15"/>
      <c r="AU2171" s="15"/>
      <c r="AV2171" s="15"/>
      <c r="AW2171" s="15"/>
    </row>
    <row r="2172" spans="3:49" x14ac:dyDescent="0.2">
      <c r="C2172" s="15"/>
      <c r="D2172" s="15"/>
      <c r="E2172" s="15"/>
      <c r="F2172" s="15"/>
      <c r="G2172" s="15"/>
      <c r="H2172" s="15"/>
      <c r="I2172" s="15"/>
      <c r="J2172" s="15"/>
      <c r="K2172" s="15"/>
      <c r="L2172" s="28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5"/>
      <c r="AG2172" s="15"/>
      <c r="AH2172" s="15"/>
      <c r="AI2172" s="15"/>
      <c r="AJ2172" s="15"/>
      <c r="AK2172" s="15"/>
      <c r="AL2172" s="15"/>
      <c r="AM2172" s="15"/>
      <c r="AN2172" s="15"/>
      <c r="AO2172" s="15"/>
      <c r="AP2172" s="15"/>
      <c r="AQ2172" s="15"/>
      <c r="AR2172" s="15"/>
      <c r="AS2172" s="15"/>
      <c r="AT2172" s="15"/>
      <c r="AU2172" s="15"/>
      <c r="AV2172" s="15"/>
      <c r="AW2172" s="15"/>
    </row>
    <row r="2173" spans="3:49" x14ac:dyDescent="0.2">
      <c r="C2173" s="15"/>
      <c r="D2173" s="15"/>
      <c r="E2173" s="15"/>
      <c r="F2173" s="15"/>
      <c r="G2173" s="15"/>
      <c r="H2173" s="15"/>
      <c r="I2173" s="15"/>
      <c r="J2173" s="15"/>
      <c r="K2173" s="15"/>
      <c r="L2173" s="28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5"/>
      <c r="AG2173" s="15"/>
      <c r="AH2173" s="15"/>
      <c r="AI2173" s="15"/>
      <c r="AJ2173" s="15"/>
      <c r="AK2173" s="15"/>
      <c r="AL2173" s="15"/>
      <c r="AM2173" s="15"/>
      <c r="AN2173" s="15"/>
      <c r="AO2173" s="15"/>
      <c r="AP2173" s="15"/>
      <c r="AQ2173" s="15"/>
      <c r="AR2173" s="15"/>
      <c r="AS2173" s="15"/>
      <c r="AT2173" s="15"/>
      <c r="AU2173" s="15"/>
      <c r="AV2173" s="15"/>
      <c r="AW2173" s="15"/>
    </row>
    <row r="2174" spans="3:49" x14ac:dyDescent="0.2">
      <c r="C2174" s="15"/>
      <c r="D2174" s="15"/>
      <c r="E2174" s="15"/>
      <c r="F2174" s="15"/>
      <c r="G2174" s="15"/>
      <c r="H2174" s="15"/>
      <c r="I2174" s="15"/>
      <c r="J2174" s="15"/>
      <c r="K2174" s="15"/>
      <c r="L2174" s="28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5"/>
      <c r="AG2174" s="15"/>
      <c r="AH2174" s="15"/>
      <c r="AI2174" s="15"/>
      <c r="AJ2174" s="15"/>
      <c r="AK2174" s="15"/>
      <c r="AL2174" s="15"/>
      <c r="AM2174" s="15"/>
      <c r="AN2174" s="15"/>
      <c r="AO2174" s="15"/>
      <c r="AP2174" s="15"/>
      <c r="AQ2174" s="15"/>
      <c r="AR2174" s="15"/>
      <c r="AS2174" s="15"/>
      <c r="AT2174" s="15"/>
      <c r="AU2174" s="15"/>
      <c r="AV2174" s="15"/>
      <c r="AW2174" s="15"/>
    </row>
    <row r="2175" spans="3:49" x14ac:dyDescent="0.2">
      <c r="C2175" s="15"/>
      <c r="D2175" s="15"/>
      <c r="E2175" s="15"/>
      <c r="F2175" s="15"/>
      <c r="G2175" s="15"/>
      <c r="H2175" s="15"/>
      <c r="I2175" s="15"/>
      <c r="J2175" s="15"/>
      <c r="K2175" s="15"/>
      <c r="L2175" s="28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5"/>
      <c r="AG2175" s="15"/>
      <c r="AH2175" s="15"/>
      <c r="AI2175" s="15"/>
      <c r="AJ2175" s="15"/>
      <c r="AK2175" s="15"/>
      <c r="AL2175" s="15"/>
      <c r="AM2175" s="15"/>
      <c r="AN2175" s="15"/>
      <c r="AO2175" s="15"/>
      <c r="AP2175" s="15"/>
      <c r="AQ2175" s="15"/>
      <c r="AR2175" s="15"/>
      <c r="AS2175" s="15"/>
      <c r="AT2175" s="15"/>
      <c r="AU2175" s="15"/>
      <c r="AV2175" s="15"/>
      <c r="AW2175" s="15"/>
    </row>
    <row r="2176" spans="3:49" x14ac:dyDescent="0.2">
      <c r="C2176" s="15"/>
      <c r="D2176" s="15"/>
      <c r="E2176" s="15"/>
      <c r="F2176" s="15"/>
      <c r="G2176" s="15"/>
      <c r="H2176" s="15"/>
      <c r="I2176" s="15"/>
      <c r="J2176" s="15"/>
      <c r="K2176" s="15"/>
      <c r="L2176" s="28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5"/>
      <c r="AG2176" s="15"/>
      <c r="AH2176" s="15"/>
      <c r="AI2176" s="15"/>
      <c r="AJ2176" s="15"/>
      <c r="AK2176" s="15"/>
      <c r="AL2176" s="15"/>
      <c r="AM2176" s="15"/>
      <c r="AN2176" s="15"/>
      <c r="AO2176" s="15"/>
      <c r="AP2176" s="15"/>
      <c r="AQ2176" s="15"/>
      <c r="AR2176" s="15"/>
      <c r="AS2176" s="15"/>
      <c r="AT2176" s="15"/>
      <c r="AU2176" s="15"/>
      <c r="AV2176" s="15"/>
      <c r="AW2176" s="15"/>
    </row>
    <row r="2177" spans="3:49" x14ac:dyDescent="0.2">
      <c r="C2177" s="15"/>
      <c r="D2177" s="15"/>
      <c r="E2177" s="15"/>
      <c r="F2177" s="15"/>
      <c r="G2177" s="15"/>
      <c r="H2177" s="15"/>
      <c r="I2177" s="15"/>
      <c r="J2177" s="15"/>
      <c r="K2177" s="15"/>
      <c r="L2177" s="28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5"/>
      <c r="AG2177" s="15"/>
      <c r="AH2177" s="15"/>
      <c r="AI2177" s="15"/>
      <c r="AJ2177" s="15"/>
      <c r="AK2177" s="15"/>
      <c r="AL2177" s="15"/>
      <c r="AM2177" s="15"/>
      <c r="AN2177" s="15"/>
      <c r="AO2177" s="15"/>
      <c r="AP2177" s="15"/>
      <c r="AQ2177" s="15"/>
      <c r="AR2177" s="15"/>
      <c r="AS2177" s="15"/>
      <c r="AT2177" s="15"/>
      <c r="AU2177" s="15"/>
      <c r="AV2177" s="15"/>
      <c r="AW2177" s="15"/>
    </row>
    <row r="2178" spans="3:49" x14ac:dyDescent="0.2">
      <c r="C2178" s="15"/>
      <c r="D2178" s="15"/>
      <c r="E2178" s="15"/>
      <c r="F2178" s="15"/>
      <c r="G2178" s="15"/>
      <c r="H2178" s="15"/>
      <c r="I2178" s="15"/>
      <c r="J2178" s="15"/>
      <c r="K2178" s="15"/>
      <c r="L2178" s="28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5"/>
      <c r="AG2178" s="15"/>
      <c r="AH2178" s="15"/>
      <c r="AI2178" s="15"/>
      <c r="AJ2178" s="15"/>
      <c r="AK2178" s="15"/>
      <c r="AL2178" s="15"/>
      <c r="AM2178" s="15"/>
      <c r="AN2178" s="15"/>
      <c r="AO2178" s="15"/>
      <c r="AP2178" s="15"/>
      <c r="AQ2178" s="15"/>
      <c r="AR2178" s="15"/>
      <c r="AS2178" s="15"/>
      <c r="AT2178" s="15"/>
      <c r="AU2178" s="15"/>
      <c r="AV2178" s="15"/>
      <c r="AW2178" s="15"/>
    </row>
    <row r="2179" spans="3:49" x14ac:dyDescent="0.2">
      <c r="C2179" s="15"/>
      <c r="D2179" s="15"/>
      <c r="E2179" s="15"/>
      <c r="F2179" s="15"/>
      <c r="G2179" s="15"/>
      <c r="H2179" s="15"/>
      <c r="I2179" s="15"/>
      <c r="J2179" s="15"/>
      <c r="K2179" s="15"/>
      <c r="L2179" s="28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5"/>
      <c r="AG2179" s="15"/>
      <c r="AH2179" s="15"/>
      <c r="AI2179" s="15"/>
      <c r="AJ2179" s="15"/>
      <c r="AK2179" s="15"/>
      <c r="AL2179" s="15"/>
      <c r="AM2179" s="15"/>
      <c r="AN2179" s="15"/>
      <c r="AO2179" s="15"/>
      <c r="AP2179" s="15"/>
      <c r="AQ2179" s="15"/>
      <c r="AR2179" s="15"/>
      <c r="AS2179" s="15"/>
      <c r="AT2179" s="15"/>
      <c r="AU2179" s="15"/>
      <c r="AV2179" s="15"/>
      <c r="AW2179" s="15"/>
    </row>
    <row r="2180" spans="3:49" x14ac:dyDescent="0.2">
      <c r="C2180" s="15"/>
      <c r="D2180" s="15"/>
      <c r="E2180" s="15"/>
      <c r="F2180" s="15"/>
      <c r="G2180" s="15"/>
      <c r="H2180" s="15"/>
      <c r="I2180" s="15"/>
      <c r="J2180" s="15"/>
      <c r="K2180" s="15"/>
      <c r="L2180" s="28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5"/>
      <c r="AG2180" s="15"/>
      <c r="AH2180" s="15"/>
      <c r="AI2180" s="15"/>
      <c r="AJ2180" s="15"/>
      <c r="AK2180" s="15"/>
      <c r="AL2180" s="15"/>
      <c r="AM2180" s="15"/>
      <c r="AN2180" s="15"/>
      <c r="AO2180" s="15"/>
      <c r="AP2180" s="15"/>
      <c r="AQ2180" s="15"/>
      <c r="AR2180" s="15"/>
      <c r="AS2180" s="15"/>
      <c r="AT2180" s="15"/>
      <c r="AU2180" s="15"/>
      <c r="AV2180" s="15"/>
      <c r="AW2180" s="15"/>
    </row>
    <row r="2181" spans="3:49" x14ac:dyDescent="0.2">
      <c r="C2181" s="15"/>
      <c r="D2181" s="15"/>
      <c r="E2181" s="15"/>
      <c r="F2181" s="15"/>
      <c r="G2181" s="15"/>
      <c r="H2181" s="15"/>
      <c r="I2181" s="15"/>
      <c r="J2181" s="15"/>
      <c r="K2181" s="15"/>
      <c r="L2181" s="28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5"/>
      <c r="AG2181" s="15"/>
      <c r="AH2181" s="15"/>
      <c r="AI2181" s="15"/>
      <c r="AJ2181" s="15"/>
      <c r="AK2181" s="15"/>
      <c r="AL2181" s="15"/>
      <c r="AM2181" s="15"/>
      <c r="AN2181" s="15"/>
      <c r="AO2181" s="15"/>
      <c r="AP2181" s="15"/>
      <c r="AQ2181" s="15"/>
      <c r="AR2181" s="15"/>
      <c r="AS2181" s="15"/>
      <c r="AT2181" s="15"/>
      <c r="AU2181" s="15"/>
      <c r="AV2181" s="15"/>
      <c r="AW2181" s="15"/>
    </row>
    <row r="2182" spans="3:49" x14ac:dyDescent="0.2">
      <c r="C2182" s="15"/>
      <c r="D2182" s="15"/>
      <c r="E2182" s="15"/>
      <c r="F2182" s="15"/>
      <c r="G2182" s="15"/>
      <c r="H2182" s="15"/>
      <c r="I2182" s="15"/>
      <c r="J2182" s="15"/>
      <c r="K2182" s="15"/>
      <c r="L2182" s="28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5"/>
      <c r="AG2182" s="15"/>
      <c r="AH2182" s="15"/>
      <c r="AI2182" s="15"/>
      <c r="AJ2182" s="15"/>
      <c r="AK2182" s="15"/>
      <c r="AL2182" s="15"/>
      <c r="AM2182" s="15"/>
      <c r="AN2182" s="15"/>
      <c r="AO2182" s="15"/>
      <c r="AP2182" s="15"/>
      <c r="AQ2182" s="15"/>
      <c r="AR2182" s="15"/>
      <c r="AS2182" s="15"/>
      <c r="AT2182" s="15"/>
      <c r="AU2182" s="15"/>
      <c r="AV2182" s="15"/>
      <c r="AW2182" s="15"/>
    </row>
    <row r="2183" spans="3:49" x14ac:dyDescent="0.2">
      <c r="C2183" s="15"/>
      <c r="D2183" s="15"/>
      <c r="E2183" s="15"/>
      <c r="F2183" s="15"/>
      <c r="G2183" s="15"/>
      <c r="H2183" s="15"/>
      <c r="I2183" s="15"/>
      <c r="J2183" s="15"/>
      <c r="K2183" s="15"/>
      <c r="L2183" s="28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5"/>
      <c r="AG2183" s="15"/>
      <c r="AH2183" s="15"/>
      <c r="AI2183" s="15"/>
      <c r="AJ2183" s="15"/>
      <c r="AK2183" s="15"/>
      <c r="AL2183" s="15"/>
      <c r="AM2183" s="15"/>
      <c r="AN2183" s="15"/>
      <c r="AO2183" s="15"/>
      <c r="AP2183" s="15"/>
      <c r="AQ2183" s="15"/>
      <c r="AR2183" s="15"/>
      <c r="AS2183" s="15"/>
      <c r="AT2183" s="15"/>
      <c r="AU2183" s="15"/>
      <c r="AV2183" s="15"/>
      <c r="AW2183" s="15"/>
    </row>
    <row r="2184" spans="3:49" x14ac:dyDescent="0.2">
      <c r="C2184" s="15"/>
      <c r="D2184" s="15"/>
      <c r="E2184" s="15"/>
      <c r="F2184" s="15"/>
      <c r="G2184" s="15"/>
      <c r="H2184" s="15"/>
      <c r="I2184" s="15"/>
      <c r="J2184" s="15"/>
      <c r="K2184" s="15"/>
      <c r="L2184" s="28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5"/>
      <c r="AG2184" s="15"/>
      <c r="AH2184" s="15"/>
      <c r="AI2184" s="15"/>
      <c r="AJ2184" s="15"/>
      <c r="AK2184" s="15"/>
      <c r="AL2184" s="15"/>
      <c r="AM2184" s="15"/>
      <c r="AN2184" s="15"/>
      <c r="AO2184" s="15"/>
      <c r="AP2184" s="15"/>
      <c r="AQ2184" s="15"/>
      <c r="AR2184" s="15"/>
      <c r="AS2184" s="15"/>
      <c r="AT2184" s="15"/>
      <c r="AU2184" s="15"/>
      <c r="AV2184" s="15"/>
      <c r="AW2184" s="15"/>
    </row>
    <row r="2185" spans="3:49" x14ac:dyDescent="0.2">
      <c r="C2185" s="15"/>
      <c r="D2185" s="15"/>
      <c r="E2185" s="15"/>
      <c r="F2185" s="15"/>
      <c r="G2185" s="15"/>
      <c r="H2185" s="15"/>
      <c r="I2185" s="15"/>
      <c r="J2185" s="15"/>
      <c r="K2185" s="15"/>
      <c r="L2185" s="28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5"/>
      <c r="AG2185" s="15"/>
      <c r="AH2185" s="15"/>
      <c r="AI2185" s="15"/>
      <c r="AJ2185" s="15"/>
      <c r="AK2185" s="15"/>
      <c r="AL2185" s="15"/>
      <c r="AM2185" s="15"/>
      <c r="AN2185" s="15"/>
      <c r="AO2185" s="15"/>
      <c r="AP2185" s="15"/>
      <c r="AQ2185" s="15"/>
      <c r="AR2185" s="15"/>
      <c r="AS2185" s="15"/>
      <c r="AT2185" s="15"/>
      <c r="AU2185" s="15"/>
      <c r="AV2185" s="15"/>
      <c r="AW2185" s="15"/>
    </row>
    <row r="2186" spans="3:49" x14ac:dyDescent="0.2">
      <c r="C2186" s="15"/>
      <c r="D2186" s="15"/>
      <c r="E2186" s="15"/>
      <c r="F2186" s="15"/>
      <c r="G2186" s="15"/>
      <c r="H2186" s="15"/>
      <c r="I2186" s="15"/>
      <c r="J2186" s="15"/>
      <c r="K2186" s="15"/>
      <c r="L2186" s="28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5"/>
      <c r="AG2186" s="15"/>
      <c r="AH2186" s="15"/>
      <c r="AI2186" s="15"/>
      <c r="AJ2186" s="15"/>
      <c r="AK2186" s="15"/>
      <c r="AL2186" s="15"/>
      <c r="AM2186" s="15"/>
      <c r="AN2186" s="15"/>
      <c r="AO2186" s="15"/>
      <c r="AP2186" s="15"/>
      <c r="AQ2186" s="15"/>
      <c r="AR2186" s="15"/>
      <c r="AS2186" s="15"/>
      <c r="AT2186" s="15"/>
      <c r="AU2186" s="15"/>
      <c r="AV2186" s="15"/>
      <c r="AW2186" s="15"/>
    </row>
    <row r="2187" spans="3:49" x14ac:dyDescent="0.2">
      <c r="C2187" s="15"/>
      <c r="D2187" s="15"/>
      <c r="E2187" s="15"/>
      <c r="F2187" s="15"/>
      <c r="G2187" s="15"/>
      <c r="H2187" s="15"/>
      <c r="I2187" s="15"/>
      <c r="J2187" s="15"/>
      <c r="K2187" s="15"/>
      <c r="L2187" s="28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5"/>
      <c r="AG2187" s="15"/>
      <c r="AH2187" s="15"/>
      <c r="AI2187" s="15"/>
      <c r="AJ2187" s="15"/>
      <c r="AK2187" s="15"/>
      <c r="AL2187" s="15"/>
      <c r="AM2187" s="15"/>
      <c r="AN2187" s="15"/>
      <c r="AO2187" s="15"/>
      <c r="AP2187" s="15"/>
      <c r="AQ2187" s="15"/>
      <c r="AR2187" s="15"/>
      <c r="AS2187" s="15"/>
      <c r="AT2187" s="15"/>
      <c r="AU2187" s="15"/>
      <c r="AV2187" s="15"/>
      <c r="AW2187" s="15"/>
    </row>
    <row r="2188" spans="3:49" x14ac:dyDescent="0.2">
      <c r="C2188" s="15"/>
      <c r="D2188" s="15"/>
      <c r="E2188" s="15"/>
      <c r="F2188" s="15"/>
      <c r="G2188" s="15"/>
      <c r="H2188" s="15"/>
      <c r="I2188" s="15"/>
      <c r="J2188" s="15"/>
      <c r="K2188" s="15"/>
      <c r="L2188" s="28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5"/>
      <c r="AG2188" s="15"/>
      <c r="AH2188" s="15"/>
      <c r="AI2188" s="15"/>
      <c r="AJ2188" s="15"/>
      <c r="AK2188" s="15"/>
      <c r="AL2188" s="15"/>
      <c r="AM2188" s="15"/>
      <c r="AN2188" s="15"/>
      <c r="AO2188" s="15"/>
      <c r="AP2188" s="15"/>
      <c r="AQ2188" s="15"/>
      <c r="AR2188" s="15"/>
      <c r="AS2188" s="15"/>
      <c r="AT2188" s="15"/>
      <c r="AU2188" s="15"/>
      <c r="AV2188" s="15"/>
      <c r="AW2188" s="15"/>
    </row>
    <row r="2189" spans="3:49" x14ac:dyDescent="0.2">
      <c r="C2189" s="15"/>
      <c r="D2189" s="15"/>
      <c r="E2189" s="15"/>
      <c r="F2189" s="15"/>
      <c r="G2189" s="15"/>
      <c r="H2189" s="15"/>
      <c r="I2189" s="15"/>
      <c r="J2189" s="15"/>
      <c r="K2189" s="15"/>
      <c r="L2189" s="28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5"/>
      <c r="AG2189" s="15"/>
      <c r="AH2189" s="15"/>
      <c r="AI2189" s="15"/>
      <c r="AJ2189" s="15"/>
      <c r="AK2189" s="15"/>
      <c r="AL2189" s="15"/>
      <c r="AM2189" s="15"/>
      <c r="AN2189" s="15"/>
      <c r="AO2189" s="15"/>
      <c r="AP2189" s="15"/>
      <c r="AQ2189" s="15"/>
      <c r="AR2189" s="15"/>
      <c r="AS2189" s="15"/>
      <c r="AT2189" s="15"/>
      <c r="AU2189" s="15"/>
      <c r="AV2189" s="15"/>
      <c r="AW2189" s="15"/>
    </row>
    <row r="2190" spans="3:49" x14ac:dyDescent="0.2">
      <c r="C2190" s="15"/>
      <c r="D2190" s="15"/>
      <c r="E2190" s="15"/>
      <c r="F2190" s="15"/>
      <c r="G2190" s="15"/>
      <c r="H2190" s="15"/>
      <c r="I2190" s="15"/>
      <c r="J2190" s="15"/>
      <c r="K2190" s="15"/>
      <c r="L2190" s="28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5"/>
      <c r="AG2190" s="15"/>
      <c r="AH2190" s="15"/>
      <c r="AI2190" s="15"/>
      <c r="AJ2190" s="15"/>
      <c r="AK2190" s="15"/>
      <c r="AL2190" s="15"/>
      <c r="AM2190" s="15"/>
      <c r="AN2190" s="15"/>
      <c r="AO2190" s="15"/>
      <c r="AP2190" s="15"/>
      <c r="AQ2190" s="15"/>
      <c r="AR2190" s="15"/>
      <c r="AS2190" s="15"/>
      <c r="AT2190" s="15"/>
      <c r="AU2190" s="15"/>
      <c r="AV2190" s="15"/>
      <c r="AW2190" s="15"/>
    </row>
    <row r="2191" spans="3:49" x14ac:dyDescent="0.2">
      <c r="C2191" s="15"/>
      <c r="D2191" s="15"/>
      <c r="E2191" s="15"/>
      <c r="F2191" s="15"/>
      <c r="G2191" s="15"/>
      <c r="H2191" s="15"/>
      <c r="I2191" s="15"/>
      <c r="J2191" s="15"/>
      <c r="K2191" s="15"/>
      <c r="L2191" s="28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5"/>
      <c r="AG2191" s="15"/>
      <c r="AH2191" s="15"/>
      <c r="AI2191" s="15"/>
      <c r="AJ2191" s="15"/>
      <c r="AK2191" s="15"/>
      <c r="AL2191" s="15"/>
      <c r="AM2191" s="15"/>
      <c r="AN2191" s="15"/>
      <c r="AO2191" s="15"/>
      <c r="AP2191" s="15"/>
      <c r="AQ2191" s="15"/>
      <c r="AR2191" s="15"/>
      <c r="AS2191" s="15"/>
      <c r="AT2191" s="15"/>
      <c r="AU2191" s="15"/>
      <c r="AV2191" s="15"/>
      <c r="AW2191" s="15"/>
    </row>
    <row r="2192" spans="3:49" x14ac:dyDescent="0.2">
      <c r="C2192" s="15"/>
      <c r="D2192" s="15"/>
      <c r="E2192" s="15"/>
      <c r="F2192" s="15"/>
      <c r="G2192" s="15"/>
      <c r="H2192" s="15"/>
      <c r="I2192" s="15"/>
      <c r="J2192" s="15"/>
      <c r="K2192" s="15"/>
      <c r="L2192" s="28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5"/>
      <c r="AG2192" s="15"/>
      <c r="AH2192" s="15"/>
      <c r="AI2192" s="15"/>
      <c r="AJ2192" s="15"/>
      <c r="AK2192" s="15"/>
      <c r="AL2192" s="15"/>
      <c r="AM2192" s="15"/>
      <c r="AN2192" s="15"/>
      <c r="AO2192" s="15"/>
      <c r="AP2192" s="15"/>
      <c r="AQ2192" s="15"/>
      <c r="AR2192" s="15"/>
      <c r="AS2192" s="15"/>
      <c r="AT2192" s="15"/>
      <c r="AU2192" s="15"/>
      <c r="AV2192" s="15"/>
      <c r="AW2192" s="15"/>
    </row>
    <row r="2193" spans="3:49" x14ac:dyDescent="0.2">
      <c r="C2193" s="15"/>
      <c r="D2193" s="15"/>
      <c r="E2193" s="15"/>
      <c r="F2193" s="15"/>
      <c r="G2193" s="15"/>
      <c r="H2193" s="15"/>
      <c r="I2193" s="15"/>
      <c r="J2193" s="15"/>
      <c r="K2193" s="15"/>
      <c r="L2193" s="28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5"/>
      <c r="AG2193" s="15"/>
      <c r="AH2193" s="15"/>
      <c r="AI2193" s="15"/>
      <c r="AJ2193" s="15"/>
      <c r="AK2193" s="15"/>
      <c r="AL2193" s="15"/>
      <c r="AM2193" s="15"/>
      <c r="AN2193" s="15"/>
      <c r="AO2193" s="15"/>
      <c r="AP2193" s="15"/>
      <c r="AQ2193" s="15"/>
      <c r="AR2193" s="15"/>
      <c r="AS2193" s="15"/>
      <c r="AT2193" s="15"/>
      <c r="AU2193" s="15"/>
      <c r="AV2193" s="15"/>
      <c r="AW2193" s="15"/>
    </row>
    <row r="2194" spans="3:49" x14ac:dyDescent="0.2">
      <c r="C2194" s="15"/>
      <c r="D2194" s="15"/>
      <c r="E2194" s="15"/>
      <c r="F2194" s="15"/>
      <c r="G2194" s="15"/>
      <c r="H2194" s="15"/>
      <c r="I2194" s="15"/>
      <c r="J2194" s="15"/>
      <c r="K2194" s="15"/>
      <c r="L2194" s="28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5"/>
      <c r="AG2194" s="15"/>
      <c r="AH2194" s="15"/>
      <c r="AI2194" s="15"/>
      <c r="AJ2194" s="15"/>
      <c r="AK2194" s="15"/>
      <c r="AL2194" s="15"/>
      <c r="AM2194" s="15"/>
      <c r="AN2194" s="15"/>
      <c r="AO2194" s="15"/>
      <c r="AP2194" s="15"/>
      <c r="AQ2194" s="15"/>
      <c r="AR2194" s="15"/>
      <c r="AS2194" s="15"/>
      <c r="AT2194" s="15"/>
      <c r="AU2194" s="15"/>
      <c r="AV2194" s="15"/>
      <c r="AW2194" s="15"/>
    </row>
    <row r="2195" spans="3:49" x14ac:dyDescent="0.2">
      <c r="C2195" s="15"/>
      <c r="D2195" s="15"/>
      <c r="E2195" s="15"/>
      <c r="F2195" s="15"/>
      <c r="G2195" s="15"/>
      <c r="H2195" s="15"/>
      <c r="I2195" s="15"/>
      <c r="J2195" s="15"/>
      <c r="K2195" s="15"/>
      <c r="L2195" s="28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5"/>
      <c r="AG2195" s="15"/>
      <c r="AH2195" s="15"/>
      <c r="AI2195" s="15"/>
      <c r="AJ2195" s="15"/>
      <c r="AK2195" s="15"/>
      <c r="AL2195" s="15"/>
      <c r="AM2195" s="15"/>
      <c r="AN2195" s="15"/>
      <c r="AO2195" s="15"/>
      <c r="AP2195" s="15"/>
      <c r="AQ2195" s="15"/>
      <c r="AR2195" s="15"/>
      <c r="AS2195" s="15"/>
      <c r="AT2195" s="15"/>
      <c r="AU2195" s="15"/>
      <c r="AV2195" s="15"/>
      <c r="AW2195" s="15"/>
    </row>
    <row r="2196" spans="3:49" x14ac:dyDescent="0.2">
      <c r="C2196" s="15"/>
      <c r="D2196" s="15"/>
      <c r="E2196" s="15"/>
      <c r="F2196" s="15"/>
      <c r="G2196" s="15"/>
      <c r="H2196" s="15"/>
      <c r="I2196" s="15"/>
      <c r="J2196" s="15"/>
      <c r="K2196" s="15"/>
      <c r="L2196" s="28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5"/>
      <c r="AG2196" s="15"/>
      <c r="AH2196" s="15"/>
      <c r="AI2196" s="15"/>
      <c r="AJ2196" s="15"/>
      <c r="AK2196" s="15"/>
      <c r="AL2196" s="15"/>
      <c r="AM2196" s="15"/>
      <c r="AN2196" s="15"/>
      <c r="AO2196" s="15"/>
      <c r="AP2196" s="15"/>
      <c r="AQ2196" s="15"/>
      <c r="AR2196" s="15"/>
      <c r="AS2196" s="15"/>
      <c r="AT2196" s="15"/>
      <c r="AU2196" s="15"/>
      <c r="AV2196" s="15"/>
      <c r="AW2196" s="15"/>
    </row>
    <row r="2197" spans="3:49" x14ac:dyDescent="0.2">
      <c r="C2197" s="15"/>
      <c r="D2197" s="15"/>
      <c r="E2197" s="15"/>
      <c r="F2197" s="15"/>
      <c r="G2197" s="15"/>
      <c r="H2197" s="15"/>
      <c r="I2197" s="15"/>
      <c r="J2197" s="15"/>
      <c r="K2197" s="15"/>
      <c r="L2197" s="28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5"/>
      <c r="AG2197" s="15"/>
      <c r="AH2197" s="15"/>
      <c r="AI2197" s="15"/>
      <c r="AJ2197" s="15"/>
      <c r="AK2197" s="15"/>
      <c r="AL2197" s="15"/>
      <c r="AM2197" s="15"/>
      <c r="AN2197" s="15"/>
      <c r="AO2197" s="15"/>
      <c r="AP2197" s="15"/>
      <c r="AQ2197" s="15"/>
      <c r="AR2197" s="15"/>
      <c r="AS2197" s="15"/>
      <c r="AT2197" s="15"/>
      <c r="AU2197" s="15"/>
      <c r="AV2197" s="15"/>
      <c r="AW2197" s="15"/>
    </row>
    <row r="2198" spans="3:49" x14ac:dyDescent="0.2">
      <c r="C2198" s="15"/>
      <c r="D2198" s="15"/>
      <c r="E2198" s="15"/>
      <c r="F2198" s="15"/>
      <c r="G2198" s="15"/>
      <c r="H2198" s="15"/>
      <c r="I2198" s="15"/>
      <c r="J2198" s="15"/>
      <c r="K2198" s="15"/>
      <c r="L2198" s="28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5"/>
      <c r="AG2198" s="15"/>
      <c r="AH2198" s="15"/>
      <c r="AI2198" s="15"/>
      <c r="AJ2198" s="15"/>
      <c r="AK2198" s="15"/>
      <c r="AL2198" s="15"/>
      <c r="AM2198" s="15"/>
      <c r="AN2198" s="15"/>
      <c r="AO2198" s="15"/>
      <c r="AP2198" s="15"/>
      <c r="AQ2198" s="15"/>
      <c r="AR2198" s="15"/>
      <c r="AS2198" s="15"/>
      <c r="AT2198" s="15"/>
      <c r="AU2198" s="15"/>
      <c r="AV2198" s="15"/>
      <c r="AW2198" s="15"/>
    </row>
    <row r="2199" spans="3:49" x14ac:dyDescent="0.2">
      <c r="C2199" s="15"/>
      <c r="D2199" s="15"/>
      <c r="E2199" s="15"/>
      <c r="F2199" s="15"/>
      <c r="G2199" s="15"/>
      <c r="H2199" s="15"/>
      <c r="I2199" s="15"/>
      <c r="J2199" s="15"/>
      <c r="K2199" s="15"/>
      <c r="L2199" s="28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5"/>
      <c r="AG2199" s="15"/>
      <c r="AH2199" s="15"/>
      <c r="AI2199" s="15"/>
      <c r="AJ2199" s="15"/>
      <c r="AK2199" s="15"/>
      <c r="AL2199" s="15"/>
      <c r="AM2199" s="15"/>
      <c r="AN2199" s="15"/>
      <c r="AO2199" s="15"/>
      <c r="AP2199" s="15"/>
      <c r="AQ2199" s="15"/>
      <c r="AR2199" s="15"/>
      <c r="AS2199" s="15"/>
      <c r="AT2199" s="15"/>
      <c r="AU2199" s="15"/>
      <c r="AV2199" s="15"/>
      <c r="AW2199" s="15"/>
    </row>
    <row r="2200" spans="3:49" x14ac:dyDescent="0.2">
      <c r="C2200" s="15"/>
      <c r="D2200" s="15"/>
      <c r="E2200" s="15"/>
      <c r="F2200" s="15"/>
      <c r="G2200" s="15"/>
      <c r="H2200" s="15"/>
      <c r="I2200" s="15"/>
      <c r="J2200" s="15"/>
      <c r="K2200" s="15"/>
      <c r="L2200" s="28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5"/>
      <c r="AG2200" s="15"/>
      <c r="AH2200" s="15"/>
      <c r="AI2200" s="15"/>
      <c r="AJ2200" s="15"/>
      <c r="AK2200" s="15"/>
      <c r="AL2200" s="15"/>
      <c r="AM2200" s="15"/>
      <c r="AN2200" s="15"/>
      <c r="AO2200" s="15"/>
      <c r="AP2200" s="15"/>
      <c r="AQ2200" s="15"/>
      <c r="AR2200" s="15"/>
      <c r="AS2200" s="15"/>
      <c r="AT2200" s="15"/>
      <c r="AU2200" s="15"/>
      <c r="AV2200" s="15"/>
      <c r="AW2200" s="15"/>
    </row>
    <row r="2201" spans="3:49" x14ac:dyDescent="0.2">
      <c r="C2201" s="15"/>
      <c r="D2201" s="15"/>
      <c r="E2201" s="15"/>
      <c r="F2201" s="15"/>
      <c r="G2201" s="15"/>
      <c r="H2201" s="15"/>
      <c r="I2201" s="15"/>
      <c r="J2201" s="15"/>
      <c r="K2201" s="15"/>
      <c r="L2201" s="28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5"/>
      <c r="AG2201" s="15"/>
      <c r="AH2201" s="15"/>
      <c r="AI2201" s="15"/>
      <c r="AJ2201" s="15"/>
      <c r="AK2201" s="15"/>
      <c r="AL2201" s="15"/>
      <c r="AM2201" s="15"/>
      <c r="AN2201" s="15"/>
      <c r="AO2201" s="15"/>
      <c r="AP2201" s="15"/>
      <c r="AQ2201" s="15"/>
      <c r="AR2201" s="15"/>
      <c r="AS2201" s="15"/>
      <c r="AT2201" s="15"/>
      <c r="AU2201" s="15"/>
      <c r="AV2201" s="15"/>
      <c r="AW2201" s="15"/>
    </row>
    <row r="2202" spans="3:49" x14ac:dyDescent="0.2">
      <c r="C2202" s="15"/>
      <c r="D2202" s="15"/>
      <c r="E2202" s="15"/>
      <c r="F2202" s="15"/>
      <c r="G2202" s="15"/>
      <c r="H2202" s="15"/>
      <c r="I2202" s="15"/>
      <c r="J2202" s="15"/>
      <c r="K2202" s="15"/>
      <c r="L2202" s="28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5"/>
      <c r="AG2202" s="15"/>
      <c r="AH2202" s="15"/>
      <c r="AI2202" s="15"/>
      <c r="AJ2202" s="15"/>
      <c r="AK2202" s="15"/>
      <c r="AL2202" s="15"/>
      <c r="AM2202" s="15"/>
      <c r="AN2202" s="15"/>
      <c r="AO2202" s="15"/>
      <c r="AP2202" s="15"/>
      <c r="AQ2202" s="15"/>
      <c r="AR2202" s="15"/>
      <c r="AS2202" s="15"/>
      <c r="AT2202" s="15"/>
      <c r="AU2202" s="15"/>
      <c r="AV2202" s="15"/>
      <c r="AW2202" s="15"/>
    </row>
    <row r="2203" spans="3:49" x14ac:dyDescent="0.2">
      <c r="C2203" s="15"/>
      <c r="D2203" s="15"/>
      <c r="E2203" s="15"/>
      <c r="F2203" s="15"/>
      <c r="G2203" s="15"/>
      <c r="H2203" s="15"/>
      <c r="I2203" s="15"/>
      <c r="J2203" s="15"/>
      <c r="K2203" s="15"/>
      <c r="L2203" s="28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5"/>
      <c r="AG2203" s="15"/>
      <c r="AH2203" s="15"/>
      <c r="AI2203" s="15"/>
      <c r="AJ2203" s="15"/>
      <c r="AK2203" s="15"/>
      <c r="AL2203" s="15"/>
      <c r="AM2203" s="15"/>
      <c r="AN2203" s="15"/>
      <c r="AO2203" s="15"/>
      <c r="AP2203" s="15"/>
      <c r="AQ2203" s="15"/>
      <c r="AR2203" s="15"/>
      <c r="AS2203" s="15"/>
      <c r="AT2203" s="15"/>
      <c r="AU2203" s="15"/>
      <c r="AV2203" s="15"/>
      <c r="AW2203" s="15"/>
    </row>
    <row r="2204" spans="3:49" x14ac:dyDescent="0.2">
      <c r="C2204" s="15"/>
      <c r="D2204" s="15"/>
      <c r="E2204" s="15"/>
      <c r="F2204" s="15"/>
      <c r="G2204" s="15"/>
      <c r="H2204" s="15"/>
      <c r="I2204" s="15"/>
      <c r="J2204" s="15"/>
      <c r="K2204" s="15"/>
      <c r="L2204" s="28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5"/>
      <c r="AG2204" s="15"/>
      <c r="AH2204" s="15"/>
      <c r="AI2204" s="15"/>
      <c r="AJ2204" s="15"/>
      <c r="AK2204" s="15"/>
      <c r="AL2204" s="15"/>
      <c r="AM2204" s="15"/>
      <c r="AN2204" s="15"/>
      <c r="AO2204" s="15"/>
      <c r="AP2204" s="15"/>
      <c r="AQ2204" s="15"/>
      <c r="AR2204" s="15"/>
      <c r="AS2204" s="15"/>
      <c r="AT2204" s="15"/>
      <c r="AU2204" s="15"/>
      <c r="AV2204" s="15"/>
      <c r="AW2204" s="15"/>
    </row>
    <row r="2205" spans="3:49" x14ac:dyDescent="0.2">
      <c r="C2205" s="15"/>
      <c r="D2205" s="15"/>
      <c r="E2205" s="15"/>
      <c r="F2205" s="15"/>
      <c r="G2205" s="15"/>
      <c r="H2205" s="15"/>
      <c r="I2205" s="15"/>
      <c r="J2205" s="15"/>
      <c r="K2205" s="15"/>
      <c r="L2205" s="28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5"/>
      <c r="AG2205" s="15"/>
      <c r="AH2205" s="15"/>
      <c r="AI2205" s="15"/>
      <c r="AJ2205" s="15"/>
      <c r="AK2205" s="15"/>
      <c r="AL2205" s="15"/>
      <c r="AM2205" s="15"/>
      <c r="AN2205" s="15"/>
      <c r="AO2205" s="15"/>
      <c r="AP2205" s="15"/>
      <c r="AQ2205" s="15"/>
      <c r="AR2205" s="15"/>
      <c r="AS2205" s="15"/>
      <c r="AT2205" s="15"/>
      <c r="AU2205" s="15"/>
      <c r="AV2205" s="15"/>
      <c r="AW2205" s="15"/>
    </row>
    <row r="2206" spans="3:49" x14ac:dyDescent="0.2">
      <c r="C2206" s="15"/>
      <c r="D2206" s="15"/>
      <c r="E2206" s="15"/>
      <c r="F2206" s="15"/>
      <c r="G2206" s="15"/>
      <c r="H2206" s="15"/>
      <c r="I2206" s="15"/>
      <c r="J2206" s="15"/>
      <c r="K2206" s="15"/>
      <c r="L2206" s="28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5"/>
      <c r="AG2206" s="15"/>
      <c r="AH2206" s="15"/>
      <c r="AI2206" s="15"/>
      <c r="AJ2206" s="15"/>
      <c r="AK2206" s="15"/>
      <c r="AL2206" s="15"/>
      <c r="AM2206" s="15"/>
      <c r="AN2206" s="15"/>
      <c r="AO2206" s="15"/>
      <c r="AP2206" s="15"/>
      <c r="AQ2206" s="15"/>
      <c r="AR2206" s="15"/>
      <c r="AS2206" s="15"/>
      <c r="AT2206" s="15"/>
      <c r="AU2206" s="15"/>
      <c r="AV2206" s="15"/>
      <c r="AW2206" s="15"/>
    </row>
    <row r="2207" spans="3:49" x14ac:dyDescent="0.2">
      <c r="C2207" s="15"/>
      <c r="D2207" s="15"/>
      <c r="E2207" s="15"/>
      <c r="F2207" s="15"/>
      <c r="G2207" s="15"/>
      <c r="H2207" s="15"/>
      <c r="I2207" s="15"/>
      <c r="J2207" s="15"/>
      <c r="K2207" s="15"/>
      <c r="L2207" s="28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5"/>
      <c r="AG2207" s="15"/>
      <c r="AH2207" s="15"/>
      <c r="AI2207" s="15"/>
      <c r="AJ2207" s="15"/>
      <c r="AK2207" s="15"/>
      <c r="AL2207" s="15"/>
      <c r="AM2207" s="15"/>
      <c r="AN2207" s="15"/>
      <c r="AO2207" s="15"/>
      <c r="AP2207" s="15"/>
      <c r="AQ2207" s="15"/>
      <c r="AR2207" s="15"/>
      <c r="AS2207" s="15"/>
      <c r="AT2207" s="15"/>
      <c r="AU2207" s="15"/>
      <c r="AV2207" s="15"/>
      <c r="AW2207" s="15"/>
    </row>
    <row r="2208" spans="3:49" x14ac:dyDescent="0.2">
      <c r="C2208" s="15"/>
      <c r="D2208" s="15"/>
      <c r="E2208" s="15"/>
      <c r="F2208" s="15"/>
      <c r="G2208" s="15"/>
      <c r="H2208" s="15"/>
      <c r="I2208" s="15"/>
      <c r="J2208" s="15"/>
      <c r="K2208" s="15"/>
      <c r="L2208" s="28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5"/>
      <c r="AG2208" s="15"/>
      <c r="AH2208" s="15"/>
      <c r="AI2208" s="15"/>
      <c r="AJ2208" s="15"/>
      <c r="AK2208" s="15"/>
      <c r="AL2208" s="15"/>
      <c r="AM2208" s="15"/>
      <c r="AN2208" s="15"/>
      <c r="AO2208" s="15"/>
      <c r="AP2208" s="15"/>
      <c r="AQ2208" s="15"/>
      <c r="AR2208" s="15"/>
      <c r="AS2208" s="15"/>
      <c r="AT2208" s="15"/>
      <c r="AU2208" s="15"/>
      <c r="AV2208" s="15"/>
      <c r="AW2208" s="15"/>
    </row>
    <row r="2209" spans="3:49" x14ac:dyDescent="0.2">
      <c r="C2209" s="15"/>
      <c r="D2209" s="15"/>
      <c r="E2209" s="15"/>
      <c r="F2209" s="15"/>
      <c r="G2209" s="15"/>
      <c r="H2209" s="15"/>
      <c r="I2209" s="15"/>
      <c r="J2209" s="15"/>
      <c r="K2209" s="15"/>
      <c r="L2209" s="28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5"/>
      <c r="AG2209" s="15"/>
      <c r="AH2209" s="15"/>
      <c r="AI2209" s="15"/>
      <c r="AJ2209" s="15"/>
      <c r="AK2209" s="15"/>
      <c r="AL2209" s="15"/>
      <c r="AM2209" s="15"/>
      <c r="AN2209" s="15"/>
      <c r="AO2209" s="15"/>
      <c r="AP2209" s="15"/>
      <c r="AQ2209" s="15"/>
      <c r="AR2209" s="15"/>
      <c r="AS2209" s="15"/>
      <c r="AT2209" s="15"/>
      <c r="AU2209" s="15"/>
      <c r="AV2209" s="15"/>
      <c r="AW2209" s="15"/>
    </row>
    <row r="2210" spans="3:49" x14ac:dyDescent="0.2">
      <c r="C2210" s="15"/>
      <c r="D2210" s="15"/>
      <c r="E2210" s="15"/>
      <c r="F2210" s="15"/>
      <c r="G2210" s="15"/>
      <c r="H2210" s="15"/>
      <c r="I2210" s="15"/>
      <c r="J2210" s="15"/>
      <c r="K2210" s="15"/>
      <c r="L2210" s="28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5"/>
      <c r="AG2210" s="15"/>
      <c r="AH2210" s="15"/>
      <c r="AI2210" s="15"/>
      <c r="AJ2210" s="15"/>
      <c r="AK2210" s="15"/>
      <c r="AL2210" s="15"/>
      <c r="AM2210" s="15"/>
      <c r="AN2210" s="15"/>
      <c r="AO2210" s="15"/>
      <c r="AP2210" s="15"/>
      <c r="AQ2210" s="15"/>
      <c r="AR2210" s="15"/>
      <c r="AS2210" s="15"/>
      <c r="AT2210" s="15"/>
      <c r="AU2210" s="15"/>
      <c r="AV2210" s="15"/>
      <c r="AW2210" s="15"/>
    </row>
    <row r="2211" spans="3:49" x14ac:dyDescent="0.2">
      <c r="C2211" s="15"/>
      <c r="D2211" s="15"/>
      <c r="E2211" s="15"/>
      <c r="F2211" s="15"/>
      <c r="G2211" s="15"/>
      <c r="H2211" s="15"/>
      <c r="I2211" s="15"/>
      <c r="J2211" s="15"/>
      <c r="K2211" s="15"/>
      <c r="L2211" s="28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5"/>
      <c r="AG2211" s="15"/>
      <c r="AH2211" s="15"/>
      <c r="AI2211" s="15"/>
      <c r="AJ2211" s="15"/>
      <c r="AK2211" s="15"/>
      <c r="AL2211" s="15"/>
      <c r="AM2211" s="15"/>
      <c r="AN2211" s="15"/>
      <c r="AO2211" s="15"/>
      <c r="AP2211" s="15"/>
      <c r="AQ2211" s="15"/>
      <c r="AR2211" s="15"/>
      <c r="AS2211" s="15"/>
      <c r="AT2211" s="15"/>
      <c r="AU2211" s="15"/>
      <c r="AV2211" s="15"/>
      <c r="AW2211" s="15"/>
    </row>
    <row r="2212" spans="3:49" x14ac:dyDescent="0.2">
      <c r="C2212" s="15"/>
      <c r="D2212" s="15"/>
      <c r="E2212" s="15"/>
      <c r="F2212" s="15"/>
      <c r="G2212" s="15"/>
      <c r="H2212" s="15"/>
      <c r="I2212" s="15"/>
      <c r="J2212" s="15"/>
      <c r="K2212" s="15"/>
      <c r="L2212" s="28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5"/>
      <c r="AG2212" s="15"/>
      <c r="AH2212" s="15"/>
      <c r="AI2212" s="15"/>
      <c r="AJ2212" s="15"/>
      <c r="AK2212" s="15"/>
      <c r="AL2212" s="15"/>
      <c r="AM2212" s="15"/>
      <c r="AN2212" s="15"/>
      <c r="AO2212" s="15"/>
      <c r="AP2212" s="15"/>
      <c r="AQ2212" s="15"/>
      <c r="AR2212" s="15"/>
      <c r="AS2212" s="15"/>
      <c r="AT2212" s="15"/>
      <c r="AU2212" s="15"/>
      <c r="AV2212" s="15"/>
      <c r="AW2212" s="15"/>
    </row>
    <row r="2213" spans="3:49" x14ac:dyDescent="0.2">
      <c r="C2213" s="15"/>
      <c r="D2213" s="15"/>
      <c r="E2213" s="15"/>
      <c r="F2213" s="15"/>
      <c r="G2213" s="15"/>
      <c r="H2213" s="15"/>
      <c r="I2213" s="15"/>
      <c r="J2213" s="15"/>
      <c r="K2213" s="15"/>
      <c r="L2213" s="28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5"/>
      <c r="AG2213" s="15"/>
      <c r="AH2213" s="15"/>
      <c r="AI2213" s="15"/>
      <c r="AJ2213" s="15"/>
      <c r="AK2213" s="15"/>
      <c r="AL2213" s="15"/>
      <c r="AM2213" s="15"/>
      <c r="AN2213" s="15"/>
      <c r="AO2213" s="15"/>
      <c r="AP2213" s="15"/>
      <c r="AQ2213" s="15"/>
      <c r="AR2213" s="15"/>
      <c r="AS2213" s="15"/>
      <c r="AT2213" s="15"/>
      <c r="AU2213" s="15"/>
      <c r="AV2213" s="15"/>
      <c r="AW2213" s="15"/>
    </row>
    <row r="2214" spans="3:49" x14ac:dyDescent="0.2">
      <c r="C2214" s="15"/>
      <c r="D2214" s="15"/>
      <c r="E2214" s="15"/>
      <c r="F2214" s="15"/>
      <c r="G2214" s="15"/>
      <c r="H2214" s="15"/>
      <c r="I2214" s="15"/>
      <c r="J2214" s="15"/>
      <c r="K2214" s="15"/>
      <c r="L2214" s="28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5"/>
      <c r="AG2214" s="15"/>
      <c r="AH2214" s="15"/>
      <c r="AI2214" s="15"/>
      <c r="AJ2214" s="15"/>
      <c r="AK2214" s="15"/>
      <c r="AL2214" s="15"/>
      <c r="AM2214" s="15"/>
      <c r="AN2214" s="15"/>
      <c r="AO2214" s="15"/>
      <c r="AP2214" s="15"/>
      <c r="AQ2214" s="15"/>
      <c r="AR2214" s="15"/>
      <c r="AS2214" s="15"/>
      <c r="AT2214" s="15"/>
      <c r="AU2214" s="15"/>
      <c r="AV2214" s="15"/>
      <c r="AW2214" s="15"/>
    </row>
    <row r="2215" spans="3:49" x14ac:dyDescent="0.2">
      <c r="C2215" s="15"/>
      <c r="D2215" s="15"/>
      <c r="E2215" s="15"/>
      <c r="F2215" s="15"/>
      <c r="G2215" s="15"/>
      <c r="H2215" s="15"/>
      <c r="I2215" s="15"/>
      <c r="J2215" s="15"/>
      <c r="K2215" s="15"/>
      <c r="L2215" s="28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5"/>
      <c r="AG2215" s="15"/>
      <c r="AH2215" s="15"/>
      <c r="AI2215" s="15"/>
      <c r="AJ2215" s="15"/>
      <c r="AK2215" s="15"/>
      <c r="AL2215" s="15"/>
      <c r="AM2215" s="15"/>
      <c r="AN2215" s="15"/>
      <c r="AO2215" s="15"/>
      <c r="AP2215" s="15"/>
      <c r="AQ2215" s="15"/>
      <c r="AR2215" s="15"/>
      <c r="AS2215" s="15"/>
      <c r="AT2215" s="15"/>
      <c r="AU2215" s="15"/>
      <c r="AV2215" s="15"/>
      <c r="AW2215" s="15"/>
    </row>
    <row r="2216" spans="3:49" x14ac:dyDescent="0.2">
      <c r="C2216" s="15"/>
      <c r="D2216" s="15"/>
      <c r="E2216" s="15"/>
      <c r="F2216" s="15"/>
      <c r="G2216" s="15"/>
      <c r="H2216" s="15"/>
      <c r="I2216" s="15"/>
      <c r="J2216" s="15"/>
      <c r="K2216" s="15"/>
      <c r="L2216" s="28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5"/>
      <c r="AG2216" s="15"/>
      <c r="AH2216" s="15"/>
      <c r="AI2216" s="15"/>
      <c r="AJ2216" s="15"/>
      <c r="AK2216" s="15"/>
      <c r="AL2216" s="15"/>
      <c r="AM2216" s="15"/>
      <c r="AN2216" s="15"/>
      <c r="AO2216" s="15"/>
      <c r="AP2216" s="15"/>
      <c r="AQ2216" s="15"/>
      <c r="AR2216" s="15"/>
      <c r="AS2216" s="15"/>
      <c r="AT2216" s="15"/>
      <c r="AU2216" s="15"/>
      <c r="AV2216" s="15"/>
      <c r="AW2216" s="15"/>
    </row>
    <row r="2217" spans="3:49" x14ac:dyDescent="0.2">
      <c r="C2217" s="15"/>
      <c r="D2217" s="15"/>
      <c r="E2217" s="15"/>
      <c r="F2217" s="15"/>
      <c r="G2217" s="15"/>
      <c r="H2217" s="15"/>
      <c r="I2217" s="15"/>
      <c r="J2217" s="15"/>
      <c r="K2217" s="15"/>
      <c r="L2217" s="28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5"/>
      <c r="AG2217" s="15"/>
      <c r="AH2217" s="15"/>
      <c r="AI2217" s="15"/>
      <c r="AJ2217" s="15"/>
      <c r="AK2217" s="15"/>
      <c r="AL2217" s="15"/>
      <c r="AM2217" s="15"/>
      <c r="AN2217" s="15"/>
      <c r="AO2217" s="15"/>
      <c r="AP2217" s="15"/>
      <c r="AQ2217" s="15"/>
      <c r="AR2217" s="15"/>
      <c r="AS2217" s="15"/>
      <c r="AT2217" s="15"/>
      <c r="AU2217" s="15"/>
      <c r="AV2217" s="15"/>
      <c r="AW2217" s="15"/>
    </row>
    <row r="2218" spans="3:49" x14ac:dyDescent="0.2">
      <c r="C2218" s="15"/>
      <c r="D2218" s="15"/>
      <c r="E2218" s="15"/>
      <c r="F2218" s="15"/>
      <c r="G2218" s="15"/>
      <c r="H2218" s="15"/>
      <c r="I2218" s="15"/>
      <c r="J2218" s="15"/>
      <c r="K2218" s="15"/>
      <c r="L2218" s="28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5"/>
      <c r="AG2218" s="15"/>
      <c r="AH2218" s="15"/>
      <c r="AI2218" s="15"/>
      <c r="AJ2218" s="15"/>
      <c r="AK2218" s="15"/>
      <c r="AL2218" s="15"/>
      <c r="AM2218" s="15"/>
      <c r="AN2218" s="15"/>
      <c r="AO2218" s="15"/>
      <c r="AP2218" s="15"/>
      <c r="AQ2218" s="15"/>
      <c r="AR2218" s="15"/>
      <c r="AS2218" s="15"/>
      <c r="AT2218" s="15"/>
      <c r="AU2218" s="15"/>
      <c r="AV2218" s="15"/>
      <c r="AW2218" s="15"/>
    </row>
    <row r="2219" spans="3:49" x14ac:dyDescent="0.2">
      <c r="C2219" s="15"/>
      <c r="D2219" s="15"/>
      <c r="E2219" s="15"/>
      <c r="F2219" s="15"/>
      <c r="G2219" s="15"/>
      <c r="H2219" s="15"/>
      <c r="I2219" s="15"/>
      <c r="J2219" s="15"/>
      <c r="K2219" s="15"/>
      <c r="L2219" s="28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5"/>
      <c r="AG2219" s="15"/>
      <c r="AH2219" s="15"/>
      <c r="AI2219" s="15"/>
      <c r="AJ2219" s="15"/>
      <c r="AK2219" s="15"/>
      <c r="AL2219" s="15"/>
      <c r="AM2219" s="15"/>
      <c r="AN2219" s="15"/>
      <c r="AO2219" s="15"/>
      <c r="AP2219" s="15"/>
      <c r="AQ2219" s="15"/>
      <c r="AR2219" s="15"/>
      <c r="AS2219" s="15"/>
      <c r="AT2219" s="15"/>
      <c r="AU2219" s="15"/>
      <c r="AV2219" s="15"/>
      <c r="AW2219" s="15"/>
    </row>
    <row r="2220" spans="3:49" x14ac:dyDescent="0.2">
      <c r="C2220" s="15"/>
      <c r="D2220" s="15"/>
      <c r="E2220" s="15"/>
      <c r="F2220" s="15"/>
      <c r="G2220" s="15"/>
      <c r="H2220" s="15"/>
      <c r="I2220" s="15"/>
      <c r="J2220" s="15"/>
      <c r="K2220" s="15"/>
      <c r="L2220" s="28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5"/>
      <c r="AG2220" s="15"/>
      <c r="AH2220" s="15"/>
      <c r="AI2220" s="15"/>
      <c r="AJ2220" s="15"/>
      <c r="AK2220" s="15"/>
      <c r="AL2220" s="15"/>
      <c r="AM2220" s="15"/>
      <c r="AN2220" s="15"/>
      <c r="AO2220" s="15"/>
      <c r="AP2220" s="15"/>
      <c r="AQ2220" s="15"/>
      <c r="AR2220" s="15"/>
      <c r="AS2220" s="15"/>
      <c r="AT2220" s="15"/>
      <c r="AU2220" s="15"/>
      <c r="AV2220" s="15"/>
      <c r="AW2220" s="15"/>
    </row>
    <row r="2221" spans="3:49" x14ac:dyDescent="0.2">
      <c r="C2221" s="15"/>
      <c r="D2221" s="15"/>
      <c r="E2221" s="15"/>
      <c r="F2221" s="15"/>
      <c r="G2221" s="15"/>
      <c r="H2221" s="15"/>
      <c r="I2221" s="15"/>
      <c r="J2221" s="15"/>
      <c r="K2221" s="15"/>
      <c r="L2221" s="28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5"/>
      <c r="AG2221" s="15"/>
      <c r="AH2221" s="15"/>
      <c r="AI2221" s="15"/>
      <c r="AJ2221" s="15"/>
      <c r="AK2221" s="15"/>
      <c r="AL2221" s="15"/>
      <c r="AM2221" s="15"/>
      <c r="AN2221" s="15"/>
      <c r="AO2221" s="15"/>
      <c r="AP2221" s="15"/>
      <c r="AQ2221" s="15"/>
      <c r="AR2221" s="15"/>
      <c r="AS2221" s="15"/>
      <c r="AT2221" s="15"/>
      <c r="AU2221" s="15"/>
      <c r="AV2221" s="15"/>
      <c r="AW2221" s="15"/>
    </row>
    <row r="2222" spans="3:49" x14ac:dyDescent="0.2">
      <c r="C2222" s="15"/>
      <c r="D2222" s="15"/>
      <c r="E2222" s="15"/>
      <c r="F2222" s="15"/>
      <c r="G2222" s="15"/>
      <c r="H2222" s="15"/>
      <c r="I2222" s="15"/>
      <c r="J2222" s="15"/>
      <c r="K2222" s="15"/>
      <c r="L2222" s="28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5"/>
      <c r="AG2222" s="15"/>
      <c r="AH2222" s="15"/>
      <c r="AI2222" s="15"/>
      <c r="AJ2222" s="15"/>
      <c r="AK2222" s="15"/>
      <c r="AL2222" s="15"/>
      <c r="AM2222" s="15"/>
      <c r="AN2222" s="15"/>
      <c r="AO2222" s="15"/>
      <c r="AP2222" s="15"/>
      <c r="AQ2222" s="15"/>
      <c r="AR2222" s="15"/>
      <c r="AS2222" s="15"/>
      <c r="AT2222" s="15"/>
      <c r="AU2222" s="15"/>
      <c r="AV2222" s="15"/>
      <c r="AW2222" s="15"/>
    </row>
    <row r="2223" spans="3:49" x14ac:dyDescent="0.2">
      <c r="C2223" s="15"/>
      <c r="D2223" s="15"/>
      <c r="E2223" s="15"/>
      <c r="F2223" s="15"/>
      <c r="G2223" s="15"/>
      <c r="H2223" s="15"/>
      <c r="I2223" s="15"/>
      <c r="J2223" s="15"/>
      <c r="K2223" s="15"/>
      <c r="L2223" s="28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5"/>
      <c r="AG2223" s="15"/>
      <c r="AH2223" s="15"/>
      <c r="AI2223" s="15"/>
      <c r="AJ2223" s="15"/>
      <c r="AK2223" s="15"/>
      <c r="AL2223" s="15"/>
      <c r="AM2223" s="15"/>
      <c r="AN2223" s="15"/>
      <c r="AO2223" s="15"/>
      <c r="AP2223" s="15"/>
      <c r="AQ2223" s="15"/>
      <c r="AR2223" s="15"/>
      <c r="AS2223" s="15"/>
      <c r="AT2223" s="15"/>
      <c r="AU2223" s="15"/>
      <c r="AV2223" s="15"/>
      <c r="AW2223" s="15"/>
    </row>
    <row r="2224" spans="3:49" x14ac:dyDescent="0.2">
      <c r="C2224" s="15"/>
      <c r="D2224" s="15"/>
      <c r="E2224" s="15"/>
      <c r="F2224" s="15"/>
      <c r="G2224" s="15"/>
      <c r="H2224" s="15"/>
      <c r="I2224" s="15"/>
      <c r="J2224" s="15"/>
      <c r="K2224" s="15"/>
      <c r="L2224" s="28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5"/>
      <c r="AG2224" s="15"/>
      <c r="AH2224" s="15"/>
      <c r="AI2224" s="15"/>
      <c r="AJ2224" s="15"/>
      <c r="AK2224" s="15"/>
      <c r="AL2224" s="15"/>
      <c r="AM2224" s="15"/>
      <c r="AN2224" s="15"/>
      <c r="AO2224" s="15"/>
      <c r="AP2224" s="15"/>
      <c r="AQ2224" s="15"/>
      <c r="AR2224" s="15"/>
      <c r="AS2224" s="15"/>
      <c r="AT2224" s="15"/>
      <c r="AU2224" s="15"/>
      <c r="AV2224" s="15"/>
      <c r="AW2224" s="15"/>
    </row>
    <row r="2225" spans="3:49" x14ac:dyDescent="0.2">
      <c r="C2225" s="15"/>
      <c r="D2225" s="15"/>
      <c r="E2225" s="15"/>
      <c r="F2225" s="15"/>
      <c r="G2225" s="15"/>
      <c r="H2225" s="15"/>
      <c r="I2225" s="15"/>
      <c r="J2225" s="15"/>
      <c r="K2225" s="15"/>
      <c r="L2225" s="28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5"/>
      <c r="AG2225" s="15"/>
      <c r="AH2225" s="15"/>
      <c r="AI2225" s="15"/>
      <c r="AJ2225" s="15"/>
      <c r="AK2225" s="15"/>
      <c r="AL2225" s="15"/>
      <c r="AM2225" s="15"/>
      <c r="AN2225" s="15"/>
      <c r="AO2225" s="15"/>
      <c r="AP2225" s="15"/>
      <c r="AQ2225" s="15"/>
      <c r="AR2225" s="15"/>
      <c r="AS2225" s="15"/>
      <c r="AT2225" s="15"/>
      <c r="AU2225" s="15"/>
      <c r="AV2225" s="15"/>
      <c r="AW2225" s="15"/>
    </row>
    <row r="2226" spans="3:49" x14ac:dyDescent="0.2">
      <c r="C2226" s="15"/>
      <c r="D2226" s="15"/>
      <c r="E2226" s="15"/>
      <c r="F2226" s="15"/>
      <c r="G2226" s="15"/>
      <c r="H2226" s="15"/>
      <c r="I2226" s="15"/>
      <c r="J2226" s="15"/>
      <c r="K2226" s="15"/>
      <c r="L2226" s="28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5"/>
      <c r="AG2226" s="15"/>
      <c r="AH2226" s="15"/>
      <c r="AI2226" s="15"/>
      <c r="AJ2226" s="15"/>
      <c r="AK2226" s="15"/>
      <c r="AL2226" s="15"/>
      <c r="AM2226" s="15"/>
      <c r="AN2226" s="15"/>
      <c r="AO2226" s="15"/>
      <c r="AP2226" s="15"/>
      <c r="AQ2226" s="15"/>
      <c r="AR2226" s="15"/>
      <c r="AS2226" s="15"/>
      <c r="AT2226" s="15"/>
      <c r="AU2226" s="15"/>
      <c r="AV2226" s="15"/>
      <c r="AW2226" s="15"/>
    </row>
    <row r="2227" spans="3:49" x14ac:dyDescent="0.2">
      <c r="C2227" s="15"/>
      <c r="D2227" s="15"/>
      <c r="E2227" s="15"/>
      <c r="F2227" s="15"/>
      <c r="G2227" s="15"/>
      <c r="H2227" s="15"/>
      <c r="I2227" s="15"/>
      <c r="J2227" s="15"/>
      <c r="K2227" s="15"/>
      <c r="L2227" s="28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5"/>
      <c r="AG2227" s="15"/>
      <c r="AH2227" s="15"/>
      <c r="AI2227" s="15"/>
      <c r="AJ2227" s="15"/>
      <c r="AK2227" s="15"/>
      <c r="AL2227" s="15"/>
      <c r="AM2227" s="15"/>
      <c r="AN2227" s="15"/>
      <c r="AO2227" s="15"/>
      <c r="AP2227" s="15"/>
      <c r="AQ2227" s="15"/>
      <c r="AR2227" s="15"/>
      <c r="AS2227" s="15"/>
      <c r="AT2227" s="15"/>
      <c r="AU2227" s="15"/>
      <c r="AV2227" s="15"/>
      <c r="AW2227" s="15"/>
    </row>
    <row r="2228" spans="3:49" x14ac:dyDescent="0.2">
      <c r="C2228" s="15"/>
      <c r="D2228" s="15"/>
      <c r="E2228" s="15"/>
      <c r="F2228" s="15"/>
      <c r="G2228" s="15"/>
      <c r="H2228" s="15"/>
      <c r="I2228" s="15"/>
      <c r="J2228" s="15"/>
      <c r="K2228" s="15"/>
      <c r="L2228" s="28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5"/>
      <c r="AG2228" s="15"/>
      <c r="AH2228" s="15"/>
      <c r="AI2228" s="15"/>
      <c r="AJ2228" s="15"/>
      <c r="AK2228" s="15"/>
      <c r="AL2228" s="15"/>
      <c r="AM2228" s="15"/>
      <c r="AN2228" s="15"/>
      <c r="AO2228" s="15"/>
      <c r="AP2228" s="15"/>
      <c r="AQ2228" s="15"/>
      <c r="AR2228" s="15"/>
      <c r="AS2228" s="15"/>
      <c r="AT2228" s="15"/>
      <c r="AU2228" s="15"/>
      <c r="AV2228" s="15"/>
      <c r="AW2228" s="15"/>
    </row>
    <row r="2229" spans="3:49" x14ac:dyDescent="0.2">
      <c r="C2229" s="15"/>
      <c r="D2229" s="15"/>
      <c r="E2229" s="15"/>
      <c r="F2229" s="15"/>
      <c r="G2229" s="15"/>
      <c r="H2229" s="15"/>
      <c r="I2229" s="15"/>
      <c r="J2229" s="15"/>
      <c r="K2229" s="15"/>
      <c r="L2229" s="28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5"/>
      <c r="AG2229" s="15"/>
      <c r="AH2229" s="15"/>
      <c r="AI2229" s="15"/>
      <c r="AJ2229" s="15"/>
      <c r="AK2229" s="15"/>
      <c r="AL2229" s="15"/>
      <c r="AM2229" s="15"/>
      <c r="AN2229" s="15"/>
      <c r="AO2229" s="15"/>
      <c r="AP2229" s="15"/>
      <c r="AQ2229" s="15"/>
      <c r="AR2229" s="15"/>
      <c r="AS2229" s="15"/>
      <c r="AT2229" s="15"/>
      <c r="AU2229" s="15"/>
      <c r="AV2229" s="15"/>
      <c r="AW2229" s="15"/>
    </row>
    <row r="2230" spans="3:49" x14ac:dyDescent="0.2">
      <c r="C2230" s="15"/>
      <c r="D2230" s="15"/>
      <c r="E2230" s="15"/>
      <c r="F2230" s="15"/>
      <c r="G2230" s="15"/>
      <c r="H2230" s="15"/>
      <c r="I2230" s="15"/>
      <c r="J2230" s="15"/>
      <c r="K2230" s="15"/>
      <c r="L2230" s="28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5"/>
      <c r="AG2230" s="15"/>
      <c r="AH2230" s="15"/>
      <c r="AI2230" s="15"/>
      <c r="AJ2230" s="15"/>
      <c r="AK2230" s="15"/>
      <c r="AL2230" s="15"/>
      <c r="AM2230" s="15"/>
      <c r="AN2230" s="15"/>
      <c r="AO2230" s="15"/>
      <c r="AP2230" s="15"/>
      <c r="AQ2230" s="15"/>
      <c r="AR2230" s="15"/>
      <c r="AS2230" s="15"/>
      <c r="AT2230" s="15"/>
      <c r="AU2230" s="15"/>
      <c r="AV2230" s="15"/>
      <c r="AW2230" s="15"/>
    </row>
    <row r="2231" spans="3:49" x14ac:dyDescent="0.2">
      <c r="C2231" s="15"/>
      <c r="D2231" s="15"/>
      <c r="E2231" s="15"/>
      <c r="F2231" s="15"/>
      <c r="G2231" s="15"/>
      <c r="H2231" s="15"/>
      <c r="I2231" s="15"/>
      <c r="J2231" s="15"/>
      <c r="K2231" s="15"/>
      <c r="L2231" s="28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5"/>
      <c r="AG2231" s="15"/>
      <c r="AH2231" s="15"/>
      <c r="AI2231" s="15"/>
      <c r="AJ2231" s="15"/>
      <c r="AK2231" s="15"/>
      <c r="AL2231" s="15"/>
      <c r="AM2231" s="15"/>
      <c r="AN2231" s="15"/>
      <c r="AO2231" s="15"/>
      <c r="AP2231" s="15"/>
      <c r="AQ2231" s="15"/>
      <c r="AR2231" s="15"/>
      <c r="AS2231" s="15"/>
      <c r="AT2231" s="15"/>
      <c r="AU2231" s="15"/>
      <c r="AV2231" s="15"/>
      <c r="AW2231" s="15"/>
    </row>
    <row r="2232" spans="3:49" x14ac:dyDescent="0.2">
      <c r="C2232" s="15"/>
      <c r="D2232" s="15"/>
      <c r="E2232" s="15"/>
      <c r="F2232" s="15"/>
      <c r="G2232" s="15"/>
      <c r="H2232" s="15"/>
      <c r="I2232" s="15"/>
      <c r="J2232" s="15"/>
      <c r="K2232" s="15"/>
      <c r="L2232" s="28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5"/>
      <c r="AG2232" s="15"/>
      <c r="AH2232" s="15"/>
      <c r="AI2232" s="15"/>
      <c r="AJ2232" s="15"/>
      <c r="AK2232" s="15"/>
      <c r="AL2232" s="15"/>
      <c r="AM2232" s="15"/>
      <c r="AN2232" s="15"/>
      <c r="AO2232" s="15"/>
      <c r="AP2232" s="15"/>
      <c r="AQ2232" s="15"/>
      <c r="AR2232" s="15"/>
      <c r="AS2232" s="15"/>
      <c r="AT2232" s="15"/>
      <c r="AU2232" s="15"/>
      <c r="AV2232" s="15"/>
      <c r="AW2232" s="15"/>
    </row>
    <row r="2233" spans="3:49" x14ac:dyDescent="0.2">
      <c r="C2233" s="15"/>
      <c r="D2233" s="15"/>
      <c r="E2233" s="15"/>
      <c r="F2233" s="15"/>
      <c r="G2233" s="15"/>
      <c r="H2233" s="15"/>
      <c r="I2233" s="15"/>
      <c r="J2233" s="15"/>
      <c r="K2233" s="15"/>
      <c r="L2233" s="28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5"/>
      <c r="AG2233" s="15"/>
      <c r="AH2233" s="15"/>
      <c r="AI2233" s="15"/>
      <c r="AJ2233" s="15"/>
      <c r="AK2233" s="15"/>
      <c r="AL2233" s="15"/>
      <c r="AM2233" s="15"/>
      <c r="AN2233" s="15"/>
      <c r="AO2233" s="15"/>
      <c r="AP2233" s="15"/>
      <c r="AQ2233" s="15"/>
      <c r="AR2233" s="15"/>
      <c r="AS2233" s="15"/>
      <c r="AT2233" s="15"/>
      <c r="AU2233" s="15"/>
      <c r="AV2233" s="15"/>
      <c r="AW2233" s="15"/>
    </row>
    <row r="2234" spans="3:49" x14ac:dyDescent="0.2">
      <c r="C2234" s="15"/>
      <c r="D2234" s="15"/>
      <c r="E2234" s="15"/>
      <c r="F2234" s="15"/>
      <c r="G2234" s="15"/>
      <c r="H2234" s="15"/>
      <c r="I2234" s="15"/>
      <c r="J2234" s="15"/>
      <c r="K2234" s="15"/>
      <c r="L2234" s="28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5"/>
      <c r="AG2234" s="15"/>
      <c r="AH2234" s="15"/>
      <c r="AI2234" s="15"/>
      <c r="AJ2234" s="15"/>
      <c r="AK2234" s="15"/>
      <c r="AL2234" s="15"/>
      <c r="AM2234" s="15"/>
      <c r="AN2234" s="15"/>
      <c r="AO2234" s="15"/>
      <c r="AP2234" s="15"/>
      <c r="AQ2234" s="15"/>
      <c r="AR2234" s="15"/>
      <c r="AS2234" s="15"/>
      <c r="AT2234" s="15"/>
      <c r="AU2234" s="15"/>
      <c r="AV2234" s="15"/>
      <c r="AW2234" s="15"/>
    </row>
    <row r="2235" spans="3:49" x14ac:dyDescent="0.2">
      <c r="C2235" s="15"/>
      <c r="D2235" s="15"/>
      <c r="E2235" s="15"/>
      <c r="F2235" s="15"/>
      <c r="G2235" s="15"/>
      <c r="H2235" s="15"/>
      <c r="I2235" s="15"/>
      <c r="J2235" s="15"/>
      <c r="K2235" s="15"/>
      <c r="L2235" s="28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5"/>
      <c r="AG2235" s="15"/>
      <c r="AH2235" s="15"/>
      <c r="AI2235" s="15"/>
      <c r="AJ2235" s="15"/>
      <c r="AK2235" s="15"/>
      <c r="AL2235" s="15"/>
      <c r="AM2235" s="15"/>
      <c r="AN2235" s="15"/>
      <c r="AO2235" s="15"/>
      <c r="AP2235" s="15"/>
      <c r="AQ2235" s="15"/>
      <c r="AR2235" s="15"/>
      <c r="AS2235" s="15"/>
      <c r="AT2235" s="15"/>
      <c r="AU2235" s="15"/>
      <c r="AV2235" s="15"/>
      <c r="AW2235" s="15"/>
    </row>
    <row r="2236" spans="3:49" x14ac:dyDescent="0.2">
      <c r="C2236" s="15"/>
      <c r="D2236" s="15"/>
      <c r="E2236" s="15"/>
      <c r="F2236" s="15"/>
      <c r="G2236" s="15"/>
      <c r="H2236" s="15"/>
      <c r="I2236" s="15"/>
      <c r="J2236" s="15"/>
      <c r="K2236" s="15"/>
      <c r="L2236" s="28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5"/>
      <c r="AG2236" s="15"/>
      <c r="AH2236" s="15"/>
      <c r="AI2236" s="15"/>
      <c r="AJ2236" s="15"/>
      <c r="AK2236" s="15"/>
      <c r="AL2236" s="15"/>
      <c r="AM2236" s="15"/>
      <c r="AN2236" s="15"/>
      <c r="AO2236" s="15"/>
      <c r="AP2236" s="15"/>
      <c r="AQ2236" s="15"/>
      <c r="AR2236" s="15"/>
      <c r="AS2236" s="15"/>
      <c r="AT2236" s="15"/>
      <c r="AU2236" s="15"/>
      <c r="AV2236" s="15"/>
      <c r="AW2236" s="15"/>
    </row>
    <row r="2237" spans="3:49" x14ac:dyDescent="0.2">
      <c r="C2237" s="15"/>
      <c r="D2237" s="15"/>
      <c r="E2237" s="15"/>
      <c r="F2237" s="15"/>
      <c r="G2237" s="15"/>
      <c r="H2237" s="15"/>
      <c r="I2237" s="15"/>
      <c r="J2237" s="15"/>
      <c r="K2237" s="15"/>
      <c r="L2237" s="28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5"/>
      <c r="AG2237" s="15"/>
      <c r="AH2237" s="15"/>
      <c r="AI2237" s="15"/>
      <c r="AJ2237" s="15"/>
      <c r="AK2237" s="15"/>
      <c r="AL2237" s="15"/>
      <c r="AM2237" s="15"/>
      <c r="AN2237" s="15"/>
      <c r="AO2237" s="15"/>
      <c r="AP2237" s="15"/>
      <c r="AQ2237" s="15"/>
      <c r="AR2237" s="15"/>
      <c r="AS2237" s="15"/>
      <c r="AT2237" s="15"/>
      <c r="AU2237" s="15"/>
      <c r="AV2237" s="15"/>
      <c r="AW2237" s="15"/>
    </row>
    <row r="2238" spans="3:49" x14ac:dyDescent="0.2">
      <c r="C2238" s="15"/>
      <c r="D2238" s="15"/>
      <c r="E2238" s="15"/>
      <c r="F2238" s="15"/>
      <c r="G2238" s="15"/>
      <c r="H2238" s="15"/>
      <c r="I2238" s="15"/>
      <c r="J2238" s="15"/>
      <c r="K2238" s="15"/>
      <c r="L2238" s="28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5"/>
      <c r="AG2238" s="15"/>
      <c r="AH2238" s="15"/>
      <c r="AI2238" s="15"/>
      <c r="AJ2238" s="15"/>
      <c r="AK2238" s="15"/>
      <c r="AL2238" s="15"/>
      <c r="AM2238" s="15"/>
      <c r="AN2238" s="15"/>
      <c r="AO2238" s="15"/>
      <c r="AP2238" s="15"/>
      <c r="AQ2238" s="15"/>
      <c r="AR2238" s="15"/>
      <c r="AS2238" s="15"/>
      <c r="AT2238" s="15"/>
      <c r="AU2238" s="15"/>
      <c r="AV2238" s="15"/>
      <c r="AW2238" s="15"/>
    </row>
    <row r="2239" spans="3:49" x14ac:dyDescent="0.2">
      <c r="C2239" s="15"/>
      <c r="D2239" s="15"/>
      <c r="E2239" s="15"/>
      <c r="F2239" s="15"/>
      <c r="G2239" s="15"/>
      <c r="H2239" s="15"/>
      <c r="I2239" s="15"/>
      <c r="J2239" s="15"/>
      <c r="K2239" s="15"/>
      <c r="L2239" s="28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5"/>
      <c r="AG2239" s="15"/>
      <c r="AH2239" s="15"/>
      <c r="AI2239" s="15"/>
      <c r="AJ2239" s="15"/>
      <c r="AK2239" s="15"/>
      <c r="AL2239" s="15"/>
      <c r="AM2239" s="15"/>
      <c r="AN2239" s="15"/>
      <c r="AO2239" s="15"/>
      <c r="AP2239" s="15"/>
      <c r="AQ2239" s="15"/>
      <c r="AR2239" s="15"/>
      <c r="AS2239" s="15"/>
      <c r="AT2239" s="15"/>
      <c r="AU2239" s="15"/>
      <c r="AV2239" s="15"/>
      <c r="AW2239" s="15"/>
    </row>
    <row r="2240" spans="3:49" x14ac:dyDescent="0.2">
      <c r="C2240" s="15"/>
      <c r="D2240" s="15"/>
      <c r="E2240" s="15"/>
      <c r="F2240" s="15"/>
      <c r="G2240" s="15"/>
      <c r="H2240" s="15"/>
      <c r="I2240" s="15"/>
      <c r="J2240" s="15"/>
      <c r="K2240" s="15"/>
      <c r="L2240" s="28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5"/>
      <c r="AG2240" s="15"/>
      <c r="AH2240" s="15"/>
      <c r="AI2240" s="15"/>
      <c r="AJ2240" s="15"/>
      <c r="AK2240" s="15"/>
      <c r="AL2240" s="15"/>
      <c r="AM2240" s="15"/>
      <c r="AN2240" s="15"/>
      <c r="AO2240" s="15"/>
      <c r="AP2240" s="15"/>
      <c r="AQ2240" s="15"/>
      <c r="AR2240" s="15"/>
      <c r="AS2240" s="15"/>
      <c r="AT2240" s="15"/>
      <c r="AU2240" s="15"/>
      <c r="AV2240" s="15"/>
      <c r="AW2240" s="15"/>
    </row>
    <row r="2241" spans="3:49" x14ac:dyDescent="0.2">
      <c r="C2241" s="15"/>
      <c r="D2241" s="15"/>
      <c r="E2241" s="15"/>
      <c r="F2241" s="15"/>
      <c r="G2241" s="15"/>
      <c r="H2241" s="15"/>
      <c r="I2241" s="15"/>
      <c r="J2241" s="15"/>
      <c r="K2241" s="15"/>
      <c r="L2241" s="28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5"/>
      <c r="AG2241" s="15"/>
      <c r="AH2241" s="15"/>
      <c r="AI2241" s="15"/>
      <c r="AJ2241" s="15"/>
      <c r="AK2241" s="15"/>
      <c r="AL2241" s="15"/>
      <c r="AM2241" s="15"/>
      <c r="AN2241" s="15"/>
      <c r="AO2241" s="15"/>
      <c r="AP2241" s="15"/>
      <c r="AQ2241" s="15"/>
      <c r="AR2241" s="15"/>
      <c r="AS2241" s="15"/>
      <c r="AT2241" s="15"/>
      <c r="AU2241" s="15"/>
      <c r="AV2241" s="15"/>
      <c r="AW2241" s="15"/>
    </row>
    <row r="2242" spans="3:49" x14ac:dyDescent="0.2">
      <c r="C2242" s="15"/>
      <c r="D2242" s="15"/>
      <c r="E2242" s="15"/>
      <c r="F2242" s="15"/>
      <c r="G2242" s="15"/>
      <c r="H2242" s="15"/>
      <c r="I2242" s="15"/>
      <c r="J2242" s="15"/>
      <c r="K2242" s="15"/>
      <c r="L2242" s="28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5"/>
      <c r="AG2242" s="15"/>
      <c r="AH2242" s="15"/>
      <c r="AI2242" s="15"/>
      <c r="AJ2242" s="15"/>
      <c r="AK2242" s="15"/>
      <c r="AL2242" s="15"/>
      <c r="AM2242" s="15"/>
      <c r="AN2242" s="15"/>
      <c r="AO2242" s="15"/>
      <c r="AP2242" s="15"/>
      <c r="AQ2242" s="15"/>
      <c r="AR2242" s="15"/>
      <c r="AS2242" s="15"/>
      <c r="AT2242" s="15"/>
      <c r="AU2242" s="15"/>
      <c r="AV2242" s="15"/>
      <c r="AW2242" s="15"/>
    </row>
    <row r="2243" spans="3:49" x14ac:dyDescent="0.2">
      <c r="C2243" s="15"/>
      <c r="D2243" s="15"/>
      <c r="E2243" s="15"/>
      <c r="F2243" s="15"/>
      <c r="G2243" s="15"/>
      <c r="H2243" s="15"/>
      <c r="I2243" s="15"/>
      <c r="J2243" s="15"/>
      <c r="K2243" s="15"/>
      <c r="L2243" s="28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5"/>
      <c r="AG2243" s="15"/>
      <c r="AH2243" s="15"/>
      <c r="AI2243" s="15"/>
      <c r="AJ2243" s="15"/>
      <c r="AK2243" s="15"/>
      <c r="AL2243" s="15"/>
      <c r="AM2243" s="15"/>
      <c r="AN2243" s="15"/>
      <c r="AO2243" s="15"/>
      <c r="AP2243" s="15"/>
      <c r="AQ2243" s="15"/>
      <c r="AR2243" s="15"/>
      <c r="AS2243" s="15"/>
      <c r="AT2243" s="15"/>
      <c r="AU2243" s="15"/>
      <c r="AV2243" s="15"/>
      <c r="AW2243" s="15"/>
    </row>
    <row r="2244" spans="3:49" x14ac:dyDescent="0.2">
      <c r="C2244" s="15"/>
      <c r="D2244" s="15"/>
      <c r="E2244" s="15"/>
      <c r="F2244" s="15"/>
      <c r="G2244" s="15"/>
      <c r="H2244" s="15"/>
      <c r="I2244" s="15"/>
      <c r="J2244" s="15"/>
      <c r="K2244" s="15"/>
      <c r="L2244" s="28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5"/>
      <c r="AG2244" s="15"/>
      <c r="AH2244" s="15"/>
      <c r="AI2244" s="15"/>
      <c r="AJ2244" s="15"/>
      <c r="AK2244" s="15"/>
      <c r="AL2244" s="15"/>
      <c r="AM2244" s="15"/>
      <c r="AN2244" s="15"/>
      <c r="AO2244" s="15"/>
      <c r="AP2244" s="15"/>
      <c r="AQ2244" s="15"/>
      <c r="AR2244" s="15"/>
      <c r="AS2244" s="15"/>
      <c r="AT2244" s="15"/>
      <c r="AU2244" s="15"/>
      <c r="AV2244" s="15"/>
      <c r="AW2244" s="15"/>
    </row>
    <row r="2245" spans="3:49" x14ac:dyDescent="0.2">
      <c r="C2245" s="15"/>
      <c r="D2245" s="15"/>
      <c r="E2245" s="15"/>
      <c r="F2245" s="15"/>
      <c r="G2245" s="15"/>
      <c r="H2245" s="15"/>
      <c r="I2245" s="15"/>
      <c r="J2245" s="15"/>
      <c r="K2245" s="15"/>
      <c r="L2245" s="28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5"/>
      <c r="AG2245" s="15"/>
      <c r="AH2245" s="15"/>
      <c r="AI2245" s="15"/>
      <c r="AJ2245" s="15"/>
      <c r="AK2245" s="15"/>
      <c r="AL2245" s="15"/>
      <c r="AM2245" s="15"/>
      <c r="AN2245" s="15"/>
      <c r="AO2245" s="15"/>
      <c r="AP2245" s="15"/>
      <c r="AQ2245" s="15"/>
      <c r="AR2245" s="15"/>
      <c r="AS2245" s="15"/>
      <c r="AT2245" s="15"/>
      <c r="AU2245" s="15"/>
      <c r="AV2245" s="15"/>
      <c r="AW2245" s="15"/>
    </row>
    <row r="2246" spans="3:49" x14ac:dyDescent="0.2">
      <c r="C2246" s="15"/>
      <c r="D2246" s="15"/>
      <c r="E2246" s="15"/>
      <c r="F2246" s="15"/>
      <c r="G2246" s="15"/>
      <c r="H2246" s="15"/>
      <c r="I2246" s="15"/>
      <c r="J2246" s="15"/>
      <c r="K2246" s="15"/>
      <c r="L2246" s="28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5"/>
      <c r="AG2246" s="15"/>
      <c r="AH2246" s="15"/>
      <c r="AI2246" s="15"/>
      <c r="AJ2246" s="15"/>
      <c r="AK2246" s="15"/>
      <c r="AL2246" s="15"/>
      <c r="AM2246" s="15"/>
      <c r="AN2246" s="15"/>
      <c r="AO2246" s="15"/>
      <c r="AP2246" s="15"/>
      <c r="AQ2246" s="15"/>
      <c r="AR2246" s="15"/>
      <c r="AS2246" s="15"/>
      <c r="AT2246" s="15"/>
      <c r="AU2246" s="15"/>
      <c r="AV2246" s="15"/>
      <c r="AW2246" s="15"/>
    </row>
    <row r="2247" spans="3:49" x14ac:dyDescent="0.2">
      <c r="C2247" s="15"/>
      <c r="D2247" s="15"/>
      <c r="E2247" s="15"/>
      <c r="F2247" s="15"/>
      <c r="G2247" s="15"/>
      <c r="H2247" s="15"/>
      <c r="I2247" s="15"/>
      <c r="J2247" s="15"/>
      <c r="K2247" s="15"/>
      <c r="L2247" s="28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5"/>
      <c r="AG2247" s="15"/>
      <c r="AH2247" s="15"/>
      <c r="AI2247" s="15"/>
      <c r="AJ2247" s="15"/>
      <c r="AK2247" s="15"/>
      <c r="AL2247" s="15"/>
      <c r="AM2247" s="15"/>
      <c r="AN2247" s="15"/>
      <c r="AO2247" s="15"/>
      <c r="AP2247" s="15"/>
      <c r="AQ2247" s="15"/>
      <c r="AR2247" s="15"/>
      <c r="AS2247" s="15"/>
      <c r="AT2247" s="15"/>
      <c r="AU2247" s="15"/>
      <c r="AV2247" s="15"/>
      <c r="AW2247" s="15"/>
    </row>
    <row r="2248" spans="3:49" x14ac:dyDescent="0.2">
      <c r="C2248" s="15"/>
      <c r="D2248" s="15"/>
      <c r="E2248" s="15"/>
      <c r="F2248" s="15"/>
      <c r="G2248" s="15"/>
      <c r="H2248" s="15"/>
      <c r="I2248" s="15"/>
      <c r="J2248" s="15"/>
      <c r="K2248" s="15"/>
      <c r="L2248" s="28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5"/>
      <c r="AG2248" s="15"/>
      <c r="AH2248" s="15"/>
      <c r="AI2248" s="15"/>
      <c r="AJ2248" s="15"/>
      <c r="AK2248" s="15"/>
      <c r="AL2248" s="15"/>
      <c r="AM2248" s="15"/>
      <c r="AN2248" s="15"/>
      <c r="AO2248" s="15"/>
      <c r="AP2248" s="15"/>
      <c r="AQ2248" s="15"/>
      <c r="AR2248" s="15"/>
      <c r="AS2248" s="15"/>
      <c r="AT2248" s="15"/>
      <c r="AU2248" s="15"/>
      <c r="AV2248" s="15"/>
      <c r="AW2248" s="15"/>
    </row>
    <row r="2249" spans="3:49" x14ac:dyDescent="0.2">
      <c r="C2249" s="15"/>
      <c r="D2249" s="15"/>
      <c r="E2249" s="15"/>
      <c r="F2249" s="15"/>
      <c r="G2249" s="15"/>
      <c r="H2249" s="15"/>
      <c r="I2249" s="15"/>
      <c r="J2249" s="15"/>
      <c r="K2249" s="15"/>
      <c r="L2249" s="28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5"/>
      <c r="AG2249" s="15"/>
      <c r="AH2249" s="15"/>
      <c r="AI2249" s="15"/>
      <c r="AJ2249" s="15"/>
      <c r="AK2249" s="15"/>
      <c r="AL2249" s="15"/>
      <c r="AM2249" s="15"/>
      <c r="AN2249" s="15"/>
      <c r="AO2249" s="15"/>
      <c r="AP2249" s="15"/>
      <c r="AQ2249" s="15"/>
      <c r="AR2249" s="15"/>
      <c r="AS2249" s="15"/>
      <c r="AT2249" s="15"/>
      <c r="AU2249" s="15"/>
      <c r="AV2249" s="15"/>
      <c r="AW2249" s="15"/>
    </row>
    <row r="2250" spans="3:49" x14ac:dyDescent="0.2">
      <c r="C2250" s="15"/>
      <c r="D2250" s="15"/>
      <c r="E2250" s="15"/>
      <c r="F2250" s="15"/>
      <c r="G2250" s="15"/>
      <c r="H2250" s="15"/>
      <c r="I2250" s="15"/>
      <c r="J2250" s="15"/>
      <c r="K2250" s="15"/>
      <c r="L2250" s="28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5"/>
      <c r="AG2250" s="15"/>
      <c r="AH2250" s="15"/>
      <c r="AI2250" s="15"/>
      <c r="AJ2250" s="15"/>
      <c r="AK2250" s="15"/>
      <c r="AL2250" s="15"/>
      <c r="AM2250" s="15"/>
      <c r="AN2250" s="15"/>
      <c r="AO2250" s="15"/>
      <c r="AP2250" s="15"/>
      <c r="AQ2250" s="15"/>
      <c r="AR2250" s="15"/>
      <c r="AS2250" s="15"/>
      <c r="AT2250" s="15"/>
      <c r="AU2250" s="15"/>
      <c r="AV2250" s="15"/>
      <c r="AW2250" s="15"/>
    </row>
    <row r="2251" spans="3:49" x14ac:dyDescent="0.2">
      <c r="C2251" s="15"/>
      <c r="D2251" s="15"/>
      <c r="E2251" s="15"/>
      <c r="F2251" s="15"/>
      <c r="G2251" s="15"/>
      <c r="H2251" s="15"/>
      <c r="I2251" s="15"/>
      <c r="J2251" s="15"/>
      <c r="K2251" s="15"/>
      <c r="L2251" s="28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5"/>
      <c r="AG2251" s="15"/>
      <c r="AH2251" s="15"/>
      <c r="AI2251" s="15"/>
      <c r="AJ2251" s="15"/>
      <c r="AK2251" s="15"/>
      <c r="AL2251" s="15"/>
      <c r="AM2251" s="15"/>
      <c r="AN2251" s="15"/>
      <c r="AO2251" s="15"/>
      <c r="AP2251" s="15"/>
      <c r="AQ2251" s="15"/>
      <c r="AR2251" s="15"/>
      <c r="AS2251" s="15"/>
      <c r="AT2251" s="15"/>
      <c r="AU2251" s="15"/>
      <c r="AV2251" s="15"/>
      <c r="AW2251" s="15"/>
    </row>
    <row r="2252" spans="3:49" x14ac:dyDescent="0.2">
      <c r="C2252" s="15"/>
      <c r="D2252" s="15"/>
      <c r="E2252" s="15"/>
      <c r="F2252" s="15"/>
      <c r="G2252" s="15"/>
      <c r="H2252" s="15"/>
      <c r="I2252" s="15"/>
      <c r="J2252" s="15"/>
      <c r="K2252" s="15"/>
      <c r="L2252" s="28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5"/>
      <c r="AG2252" s="15"/>
      <c r="AH2252" s="15"/>
      <c r="AI2252" s="15"/>
      <c r="AJ2252" s="15"/>
      <c r="AK2252" s="15"/>
      <c r="AL2252" s="15"/>
      <c r="AM2252" s="15"/>
      <c r="AN2252" s="15"/>
      <c r="AO2252" s="15"/>
      <c r="AP2252" s="15"/>
      <c r="AQ2252" s="15"/>
      <c r="AR2252" s="15"/>
      <c r="AS2252" s="15"/>
      <c r="AT2252" s="15"/>
      <c r="AU2252" s="15"/>
      <c r="AV2252" s="15"/>
      <c r="AW2252" s="15"/>
    </row>
    <row r="2253" spans="3:49" x14ac:dyDescent="0.2">
      <c r="C2253" s="15"/>
      <c r="D2253" s="15"/>
      <c r="E2253" s="15"/>
      <c r="F2253" s="15"/>
      <c r="G2253" s="15"/>
      <c r="H2253" s="15"/>
      <c r="I2253" s="15"/>
      <c r="J2253" s="15"/>
      <c r="K2253" s="15"/>
      <c r="L2253" s="28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5"/>
      <c r="AG2253" s="15"/>
      <c r="AH2253" s="15"/>
      <c r="AI2253" s="15"/>
      <c r="AJ2253" s="15"/>
      <c r="AK2253" s="15"/>
      <c r="AL2253" s="15"/>
      <c r="AM2253" s="15"/>
      <c r="AN2253" s="15"/>
      <c r="AO2253" s="15"/>
      <c r="AP2253" s="15"/>
      <c r="AQ2253" s="15"/>
      <c r="AR2253" s="15"/>
      <c r="AS2253" s="15"/>
      <c r="AT2253" s="15"/>
      <c r="AU2253" s="15"/>
      <c r="AV2253" s="15"/>
      <c r="AW2253" s="15"/>
    </row>
    <row r="2254" spans="3:49" x14ac:dyDescent="0.2">
      <c r="C2254" s="15"/>
      <c r="D2254" s="15"/>
      <c r="E2254" s="15"/>
      <c r="F2254" s="15"/>
      <c r="G2254" s="15"/>
      <c r="H2254" s="15"/>
      <c r="I2254" s="15"/>
      <c r="J2254" s="15"/>
      <c r="K2254" s="15"/>
      <c r="L2254" s="28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5"/>
      <c r="AG2254" s="15"/>
      <c r="AH2254" s="15"/>
      <c r="AI2254" s="15"/>
      <c r="AJ2254" s="15"/>
      <c r="AK2254" s="15"/>
      <c r="AL2254" s="15"/>
      <c r="AM2254" s="15"/>
      <c r="AN2254" s="15"/>
      <c r="AO2254" s="15"/>
      <c r="AP2254" s="15"/>
      <c r="AQ2254" s="15"/>
      <c r="AR2254" s="15"/>
      <c r="AS2254" s="15"/>
      <c r="AT2254" s="15"/>
      <c r="AU2254" s="15"/>
      <c r="AV2254" s="15"/>
      <c r="AW2254" s="15"/>
    </row>
    <row r="2255" spans="3:49" x14ac:dyDescent="0.2">
      <c r="C2255" s="15"/>
      <c r="D2255" s="15"/>
      <c r="E2255" s="15"/>
      <c r="F2255" s="15"/>
      <c r="G2255" s="15"/>
      <c r="H2255" s="15"/>
      <c r="I2255" s="15"/>
      <c r="J2255" s="15"/>
      <c r="K2255" s="15"/>
      <c r="L2255" s="28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5"/>
      <c r="AG2255" s="15"/>
      <c r="AH2255" s="15"/>
      <c r="AI2255" s="15"/>
      <c r="AJ2255" s="15"/>
      <c r="AK2255" s="15"/>
      <c r="AL2255" s="15"/>
      <c r="AM2255" s="15"/>
      <c r="AN2255" s="15"/>
      <c r="AO2255" s="15"/>
      <c r="AP2255" s="15"/>
      <c r="AQ2255" s="15"/>
      <c r="AR2255" s="15"/>
      <c r="AS2255" s="15"/>
      <c r="AT2255" s="15"/>
      <c r="AU2255" s="15"/>
      <c r="AV2255" s="15"/>
      <c r="AW2255" s="15"/>
    </row>
    <row r="2256" spans="3:49" x14ac:dyDescent="0.2">
      <c r="C2256" s="15"/>
      <c r="D2256" s="15"/>
      <c r="E2256" s="15"/>
      <c r="F2256" s="15"/>
      <c r="G2256" s="15"/>
      <c r="H2256" s="15"/>
      <c r="I2256" s="15"/>
      <c r="J2256" s="15"/>
      <c r="K2256" s="15"/>
      <c r="L2256" s="28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5"/>
      <c r="AG2256" s="15"/>
      <c r="AH2256" s="15"/>
      <c r="AI2256" s="15"/>
      <c r="AJ2256" s="15"/>
      <c r="AK2256" s="15"/>
      <c r="AL2256" s="15"/>
      <c r="AM2256" s="15"/>
      <c r="AN2256" s="15"/>
      <c r="AO2256" s="15"/>
      <c r="AP2256" s="15"/>
      <c r="AQ2256" s="15"/>
      <c r="AR2256" s="15"/>
      <c r="AS2256" s="15"/>
      <c r="AT2256" s="15"/>
      <c r="AU2256" s="15"/>
      <c r="AV2256" s="15"/>
      <c r="AW2256" s="15"/>
    </row>
    <row r="2257" spans="3:49" x14ac:dyDescent="0.2">
      <c r="C2257" s="15"/>
      <c r="D2257" s="15"/>
      <c r="E2257" s="15"/>
      <c r="F2257" s="15"/>
      <c r="G2257" s="15"/>
      <c r="H2257" s="15"/>
      <c r="I2257" s="15"/>
      <c r="J2257" s="15"/>
      <c r="K2257" s="15"/>
      <c r="L2257" s="28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5"/>
      <c r="AG2257" s="15"/>
      <c r="AH2257" s="15"/>
      <c r="AI2257" s="15"/>
      <c r="AJ2257" s="15"/>
      <c r="AK2257" s="15"/>
      <c r="AL2257" s="15"/>
      <c r="AM2257" s="15"/>
      <c r="AN2257" s="15"/>
      <c r="AO2257" s="15"/>
      <c r="AP2257" s="15"/>
      <c r="AQ2257" s="15"/>
      <c r="AR2257" s="15"/>
      <c r="AS2257" s="15"/>
      <c r="AT2257" s="15"/>
      <c r="AU2257" s="15"/>
      <c r="AV2257" s="15"/>
      <c r="AW2257" s="15"/>
    </row>
    <row r="2258" spans="3:49" x14ac:dyDescent="0.2">
      <c r="C2258" s="15"/>
      <c r="D2258" s="15"/>
      <c r="E2258" s="15"/>
      <c r="F2258" s="15"/>
      <c r="G2258" s="15"/>
      <c r="H2258" s="15"/>
      <c r="I2258" s="15"/>
      <c r="J2258" s="15"/>
      <c r="K2258" s="15"/>
      <c r="L2258" s="28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5"/>
      <c r="AG2258" s="15"/>
      <c r="AH2258" s="15"/>
      <c r="AI2258" s="15"/>
      <c r="AJ2258" s="15"/>
      <c r="AK2258" s="15"/>
      <c r="AL2258" s="15"/>
      <c r="AM2258" s="15"/>
      <c r="AN2258" s="15"/>
      <c r="AO2258" s="15"/>
      <c r="AP2258" s="15"/>
      <c r="AQ2258" s="15"/>
      <c r="AR2258" s="15"/>
      <c r="AS2258" s="15"/>
      <c r="AT2258" s="15"/>
      <c r="AU2258" s="15"/>
      <c r="AV2258" s="15"/>
      <c r="AW2258" s="15"/>
    </row>
    <row r="2259" spans="3:49" x14ac:dyDescent="0.2">
      <c r="C2259" s="15"/>
      <c r="D2259" s="15"/>
      <c r="E2259" s="15"/>
      <c r="F2259" s="15"/>
      <c r="G2259" s="15"/>
      <c r="H2259" s="15"/>
      <c r="I2259" s="15"/>
      <c r="J2259" s="15"/>
      <c r="K2259" s="15"/>
      <c r="L2259" s="28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5"/>
      <c r="AG2259" s="15"/>
      <c r="AH2259" s="15"/>
      <c r="AI2259" s="15"/>
      <c r="AJ2259" s="15"/>
      <c r="AK2259" s="15"/>
      <c r="AL2259" s="15"/>
      <c r="AM2259" s="15"/>
      <c r="AN2259" s="15"/>
      <c r="AO2259" s="15"/>
      <c r="AP2259" s="15"/>
      <c r="AQ2259" s="15"/>
      <c r="AR2259" s="15"/>
      <c r="AS2259" s="15"/>
      <c r="AT2259" s="15"/>
      <c r="AU2259" s="15"/>
      <c r="AV2259" s="15"/>
      <c r="AW2259" s="15"/>
    </row>
    <row r="2260" spans="3:49" x14ac:dyDescent="0.2">
      <c r="C2260" s="15"/>
      <c r="D2260" s="15"/>
      <c r="E2260" s="15"/>
      <c r="F2260" s="15"/>
      <c r="G2260" s="15"/>
      <c r="H2260" s="15"/>
      <c r="I2260" s="15"/>
      <c r="J2260" s="15"/>
      <c r="K2260" s="15"/>
      <c r="L2260" s="28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5"/>
      <c r="AG2260" s="15"/>
      <c r="AH2260" s="15"/>
      <c r="AI2260" s="15"/>
      <c r="AJ2260" s="15"/>
      <c r="AK2260" s="15"/>
      <c r="AL2260" s="15"/>
      <c r="AM2260" s="15"/>
      <c r="AN2260" s="15"/>
      <c r="AO2260" s="15"/>
      <c r="AP2260" s="15"/>
      <c r="AQ2260" s="15"/>
      <c r="AR2260" s="15"/>
      <c r="AS2260" s="15"/>
      <c r="AT2260" s="15"/>
      <c r="AU2260" s="15"/>
      <c r="AV2260" s="15"/>
      <c r="AW2260" s="15"/>
    </row>
    <row r="2261" spans="3:49" x14ac:dyDescent="0.2">
      <c r="C2261" s="15"/>
      <c r="D2261" s="15"/>
      <c r="E2261" s="15"/>
      <c r="F2261" s="15"/>
      <c r="G2261" s="15"/>
      <c r="H2261" s="15"/>
      <c r="I2261" s="15"/>
      <c r="J2261" s="15"/>
      <c r="K2261" s="15"/>
      <c r="L2261" s="28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5"/>
      <c r="AG2261" s="15"/>
      <c r="AH2261" s="15"/>
      <c r="AI2261" s="15"/>
      <c r="AJ2261" s="15"/>
      <c r="AK2261" s="15"/>
      <c r="AL2261" s="15"/>
      <c r="AM2261" s="15"/>
      <c r="AN2261" s="15"/>
      <c r="AO2261" s="15"/>
      <c r="AP2261" s="15"/>
      <c r="AQ2261" s="15"/>
      <c r="AR2261" s="15"/>
      <c r="AS2261" s="15"/>
      <c r="AT2261" s="15"/>
      <c r="AU2261" s="15"/>
      <c r="AV2261" s="15"/>
      <c r="AW2261" s="15"/>
    </row>
    <row r="2262" spans="3:49" x14ac:dyDescent="0.2">
      <c r="C2262" s="15"/>
      <c r="D2262" s="15"/>
      <c r="E2262" s="15"/>
      <c r="F2262" s="15"/>
      <c r="G2262" s="15"/>
      <c r="H2262" s="15"/>
      <c r="I2262" s="15"/>
      <c r="J2262" s="15"/>
      <c r="K2262" s="15"/>
      <c r="L2262" s="28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5"/>
      <c r="AG2262" s="15"/>
      <c r="AH2262" s="15"/>
      <c r="AI2262" s="15"/>
      <c r="AJ2262" s="15"/>
      <c r="AK2262" s="15"/>
      <c r="AL2262" s="15"/>
      <c r="AM2262" s="15"/>
      <c r="AN2262" s="15"/>
      <c r="AO2262" s="15"/>
      <c r="AP2262" s="15"/>
      <c r="AQ2262" s="15"/>
      <c r="AR2262" s="15"/>
      <c r="AS2262" s="15"/>
      <c r="AT2262" s="15"/>
      <c r="AU2262" s="15"/>
      <c r="AV2262" s="15"/>
      <c r="AW2262" s="15"/>
    </row>
    <row r="2263" spans="3:49" x14ac:dyDescent="0.2">
      <c r="C2263" s="15"/>
      <c r="D2263" s="15"/>
      <c r="E2263" s="15"/>
      <c r="F2263" s="15"/>
      <c r="G2263" s="15"/>
      <c r="H2263" s="15"/>
      <c r="I2263" s="15"/>
      <c r="J2263" s="15"/>
      <c r="K2263" s="15"/>
      <c r="L2263" s="28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5"/>
      <c r="AG2263" s="15"/>
      <c r="AH2263" s="15"/>
      <c r="AI2263" s="15"/>
      <c r="AJ2263" s="15"/>
      <c r="AK2263" s="15"/>
      <c r="AL2263" s="15"/>
      <c r="AM2263" s="15"/>
      <c r="AN2263" s="15"/>
      <c r="AO2263" s="15"/>
      <c r="AP2263" s="15"/>
      <c r="AQ2263" s="15"/>
      <c r="AR2263" s="15"/>
      <c r="AS2263" s="15"/>
      <c r="AT2263" s="15"/>
      <c r="AU2263" s="15"/>
      <c r="AV2263" s="15"/>
      <c r="AW2263" s="15"/>
    </row>
    <row r="2264" spans="3:49" x14ac:dyDescent="0.2">
      <c r="C2264" s="15"/>
      <c r="D2264" s="15"/>
      <c r="E2264" s="15"/>
      <c r="F2264" s="15"/>
      <c r="G2264" s="15"/>
      <c r="H2264" s="15"/>
      <c r="I2264" s="15"/>
      <c r="J2264" s="15"/>
      <c r="K2264" s="15"/>
      <c r="L2264" s="28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5"/>
      <c r="AG2264" s="15"/>
      <c r="AH2264" s="15"/>
      <c r="AI2264" s="15"/>
      <c r="AJ2264" s="15"/>
      <c r="AK2264" s="15"/>
      <c r="AL2264" s="15"/>
      <c r="AM2264" s="15"/>
      <c r="AN2264" s="15"/>
      <c r="AO2264" s="15"/>
      <c r="AP2264" s="15"/>
      <c r="AQ2264" s="15"/>
      <c r="AR2264" s="15"/>
      <c r="AS2264" s="15"/>
      <c r="AT2264" s="15"/>
      <c r="AU2264" s="15"/>
      <c r="AV2264" s="15"/>
      <c r="AW2264" s="15"/>
    </row>
    <row r="2265" spans="3:49" x14ac:dyDescent="0.2">
      <c r="C2265" s="15"/>
      <c r="D2265" s="15"/>
      <c r="E2265" s="15"/>
      <c r="F2265" s="15"/>
      <c r="G2265" s="15"/>
      <c r="H2265" s="15"/>
      <c r="I2265" s="15"/>
      <c r="J2265" s="15"/>
      <c r="K2265" s="15"/>
      <c r="L2265" s="28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5"/>
      <c r="AG2265" s="15"/>
      <c r="AH2265" s="15"/>
      <c r="AI2265" s="15"/>
      <c r="AJ2265" s="15"/>
      <c r="AK2265" s="15"/>
      <c r="AL2265" s="15"/>
      <c r="AM2265" s="15"/>
      <c r="AN2265" s="15"/>
      <c r="AO2265" s="15"/>
      <c r="AP2265" s="15"/>
      <c r="AQ2265" s="15"/>
      <c r="AR2265" s="15"/>
      <c r="AS2265" s="15"/>
      <c r="AT2265" s="15"/>
      <c r="AU2265" s="15"/>
      <c r="AV2265" s="15"/>
      <c r="AW2265" s="15"/>
    </row>
    <row r="2266" spans="3:49" x14ac:dyDescent="0.2">
      <c r="C2266" s="15"/>
      <c r="D2266" s="15"/>
      <c r="E2266" s="15"/>
      <c r="F2266" s="15"/>
      <c r="G2266" s="15"/>
      <c r="H2266" s="15"/>
      <c r="I2266" s="15"/>
      <c r="J2266" s="15"/>
      <c r="K2266" s="15"/>
      <c r="L2266" s="28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5"/>
      <c r="AG2266" s="15"/>
      <c r="AH2266" s="15"/>
      <c r="AI2266" s="15"/>
      <c r="AJ2266" s="15"/>
      <c r="AK2266" s="15"/>
      <c r="AL2266" s="15"/>
      <c r="AM2266" s="15"/>
      <c r="AN2266" s="15"/>
      <c r="AO2266" s="15"/>
      <c r="AP2266" s="15"/>
      <c r="AQ2266" s="15"/>
      <c r="AR2266" s="15"/>
      <c r="AS2266" s="15"/>
      <c r="AT2266" s="15"/>
      <c r="AU2266" s="15"/>
      <c r="AV2266" s="15"/>
      <c r="AW2266" s="15"/>
    </row>
    <row r="2267" spans="3:49" x14ac:dyDescent="0.2">
      <c r="C2267" s="15"/>
      <c r="D2267" s="15"/>
      <c r="E2267" s="15"/>
      <c r="F2267" s="15"/>
      <c r="G2267" s="15"/>
      <c r="H2267" s="15"/>
      <c r="I2267" s="15"/>
      <c r="J2267" s="15"/>
      <c r="K2267" s="15"/>
      <c r="L2267" s="28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5"/>
      <c r="AG2267" s="15"/>
      <c r="AH2267" s="15"/>
      <c r="AI2267" s="15"/>
      <c r="AJ2267" s="15"/>
      <c r="AK2267" s="15"/>
      <c r="AL2267" s="15"/>
      <c r="AM2267" s="15"/>
      <c r="AN2267" s="15"/>
      <c r="AO2267" s="15"/>
      <c r="AP2267" s="15"/>
      <c r="AQ2267" s="15"/>
      <c r="AR2267" s="15"/>
      <c r="AS2267" s="15"/>
      <c r="AT2267" s="15"/>
      <c r="AU2267" s="15"/>
      <c r="AV2267" s="15"/>
      <c r="AW2267" s="15"/>
    </row>
    <row r="2268" spans="3:49" x14ac:dyDescent="0.2">
      <c r="C2268" s="15"/>
      <c r="D2268" s="15"/>
      <c r="E2268" s="15"/>
      <c r="F2268" s="15"/>
      <c r="G2268" s="15"/>
      <c r="H2268" s="15"/>
      <c r="I2268" s="15"/>
      <c r="J2268" s="15"/>
      <c r="K2268" s="15"/>
      <c r="L2268" s="28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5"/>
      <c r="AG2268" s="15"/>
      <c r="AH2268" s="15"/>
      <c r="AI2268" s="15"/>
      <c r="AJ2268" s="15"/>
      <c r="AK2268" s="15"/>
      <c r="AL2268" s="15"/>
      <c r="AM2268" s="15"/>
      <c r="AN2268" s="15"/>
      <c r="AO2268" s="15"/>
      <c r="AP2268" s="15"/>
      <c r="AQ2268" s="15"/>
      <c r="AR2268" s="15"/>
      <c r="AS2268" s="15"/>
      <c r="AT2268" s="15"/>
      <c r="AU2268" s="15"/>
      <c r="AV2268" s="15"/>
      <c r="AW2268" s="15"/>
    </row>
    <row r="2269" spans="3:49" x14ac:dyDescent="0.2">
      <c r="C2269" s="15"/>
      <c r="D2269" s="15"/>
      <c r="E2269" s="15"/>
      <c r="F2269" s="15"/>
      <c r="G2269" s="15"/>
      <c r="H2269" s="15"/>
      <c r="I2269" s="15"/>
      <c r="J2269" s="15"/>
      <c r="K2269" s="15"/>
      <c r="L2269" s="28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5"/>
      <c r="AG2269" s="15"/>
      <c r="AH2269" s="15"/>
      <c r="AI2269" s="15"/>
      <c r="AJ2269" s="15"/>
      <c r="AK2269" s="15"/>
      <c r="AL2269" s="15"/>
      <c r="AM2269" s="15"/>
      <c r="AN2269" s="15"/>
      <c r="AO2269" s="15"/>
      <c r="AP2269" s="15"/>
      <c r="AQ2269" s="15"/>
      <c r="AR2269" s="15"/>
      <c r="AS2269" s="15"/>
      <c r="AT2269" s="15"/>
      <c r="AU2269" s="15"/>
      <c r="AV2269" s="15"/>
      <c r="AW2269" s="15"/>
    </row>
    <row r="2270" spans="3:49" x14ac:dyDescent="0.2">
      <c r="C2270" s="15"/>
      <c r="D2270" s="15"/>
      <c r="E2270" s="15"/>
      <c r="F2270" s="15"/>
      <c r="G2270" s="15"/>
      <c r="H2270" s="15"/>
      <c r="I2270" s="15"/>
      <c r="J2270" s="15"/>
      <c r="K2270" s="15"/>
      <c r="L2270" s="28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5"/>
      <c r="AG2270" s="15"/>
      <c r="AH2270" s="15"/>
      <c r="AI2270" s="15"/>
      <c r="AJ2270" s="15"/>
      <c r="AK2270" s="15"/>
      <c r="AL2270" s="15"/>
      <c r="AM2270" s="15"/>
      <c r="AN2270" s="15"/>
      <c r="AO2270" s="15"/>
      <c r="AP2270" s="15"/>
      <c r="AQ2270" s="15"/>
      <c r="AR2270" s="15"/>
      <c r="AS2270" s="15"/>
      <c r="AT2270" s="15"/>
      <c r="AU2270" s="15"/>
      <c r="AV2270" s="15"/>
      <c r="AW2270" s="15"/>
    </row>
    <row r="2271" spans="3:49" x14ac:dyDescent="0.2">
      <c r="C2271" s="15"/>
      <c r="D2271" s="15"/>
      <c r="E2271" s="15"/>
      <c r="F2271" s="15"/>
      <c r="G2271" s="15"/>
      <c r="H2271" s="15"/>
      <c r="I2271" s="15"/>
      <c r="J2271" s="15"/>
      <c r="K2271" s="15"/>
      <c r="L2271" s="28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5"/>
      <c r="AG2271" s="15"/>
      <c r="AH2271" s="15"/>
      <c r="AI2271" s="15"/>
      <c r="AJ2271" s="15"/>
      <c r="AK2271" s="15"/>
      <c r="AL2271" s="15"/>
      <c r="AM2271" s="15"/>
      <c r="AN2271" s="15"/>
      <c r="AO2271" s="15"/>
      <c r="AP2271" s="15"/>
      <c r="AQ2271" s="15"/>
      <c r="AR2271" s="15"/>
      <c r="AS2271" s="15"/>
      <c r="AT2271" s="15"/>
      <c r="AU2271" s="15"/>
      <c r="AV2271" s="15"/>
      <c r="AW2271" s="15"/>
    </row>
    <row r="2272" spans="3:49" x14ac:dyDescent="0.2">
      <c r="C2272" s="15"/>
      <c r="D2272" s="15"/>
      <c r="E2272" s="15"/>
      <c r="F2272" s="15"/>
      <c r="G2272" s="15"/>
      <c r="H2272" s="15"/>
      <c r="I2272" s="15"/>
      <c r="J2272" s="15"/>
      <c r="K2272" s="15"/>
      <c r="L2272" s="28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5"/>
      <c r="AG2272" s="15"/>
      <c r="AH2272" s="15"/>
      <c r="AI2272" s="15"/>
      <c r="AJ2272" s="15"/>
      <c r="AK2272" s="15"/>
      <c r="AL2272" s="15"/>
      <c r="AM2272" s="15"/>
      <c r="AN2272" s="15"/>
      <c r="AO2272" s="15"/>
      <c r="AP2272" s="15"/>
      <c r="AQ2272" s="15"/>
      <c r="AR2272" s="15"/>
      <c r="AS2272" s="15"/>
      <c r="AT2272" s="15"/>
      <c r="AU2272" s="15"/>
      <c r="AV2272" s="15"/>
      <c r="AW2272" s="15"/>
    </row>
    <row r="2273" spans="3:49" x14ac:dyDescent="0.2">
      <c r="C2273" s="15"/>
      <c r="D2273" s="15"/>
      <c r="E2273" s="15"/>
      <c r="F2273" s="15"/>
      <c r="G2273" s="15"/>
      <c r="H2273" s="15"/>
      <c r="I2273" s="15"/>
      <c r="J2273" s="15"/>
      <c r="K2273" s="15"/>
      <c r="L2273" s="28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5"/>
      <c r="AG2273" s="15"/>
      <c r="AH2273" s="15"/>
      <c r="AI2273" s="15"/>
      <c r="AJ2273" s="15"/>
      <c r="AK2273" s="15"/>
      <c r="AL2273" s="15"/>
      <c r="AM2273" s="15"/>
      <c r="AN2273" s="15"/>
      <c r="AO2273" s="15"/>
      <c r="AP2273" s="15"/>
      <c r="AQ2273" s="15"/>
      <c r="AR2273" s="15"/>
      <c r="AS2273" s="15"/>
      <c r="AT2273" s="15"/>
      <c r="AU2273" s="15"/>
      <c r="AV2273" s="15"/>
      <c r="AW2273" s="15"/>
    </row>
    <row r="2274" spans="3:49" x14ac:dyDescent="0.2">
      <c r="C2274" s="15"/>
      <c r="D2274" s="15"/>
      <c r="E2274" s="15"/>
      <c r="F2274" s="15"/>
      <c r="G2274" s="15"/>
      <c r="H2274" s="15"/>
      <c r="I2274" s="15"/>
      <c r="J2274" s="15"/>
      <c r="K2274" s="15"/>
      <c r="L2274" s="28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5"/>
      <c r="AG2274" s="15"/>
      <c r="AH2274" s="15"/>
      <c r="AI2274" s="15"/>
      <c r="AJ2274" s="15"/>
      <c r="AK2274" s="15"/>
      <c r="AL2274" s="15"/>
      <c r="AM2274" s="15"/>
      <c r="AN2274" s="15"/>
      <c r="AO2274" s="15"/>
      <c r="AP2274" s="15"/>
      <c r="AQ2274" s="15"/>
      <c r="AR2274" s="15"/>
      <c r="AS2274" s="15"/>
      <c r="AT2274" s="15"/>
      <c r="AU2274" s="15"/>
      <c r="AV2274" s="15"/>
      <c r="AW2274" s="15"/>
    </row>
    <row r="2275" spans="3:49" x14ac:dyDescent="0.2">
      <c r="C2275" s="15"/>
      <c r="D2275" s="15"/>
      <c r="E2275" s="15"/>
      <c r="F2275" s="15"/>
      <c r="G2275" s="15"/>
      <c r="H2275" s="15"/>
      <c r="I2275" s="15"/>
      <c r="J2275" s="15"/>
      <c r="K2275" s="15"/>
      <c r="L2275" s="28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5"/>
      <c r="AG2275" s="15"/>
      <c r="AH2275" s="15"/>
      <c r="AI2275" s="15"/>
      <c r="AJ2275" s="15"/>
      <c r="AK2275" s="15"/>
      <c r="AL2275" s="15"/>
      <c r="AM2275" s="15"/>
      <c r="AN2275" s="15"/>
      <c r="AO2275" s="15"/>
      <c r="AP2275" s="15"/>
      <c r="AQ2275" s="15"/>
      <c r="AR2275" s="15"/>
      <c r="AS2275" s="15"/>
      <c r="AT2275" s="15"/>
      <c r="AU2275" s="15"/>
      <c r="AV2275" s="15"/>
      <c r="AW2275" s="15"/>
    </row>
    <row r="2276" spans="3:49" x14ac:dyDescent="0.2">
      <c r="C2276" s="15"/>
      <c r="D2276" s="15"/>
      <c r="E2276" s="15"/>
      <c r="F2276" s="15"/>
      <c r="G2276" s="15"/>
      <c r="H2276" s="15"/>
      <c r="I2276" s="15"/>
      <c r="J2276" s="15"/>
      <c r="K2276" s="15"/>
      <c r="L2276" s="28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5"/>
      <c r="AG2276" s="15"/>
      <c r="AH2276" s="15"/>
      <c r="AI2276" s="15"/>
      <c r="AJ2276" s="15"/>
      <c r="AK2276" s="15"/>
      <c r="AL2276" s="15"/>
      <c r="AM2276" s="15"/>
      <c r="AN2276" s="15"/>
      <c r="AO2276" s="15"/>
      <c r="AP2276" s="15"/>
      <c r="AQ2276" s="15"/>
      <c r="AR2276" s="15"/>
      <c r="AS2276" s="15"/>
      <c r="AT2276" s="15"/>
      <c r="AU2276" s="15"/>
      <c r="AV2276" s="15"/>
      <c r="AW2276" s="15"/>
    </row>
    <row r="2277" spans="3:49" x14ac:dyDescent="0.2">
      <c r="C2277" s="15"/>
      <c r="D2277" s="15"/>
      <c r="E2277" s="15"/>
      <c r="F2277" s="15"/>
      <c r="G2277" s="15"/>
      <c r="H2277" s="15"/>
      <c r="I2277" s="15"/>
      <c r="J2277" s="15"/>
      <c r="K2277" s="15"/>
      <c r="L2277" s="28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5"/>
      <c r="AG2277" s="15"/>
      <c r="AH2277" s="15"/>
      <c r="AI2277" s="15"/>
      <c r="AJ2277" s="15"/>
      <c r="AK2277" s="15"/>
      <c r="AL2277" s="15"/>
      <c r="AM2277" s="15"/>
      <c r="AN2277" s="15"/>
      <c r="AO2277" s="15"/>
      <c r="AP2277" s="15"/>
      <c r="AQ2277" s="15"/>
      <c r="AR2277" s="15"/>
      <c r="AS2277" s="15"/>
      <c r="AT2277" s="15"/>
      <c r="AU2277" s="15"/>
      <c r="AV2277" s="15"/>
      <c r="AW2277" s="15"/>
    </row>
    <row r="2278" spans="3:49" x14ac:dyDescent="0.2">
      <c r="C2278" s="15"/>
      <c r="D2278" s="15"/>
      <c r="E2278" s="15"/>
      <c r="F2278" s="15"/>
      <c r="G2278" s="15"/>
      <c r="H2278" s="15"/>
      <c r="I2278" s="15"/>
      <c r="J2278" s="15"/>
      <c r="K2278" s="15"/>
      <c r="L2278" s="28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5"/>
      <c r="AG2278" s="15"/>
      <c r="AH2278" s="15"/>
      <c r="AI2278" s="15"/>
      <c r="AJ2278" s="15"/>
      <c r="AK2278" s="15"/>
      <c r="AL2278" s="15"/>
      <c r="AM2278" s="15"/>
      <c r="AN2278" s="15"/>
      <c r="AO2278" s="15"/>
      <c r="AP2278" s="15"/>
      <c r="AQ2278" s="15"/>
      <c r="AR2278" s="15"/>
      <c r="AS2278" s="15"/>
      <c r="AT2278" s="15"/>
      <c r="AU2278" s="15"/>
      <c r="AV2278" s="15"/>
      <c r="AW2278" s="15"/>
    </row>
    <row r="2279" spans="3:49" x14ac:dyDescent="0.2">
      <c r="C2279" s="15"/>
      <c r="D2279" s="15"/>
      <c r="E2279" s="15"/>
      <c r="F2279" s="15"/>
      <c r="G2279" s="15"/>
      <c r="H2279" s="15"/>
      <c r="I2279" s="15"/>
      <c r="J2279" s="15"/>
      <c r="K2279" s="15"/>
      <c r="L2279" s="28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5"/>
      <c r="AG2279" s="15"/>
      <c r="AH2279" s="15"/>
      <c r="AI2279" s="15"/>
      <c r="AJ2279" s="15"/>
      <c r="AK2279" s="15"/>
      <c r="AL2279" s="15"/>
      <c r="AM2279" s="15"/>
      <c r="AN2279" s="15"/>
      <c r="AO2279" s="15"/>
      <c r="AP2279" s="15"/>
      <c r="AQ2279" s="15"/>
      <c r="AR2279" s="15"/>
      <c r="AS2279" s="15"/>
      <c r="AT2279" s="15"/>
      <c r="AU2279" s="15"/>
      <c r="AV2279" s="15"/>
      <c r="AW2279" s="15"/>
    </row>
    <row r="2280" spans="3:49" x14ac:dyDescent="0.2">
      <c r="C2280" s="15"/>
      <c r="D2280" s="15"/>
      <c r="E2280" s="15"/>
      <c r="F2280" s="15"/>
      <c r="G2280" s="15"/>
      <c r="H2280" s="15"/>
      <c r="I2280" s="15"/>
      <c r="J2280" s="15"/>
      <c r="K2280" s="15"/>
      <c r="L2280" s="28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5"/>
      <c r="AG2280" s="15"/>
      <c r="AH2280" s="15"/>
      <c r="AI2280" s="15"/>
      <c r="AJ2280" s="15"/>
      <c r="AK2280" s="15"/>
      <c r="AL2280" s="15"/>
      <c r="AM2280" s="15"/>
      <c r="AN2280" s="15"/>
      <c r="AO2280" s="15"/>
      <c r="AP2280" s="15"/>
      <c r="AQ2280" s="15"/>
      <c r="AR2280" s="15"/>
      <c r="AS2280" s="15"/>
      <c r="AT2280" s="15"/>
      <c r="AU2280" s="15"/>
      <c r="AV2280" s="15"/>
      <c r="AW2280" s="15"/>
    </row>
    <row r="2281" spans="3:49" x14ac:dyDescent="0.2">
      <c r="C2281" s="15"/>
      <c r="D2281" s="15"/>
      <c r="E2281" s="15"/>
      <c r="F2281" s="15"/>
      <c r="G2281" s="15"/>
      <c r="H2281" s="15"/>
      <c r="I2281" s="15"/>
      <c r="J2281" s="15"/>
      <c r="K2281" s="15"/>
      <c r="L2281" s="28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5"/>
      <c r="AG2281" s="15"/>
      <c r="AH2281" s="15"/>
      <c r="AI2281" s="15"/>
      <c r="AJ2281" s="15"/>
      <c r="AK2281" s="15"/>
      <c r="AL2281" s="15"/>
      <c r="AM2281" s="15"/>
      <c r="AN2281" s="15"/>
      <c r="AO2281" s="15"/>
      <c r="AP2281" s="15"/>
      <c r="AQ2281" s="15"/>
      <c r="AR2281" s="15"/>
      <c r="AS2281" s="15"/>
      <c r="AT2281" s="15"/>
      <c r="AU2281" s="15"/>
      <c r="AV2281" s="15"/>
      <c r="AW2281" s="15"/>
    </row>
    <row r="2282" spans="3:49" x14ac:dyDescent="0.2">
      <c r="C2282" s="15"/>
      <c r="D2282" s="15"/>
      <c r="E2282" s="15"/>
      <c r="F2282" s="15"/>
      <c r="G2282" s="15"/>
      <c r="H2282" s="15"/>
      <c r="I2282" s="15"/>
      <c r="J2282" s="15"/>
      <c r="K2282" s="15"/>
      <c r="L2282" s="28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5"/>
      <c r="AG2282" s="15"/>
      <c r="AH2282" s="15"/>
      <c r="AI2282" s="15"/>
      <c r="AJ2282" s="15"/>
      <c r="AK2282" s="15"/>
      <c r="AL2282" s="15"/>
      <c r="AM2282" s="15"/>
      <c r="AN2282" s="15"/>
      <c r="AO2282" s="15"/>
      <c r="AP2282" s="15"/>
      <c r="AQ2282" s="15"/>
      <c r="AR2282" s="15"/>
      <c r="AS2282" s="15"/>
      <c r="AT2282" s="15"/>
      <c r="AU2282" s="15"/>
      <c r="AV2282" s="15"/>
      <c r="AW2282" s="15"/>
    </row>
    <row r="2283" spans="3:49" x14ac:dyDescent="0.2">
      <c r="C2283" s="15"/>
      <c r="D2283" s="15"/>
      <c r="E2283" s="15"/>
      <c r="F2283" s="15"/>
      <c r="G2283" s="15"/>
      <c r="H2283" s="15"/>
      <c r="I2283" s="15"/>
      <c r="J2283" s="15"/>
      <c r="K2283" s="15"/>
      <c r="L2283" s="28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5"/>
      <c r="AG2283" s="15"/>
      <c r="AH2283" s="15"/>
      <c r="AI2283" s="15"/>
      <c r="AJ2283" s="15"/>
      <c r="AK2283" s="15"/>
      <c r="AL2283" s="15"/>
      <c r="AM2283" s="15"/>
      <c r="AN2283" s="15"/>
      <c r="AO2283" s="15"/>
      <c r="AP2283" s="15"/>
      <c r="AQ2283" s="15"/>
      <c r="AR2283" s="15"/>
      <c r="AS2283" s="15"/>
      <c r="AT2283" s="15"/>
      <c r="AU2283" s="15"/>
      <c r="AV2283" s="15"/>
      <c r="AW2283" s="15"/>
    </row>
    <row r="2284" spans="3:49" x14ac:dyDescent="0.2">
      <c r="C2284" s="15"/>
      <c r="D2284" s="15"/>
      <c r="E2284" s="15"/>
      <c r="F2284" s="15"/>
      <c r="G2284" s="15"/>
      <c r="H2284" s="15"/>
      <c r="I2284" s="15"/>
      <c r="J2284" s="15"/>
      <c r="K2284" s="15"/>
      <c r="L2284" s="28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5"/>
      <c r="AG2284" s="15"/>
      <c r="AH2284" s="15"/>
      <c r="AI2284" s="15"/>
      <c r="AJ2284" s="15"/>
      <c r="AK2284" s="15"/>
      <c r="AL2284" s="15"/>
      <c r="AM2284" s="15"/>
      <c r="AN2284" s="15"/>
      <c r="AO2284" s="15"/>
      <c r="AP2284" s="15"/>
      <c r="AQ2284" s="15"/>
      <c r="AR2284" s="15"/>
      <c r="AS2284" s="15"/>
      <c r="AT2284" s="15"/>
      <c r="AU2284" s="15"/>
      <c r="AV2284" s="15"/>
      <c r="AW2284" s="15"/>
    </row>
    <row r="2285" spans="3:49" x14ac:dyDescent="0.2">
      <c r="C2285" s="15"/>
      <c r="D2285" s="15"/>
      <c r="E2285" s="15"/>
      <c r="F2285" s="15"/>
      <c r="G2285" s="15"/>
      <c r="H2285" s="15"/>
      <c r="I2285" s="15"/>
      <c r="J2285" s="15"/>
      <c r="K2285" s="15"/>
      <c r="L2285" s="28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5"/>
      <c r="AG2285" s="15"/>
      <c r="AH2285" s="15"/>
      <c r="AI2285" s="15"/>
      <c r="AJ2285" s="15"/>
      <c r="AK2285" s="15"/>
      <c r="AL2285" s="15"/>
      <c r="AM2285" s="15"/>
      <c r="AN2285" s="15"/>
      <c r="AO2285" s="15"/>
      <c r="AP2285" s="15"/>
      <c r="AQ2285" s="15"/>
      <c r="AR2285" s="15"/>
      <c r="AS2285" s="15"/>
      <c r="AT2285" s="15"/>
      <c r="AU2285" s="15"/>
      <c r="AV2285" s="15"/>
      <c r="AW2285" s="15"/>
    </row>
    <row r="2286" spans="3:49" x14ac:dyDescent="0.2">
      <c r="C2286" s="15"/>
      <c r="D2286" s="15"/>
      <c r="E2286" s="15"/>
      <c r="F2286" s="15"/>
      <c r="G2286" s="15"/>
      <c r="H2286" s="15"/>
      <c r="I2286" s="15"/>
      <c r="J2286" s="15"/>
      <c r="K2286" s="15"/>
      <c r="L2286" s="28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5"/>
      <c r="AG2286" s="15"/>
      <c r="AH2286" s="15"/>
      <c r="AI2286" s="15"/>
      <c r="AJ2286" s="15"/>
      <c r="AK2286" s="15"/>
      <c r="AL2286" s="15"/>
      <c r="AM2286" s="15"/>
      <c r="AN2286" s="15"/>
      <c r="AO2286" s="15"/>
      <c r="AP2286" s="15"/>
      <c r="AQ2286" s="15"/>
      <c r="AR2286" s="15"/>
      <c r="AS2286" s="15"/>
      <c r="AT2286" s="15"/>
      <c r="AU2286" s="15"/>
      <c r="AV2286" s="15"/>
      <c r="AW2286" s="15"/>
    </row>
    <row r="2287" spans="3:49" x14ac:dyDescent="0.2">
      <c r="C2287" s="15"/>
      <c r="D2287" s="15"/>
      <c r="E2287" s="15"/>
      <c r="F2287" s="15"/>
      <c r="G2287" s="15"/>
      <c r="H2287" s="15"/>
      <c r="I2287" s="15"/>
      <c r="J2287" s="15"/>
      <c r="K2287" s="15"/>
      <c r="L2287" s="28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5"/>
      <c r="AG2287" s="15"/>
      <c r="AH2287" s="15"/>
      <c r="AI2287" s="15"/>
      <c r="AJ2287" s="15"/>
      <c r="AK2287" s="15"/>
      <c r="AL2287" s="15"/>
      <c r="AM2287" s="15"/>
      <c r="AN2287" s="15"/>
      <c r="AO2287" s="15"/>
      <c r="AP2287" s="15"/>
      <c r="AQ2287" s="15"/>
      <c r="AR2287" s="15"/>
      <c r="AS2287" s="15"/>
      <c r="AT2287" s="15"/>
      <c r="AU2287" s="15"/>
      <c r="AV2287" s="15"/>
      <c r="AW2287" s="15"/>
    </row>
    <row r="2288" spans="3:49" x14ac:dyDescent="0.2">
      <c r="C2288" s="15"/>
      <c r="D2288" s="15"/>
      <c r="E2288" s="15"/>
      <c r="F2288" s="15"/>
      <c r="G2288" s="15"/>
      <c r="H2288" s="15"/>
      <c r="I2288" s="15"/>
      <c r="J2288" s="15"/>
      <c r="K2288" s="15"/>
      <c r="L2288" s="28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5"/>
      <c r="AG2288" s="15"/>
      <c r="AH2288" s="15"/>
      <c r="AI2288" s="15"/>
      <c r="AJ2288" s="15"/>
      <c r="AK2288" s="15"/>
      <c r="AL2288" s="15"/>
      <c r="AM2288" s="15"/>
      <c r="AN2288" s="15"/>
      <c r="AO2288" s="15"/>
      <c r="AP2288" s="15"/>
      <c r="AQ2288" s="15"/>
      <c r="AR2288" s="15"/>
      <c r="AS2288" s="15"/>
      <c r="AT2288" s="15"/>
      <c r="AU2288" s="15"/>
      <c r="AV2288" s="15"/>
      <c r="AW2288" s="15"/>
    </row>
    <row r="2289" spans="3:49" x14ac:dyDescent="0.2">
      <c r="C2289" s="15"/>
      <c r="D2289" s="15"/>
      <c r="E2289" s="15"/>
      <c r="F2289" s="15"/>
      <c r="G2289" s="15"/>
      <c r="H2289" s="15"/>
      <c r="I2289" s="15"/>
      <c r="J2289" s="15"/>
      <c r="K2289" s="15"/>
      <c r="L2289" s="28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5"/>
      <c r="AG2289" s="15"/>
      <c r="AH2289" s="15"/>
      <c r="AI2289" s="15"/>
      <c r="AJ2289" s="15"/>
      <c r="AK2289" s="15"/>
      <c r="AL2289" s="15"/>
      <c r="AM2289" s="15"/>
      <c r="AN2289" s="15"/>
      <c r="AO2289" s="15"/>
      <c r="AP2289" s="15"/>
      <c r="AQ2289" s="15"/>
      <c r="AR2289" s="15"/>
      <c r="AS2289" s="15"/>
      <c r="AT2289" s="15"/>
      <c r="AU2289" s="15"/>
      <c r="AV2289" s="15"/>
      <c r="AW2289" s="15"/>
    </row>
    <row r="2290" spans="3:49" x14ac:dyDescent="0.2">
      <c r="C2290" s="15"/>
      <c r="D2290" s="15"/>
      <c r="E2290" s="15"/>
      <c r="F2290" s="15"/>
      <c r="G2290" s="15"/>
      <c r="H2290" s="15"/>
      <c r="I2290" s="15"/>
      <c r="J2290" s="15"/>
      <c r="K2290" s="15"/>
      <c r="L2290" s="28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5"/>
      <c r="AG2290" s="15"/>
      <c r="AH2290" s="15"/>
      <c r="AI2290" s="15"/>
      <c r="AJ2290" s="15"/>
      <c r="AK2290" s="15"/>
      <c r="AL2290" s="15"/>
      <c r="AM2290" s="15"/>
      <c r="AN2290" s="15"/>
      <c r="AO2290" s="15"/>
      <c r="AP2290" s="15"/>
      <c r="AQ2290" s="15"/>
      <c r="AR2290" s="15"/>
      <c r="AS2290" s="15"/>
      <c r="AT2290" s="15"/>
      <c r="AU2290" s="15"/>
      <c r="AV2290" s="15"/>
      <c r="AW2290" s="15"/>
    </row>
    <row r="2291" spans="3:49" x14ac:dyDescent="0.2">
      <c r="C2291" s="15"/>
      <c r="D2291" s="15"/>
      <c r="E2291" s="15"/>
      <c r="F2291" s="15"/>
      <c r="G2291" s="15"/>
      <c r="H2291" s="15"/>
      <c r="I2291" s="15"/>
      <c r="J2291" s="15"/>
      <c r="K2291" s="15"/>
      <c r="L2291" s="28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5"/>
      <c r="AG2291" s="15"/>
      <c r="AH2291" s="15"/>
      <c r="AI2291" s="15"/>
      <c r="AJ2291" s="15"/>
      <c r="AK2291" s="15"/>
      <c r="AL2291" s="15"/>
      <c r="AM2291" s="15"/>
      <c r="AN2291" s="15"/>
      <c r="AO2291" s="15"/>
      <c r="AP2291" s="15"/>
      <c r="AQ2291" s="15"/>
      <c r="AR2291" s="15"/>
      <c r="AS2291" s="15"/>
      <c r="AT2291" s="15"/>
      <c r="AU2291" s="15"/>
      <c r="AV2291" s="15"/>
      <c r="AW2291" s="15"/>
    </row>
    <row r="2292" spans="3:49" x14ac:dyDescent="0.2">
      <c r="C2292" s="15"/>
      <c r="D2292" s="15"/>
      <c r="E2292" s="15"/>
      <c r="F2292" s="15"/>
      <c r="G2292" s="15"/>
      <c r="H2292" s="15"/>
      <c r="I2292" s="15"/>
      <c r="J2292" s="15"/>
      <c r="K2292" s="15"/>
      <c r="L2292" s="28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5"/>
      <c r="AG2292" s="15"/>
      <c r="AH2292" s="15"/>
      <c r="AI2292" s="15"/>
      <c r="AJ2292" s="15"/>
      <c r="AK2292" s="15"/>
      <c r="AL2292" s="15"/>
      <c r="AM2292" s="15"/>
      <c r="AN2292" s="15"/>
      <c r="AO2292" s="15"/>
      <c r="AP2292" s="15"/>
      <c r="AQ2292" s="15"/>
      <c r="AR2292" s="15"/>
      <c r="AS2292" s="15"/>
      <c r="AT2292" s="15"/>
      <c r="AU2292" s="15"/>
      <c r="AV2292" s="15"/>
      <c r="AW2292" s="15"/>
    </row>
    <row r="2293" spans="3:49" x14ac:dyDescent="0.2">
      <c r="C2293" s="15"/>
      <c r="D2293" s="15"/>
      <c r="E2293" s="15"/>
      <c r="F2293" s="15"/>
      <c r="G2293" s="15"/>
      <c r="H2293" s="15"/>
      <c r="I2293" s="15"/>
      <c r="J2293" s="15"/>
      <c r="K2293" s="15"/>
      <c r="L2293" s="28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5"/>
      <c r="AG2293" s="15"/>
      <c r="AH2293" s="15"/>
      <c r="AI2293" s="15"/>
      <c r="AJ2293" s="15"/>
      <c r="AK2293" s="15"/>
      <c r="AL2293" s="15"/>
      <c r="AM2293" s="15"/>
      <c r="AN2293" s="15"/>
      <c r="AO2293" s="15"/>
      <c r="AP2293" s="15"/>
      <c r="AQ2293" s="15"/>
      <c r="AR2293" s="15"/>
      <c r="AS2293" s="15"/>
      <c r="AT2293" s="15"/>
      <c r="AU2293" s="15"/>
      <c r="AV2293" s="15"/>
      <c r="AW2293" s="15"/>
    </row>
    <row r="2294" spans="3:49" x14ac:dyDescent="0.2">
      <c r="C2294" s="15"/>
      <c r="D2294" s="15"/>
      <c r="E2294" s="15"/>
      <c r="F2294" s="15"/>
      <c r="G2294" s="15"/>
      <c r="H2294" s="15"/>
      <c r="I2294" s="15"/>
      <c r="J2294" s="15"/>
      <c r="K2294" s="15"/>
      <c r="L2294" s="28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5"/>
      <c r="AG2294" s="15"/>
      <c r="AH2294" s="15"/>
      <c r="AI2294" s="15"/>
      <c r="AJ2294" s="15"/>
      <c r="AK2294" s="15"/>
      <c r="AL2294" s="15"/>
      <c r="AM2294" s="15"/>
      <c r="AN2294" s="15"/>
      <c r="AO2294" s="15"/>
      <c r="AP2294" s="15"/>
      <c r="AQ2294" s="15"/>
      <c r="AR2294" s="15"/>
      <c r="AS2294" s="15"/>
      <c r="AT2294" s="15"/>
      <c r="AU2294" s="15"/>
      <c r="AV2294" s="15"/>
      <c r="AW2294" s="15"/>
    </row>
    <row r="2295" spans="3:49" x14ac:dyDescent="0.2">
      <c r="C2295" s="15"/>
      <c r="D2295" s="15"/>
      <c r="E2295" s="15"/>
      <c r="F2295" s="15"/>
      <c r="G2295" s="15"/>
      <c r="H2295" s="15"/>
      <c r="I2295" s="15"/>
      <c r="J2295" s="15"/>
      <c r="K2295" s="15"/>
      <c r="L2295" s="28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5"/>
      <c r="AG2295" s="15"/>
      <c r="AH2295" s="15"/>
      <c r="AI2295" s="15"/>
      <c r="AJ2295" s="15"/>
      <c r="AK2295" s="15"/>
      <c r="AL2295" s="15"/>
      <c r="AM2295" s="15"/>
      <c r="AN2295" s="15"/>
      <c r="AO2295" s="15"/>
      <c r="AP2295" s="15"/>
      <c r="AQ2295" s="15"/>
      <c r="AR2295" s="15"/>
      <c r="AS2295" s="15"/>
      <c r="AT2295" s="15"/>
      <c r="AU2295" s="15"/>
      <c r="AV2295" s="15"/>
      <c r="AW2295" s="15"/>
    </row>
    <row r="2296" spans="3:49" x14ac:dyDescent="0.2">
      <c r="C2296" s="15"/>
      <c r="D2296" s="15"/>
      <c r="E2296" s="15"/>
      <c r="F2296" s="15"/>
      <c r="G2296" s="15"/>
      <c r="H2296" s="15"/>
      <c r="I2296" s="15"/>
      <c r="J2296" s="15"/>
      <c r="K2296" s="15"/>
      <c r="L2296" s="28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5"/>
      <c r="AG2296" s="15"/>
      <c r="AH2296" s="15"/>
      <c r="AI2296" s="15"/>
      <c r="AJ2296" s="15"/>
      <c r="AK2296" s="15"/>
      <c r="AL2296" s="15"/>
      <c r="AM2296" s="15"/>
      <c r="AN2296" s="15"/>
      <c r="AO2296" s="15"/>
      <c r="AP2296" s="15"/>
      <c r="AQ2296" s="15"/>
      <c r="AR2296" s="15"/>
      <c r="AS2296" s="15"/>
      <c r="AT2296" s="15"/>
      <c r="AU2296" s="15"/>
      <c r="AV2296" s="15"/>
      <c r="AW2296" s="15"/>
    </row>
    <row r="2297" spans="3:49" x14ac:dyDescent="0.2">
      <c r="C2297" s="15"/>
      <c r="D2297" s="15"/>
      <c r="E2297" s="15"/>
      <c r="F2297" s="15"/>
      <c r="G2297" s="15"/>
      <c r="H2297" s="15"/>
      <c r="I2297" s="15"/>
      <c r="J2297" s="15"/>
      <c r="K2297" s="15"/>
      <c r="L2297" s="28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5"/>
      <c r="AG2297" s="15"/>
      <c r="AH2297" s="15"/>
      <c r="AI2297" s="15"/>
      <c r="AJ2297" s="15"/>
      <c r="AK2297" s="15"/>
      <c r="AL2297" s="15"/>
      <c r="AM2297" s="15"/>
      <c r="AN2297" s="15"/>
      <c r="AO2297" s="15"/>
      <c r="AP2297" s="15"/>
      <c r="AQ2297" s="15"/>
      <c r="AR2297" s="15"/>
      <c r="AS2297" s="15"/>
      <c r="AT2297" s="15"/>
      <c r="AU2297" s="15"/>
      <c r="AV2297" s="15"/>
      <c r="AW2297" s="15"/>
    </row>
    <row r="2298" spans="3:49" x14ac:dyDescent="0.2">
      <c r="C2298" s="15"/>
      <c r="D2298" s="15"/>
      <c r="E2298" s="15"/>
      <c r="F2298" s="15"/>
      <c r="G2298" s="15"/>
      <c r="H2298" s="15"/>
      <c r="I2298" s="15"/>
      <c r="J2298" s="15"/>
      <c r="K2298" s="15"/>
      <c r="L2298" s="28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5"/>
      <c r="AG2298" s="15"/>
      <c r="AH2298" s="15"/>
      <c r="AI2298" s="15"/>
      <c r="AJ2298" s="15"/>
      <c r="AK2298" s="15"/>
      <c r="AL2298" s="15"/>
      <c r="AM2298" s="15"/>
      <c r="AN2298" s="15"/>
      <c r="AO2298" s="15"/>
      <c r="AP2298" s="15"/>
      <c r="AQ2298" s="15"/>
      <c r="AR2298" s="15"/>
      <c r="AS2298" s="15"/>
      <c r="AT2298" s="15"/>
      <c r="AU2298" s="15"/>
      <c r="AV2298" s="15"/>
      <c r="AW2298" s="15"/>
    </row>
    <row r="2299" spans="3:49" x14ac:dyDescent="0.2">
      <c r="C2299" s="15"/>
      <c r="D2299" s="15"/>
      <c r="E2299" s="15"/>
      <c r="F2299" s="15"/>
      <c r="G2299" s="15"/>
      <c r="H2299" s="15"/>
      <c r="I2299" s="15"/>
      <c r="J2299" s="15"/>
      <c r="K2299" s="15"/>
      <c r="L2299" s="28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5"/>
      <c r="AG2299" s="15"/>
      <c r="AH2299" s="15"/>
      <c r="AI2299" s="15"/>
      <c r="AJ2299" s="15"/>
      <c r="AK2299" s="15"/>
      <c r="AL2299" s="15"/>
      <c r="AM2299" s="15"/>
      <c r="AN2299" s="15"/>
      <c r="AO2299" s="15"/>
      <c r="AP2299" s="15"/>
      <c r="AQ2299" s="15"/>
      <c r="AR2299" s="15"/>
      <c r="AS2299" s="15"/>
      <c r="AT2299" s="15"/>
      <c r="AU2299" s="15"/>
      <c r="AV2299" s="15"/>
      <c r="AW2299" s="15"/>
    </row>
    <row r="2300" spans="3:49" x14ac:dyDescent="0.2">
      <c r="C2300" s="15"/>
      <c r="D2300" s="15"/>
      <c r="E2300" s="15"/>
      <c r="F2300" s="15"/>
      <c r="G2300" s="15"/>
      <c r="H2300" s="15"/>
      <c r="I2300" s="15"/>
      <c r="J2300" s="15"/>
      <c r="K2300" s="15"/>
      <c r="L2300" s="28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5"/>
      <c r="AG2300" s="15"/>
      <c r="AH2300" s="15"/>
      <c r="AI2300" s="15"/>
      <c r="AJ2300" s="15"/>
      <c r="AK2300" s="15"/>
      <c r="AL2300" s="15"/>
      <c r="AM2300" s="15"/>
      <c r="AN2300" s="15"/>
      <c r="AO2300" s="15"/>
      <c r="AP2300" s="15"/>
      <c r="AQ2300" s="15"/>
      <c r="AR2300" s="15"/>
      <c r="AS2300" s="15"/>
      <c r="AT2300" s="15"/>
      <c r="AU2300" s="15"/>
      <c r="AV2300" s="15"/>
      <c r="AW2300" s="15"/>
    </row>
    <row r="2301" spans="3:49" x14ac:dyDescent="0.2">
      <c r="C2301" s="15"/>
      <c r="D2301" s="15"/>
      <c r="E2301" s="15"/>
      <c r="F2301" s="15"/>
      <c r="G2301" s="15"/>
      <c r="H2301" s="15"/>
      <c r="I2301" s="15"/>
      <c r="J2301" s="15"/>
      <c r="K2301" s="15"/>
      <c r="L2301" s="28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5"/>
      <c r="AG2301" s="15"/>
      <c r="AH2301" s="15"/>
      <c r="AI2301" s="15"/>
      <c r="AJ2301" s="15"/>
      <c r="AK2301" s="15"/>
      <c r="AL2301" s="15"/>
      <c r="AM2301" s="15"/>
      <c r="AN2301" s="15"/>
      <c r="AO2301" s="15"/>
      <c r="AP2301" s="15"/>
      <c r="AQ2301" s="15"/>
      <c r="AR2301" s="15"/>
      <c r="AS2301" s="15"/>
      <c r="AT2301" s="15"/>
      <c r="AU2301" s="15"/>
      <c r="AV2301" s="15"/>
      <c r="AW2301" s="15"/>
    </row>
    <row r="2302" spans="3:49" x14ac:dyDescent="0.2">
      <c r="C2302" s="15"/>
      <c r="D2302" s="15"/>
      <c r="E2302" s="15"/>
      <c r="F2302" s="15"/>
      <c r="G2302" s="15"/>
      <c r="H2302" s="15"/>
      <c r="I2302" s="15"/>
      <c r="J2302" s="15"/>
      <c r="K2302" s="15"/>
      <c r="L2302" s="28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5"/>
      <c r="AG2302" s="15"/>
      <c r="AH2302" s="15"/>
      <c r="AI2302" s="15"/>
      <c r="AJ2302" s="15"/>
      <c r="AK2302" s="15"/>
      <c r="AL2302" s="15"/>
      <c r="AM2302" s="15"/>
      <c r="AN2302" s="15"/>
      <c r="AO2302" s="15"/>
      <c r="AP2302" s="15"/>
      <c r="AQ2302" s="15"/>
      <c r="AR2302" s="15"/>
      <c r="AS2302" s="15"/>
      <c r="AT2302" s="15"/>
      <c r="AU2302" s="15"/>
      <c r="AV2302" s="15"/>
      <c r="AW2302" s="15"/>
    </row>
    <row r="2303" spans="3:49" x14ac:dyDescent="0.2">
      <c r="C2303" s="15"/>
      <c r="D2303" s="15"/>
      <c r="E2303" s="15"/>
      <c r="F2303" s="15"/>
      <c r="G2303" s="15"/>
      <c r="H2303" s="15"/>
      <c r="I2303" s="15"/>
      <c r="J2303" s="15"/>
      <c r="K2303" s="15"/>
      <c r="L2303" s="28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5"/>
      <c r="AG2303" s="15"/>
      <c r="AH2303" s="15"/>
      <c r="AI2303" s="15"/>
      <c r="AJ2303" s="15"/>
      <c r="AK2303" s="15"/>
      <c r="AL2303" s="15"/>
      <c r="AM2303" s="15"/>
      <c r="AN2303" s="15"/>
      <c r="AO2303" s="15"/>
      <c r="AP2303" s="15"/>
      <c r="AQ2303" s="15"/>
      <c r="AR2303" s="15"/>
      <c r="AS2303" s="15"/>
      <c r="AT2303" s="15"/>
      <c r="AU2303" s="15"/>
      <c r="AV2303" s="15"/>
      <c r="AW2303" s="15"/>
    </row>
    <row r="2304" spans="3:49" x14ac:dyDescent="0.2">
      <c r="C2304" s="15"/>
      <c r="D2304" s="15"/>
      <c r="E2304" s="15"/>
      <c r="F2304" s="15"/>
      <c r="G2304" s="15"/>
      <c r="H2304" s="15"/>
      <c r="I2304" s="15"/>
      <c r="J2304" s="15"/>
      <c r="K2304" s="15"/>
      <c r="L2304" s="28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5"/>
      <c r="AG2304" s="15"/>
      <c r="AH2304" s="15"/>
      <c r="AI2304" s="15"/>
      <c r="AJ2304" s="15"/>
      <c r="AK2304" s="15"/>
      <c r="AL2304" s="15"/>
      <c r="AM2304" s="15"/>
      <c r="AN2304" s="15"/>
      <c r="AO2304" s="15"/>
      <c r="AP2304" s="15"/>
      <c r="AQ2304" s="15"/>
      <c r="AR2304" s="15"/>
      <c r="AS2304" s="15"/>
      <c r="AT2304" s="15"/>
      <c r="AU2304" s="15"/>
      <c r="AV2304" s="15"/>
      <c r="AW2304" s="15"/>
    </row>
    <row r="2305" spans="3:49" x14ac:dyDescent="0.2">
      <c r="C2305" s="15"/>
      <c r="D2305" s="15"/>
      <c r="E2305" s="15"/>
      <c r="F2305" s="15"/>
      <c r="G2305" s="15"/>
      <c r="H2305" s="15"/>
      <c r="I2305" s="15"/>
      <c r="J2305" s="15"/>
      <c r="K2305" s="15"/>
      <c r="L2305" s="28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5"/>
      <c r="AG2305" s="15"/>
      <c r="AH2305" s="15"/>
      <c r="AI2305" s="15"/>
      <c r="AJ2305" s="15"/>
      <c r="AK2305" s="15"/>
      <c r="AL2305" s="15"/>
      <c r="AM2305" s="15"/>
      <c r="AN2305" s="15"/>
      <c r="AO2305" s="15"/>
      <c r="AP2305" s="15"/>
      <c r="AQ2305" s="15"/>
      <c r="AR2305" s="15"/>
      <c r="AS2305" s="15"/>
      <c r="AT2305" s="15"/>
      <c r="AU2305" s="15"/>
      <c r="AV2305" s="15"/>
      <c r="AW2305" s="15"/>
    </row>
    <row r="2306" spans="3:49" x14ac:dyDescent="0.2">
      <c r="C2306" s="15"/>
      <c r="D2306" s="15"/>
      <c r="E2306" s="15"/>
      <c r="F2306" s="15"/>
      <c r="G2306" s="15"/>
      <c r="H2306" s="15"/>
      <c r="I2306" s="15"/>
      <c r="J2306" s="15"/>
      <c r="K2306" s="15"/>
      <c r="L2306" s="28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5"/>
      <c r="AG2306" s="15"/>
      <c r="AH2306" s="15"/>
      <c r="AI2306" s="15"/>
      <c r="AJ2306" s="15"/>
      <c r="AK2306" s="15"/>
      <c r="AL2306" s="15"/>
      <c r="AM2306" s="15"/>
      <c r="AN2306" s="15"/>
      <c r="AO2306" s="15"/>
      <c r="AP2306" s="15"/>
      <c r="AQ2306" s="15"/>
      <c r="AR2306" s="15"/>
      <c r="AS2306" s="15"/>
      <c r="AT2306" s="15"/>
      <c r="AU2306" s="15"/>
      <c r="AV2306" s="15"/>
      <c r="AW2306" s="15"/>
    </row>
    <row r="2307" spans="3:49" x14ac:dyDescent="0.2">
      <c r="C2307" s="15"/>
      <c r="D2307" s="15"/>
      <c r="E2307" s="15"/>
      <c r="F2307" s="15"/>
      <c r="G2307" s="15"/>
      <c r="H2307" s="15"/>
      <c r="I2307" s="15"/>
      <c r="J2307" s="15"/>
      <c r="K2307" s="15"/>
      <c r="L2307" s="28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5"/>
      <c r="AG2307" s="15"/>
      <c r="AH2307" s="15"/>
      <c r="AI2307" s="15"/>
      <c r="AJ2307" s="15"/>
      <c r="AK2307" s="15"/>
      <c r="AL2307" s="15"/>
      <c r="AM2307" s="15"/>
      <c r="AN2307" s="15"/>
      <c r="AO2307" s="15"/>
      <c r="AP2307" s="15"/>
      <c r="AQ2307" s="15"/>
      <c r="AR2307" s="15"/>
      <c r="AS2307" s="15"/>
      <c r="AT2307" s="15"/>
      <c r="AU2307" s="15"/>
      <c r="AV2307" s="15"/>
      <c r="AW2307" s="15"/>
    </row>
    <row r="2308" spans="3:49" x14ac:dyDescent="0.2">
      <c r="C2308" s="15"/>
      <c r="D2308" s="15"/>
      <c r="E2308" s="15"/>
      <c r="F2308" s="15"/>
      <c r="G2308" s="15"/>
      <c r="H2308" s="15"/>
      <c r="I2308" s="15"/>
      <c r="J2308" s="15"/>
      <c r="K2308" s="15"/>
      <c r="L2308" s="28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5"/>
      <c r="AG2308" s="15"/>
      <c r="AH2308" s="15"/>
      <c r="AI2308" s="15"/>
      <c r="AJ2308" s="15"/>
      <c r="AK2308" s="15"/>
      <c r="AL2308" s="15"/>
      <c r="AM2308" s="15"/>
      <c r="AN2308" s="15"/>
      <c r="AO2308" s="15"/>
      <c r="AP2308" s="15"/>
      <c r="AQ2308" s="15"/>
      <c r="AR2308" s="15"/>
      <c r="AS2308" s="15"/>
      <c r="AT2308" s="15"/>
      <c r="AU2308" s="15"/>
      <c r="AV2308" s="15"/>
      <c r="AW2308" s="15"/>
    </row>
    <row r="2309" spans="3:49" x14ac:dyDescent="0.2">
      <c r="C2309" s="15"/>
      <c r="D2309" s="15"/>
      <c r="E2309" s="15"/>
      <c r="F2309" s="15"/>
      <c r="G2309" s="15"/>
      <c r="H2309" s="15"/>
      <c r="I2309" s="15"/>
      <c r="J2309" s="15"/>
      <c r="K2309" s="15"/>
      <c r="L2309" s="28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5"/>
      <c r="AG2309" s="15"/>
      <c r="AH2309" s="15"/>
      <c r="AI2309" s="15"/>
      <c r="AJ2309" s="15"/>
      <c r="AK2309" s="15"/>
      <c r="AL2309" s="15"/>
      <c r="AM2309" s="15"/>
      <c r="AN2309" s="15"/>
      <c r="AO2309" s="15"/>
      <c r="AP2309" s="15"/>
      <c r="AQ2309" s="15"/>
      <c r="AR2309" s="15"/>
      <c r="AS2309" s="15"/>
      <c r="AT2309" s="15"/>
      <c r="AU2309" s="15"/>
      <c r="AV2309" s="15"/>
      <c r="AW2309" s="15"/>
    </row>
    <row r="2310" spans="3:49" x14ac:dyDescent="0.2">
      <c r="C2310" s="15"/>
      <c r="D2310" s="15"/>
      <c r="E2310" s="15"/>
      <c r="F2310" s="15"/>
      <c r="G2310" s="15"/>
      <c r="H2310" s="15"/>
      <c r="I2310" s="15"/>
      <c r="J2310" s="15"/>
      <c r="K2310" s="15"/>
      <c r="L2310" s="28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5"/>
      <c r="AG2310" s="15"/>
      <c r="AH2310" s="15"/>
      <c r="AI2310" s="15"/>
      <c r="AJ2310" s="15"/>
      <c r="AK2310" s="15"/>
      <c r="AL2310" s="15"/>
      <c r="AM2310" s="15"/>
      <c r="AN2310" s="15"/>
      <c r="AO2310" s="15"/>
      <c r="AP2310" s="15"/>
      <c r="AQ2310" s="15"/>
      <c r="AR2310" s="15"/>
      <c r="AS2310" s="15"/>
      <c r="AT2310" s="15"/>
      <c r="AU2310" s="15"/>
      <c r="AV2310" s="15"/>
      <c r="AW2310" s="15"/>
    </row>
    <row r="2311" spans="3:49" x14ac:dyDescent="0.2">
      <c r="C2311" s="15"/>
      <c r="D2311" s="15"/>
      <c r="E2311" s="15"/>
      <c r="F2311" s="15"/>
      <c r="G2311" s="15"/>
      <c r="H2311" s="15"/>
      <c r="I2311" s="15"/>
      <c r="J2311" s="15"/>
      <c r="K2311" s="15"/>
      <c r="L2311" s="28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5"/>
      <c r="AG2311" s="15"/>
      <c r="AH2311" s="15"/>
      <c r="AI2311" s="15"/>
      <c r="AJ2311" s="15"/>
      <c r="AK2311" s="15"/>
      <c r="AL2311" s="15"/>
      <c r="AM2311" s="15"/>
      <c r="AN2311" s="15"/>
      <c r="AO2311" s="15"/>
      <c r="AP2311" s="15"/>
      <c r="AQ2311" s="15"/>
      <c r="AR2311" s="15"/>
      <c r="AS2311" s="15"/>
      <c r="AT2311" s="15"/>
      <c r="AU2311" s="15"/>
      <c r="AV2311" s="15"/>
      <c r="AW2311" s="15"/>
    </row>
    <row r="2312" spans="3:49" x14ac:dyDescent="0.2">
      <c r="C2312" s="15"/>
      <c r="D2312" s="15"/>
      <c r="E2312" s="15"/>
      <c r="F2312" s="15"/>
      <c r="G2312" s="15"/>
      <c r="H2312" s="15"/>
      <c r="I2312" s="15"/>
      <c r="J2312" s="15"/>
      <c r="K2312" s="15"/>
      <c r="L2312" s="28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5"/>
      <c r="AG2312" s="15"/>
      <c r="AH2312" s="15"/>
      <c r="AI2312" s="15"/>
      <c r="AJ2312" s="15"/>
      <c r="AK2312" s="15"/>
      <c r="AL2312" s="15"/>
      <c r="AM2312" s="15"/>
      <c r="AN2312" s="15"/>
      <c r="AO2312" s="15"/>
      <c r="AP2312" s="15"/>
      <c r="AQ2312" s="15"/>
      <c r="AR2312" s="15"/>
      <c r="AS2312" s="15"/>
      <c r="AT2312" s="15"/>
      <c r="AU2312" s="15"/>
      <c r="AV2312" s="15"/>
      <c r="AW2312" s="15"/>
    </row>
    <row r="2313" spans="3:49" x14ac:dyDescent="0.2">
      <c r="C2313" s="15"/>
      <c r="D2313" s="15"/>
      <c r="E2313" s="15"/>
      <c r="F2313" s="15"/>
      <c r="G2313" s="15"/>
      <c r="H2313" s="15"/>
      <c r="I2313" s="15"/>
      <c r="J2313" s="15"/>
      <c r="K2313" s="15"/>
      <c r="L2313" s="28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5"/>
      <c r="AG2313" s="15"/>
      <c r="AH2313" s="15"/>
      <c r="AI2313" s="15"/>
      <c r="AJ2313" s="15"/>
      <c r="AK2313" s="15"/>
      <c r="AL2313" s="15"/>
      <c r="AM2313" s="15"/>
      <c r="AN2313" s="15"/>
      <c r="AO2313" s="15"/>
      <c r="AP2313" s="15"/>
      <c r="AQ2313" s="15"/>
      <c r="AR2313" s="15"/>
      <c r="AS2313" s="15"/>
      <c r="AT2313" s="15"/>
      <c r="AU2313" s="15"/>
      <c r="AV2313" s="15"/>
      <c r="AW2313" s="15"/>
    </row>
    <row r="2314" spans="3:49" x14ac:dyDescent="0.2">
      <c r="C2314" s="15"/>
      <c r="D2314" s="15"/>
      <c r="E2314" s="15"/>
      <c r="F2314" s="15"/>
      <c r="G2314" s="15"/>
      <c r="H2314" s="15"/>
      <c r="I2314" s="15"/>
      <c r="J2314" s="15"/>
      <c r="K2314" s="15"/>
      <c r="L2314" s="28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5"/>
      <c r="AG2314" s="15"/>
      <c r="AH2314" s="15"/>
      <c r="AI2314" s="15"/>
      <c r="AJ2314" s="15"/>
      <c r="AK2314" s="15"/>
      <c r="AL2314" s="15"/>
      <c r="AM2314" s="15"/>
      <c r="AN2314" s="15"/>
      <c r="AO2314" s="15"/>
      <c r="AP2314" s="15"/>
      <c r="AQ2314" s="15"/>
      <c r="AR2314" s="15"/>
      <c r="AS2314" s="15"/>
      <c r="AT2314" s="15"/>
      <c r="AU2314" s="15"/>
      <c r="AV2314" s="15"/>
      <c r="AW2314" s="15"/>
    </row>
    <row r="2315" spans="3:49" x14ac:dyDescent="0.2">
      <c r="C2315" s="15"/>
      <c r="D2315" s="15"/>
      <c r="E2315" s="15"/>
      <c r="F2315" s="15"/>
      <c r="G2315" s="15"/>
      <c r="H2315" s="15"/>
      <c r="I2315" s="15"/>
      <c r="J2315" s="15"/>
      <c r="K2315" s="15"/>
      <c r="L2315" s="28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5"/>
      <c r="AG2315" s="15"/>
      <c r="AH2315" s="15"/>
      <c r="AI2315" s="15"/>
      <c r="AJ2315" s="15"/>
      <c r="AK2315" s="15"/>
      <c r="AL2315" s="15"/>
      <c r="AM2315" s="15"/>
      <c r="AN2315" s="15"/>
      <c r="AO2315" s="15"/>
      <c r="AP2315" s="15"/>
      <c r="AQ2315" s="15"/>
      <c r="AR2315" s="15"/>
      <c r="AS2315" s="15"/>
      <c r="AT2315" s="15"/>
      <c r="AU2315" s="15"/>
      <c r="AV2315" s="15"/>
      <c r="AW2315" s="15"/>
    </row>
    <row r="2316" spans="3:49" x14ac:dyDescent="0.2">
      <c r="C2316" s="15"/>
      <c r="D2316" s="15"/>
      <c r="E2316" s="15"/>
      <c r="F2316" s="15"/>
      <c r="G2316" s="15"/>
      <c r="H2316" s="15"/>
      <c r="I2316" s="15"/>
      <c r="J2316" s="15"/>
      <c r="K2316" s="15"/>
      <c r="L2316" s="28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5"/>
      <c r="AG2316" s="15"/>
      <c r="AH2316" s="15"/>
      <c r="AI2316" s="15"/>
      <c r="AJ2316" s="15"/>
      <c r="AK2316" s="15"/>
      <c r="AL2316" s="15"/>
      <c r="AM2316" s="15"/>
      <c r="AN2316" s="15"/>
      <c r="AO2316" s="15"/>
      <c r="AP2316" s="15"/>
      <c r="AQ2316" s="15"/>
      <c r="AR2316" s="15"/>
      <c r="AS2316" s="15"/>
      <c r="AT2316" s="15"/>
      <c r="AU2316" s="15"/>
      <c r="AV2316" s="15"/>
      <c r="AW2316" s="15"/>
    </row>
    <row r="2317" spans="3:49" x14ac:dyDescent="0.2">
      <c r="C2317" s="15"/>
      <c r="D2317" s="15"/>
      <c r="E2317" s="15"/>
      <c r="F2317" s="15"/>
      <c r="G2317" s="15"/>
      <c r="H2317" s="15"/>
      <c r="I2317" s="15"/>
      <c r="J2317" s="15"/>
      <c r="K2317" s="15"/>
      <c r="L2317" s="28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5"/>
      <c r="AG2317" s="15"/>
      <c r="AH2317" s="15"/>
      <c r="AI2317" s="15"/>
      <c r="AJ2317" s="15"/>
      <c r="AK2317" s="15"/>
      <c r="AL2317" s="15"/>
      <c r="AM2317" s="15"/>
      <c r="AN2317" s="15"/>
      <c r="AO2317" s="15"/>
      <c r="AP2317" s="15"/>
      <c r="AQ2317" s="15"/>
      <c r="AR2317" s="15"/>
      <c r="AS2317" s="15"/>
      <c r="AT2317" s="15"/>
      <c r="AU2317" s="15"/>
      <c r="AV2317" s="15"/>
      <c r="AW2317" s="15"/>
    </row>
    <row r="2318" spans="3:49" x14ac:dyDescent="0.2">
      <c r="C2318" s="15"/>
      <c r="D2318" s="15"/>
      <c r="E2318" s="15"/>
      <c r="F2318" s="15"/>
      <c r="G2318" s="15"/>
      <c r="H2318" s="15"/>
      <c r="I2318" s="15"/>
      <c r="J2318" s="15"/>
      <c r="K2318" s="15"/>
      <c r="L2318" s="28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5"/>
      <c r="AG2318" s="15"/>
      <c r="AH2318" s="15"/>
      <c r="AI2318" s="15"/>
      <c r="AJ2318" s="15"/>
      <c r="AK2318" s="15"/>
      <c r="AL2318" s="15"/>
      <c r="AM2318" s="15"/>
      <c r="AN2318" s="15"/>
      <c r="AO2318" s="15"/>
      <c r="AP2318" s="15"/>
      <c r="AQ2318" s="15"/>
      <c r="AR2318" s="15"/>
      <c r="AS2318" s="15"/>
      <c r="AT2318" s="15"/>
      <c r="AU2318" s="15"/>
      <c r="AV2318" s="15"/>
      <c r="AW2318" s="15"/>
    </row>
    <row r="2319" spans="3:49" x14ac:dyDescent="0.2">
      <c r="C2319" s="15"/>
      <c r="D2319" s="15"/>
      <c r="E2319" s="15"/>
      <c r="F2319" s="15"/>
      <c r="G2319" s="15"/>
      <c r="H2319" s="15"/>
      <c r="I2319" s="15"/>
      <c r="J2319" s="15"/>
      <c r="K2319" s="15"/>
      <c r="L2319" s="28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5"/>
      <c r="AG2319" s="15"/>
      <c r="AH2319" s="15"/>
      <c r="AI2319" s="15"/>
      <c r="AJ2319" s="15"/>
      <c r="AK2319" s="15"/>
      <c r="AL2319" s="15"/>
      <c r="AM2319" s="15"/>
      <c r="AN2319" s="15"/>
      <c r="AO2319" s="15"/>
      <c r="AP2319" s="15"/>
      <c r="AQ2319" s="15"/>
      <c r="AR2319" s="15"/>
      <c r="AS2319" s="15"/>
      <c r="AT2319" s="15"/>
      <c r="AU2319" s="15"/>
      <c r="AV2319" s="15"/>
      <c r="AW2319" s="15"/>
    </row>
    <row r="2320" spans="3:49" x14ac:dyDescent="0.2">
      <c r="C2320" s="15"/>
      <c r="D2320" s="15"/>
      <c r="E2320" s="15"/>
      <c r="F2320" s="15"/>
      <c r="G2320" s="15"/>
      <c r="H2320" s="15"/>
      <c r="I2320" s="15"/>
      <c r="J2320" s="15"/>
      <c r="K2320" s="15"/>
      <c r="L2320" s="28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5"/>
      <c r="AG2320" s="15"/>
      <c r="AH2320" s="15"/>
      <c r="AI2320" s="15"/>
      <c r="AJ2320" s="15"/>
      <c r="AK2320" s="15"/>
      <c r="AL2320" s="15"/>
      <c r="AM2320" s="15"/>
      <c r="AN2320" s="15"/>
      <c r="AO2320" s="15"/>
      <c r="AP2320" s="15"/>
      <c r="AQ2320" s="15"/>
      <c r="AR2320" s="15"/>
      <c r="AS2320" s="15"/>
      <c r="AT2320" s="15"/>
      <c r="AU2320" s="15"/>
      <c r="AV2320" s="15"/>
      <c r="AW2320" s="15"/>
    </row>
    <row r="2321" spans="3:49" x14ac:dyDescent="0.2">
      <c r="C2321" s="15"/>
      <c r="D2321" s="15"/>
      <c r="E2321" s="15"/>
      <c r="F2321" s="15"/>
      <c r="G2321" s="15"/>
      <c r="H2321" s="15"/>
      <c r="I2321" s="15"/>
      <c r="J2321" s="15"/>
      <c r="K2321" s="15"/>
      <c r="L2321" s="28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5"/>
      <c r="AG2321" s="15"/>
      <c r="AH2321" s="15"/>
      <c r="AI2321" s="15"/>
      <c r="AJ2321" s="15"/>
      <c r="AK2321" s="15"/>
      <c r="AL2321" s="15"/>
      <c r="AM2321" s="15"/>
      <c r="AN2321" s="15"/>
      <c r="AO2321" s="15"/>
      <c r="AP2321" s="15"/>
      <c r="AQ2321" s="15"/>
      <c r="AR2321" s="15"/>
      <c r="AS2321" s="15"/>
      <c r="AT2321" s="15"/>
      <c r="AU2321" s="15"/>
      <c r="AV2321" s="15"/>
      <c r="AW2321" s="15"/>
    </row>
    <row r="2322" spans="3:49" x14ac:dyDescent="0.2">
      <c r="C2322" s="15"/>
      <c r="D2322" s="15"/>
      <c r="E2322" s="15"/>
      <c r="F2322" s="15"/>
      <c r="G2322" s="15"/>
      <c r="H2322" s="15"/>
      <c r="I2322" s="15"/>
      <c r="J2322" s="15"/>
      <c r="K2322" s="15"/>
      <c r="L2322" s="28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5"/>
      <c r="AG2322" s="15"/>
      <c r="AH2322" s="15"/>
      <c r="AI2322" s="15"/>
      <c r="AJ2322" s="15"/>
      <c r="AK2322" s="15"/>
      <c r="AL2322" s="15"/>
      <c r="AM2322" s="15"/>
      <c r="AN2322" s="15"/>
      <c r="AO2322" s="15"/>
      <c r="AP2322" s="15"/>
      <c r="AQ2322" s="15"/>
      <c r="AR2322" s="15"/>
      <c r="AS2322" s="15"/>
      <c r="AT2322" s="15"/>
      <c r="AU2322" s="15"/>
      <c r="AV2322" s="15"/>
      <c r="AW2322" s="15"/>
    </row>
    <row r="2323" spans="3:49" x14ac:dyDescent="0.2">
      <c r="C2323" s="15"/>
      <c r="D2323" s="15"/>
      <c r="E2323" s="15"/>
      <c r="F2323" s="15"/>
      <c r="G2323" s="15"/>
      <c r="H2323" s="15"/>
      <c r="I2323" s="15"/>
      <c r="J2323" s="15"/>
      <c r="K2323" s="15"/>
      <c r="L2323" s="28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5"/>
      <c r="AG2323" s="15"/>
      <c r="AH2323" s="15"/>
      <c r="AI2323" s="15"/>
      <c r="AJ2323" s="15"/>
      <c r="AK2323" s="15"/>
      <c r="AL2323" s="15"/>
      <c r="AM2323" s="15"/>
      <c r="AN2323" s="15"/>
      <c r="AO2323" s="15"/>
      <c r="AP2323" s="15"/>
      <c r="AQ2323" s="15"/>
      <c r="AR2323" s="15"/>
      <c r="AS2323" s="15"/>
      <c r="AT2323" s="15"/>
      <c r="AU2323" s="15"/>
      <c r="AV2323" s="15"/>
      <c r="AW2323" s="15"/>
    </row>
    <row r="2324" spans="3:49" x14ac:dyDescent="0.2">
      <c r="C2324" s="15"/>
      <c r="D2324" s="15"/>
      <c r="E2324" s="15"/>
      <c r="F2324" s="15"/>
      <c r="G2324" s="15"/>
      <c r="H2324" s="15"/>
      <c r="I2324" s="15"/>
      <c r="J2324" s="15"/>
      <c r="K2324" s="15"/>
      <c r="L2324" s="28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5"/>
      <c r="AG2324" s="15"/>
      <c r="AH2324" s="15"/>
      <c r="AI2324" s="15"/>
      <c r="AJ2324" s="15"/>
      <c r="AK2324" s="15"/>
      <c r="AL2324" s="15"/>
      <c r="AM2324" s="15"/>
      <c r="AN2324" s="15"/>
      <c r="AO2324" s="15"/>
      <c r="AP2324" s="15"/>
      <c r="AQ2324" s="15"/>
      <c r="AR2324" s="15"/>
      <c r="AS2324" s="15"/>
      <c r="AT2324" s="15"/>
      <c r="AU2324" s="15"/>
      <c r="AV2324" s="15"/>
      <c r="AW2324" s="15"/>
    </row>
    <row r="2325" spans="3:49" x14ac:dyDescent="0.2">
      <c r="C2325" s="15"/>
      <c r="D2325" s="15"/>
      <c r="E2325" s="15"/>
      <c r="F2325" s="15"/>
      <c r="G2325" s="15"/>
      <c r="H2325" s="15"/>
      <c r="I2325" s="15"/>
      <c r="J2325" s="15"/>
      <c r="K2325" s="15"/>
      <c r="L2325" s="28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5"/>
      <c r="AG2325" s="15"/>
      <c r="AH2325" s="15"/>
      <c r="AI2325" s="15"/>
      <c r="AJ2325" s="15"/>
      <c r="AK2325" s="15"/>
      <c r="AL2325" s="15"/>
      <c r="AM2325" s="15"/>
      <c r="AN2325" s="15"/>
      <c r="AO2325" s="15"/>
      <c r="AP2325" s="15"/>
      <c r="AQ2325" s="15"/>
      <c r="AR2325" s="15"/>
      <c r="AS2325" s="15"/>
      <c r="AT2325" s="15"/>
      <c r="AU2325" s="15"/>
      <c r="AV2325" s="15"/>
      <c r="AW2325" s="15"/>
    </row>
    <row r="2326" spans="3:49" x14ac:dyDescent="0.2">
      <c r="C2326" s="15"/>
      <c r="D2326" s="15"/>
      <c r="E2326" s="15"/>
      <c r="F2326" s="15"/>
      <c r="G2326" s="15"/>
      <c r="H2326" s="15"/>
      <c r="I2326" s="15"/>
      <c r="J2326" s="15"/>
      <c r="K2326" s="15"/>
      <c r="L2326" s="28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5"/>
      <c r="AG2326" s="15"/>
      <c r="AH2326" s="15"/>
      <c r="AI2326" s="15"/>
      <c r="AJ2326" s="15"/>
      <c r="AK2326" s="15"/>
      <c r="AL2326" s="15"/>
      <c r="AM2326" s="15"/>
      <c r="AN2326" s="15"/>
      <c r="AO2326" s="15"/>
      <c r="AP2326" s="15"/>
      <c r="AQ2326" s="15"/>
      <c r="AR2326" s="15"/>
      <c r="AS2326" s="15"/>
      <c r="AT2326" s="15"/>
      <c r="AU2326" s="15"/>
      <c r="AV2326" s="15"/>
      <c r="AW2326" s="15"/>
    </row>
    <row r="2327" spans="3:49" x14ac:dyDescent="0.2">
      <c r="C2327" s="15"/>
      <c r="D2327" s="15"/>
      <c r="E2327" s="15"/>
      <c r="F2327" s="15"/>
      <c r="G2327" s="15"/>
      <c r="H2327" s="15"/>
      <c r="I2327" s="15"/>
      <c r="J2327" s="15"/>
      <c r="K2327" s="15"/>
      <c r="L2327" s="28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5"/>
      <c r="AG2327" s="15"/>
      <c r="AH2327" s="15"/>
      <c r="AI2327" s="15"/>
      <c r="AJ2327" s="15"/>
      <c r="AK2327" s="15"/>
      <c r="AL2327" s="15"/>
      <c r="AM2327" s="15"/>
      <c r="AN2327" s="15"/>
      <c r="AO2327" s="15"/>
      <c r="AP2327" s="15"/>
      <c r="AQ2327" s="15"/>
      <c r="AR2327" s="15"/>
      <c r="AS2327" s="15"/>
      <c r="AT2327" s="15"/>
      <c r="AU2327" s="15"/>
      <c r="AV2327" s="15"/>
      <c r="AW2327" s="15"/>
    </row>
    <row r="2328" spans="3:49" x14ac:dyDescent="0.2">
      <c r="C2328" s="15"/>
      <c r="D2328" s="15"/>
      <c r="E2328" s="15"/>
      <c r="F2328" s="15"/>
      <c r="G2328" s="15"/>
      <c r="H2328" s="15"/>
      <c r="I2328" s="15"/>
      <c r="J2328" s="15"/>
      <c r="K2328" s="15"/>
      <c r="L2328" s="28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5"/>
      <c r="AG2328" s="15"/>
      <c r="AH2328" s="15"/>
      <c r="AI2328" s="15"/>
      <c r="AJ2328" s="15"/>
      <c r="AK2328" s="15"/>
      <c r="AL2328" s="15"/>
      <c r="AM2328" s="15"/>
      <c r="AN2328" s="15"/>
      <c r="AO2328" s="15"/>
      <c r="AP2328" s="15"/>
      <c r="AQ2328" s="15"/>
      <c r="AR2328" s="15"/>
      <c r="AS2328" s="15"/>
      <c r="AT2328" s="15"/>
      <c r="AU2328" s="15"/>
      <c r="AV2328" s="15"/>
      <c r="AW2328" s="15"/>
    </row>
    <row r="2329" spans="3:49" x14ac:dyDescent="0.2">
      <c r="C2329" s="15"/>
      <c r="D2329" s="15"/>
      <c r="E2329" s="15"/>
      <c r="F2329" s="15"/>
      <c r="G2329" s="15"/>
      <c r="H2329" s="15"/>
      <c r="I2329" s="15"/>
      <c r="J2329" s="15"/>
      <c r="K2329" s="15"/>
      <c r="L2329" s="28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5"/>
      <c r="AG2329" s="15"/>
      <c r="AH2329" s="15"/>
      <c r="AI2329" s="15"/>
      <c r="AJ2329" s="15"/>
      <c r="AK2329" s="15"/>
      <c r="AL2329" s="15"/>
      <c r="AM2329" s="15"/>
      <c r="AN2329" s="15"/>
      <c r="AO2329" s="15"/>
      <c r="AP2329" s="15"/>
      <c r="AQ2329" s="15"/>
      <c r="AR2329" s="15"/>
      <c r="AS2329" s="15"/>
      <c r="AT2329" s="15"/>
      <c r="AU2329" s="15"/>
      <c r="AV2329" s="15"/>
      <c r="AW2329" s="15"/>
    </row>
    <row r="2330" spans="3:49" x14ac:dyDescent="0.2">
      <c r="C2330" s="15"/>
      <c r="D2330" s="15"/>
      <c r="E2330" s="15"/>
      <c r="F2330" s="15"/>
      <c r="G2330" s="15"/>
      <c r="H2330" s="15"/>
      <c r="I2330" s="15"/>
      <c r="J2330" s="15"/>
      <c r="K2330" s="15"/>
      <c r="L2330" s="28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5"/>
      <c r="AG2330" s="15"/>
      <c r="AH2330" s="15"/>
      <c r="AI2330" s="15"/>
      <c r="AJ2330" s="15"/>
      <c r="AK2330" s="15"/>
      <c r="AL2330" s="15"/>
      <c r="AM2330" s="15"/>
      <c r="AN2330" s="15"/>
      <c r="AO2330" s="15"/>
      <c r="AP2330" s="15"/>
      <c r="AQ2330" s="15"/>
      <c r="AR2330" s="15"/>
      <c r="AS2330" s="15"/>
      <c r="AT2330" s="15"/>
      <c r="AU2330" s="15"/>
      <c r="AV2330" s="15"/>
      <c r="AW2330" s="15"/>
    </row>
    <row r="2331" spans="3:49" x14ac:dyDescent="0.2">
      <c r="C2331" s="15"/>
      <c r="D2331" s="15"/>
      <c r="E2331" s="15"/>
      <c r="F2331" s="15"/>
      <c r="G2331" s="15"/>
      <c r="H2331" s="15"/>
      <c r="I2331" s="15"/>
      <c r="J2331" s="15"/>
      <c r="K2331" s="15"/>
      <c r="L2331" s="28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5"/>
      <c r="AG2331" s="15"/>
      <c r="AH2331" s="15"/>
      <c r="AI2331" s="15"/>
      <c r="AJ2331" s="15"/>
      <c r="AK2331" s="15"/>
      <c r="AL2331" s="15"/>
      <c r="AM2331" s="15"/>
      <c r="AN2331" s="15"/>
      <c r="AO2331" s="15"/>
      <c r="AP2331" s="15"/>
      <c r="AQ2331" s="15"/>
      <c r="AR2331" s="15"/>
      <c r="AS2331" s="15"/>
      <c r="AT2331" s="15"/>
      <c r="AU2331" s="15"/>
      <c r="AV2331" s="15"/>
      <c r="AW2331" s="15"/>
    </row>
    <row r="2332" spans="3:49" x14ac:dyDescent="0.2">
      <c r="C2332" s="15"/>
      <c r="D2332" s="15"/>
      <c r="E2332" s="15"/>
      <c r="F2332" s="15"/>
      <c r="G2332" s="15"/>
      <c r="H2332" s="15"/>
      <c r="I2332" s="15"/>
      <c r="J2332" s="15"/>
      <c r="K2332" s="15"/>
      <c r="L2332" s="28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5"/>
      <c r="AG2332" s="15"/>
      <c r="AH2332" s="15"/>
      <c r="AI2332" s="15"/>
      <c r="AJ2332" s="15"/>
      <c r="AK2332" s="15"/>
      <c r="AL2332" s="15"/>
      <c r="AM2332" s="15"/>
      <c r="AN2332" s="15"/>
      <c r="AO2332" s="15"/>
      <c r="AP2332" s="15"/>
      <c r="AQ2332" s="15"/>
      <c r="AR2332" s="15"/>
      <c r="AS2332" s="15"/>
      <c r="AT2332" s="15"/>
      <c r="AU2332" s="15"/>
      <c r="AV2332" s="15"/>
      <c r="AW2332" s="15"/>
    </row>
    <row r="2333" spans="3:49" x14ac:dyDescent="0.2">
      <c r="C2333" s="15"/>
      <c r="D2333" s="15"/>
      <c r="E2333" s="15"/>
      <c r="F2333" s="15"/>
      <c r="G2333" s="15"/>
      <c r="H2333" s="15"/>
      <c r="I2333" s="15"/>
      <c r="J2333" s="15"/>
      <c r="K2333" s="15"/>
      <c r="L2333" s="28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5"/>
      <c r="AG2333" s="15"/>
      <c r="AH2333" s="15"/>
      <c r="AI2333" s="15"/>
      <c r="AJ2333" s="15"/>
      <c r="AK2333" s="15"/>
      <c r="AL2333" s="15"/>
      <c r="AM2333" s="15"/>
      <c r="AN2333" s="15"/>
      <c r="AO2333" s="15"/>
      <c r="AP2333" s="15"/>
      <c r="AQ2333" s="15"/>
      <c r="AR2333" s="15"/>
      <c r="AS2333" s="15"/>
      <c r="AT2333" s="15"/>
      <c r="AU2333" s="15"/>
      <c r="AV2333" s="15"/>
      <c r="AW2333" s="15"/>
    </row>
    <row r="2334" spans="3:49" x14ac:dyDescent="0.2">
      <c r="C2334" s="15"/>
      <c r="D2334" s="15"/>
      <c r="E2334" s="15"/>
      <c r="F2334" s="15"/>
      <c r="G2334" s="15"/>
      <c r="H2334" s="15"/>
      <c r="I2334" s="15"/>
      <c r="J2334" s="15"/>
      <c r="K2334" s="15"/>
      <c r="L2334" s="28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5"/>
      <c r="AG2334" s="15"/>
      <c r="AH2334" s="15"/>
      <c r="AI2334" s="15"/>
      <c r="AJ2334" s="15"/>
      <c r="AK2334" s="15"/>
      <c r="AL2334" s="15"/>
      <c r="AM2334" s="15"/>
      <c r="AN2334" s="15"/>
      <c r="AO2334" s="15"/>
      <c r="AP2334" s="15"/>
      <c r="AQ2334" s="15"/>
      <c r="AR2334" s="15"/>
      <c r="AS2334" s="15"/>
      <c r="AT2334" s="15"/>
      <c r="AU2334" s="15"/>
      <c r="AV2334" s="15"/>
      <c r="AW2334" s="15"/>
    </row>
    <row r="2335" spans="3:49" x14ac:dyDescent="0.2">
      <c r="C2335" s="15"/>
      <c r="D2335" s="15"/>
      <c r="E2335" s="15"/>
      <c r="F2335" s="15"/>
      <c r="G2335" s="15"/>
      <c r="H2335" s="15"/>
      <c r="I2335" s="15"/>
      <c r="J2335" s="15"/>
      <c r="K2335" s="15"/>
      <c r="L2335" s="28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5"/>
      <c r="AG2335" s="15"/>
      <c r="AH2335" s="15"/>
      <c r="AI2335" s="15"/>
      <c r="AJ2335" s="15"/>
      <c r="AK2335" s="15"/>
      <c r="AL2335" s="15"/>
      <c r="AM2335" s="15"/>
      <c r="AN2335" s="15"/>
      <c r="AO2335" s="15"/>
      <c r="AP2335" s="15"/>
      <c r="AQ2335" s="15"/>
      <c r="AR2335" s="15"/>
      <c r="AS2335" s="15"/>
      <c r="AT2335" s="15"/>
      <c r="AU2335" s="15"/>
      <c r="AV2335" s="15"/>
      <c r="AW2335" s="15"/>
    </row>
    <row r="2336" spans="3:49" x14ac:dyDescent="0.2">
      <c r="C2336" s="15"/>
      <c r="D2336" s="15"/>
      <c r="E2336" s="15"/>
      <c r="F2336" s="15"/>
      <c r="G2336" s="15"/>
      <c r="H2336" s="15"/>
      <c r="I2336" s="15"/>
      <c r="J2336" s="15"/>
      <c r="K2336" s="15"/>
      <c r="L2336" s="28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5"/>
      <c r="AG2336" s="15"/>
      <c r="AH2336" s="15"/>
      <c r="AI2336" s="15"/>
      <c r="AJ2336" s="15"/>
      <c r="AK2336" s="15"/>
      <c r="AL2336" s="15"/>
      <c r="AM2336" s="15"/>
      <c r="AN2336" s="15"/>
      <c r="AO2336" s="15"/>
      <c r="AP2336" s="15"/>
      <c r="AQ2336" s="15"/>
      <c r="AR2336" s="15"/>
      <c r="AS2336" s="15"/>
      <c r="AT2336" s="15"/>
      <c r="AU2336" s="15"/>
      <c r="AV2336" s="15"/>
      <c r="AW2336" s="15"/>
    </row>
    <row r="2337" spans="3:49" x14ac:dyDescent="0.2">
      <c r="C2337" s="15"/>
      <c r="D2337" s="15"/>
      <c r="E2337" s="15"/>
      <c r="F2337" s="15"/>
      <c r="G2337" s="15"/>
      <c r="H2337" s="15"/>
      <c r="I2337" s="15"/>
      <c r="J2337" s="15"/>
      <c r="K2337" s="15"/>
      <c r="L2337" s="28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5"/>
      <c r="AG2337" s="15"/>
      <c r="AH2337" s="15"/>
      <c r="AI2337" s="15"/>
      <c r="AJ2337" s="15"/>
      <c r="AK2337" s="15"/>
      <c r="AL2337" s="15"/>
      <c r="AM2337" s="15"/>
      <c r="AN2337" s="15"/>
      <c r="AO2337" s="15"/>
      <c r="AP2337" s="15"/>
      <c r="AQ2337" s="15"/>
      <c r="AR2337" s="15"/>
      <c r="AS2337" s="15"/>
      <c r="AT2337" s="15"/>
      <c r="AU2337" s="15"/>
      <c r="AV2337" s="15"/>
      <c r="AW2337" s="15"/>
    </row>
    <row r="2338" spans="3:49" x14ac:dyDescent="0.2">
      <c r="C2338" s="15"/>
      <c r="D2338" s="15"/>
      <c r="E2338" s="15"/>
      <c r="F2338" s="15"/>
      <c r="G2338" s="15"/>
      <c r="H2338" s="15"/>
      <c r="I2338" s="15"/>
      <c r="J2338" s="15"/>
      <c r="K2338" s="15"/>
      <c r="L2338" s="28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5"/>
      <c r="AG2338" s="15"/>
      <c r="AH2338" s="15"/>
      <c r="AI2338" s="15"/>
      <c r="AJ2338" s="15"/>
      <c r="AK2338" s="15"/>
      <c r="AL2338" s="15"/>
      <c r="AM2338" s="15"/>
      <c r="AN2338" s="15"/>
      <c r="AO2338" s="15"/>
      <c r="AP2338" s="15"/>
      <c r="AQ2338" s="15"/>
      <c r="AR2338" s="15"/>
      <c r="AS2338" s="15"/>
      <c r="AT2338" s="15"/>
      <c r="AU2338" s="15"/>
      <c r="AV2338" s="15"/>
      <c r="AW2338" s="15"/>
    </row>
    <row r="2339" spans="3:49" x14ac:dyDescent="0.2">
      <c r="C2339" s="15"/>
      <c r="D2339" s="15"/>
      <c r="E2339" s="15"/>
      <c r="F2339" s="15"/>
      <c r="G2339" s="15"/>
      <c r="H2339" s="15"/>
      <c r="I2339" s="15"/>
      <c r="J2339" s="15"/>
      <c r="K2339" s="15"/>
      <c r="L2339" s="28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5"/>
      <c r="AG2339" s="15"/>
      <c r="AH2339" s="15"/>
      <c r="AI2339" s="15"/>
      <c r="AJ2339" s="15"/>
      <c r="AK2339" s="15"/>
      <c r="AL2339" s="15"/>
      <c r="AM2339" s="15"/>
      <c r="AN2339" s="15"/>
      <c r="AO2339" s="15"/>
      <c r="AP2339" s="15"/>
      <c r="AQ2339" s="15"/>
      <c r="AR2339" s="15"/>
      <c r="AS2339" s="15"/>
      <c r="AT2339" s="15"/>
      <c r="AU2339" s="15"/>
      <c r="AV2339" s="15"/>
      <c r="AW2339" s="15"/>
    </row>
    <row r="2340" spans="3:49" x14ac:dyDescent="0.2">
      <c r="C2340" s="15"/>
      <c r="D2340" s="15"/>
      <c r="E2340" s="15"/>
      <c r="F2340" s="15"/>
      <c r="G2340" s="15"/>
      <c r="H2340" s="15"/>
      <c r="I2340" s="15"/>
      <c r="J2340" s="15"/>
      <c r="K2340" s="15"/>
      <c r="L2340" s="28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5"/>
      <c r="AG2340" s="15"/>
      <c r="AH2340" s="15"/>
      <c r="AI2340" s="15"/>
      <c r="AJ2340" s="15"/>
      <c r="AK2340" s="15"/>
      <c r="AL2340" s="15"/>
      <c r="AM2340" s="15"/>
      <c r="AN2340" s="15"/>
      <c r="AO2340" s="15"/>
      <c r="AP2340" s="15"/>
      <c r="AQ2340" s="15"/>
      <c r="AR2340" s="15"/>
      <c r="AS2340" s="15"/>
      <c r="AT2340" s="15"/>
      <c r="AU2340" s="15"/>
      <c r="AV2340" s="15"/>
      <c r="AW2340" s="15"/>
    </row>
    <row r="2341" spans="3:49" x14ac:dyDescent="0.2">
      <c r="C2341" s="15"/>
      <c r="D2341" s="15"/>
      <c r="E2341" s="15"/>
      <c r="F2341" s="15"/>
      <c r="G2341" s="15"/>
      <c r="H2341" s="15"/>
      <c r="I2341" s="15"/>
      <c r="J2341" s="15"/>
      <c r="K2341" s="15"/>
      <c r="L2341" s="28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5"/>
      <c r="AG2341" s="15"/>
      <c r="AH2341" s="15"/>
      <c r="AI2341" s="15"/>
      <c r="AJ2341" s="15"/>
      <c r="AK2341" s="15"/>
      <c r="AL2341" s="15"/>
      <c r="AM2341" s="15"/>
      <c r="AN2341" s="15"/>
      <c r="AO2341" s="15"/>
      <c r="AP2341" s="15"/>
      <c r="AQ2341" s="15"/>
      <c r="AR2341" s="15"/>
      <c r="AS2341" s="15"/>
      <c r="AT2341" s="15"/>
      <c r="AU2341" s="15"/>
      <c r="AV2341" s="15"/>
      <c r="AW2341" s="15"/>
    </row>
    <row r="2342" spans="3:49" x14ac:dyDescent="0.2">
      <c r="C2342" s="15"/>
      <c r="D2342" s="15"/>
      <c r="E2342" s="15"/>
      <c r="F2342" s="15"/>
      <c r="G2342" s="15"/>
      <c r="H2342" s="15"/>
      <c r="I2342" s="15"/>
      <c r="J2342" s="15"/>
      <c r="K2342" s="15"/>
      <c r="L2342" s="28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5"/>
      <c r="AG2342" s="15"/>
      <c r="AH2342" s="15"/>
      <c r="AI2342" s="15"/>
      <c r="AJ2342" s="15"/>
      <c r="AK2342" s="15"/>
      <c r="AL2342" s="15"/>
      <c r="AM2342" s="15"/>
      <c r="AN2342" s="15"/>
      <c r="AO2342" s="15"/>
      <c r="AP2342" s="15"/>
      <c r="AQ2342" s="15"/>
      <c r="AR2342" s="15"/>
      <c r="AS2342" s="15"/>
      <c r="AT2342" s="15"/>
      <c r="AU2342" s="15"/>
      <c r="AV2342" s="15"/>
      <c r="AW2342" s="15"/>
    </row>
    <row r="2343" spans="3:49" x14ac:dyDescent="0.2">
      <c r="C2343" s="15"/>
      <c r="D2343" s="15"/>
      <c r="E2343" s="15"/>
      <c r="F2343" s="15"/>
      <c r="G2343" s="15"/>
      <c r="H2343" s="15"/>
      <c r="I2343" s="15"/>
      <c r="J2343" s="15"/>
      <c r="K2343" s="15"/>
      <c r="L2343" s="28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5"/>
      <c r="AG2343" s="15"/>
      <c r="AH2343" s="15"/>
      <c r="AI2343" s="15"/>
      <c r="AJ2343" s="15"/>
      <c r="AK2343" s="15"/>
      <c r="AL2343" s="15"/>
      <c r="AM2343" s="15"/>
      <c r="AN2343" s="15"/>
      <c r="AO2343" s="15"/>
      <c r="AP2343" s="15"/>
      <c r="AQ2343" s="15"/>
      <c r="AR2343" s="15"/>
      <c r="AS2343" s="15"/>
      <c r="AT2343" s="15"/>
      <c r="AU2343" s="15"/>
      <c r="AV2343" s="15"/>
      <c r="AW2343" s="15"/>
    </row>
    <row r="2344" spans="3:49" x14ac:dyDescent="0.2">
      <c r="C2344" s="15"/>
      <c r="D2344" s="15"/>
      <c r="E2344" s="15"/>
      <c r="F2344" s="15"/>
      <c r="G2344" s="15"/>
      <c r="H2344" s="15"/>
      <c r="I2344" s="15"/>
      <c r="J2344" s="15"/>
      <c r="K2344" s="15"/>
      <c r="L2344" s="28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5"/>
      <c r="AG2344" s="15"/>
      <c r="AH2344" s="15"/>
      <c r="AI2344" s="15"/>
      <c r="AJ2344" s="15"/>
      <c r="AK2344" s="15"/>
      <c r="AL2344" s="15"/>
      <c r="AM2344" s="15"/>
      <c r="AN2344" s="15"/>
      <c r="AO2344" s="15"/>
      <c r="AP2344" s="15"/>
      <c r="AQ2344" s="15"/>
      <c r="AR2344" s="15"/>
      <c r="AS2344" s="15"/>
      <c r="AT2344" s="15"/>
      <c r="AU2344" s="15"/>
      <c r="AV2344" s="15"/>
      <c r="AW2344" s="15"/>
    </row>
    <row r="2345" spans="3:49" x14ac:dyDescent="0.2">
      <c r="C2345" s="15"/>
      <c r="D2345" s="15"/>
      <c r="E2345" s="15"/>
      <c r="F2345" s="15"/>
      <c r="G2345" s="15"/>
      <c r="H2345" s="15"/>
      <c r="I2345" s="15"/>
      <c r="J2345" s="15"/>
      <c r="K2345" s="15"/>
      <c r="L2345" s="28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5"/>
      <c r="AG2345" s="15"/>
      <c r="AH2345" s="15"/>
      <c r="AI2345" s="15"/>
      <c r="AJ2345" s="15"/>
      <c r="AK2345" s="15"/>
      <c r="AL2345" s="15"/>
      <c r="AM2345" s="15"/>
      <c r="AN2345" s="15"/>
      <c r="AO2345" s="15"/>
      <c r="AP2345" s="15"/>
      <c r="AQ2345" s="15"/>
      <c r="AR2345" s="15"/>
      <c r="AS2345" s="15"/>
      <c r="AT2345" s="15"/>
      <c r="AU2345" s="15"/>
      <c r="AV2345" s="15"/>
      <c r="AW2345" s="15"/>
    </row>
    <row r="2346" spans="3:49" x14ac:dyDescent="0.2">
      <c r="C2346" s="15"/>
      <c r="D2346" s="15"/>
      <c r="E2346" s="15"/>
      <c r="F2346" s="15"/>
      <c r="G2346" s="15"/>
      <c r="H2346" s="15"/>
      <c r="I2346" s="15"/>
      <c r="J2346" s="15"/>
      <c r="K2346" s="15"/>
      <c r="L2346" s="28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5"/>
      <c r="AG2346" s="15"/>
      <c r="AH2346" s="15"/>
      <c r="AI2346" s="15"/>
      <c r="AJ2346" s="15"/>
      <c r="AK2346" s="15"/>
      <c r="AL2346" s="15"/>
      <c r="AM2346" s="15"/>
      <c r="AN2346" s="15"/>
      <c r="AO2346" s="15"/>
      <c r="AP2346" s="15"/>
      <c r="AQ2346" s="15"/>
      <c r="AR2346" s="15"/>
      <c r="AS2346" s="15"/>
      <c r="AT2346" s="15"/>
      <c r="AU2346" s="15"/>
      <c r="AV2346" s="15"/>
      <c r="AW2346" s="15"/>
    </row>
    <row r="2347" spans="3:49" x14ac:dyDescent="0.2">
      <c r="C2347" s="15"/>
      <c r="D2347" s="15"/>
      <c r="E2347" s="15"/>
      <c r="F2347" s="15"/>
      <c r="G2347" s="15"/>
      <c r="H2347" s="15"/>
      <c r="I2347" s="15"/>
      <c r="J2347" s="15"/>
      <c r="K2347" s="15"/>
      <c r="L2347" s="28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5"/>
      <c r="AG2347" s="15"/>
      <c r="AH2347" s="15"/>
      <c r="AI2347" s="15"/>
      <c r="AJ2347" s="15"/>
      <c r="AK2347" s="15"/>
      <c r="AL2347" s="15"/>
      <c r="AM2347" s="15"/>
      <c r="AN2347" s="15"/>
      <c r="AO2347" s="15"/>
      <c r="AP2347" s="15"/>
      <c r="AQ2347" s="15"/>
      <c r="AR2347" s="15"/>
      <c r="AS2347" s="15"/>
      <c r="AT2347" s="15"/>
      <c r="AU2347" s="15"/>
      <c r="AV2347" s="15"/>
      <c r="AW2347" s="15"/>
    </row>
    <row r="2348" spans="3:49" x14ac:dyDescent="0.2">
      <c r="C2348" s="15"/>
      <c r="D2348" s="15"/>
      <c r="E2348" s="15"/>
      <c r="F2348" s="15"/>
      <c r="G2348" s="15"/>
      <c r="H2348" s="15"/>
      <c r="I2348" s="15"/>
      <c r="J2348" s="15"/>
      <c r="K2348" s="15"/>
      <c r="L2348" s="28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5"/>
      <c r="AG2348" s="15"/>
      <c r="AH2348" s="15"/>
      <c r="AI2348" s="15"/>
      <c r="AJ2348" s="15"/>
      <c r="AK2348" s="15"/>
      <c r="AL2348" s="15"/>
      <c r="AM2348" s="15"/>
      <c r="AN2348" s="15"/>
      <c r="AO2348" s="15"/>
      <c r="AP2348" s="15"/>
      <c r="AQ2348" s="15"/>
      <c r="AR2348" s="15"/>
      <c r="AS2348" s="15"/>
      <c r="AT2348" s="15"/>
      <c r="AU2348" s="15"/>
      <c r="AV2348" s="15"/>
      <c r="AW2348" s="15"/>
    </row>
    <row r="2349" spans="3:49" x14ac:dyDescent="0.2">
      <c r="C2349" s="15"/>
      <c r="D2349" s="15"/>
      <c r="E2349" s="15"/>
      <c r="F2349" s="15"/>
      <c r="G2349" s="15"/>
      <c r="H2349" s="15"/>
      <c r="I2349" s="15"/>
      <c r="J2349" s="15"/>
      <c r="K2349" s="15"/>
      <c r="L2349" s="28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5"/>
      <c r="AG2349" s="15"/>
      <c r="AH2349" s="15"/>
      <c r="AI2349" s="15"/>
      <c r="AJ2349" s="15"/>
      <c r="AK2349" s="15"/>
      <c r="AL2349" s="15"/>
      <c r="AM2349" s="15"/>
      <c r="AN2349" s="15"/>
      <c r="AO2349" s="15"/>
      <c r="AP2349" s="15"/>
      <c r="AQ2349" s="15"/>
      <c r="AR2349" s="15"/>
      <c r="AS2349" s="15"/>
      <c r="AT2349" s="15"/>
      <c r="AU2349" s="15"/>
      <c r="AV2349" s="15"/>
      <c r="AW2349" s="15"/>
    </row>
    <row r="2350" spans="3:49" x14ac:dyDescent="0.2">
      <c r="C2350" s="15"/>
      <c r="D2350" s="15"/>
      <c r="E2350" s="15"/>
      <c r="F2350" s="15"/>
      <c r="G2350" s="15"/>
      <c r="H2350" s="15"/>
      <c r="I2350" s="15"/>
      <c r="J2350" s="15"/>
      <c r="K2350" s="15"/>
      <c r="L2350" s="28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5"/>
      <c r="AG2350" s="15"/>
      <c r="AH2350" s="15"/>
      <c r="AI2350" s="15"/>
      <c r="AJ2350" s="15"/>
      <c r="AK2350" s="15"/>
      <c r="AL2350" s="15"/>
      <c r="AM2350" s="15"/>
      <c r="AN2350" s="15"/>
      <c r="AO2350" s="15"/>
      <c r="AP2350" s="15"/>
      <c r="AQ2350" s="15"/>
      <c r="AR2350" s="15"/>
      <c r="AS2350" s="15"/>
      <c r="AT2350" s="15"/>
      <c r="AU2350" s="15"/>
      <c r="AV2350" s="15"/>
      <c r="AW2350" s="15"/>
    </row>
    <row r="2351" spans="3:49" x14ac:dyDescent="0.2">
      <c r="C2351" s="15"/>
      <c r="D2351" s="15"/>
      <c r="E2351" s="15"/>
      <c r="F2351" s="15"/>
      <c r="G2351" s="15"/>
      <c r="H2351" s="15"/>
      <c r="I2351" s="15"/>
      <c r="J2351" s="15"/>
      <c r="K2351" s="15"/>
      <c r="L2351" s="28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5"/>
      <c r="AG2351" s="15"/>
      <c r="AH2351" s="15"/>
      <c r="AI2351" s="15"/>
      <c r="AJ2351" s="15"/>
      <c r="AK2351" s="15"/>
      <c r="AL2351" s="15"/>
      <c r="AM2351" s="15"/>
      <c r="AN2351" s="15"/>
      <c r="AO2351" s="15"/>
      <c r="AP2351" s="15"/>
      <c r="AQ2351" s="15"/>
      <c r="AR2351" s="15"/>
      <c r="AS2351" s="15"/>
      <c r="AT2351" s="15"/>
      <c r="AU2351" s="15"/>
      <c r="AV2351" s="15"/>
      <c r="AW2351" s="15"/>
    </row>
    <row r="2352" spans="3:49" x14ac:dyDescent="0.2">
      <c r="C2352" s="15"/>
      <c r="D2352" s="15"/>
      <c r="E2352" s="15"/>
      <c r="F2352" s="15"/>
      <c r="G2352" s="15"/>
      <c r="H2352" s="15"/>
      <c r="I2352" s="15"/>
      <c r="J2352" s="15"/>
      <c r="K2352" s="15"/>
      <c r="L2352" s="28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5"/>
      <c r="AG2352" s="15"/>
      <c r="AH2352" s="15"/>
      <c r="AI2352" s="15"/>
      <c r="AJ2352" s="15"/>
      <c r="AK2352" s="15"/>
      <c r="AL2352" s="15"/>
      <c r="AM2352" s="15"/>
      <c r="AN2352" s="15"/>
      <c r="AO2352" s="15"/>
      <c r="AP2352" s="15"/>
      <c r="AQ2352" s="15"/>
      <c r="AR2352" s="15"/>
      <c r="AS2352" s="15"/>
      <c r="AT2352" s="15"/>
      <c r="AU2352" s="15"/>
      <c r="AV2352" s="15"/>
      <c r="AW2352" s="15"/>
    </row>
    <row r="2353" spans="3:49" x14ac:dyDescent="0.2">
      <c r="C2353" s="15"/>
      <c r="D2353" s="15"/>
      <c r="E2353" s="15"/>
      <c r="F2353" s="15"/>
      <c r="G2353" s="15"/>
      <c r="H2353" s="15"/>
      <c r="I2353" s="15"/>
      <c r="J2353" s="15"/>
      <c r="K2353" s="15"/>
      <c r="L2353" s="28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5"/>
      <c r="AG2353" s="15"/>
      <c r="AH2353" s="15"/>
      <c r="AI2353" s="15"/>
      <c r="AJ2353" s="15"/>
      <c r="AK2353" s="15"/>
      <c r="AL2353" s="15"/>
      <c r="AM2353" s="15"/>
      <c r="AN2353" s="15"/>
      <c r="AO2353" s="15"/>
      <c r="AP2353" s="15"/>
      <c r="AQ2353" s="15"/>
      <c r="AR2353" s="15"/>
      <c r="AS2353" s="15"/>
      <c r="AT2353" s="15"/>
      <c r="AU2353" s="15"/>
      <c r="AV2353" s="15"/>
      <c r="AW2353" s="15"/>
    </row>
    <row r="2354" spans="3:49" x14ac:dyDescent="0.2">
      <c r="C2354" s="15"/>
      <c r="D2354" s="15"/>
      <c r="E2354" s="15"/>
      <c r="F2354" s="15"/>
      <c r="G2354" s="15"/>
      <c r="H2354" s="15"/>
      <c r="I2354" s="15"/>
      <c r="J2354" s="15"/>
      <c r="K2354" s="15"/>
      <c r="L2354" s="28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5"/>
      <c r="AG2354" s="15"/>
      <c r="AH2354" s="15"/>
      <c r="AI2354" s="15"/>
      <c r="AJ2354" s="15"/>
      <c r="AK2354" s="15"/>
      <c r="AL2354" s="15"/>
      <c r="AM2354" s="15"/>
      <c r="AN2354" s="15"/>
      <c r="AO2354" s="15"/>
      <c r="AP2354" s="15"/>
      <c r="AQ2354" s="15"/>
      <c r="AR2354" s="15"/>
      <c r="AS2354" s="15"/>
      <c r="AT2354" s="15"/>
      <c r="AU2354" s="15"/>
      <c r="AV2354" s="15"/>
      <c r="AW2354" s="15"/>
    </row>
    <row r="2355" spans="3:49" x14ac:dyDescent="0.2">
      <c r="C2355" s="15"/>
      <c r="D2355" s="15"/>
      <c r="E2355" s="15"/>
      <c r="F2355" s="15"/>
      <c r="G2355" s="15"/>
      <c r="H2355" s="15"/>
      <c r="I2355" s="15"/>
      <c r="J2355" s="15"/>
      <c r="K2355" s="15"/>
      <c r="L2355" s="28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5"/>
      <c r="AG2355" s="15"/>
      <c r="AH2355" s="15"/>
      <c r="AI2355" s="15"/>
      <c r="AJ2355" s="15"/>
      <c r="AK2355" s="15"/>
      <c r="AL2355" s="15"/>
      <c r="AM2355" s="15"/>
      <c r="AN2355" s="15"/>
      <c r="AO2355" s="15"/>
      <c r="AP2355" s="15"/>
      <c r="AQ2355" s="15"/>
      <c r="AR2355" s="15"/>
      <c r="AS2355" s="15"/>
      <c r="AT2355" s="15"/>
      <c r="AU2355" s="15"/>
      <c r="AV2355" s="15"/>
      <c r="AW2355" s="15"/>
    </row>
    <row r="2356" spans="3:49" x14ac:dyDescent="0.2">
      <c r="C2356" s="15"/>
      <c r="D2356" s="15"/>
      <c r="E2356" s="15"/>
      <c r="F2356" s="15"/>
      <c r="G2356" s="15"/>
      <c r="H2356" s="15"/>
      <c r="I2356" s="15"/>
      <c r="J2356" s="15"/>
      <c r="K2356" s="15"/>
      <c r="L2356" s="28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5"/>
      <c r="AG2356" s="15"/>
      <c r="AH2356" s="15"/>
      <c r="AI2356" s="15"/>
      <c r="AJ2356" s="15"/>
      <c r="AK2356" s="15"/>
      <c r="AL2356" s="15"/>
      <c r="AM2356" s="15"/>
      <c r="AN2356" s="15"/>
      <c r="AO2356" s="15"/>
      <c r="AP2356" s="15"/>
      <c r="AQ2356" s="15"/>
      <c r="AR2356" s="15"/>
      <c r="AS2356" s="15"/>
      <c r="AT2356" s="15"/>
      <c r="AU2356" s="15"/>
      <c r="AV2356" s="15"/>
      <c r="AW2356" s="15"/>
    </row>
    <row r="2357" spans="3:49" x14ac:dyDescent="0.2">
      <c r="C2357" s="15"/>
      <c r="D2357" s="15"/>
      <c r="E2357" s="15"/>
      <c r="F2357" s="15"/>
      <c r="G2357" s="15"/>
      <c r="H2357" s="15"/>
      <c r="I2357" s="15"/>
      <c r="J2357" s="15"/>
      <c r="K2357" s="15"/>
      <c r="L2357" s="28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5"/>
      <c r="AG2357" s="15"/>
      <c r="AH2357" s="15"/>
      <c r="AI2357" s="15"/>
      <c r="AJ2357" s="15"/>
      <c r="AK2357" s="15"/>
      <c r="AL2357" s="15"/>
      <c r="AM2357" s="15"/>
      <c r="AN2357" s="15"/>
      <c r="AO2357" s="15"/>
      <c r="AP2357" s="15"/>
      <c r="AQ2357" s="15"/>
      <c r="AR2357" s="15"/>
      <c r="AS2357" s="15"/>
      <c r="AT2357" s="15"/>
      <c r="AU2357" s="15"/>
      <c r="AV2357" s="15"/>
      <c r="AW2357" s="15"/>
    </row>
    <row r="2358" spans="3:49" x14ac:dyDescent="0.2">
      <c r="C2358" s="15"/>
      <c r="D2358" s="15"/>
      <c r="E2358" s="15"/>
      <c r="F2358" s="15"/>
      <c r="G2358" s="15"/>
      <c r="H2358" s="15"/>
      <c r="I2358" s="15"/>
      <c r="J2358" s="15"/>
      <c r="K2358" s="15"/>
      <c r="L2358" s="28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5"/>
      <c r="AG2358" s="15"/>
      <c r="AH2358" s="15"/>
      <c r="AI2358" s="15"/>
      <c r="AJ2358" s="15"/>
      <c r="AK2358" s="15"/>
      <c r="AL2358" s="15"/>
      <c r="AM2358" s="15"/>
      <c r="AN2358" s="15"/>
      <c r="AO2358" s="15"/>
      <c r="AP2358" s="15"/>
      <c r="AQ2358" s="15"/>
      <c r="AR2358" s="15"/>
      <c r="AS2358" s="15"/>
      <c r="AT2358" s="15"/>
      <c r="AU2358" s="15"/>
      <c r="AV2358" s="15"/>
      <c r="AW2358" s="15"/>
    </row>
    <row r="2359" spans="3:49" x14ac:dyDescent="0.2">
      <c r="C2359" s="15"/>
      <c r="D2359" s="15"/>
      <c r="E2359" s="15"/>
      <c r="F2359" s="15"/>
      <c r="G2359" s="15"/>
      <c r="H2359" s="15"/>
      <c r="I2359" s="15"/>
      <c r="J2359" s="15"/>
      <c r="K2359" s="15"/>
      <c r="L2359" s="28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5"/>
      <c r="AG2359" s="15"/>
      <c r="AH2359" s="15"/>
      <c r="AI2359" s="15"/>
      <c r="AJ2359" s="15"/>
      <c r="AK2359" s="15"/>
      <c r="AL2359" s="15"/>
      <c r="AM2359" s="15"/>
      <c r="AN2359" s="15"/>
      <c r="AO2359" s="15"/>
      <c r="AP2359" s="15"/>
      <c r="AQ2359" s="15"/>
      <c r="AR2359" s="15"/>
      <c r="AS2359" s="15"/>
      <c r="AT2359" s="15"/>
      <c r="AU2359" s="15"/>
      <c r="AV2359" s="15"/>
      <c r="AW2359" s="15"/>
    </row>
    <row r="2360" spans="3:49" x14ac:dyDescent="0.2">
      <c r="C2360" s="15"/>
      <c r="D2360" s="15"/>
      <c r="E2360" s="15"/>
      <c r="F2360" s="15"/>
      <c r="G2360" s="15"/>
      <c r="H2360" s="15"/>
      <c r="I2360" s="15"/>
      <c r="J2360" s="15"/>
      <c r="K2360" s="15"/>
      <c r="L2360" s="28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5"/>
      <c r="AG2360" s="15"/>
      <c r="AH2360" s="15"/>
      <c r="AI2360" s="15"/>
      <c r="AJ2360" s="15"/>
      <c r="AK2360" s="15"/>
      <c r="AL2360" s="15"/>
      <c r="AM2360" s="15"/>
      <c r="AN2360" s="15"/>
      <c r="AO2360" s="15"/>
      <c r="AP2360" s="15"/>
      <c r="AQ2360" s="15"/>
      <c r="AR2360" s="15"/>
      <c r="AS2360" s="15"/>
      <c r="AT2360" s="15"/>
      <c r="AU2360" s="15"/>
      <c r="AV2360" s="15"/>
      <c r="AW2360" s="15"/>
    </row>
    <row r="2361" spans="3:49" x14ac:dyDescent="0.2">
      <c r="C2361" s="15"/>
      <c r="D2361" s="15"/>
      <c r="E2361" s="15"/>
      <c r="F2361" s="15"/>
      <c r="G2361" s="15"/>
      <c r="H2361" s="15"/>
      <c r="I2361" s="15"/>
      <c r="J2361" s="15"/>
      <c r="K2361" s="15"/>
      <c r="L2361" s="28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5"/>
      <c r="AG2361" s="15"/>
      <c r="AH2361" s="15"/>
      <c r="AI2361" s="15"/>
      <c r="AJ2361" s="15"/>
      <c r="AK2361" s="15"/>
      <c r="AL2361" s="15"/>
      <c r="AM2361" s="15"/>
      <c r="AN2361" s="15"/>
      <c r="AO2361" s="15"/>
      <c r="AP2361" s="15"/>
      <c r="AQ2361" s="15"/>
      <c r="AR2361" s="15"/>
      <c r="AS2361" s="15"/>
      <c r="AT2361" s="15"/>
      <c r="AU2361" s="15"/>
      <c r="AV2361" s="15"/>
      <c r="AW2361" s="15"/>
    </row>
    <row r="2362" spans="3:49" x14ac:dyDescent="0.2">
      <c r="C2362" s="15"/>
      <c r="D2362" s="15"/>
      <c r="E2362" s="15"/>
      <c r="F2362" s="15"/>
      <c r="G2362" s="15"/>
      <c r="H2362" s="15"/>
      <c r="I2362" s="15"/>
      <c r="J2362" s="15"/>
      <c r="K2362" s="15"/>
      <c r="L2362" s="28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5"/>
      <c r="AG2362" s="15"/>
      <c r="AH2362" s="15"/>
      <c r="AI2362" s="15"/>
      <c r="AJ2362" s="15"/>
      <c r="AK2362" s="15"/>
      <c r="AL2362" s="15"/>
      <c r="AM2362" s="15"/>
      <c r="AN2362" s="15"/>
      <c r="AO2362" s="15"/>
      <c r="AP2362" s="15"/>
      <c r="AQ2362" s="15"/>
      <c r="AR2362" s="15"/>
      <c r="AS2362" s="15"/>
      <c r="AT2362" s="15"/>
      <c r="AU2362" s="15"/>
      <c r="AV2362" s="15"/>
      <c r="AW2362" s="15"/>
    </row>
    <row r="2363" spans="3:49" x14ac:dyDescent="0.2">
      <c r="C2363" s="15"/>
      <c r="D2363" s="15"/>
      <c r="E2363" s="15"/>
      <c r="F2363" s="15"/>
      <c r="G2363" s="15"/>
      <c r="H2363" s="15"/>
      <c r="I2363" s="15"/>
      <c r="J2363" s="15"/>
      <c r="K2363" s="15"/>
      <c r="L2363" s="28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5"/>
      <c r="AG2363" s="15"/>
      <c r="AH2363" s="15"/>
      <c r="AI2363" s="15"/>
      <c r="AJ2363" s="15"/>
      <c r="AK2363" s="15"/>
      <c r="AL2363" s="15"/>
      <c r="AM2363" s="15"/>
      <c r="AN2363" s="15"/>
      <c r="AO2363" s="15"/>
      <c r="AP2363" s="15"/>
      <c r="AQ2363" s="15"/>
      <c r="AR2363" s="15"/>
      <c r="AS2363" s="15"/>
      <c r="AT2363" s="15"/>
      <c r="AU2363" s="15"/>
      <c r="AV2363" s="15"/>
      <c r="AW2363" s="15"/>
    </row>
    <row r="2364" spans="3:49" x14ac:dyDescent="0.2">
      <c r="C2364" s="15"/>
      <c r="D2364" s="15"/>
      <c r="E2364" s="15"/>
      <c r="F2364" s="15"/>
      <c r="G2364" s="15"/>
      <c r="H2364" s="15"/>
      <c r="I2364" s="15"/>
      <c r="J2364" s="15"/>
      <c r="K2364" s="15"/>
      <c r="L2364" s="28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5"/>
      <c r="AG2364" s="15"/>
      <c r="AH2364" s="15"/>
      <c r="AI2364" s="15"/>
      <c r="AJ2364" s="15"/>
      <c r="AK2364" s="15"/>
      <c r="AL2364" s="15"/>
      <c r="AM2364" s="15"/>
      <c r="AN2364" s="15"/>
      <c r="AO2364" s="15"/>
      <c r="AP2364" s="15"/>
      <c r="AQ2364" s="15"/>
      <c r="AR2364" s="15"/>
      <c r="AS2364" s="15"/>
      <c r="AT2364" s="15"/>
      <c r="AU2364" s="15"/>
      <c r="AV2364" s="15"/>
      <c r="AW2364" s="15"/>
    </row>
    <row r="2365" spans="3:49" x14ac:dyDescent="0.2">
      <c r="C2365" s="15"/>
      <c r="D2365" s="15"/>
      <c r="E2365" s="15"/>
      <c r="F2365" s="15"/>
      <c r="G2365" s="15"/>
      <c r="H2365" s="15"/>
      <c r="I2365" s="15"/>
      <c r="J2365" s="15"/>
      <c r="K2365" s="15"/>
      <c r="L2365" s="28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5"/>
      <c r="AG2365" s="15"/>
      <c r="AH2365" s="15"/>
      <c r="AI2365" s="15"/>
      <c r="AJ2365" s="15"/>
      <c r="AK2365" s="15"/>
      <c r="AL2365" s="15"/>
      <c r="AM2365" s="15"/>
      <c r="AN2365" s="15"/>
      <c r="AO2365" s="15"/>
      <c r="AP2365" s="15"/>
      <c r="AQ2365" s="15"/>
      <c r="AR2365" s="15"/>
      <c r="AS2365" s="15"/>
      <c r="AT2365" s="15"/>
      <c r="AU2365" s="15"/>
      <c r="AV2365" s="15"/>
      <c r="AW2365" s="15"/>
    </row>
    <row r="2366" spans="3:49" x14ac:dyDescent="0.2">
      <c r="C2366" s="15"/>
      <c r="D2366" s="15"/>
      <c r="E2366" s="15"/>
      <c r="F2366" s="15"/>
      <c r="G2366" s="15"/>
      <c r="H2366" s="15"/>
      <c r="I2366" s="15"/>
      <c r="J2366" s="15"/>
      <c r="K2366" s="15"/>
      <c r="L2366" s="28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5"/>
      <c r="AG2366" s="15"/>
      <c r="AH2366" s="15"/>
      <c r="AI2366" s="15"/>
      <c r="AJ2366" s="15"/>
      <c r="AK2366" s="15"/>
      <c r="AL2366" s="15"/>
      <c r="AM2366" s="15"/>
      <c r="AN2366" s="15"/>
      <c r="AO2366" s="15"/>
      <c r="AP2366" s="15"/>
      <c r="AQ2366" s="15"/>
      <c r="AR2366" s="15"/>
      <c r="AS2366" s="15"/>
      <c r="AT2366" s="15"/>
      <c r="AU2366" s="15"/>
      <c r="AV2366" s="15"/>
      <c r="AW2366" s="15"/>
    </row>
    <row r="2367" spans="3:49" x14ac:dyDescent="0.2">
      <c r="C2367" s="15"/>
      <c r="D2367" s="15"/>
      <c r="E2367" s="15"/>
      <c r="F2367" s="15"/>
      <c r="G2367" s="15"/>
      <c r="H2367" s="15"/>
      <c r="I2367" s="15"/>
      <c r="J2367" s="15"/>
      <c r="K2367" s="15"/>
      <c r="L2367" s="28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5"/>
      <c r="AG2367" s="15"/>
      <c r="AH2367" s="15"/>
      <c r="AI2367" s="15"/>
      <c r="AJ2367" s="15"/>
      <c r="AK2367" s="15"/>
      <c r="AL2367" s="15"/>
      <c r="AM2367" s="15"/>
      <c r="AN2367" s="15"/>
      <c r="AO2367" s="15"/>
      <c r="AP2367" s="15"/>
      <c r="AQ2367" s="15"/>
      <c r="AR2367" s="15"/>
      <c r="AS2367" s="15"/>
      <c r="AT2367" s="15"/>
      <c r="AU2367" s="15"/>
      <c r="AV2367" s="15"/>
      <c r="AW2367" s="15"/>
    </row>
    <row r="2368" spans="3:49" x14ac:dyDescent="0.2">
      <c r="C2368" s="15"/>
      <c r="D2368" s="15"/>
      <c r="E2368" s="15"/>
      <c r="F2368" s="15"/>
      <c r="G2368" s="15"/>
      <c r="H2368" s="15"/>
      <c r="I2368" s="15"/>
      <c r="J2368" s="15"/>
      <c r="K2368" s="15"/>
      <c r="L2368" s="28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5"/>
      <c r="AG2368" s="15"/>
      <c r="AH2368" s="15"/>
      <c r="AI2368" s="15"/>
      <c r="AJ2368" s="15"/>
      <c r="AK2368" s="15"/>
      <c r="AL2368" s="15"/>
      <c r="AM2368" s="15"/>
      <c r="AN2368" s="15"/>
      <c r="AO2368" s="15"/>
      <c r="AP2368" s="15"/>
      <c r="AQ2368" s="15"/>
      <c r="AR2368" s="15"/>
      <c r="AS2368" s="15"/>
      <c r="AT2368" s="15"/>
      <c r="AU2368" s="15"/>
      <c r="AV2368" s="15"/>
      <c r="AW2368" s="15"/>
    </row>
    <row r="2369" spans="3:49" x14ac:dyDescent="0.2">
      <c r="C2369" s="15"/>
      <c r="D2369" s="15"/>
      <c r="E2369" s="15"/>
      <c r="F2369" s="15"/>
      <c r="G2369" s="15"/>
      <c r="H2369" s="15"/>
      <c r="I2369" s="15"/>
      <c r="J2369" s="15"/>
      <c r="K2369" s="15"/>
      <c r="L2369" s="28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5"/>
      <c r="AG2369" s="15"/>
      <c r="AH2369" s="15"/>
      <c r="AI2369" s="15"/>
      <c r="AJ2369" s="15"/>
      <c r="AK2369" s="15"/>
      <c r="AL2369" s="15"/>
      <c r="AM2369" s="15"/>
      <c r="AN2369" s="15"/>
      <c r="AO2369" s="15"/>
      <c r="AP2369" s="15"/>
      <c r="AQ2369" s="15"/>
      <c r="AR2369" s="15"/>
      <c r="AS2369" s="15"/>
      <c r="AT2369" s="15"/>
      <c r="AU2369" s="15"/>
      <c r="AV2369" s="15"/>
      <c r="AW2369" s="15"/>
    </row>
    <row r="2370" spans="3:49" x14ac:dyDescent="0.2">
      <c r="C2370" s="15"/>
      <c r="D2370" s="15"/>
      <c r="E2370" s="15"/>
      <c r="F2370" s="15"/>
      <c r="G2370" s="15"/>
      <c r="H2370" s="15"/>
      <c r="I2370" s="15"/>
      <c r="J2370" s="15"/>
      <c r="K2370" s="15"/>
      <c r="L2370" s="28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5"/>
      <c r="AG2370" s="15"/>
      <c r="AH2370" s="15"/>
      <c r="AI2370" s="15"/>
      <c r="AJ2370" s="15"/>
      <c r="AK2370" s="15"/>
      <c r="AL2370" s="15"/>
      <c r="AM2370" s="15"/>
      <c r="AN2370" s="15"/>
      <c r="AO2370" s="15"/>
      <c r="AP2370" s="15"/>
      <c r="AQ2370" s="15"/>
      <c r="AR2370" s="15"/>
      <c r="AS2370" s="15"/>
      <c r="AT2370" s="15"/>
      <c r="AU2370" s="15"/>
      <c r="AV2370" s="15"/>
      <c r="AW2370" s="15"/>
    </row>
    <row r="2371" spans="3:49" x14ac:dyDescent="0.2">
      <c r="C2371" s="15"/>
      <c r="D2371" s="15"/>
      <c r="E2371" s="15"/>
      <c r="F2371" s="15"/>
      <c r="G2371" s="15"/>
      <c r="H2371" s="15"/>
      <c r="I2371" s="15"/>
      <c r="J2371" s="15"/>
      <c r="K2371" s="15"/>
      <c r="L2371" s="28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5"/>
      <c r="AG2371" s="15"/>
      <c r="AH2371" s="15"/>
      <c r="AI2371" s="15"/>
      <c r="AJ2371" s="15"/>
      <c r="AK2371" s="15"/>
      <c r="AL2371" s="15"/>
      <c r="AM2371" s="15"/>
      <c r="AN2371" s="15"/>
      <c r="AO2371" s="15"/>
      <c r="AP2371" s="15"/>
      <c r="AQ2371" s="15"/>
      <c r="AR2371" s="15"/>
      <c r="AS2371" s="15"/>
      <c r="AT2371" s="15"/>
      <c r="AU2371" s="15"/>
      <c r="AV2371" s="15"/>
      <c r="AW2371" s="15"/>
    </row>
    <row r="2372" spans="3:49" x14ac:dyDescent="0.2">
      <c r="C2372" s="15"/>
      <c r="D2372" s="15"/>
      <c r="E2372" s="15"/>
      <c r="F2372" s="15"/>
      <c r="G2372" s="15"/>
      <c r="H2372" s="15"/>
      <c r="I2372" s="15"/>
      <c r="J2372" s="15"/>
      <c r="K2372" s="15"/>
      <c r="L2372" s="28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5"/>
      <c r="AG2372" s="15"/>
      <c r="AH2372" s="15"/>
      <c r="AI2372" s="15"/>
      <c r="AJ2372" s="15"/>
      <c r="AK2372" s="15"/>
      <c r="AL2372" s="15"/>
      <c r="AM2372" s="15"/>
      <c r="AN2372" s="15"/>
      <c r="AO2372" s="15"/>
      <c r="AP2372" s="15"/>
      <c r="AQ2372" s="15"/>
      <c r="AR2372" s="15"/>
      <c r="AS2372" s="15"/>
      <c r="AT2372" s="15"/>
      <c r="AU2372" s="15"/>
      <c r="AV2372" s="15"/>
      <c r="AW2372" s="15"/>
    </row>
    <row r="2373" spans="3:49" x14ac:dyDescent="0.2">
      <c r="C2373" s="15"/>
      <c r="D2373" s="15"/>
      <c r="E2373" s="15"/>
      <c r="F2373" s="15"/>
      <c r="G2373" s="15"/>
      <c r="H2373" s="15"/>
      <c r="I2373" s="15"/>
      <c r="J2373" s="15"/>
      <c r="K2373" s="15"/>
      <c r="L2373" s="28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5"/>
      <c r="AG2373" s="15"/>
      <c r="AH2373" s="15"/>
      <c r="AI2373" s="15"/>
      <c r="AJ2373" s="15"/>
      <c r="AK2373" s="15"/>
      <c r="AL2373" s="15"/>
      <c r="AM2373" s="15"/>
      <c r="AN2373" s="15"/>
      <c r="AO2373" s="15"/>
      <c r="AP2373" s="15"/>
      <c r="AQ2373" s="15"/>
      <c r="AR2373" s="15"/>
      <c r="AS2373" s="15"/>
      <c r="AT2373" s="15"/>
      <c r="AU2373" s="15"/>
      <c r="AV2373" s="15"/>
      <c r="AW2373" s="15"/>
    </row>
    <row r="2374" spans="3:49" x14ac:dyDescent="0.2">
      <c r="C2374" s="15"/>
      <c r="D2374" s="15"/>
      <c r="E2374" s="15"/>
      <c r="F2374" s="15"/>
      <c r="G2374" s="15"/>
      <c r="H2374" s="15"/>
      <c r="I2374" s="15"/>
      <c r="J2374" s="15"/>
      <c r="K2374" s="15"/>
      <c r="L2374" s="28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5"/>
      <c r="AG2374" s="15"/>
      <c r="AH2374" s="15"/>
      <c r="AI2374" s="15"/>
      <c r="AJ2374" s="15"/>
      <c r="AK2374" s="15"/>
      <c r="AL2374" s="15"/>
      <c r="AM2374" s="15"/>
      <c r="AN2374" s="15"/>
      <c r="AO2374" s="15"/>
      <c r="AP2374" s="15"/>
      <c r="AQ2374" s="15"/>
      <c r="AR2374" s="15"/>
      <c r="AS2374" s="15"/>
      <c r="AT2374" s="15"/>
      <c r="AU2374" s="15"/>
      <c r="AV2374" s="15"/>
      <c r="AW2374" s="15"/>
    </row>
    <row r="2375" spans="3:49" x14ac:dyDescent="0.2">
      <c r="C2375" s="15"/>
      <c r="D2375" s="15"/>
      <c r="E2375" s="15"/>
      <c r="F2375" s="15"/>
      <c r="G2375" s="15"/>
      <c r="H2375" s="15"/>
      <c r="I2375" s="15"/>
      <c r="J2375" s="15"/>
      <c r="K2375" s="15"/>
      <c r="L2375" s="28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5"/>
      <c r="AG2375" s="15"/>
      <c r="AH2375" s="15"/>
      <c r="AI2375" s="15"/>
      <c r="AJ2375" s="15"/>
      <c r="AK2375" s="15"/>
      <c r="AL2375" s="15"/>
      <c r="AM2375" s="15"/>
      <c r="AN2375" s="15"/>
      <c r="AO2375" s="15"/>
      <c r="AP2375" s="15"/>
      <c r="AQ2375" s="15"/>
      <c r="AR2375" s="15"/>
      <c r="AS2375" s="15"/>
      <c r="AT2375" s="15"/>
      <c r="AU2375" s="15"/>
      <c r="AV2375" s="15"/>
      <c r="AW2375" s="15"/>
    </row>
    <row r="2376" spans="3:49" x14ac:dyDescent="0.2">
      <c r="C2376" s="15"/>
      <c r="D2376" s="15"/>
      <c r="E2376" s="15"/>
      <c r="F2376" s="15"/>
      <c r="G2376" s="15"/>
      <c r="H2376" s="15"/>
      <c r="I2376" s="15"/>
      <c r="J2376" s="15"/>
      <c r="K2376" s="15"/>
      <c r="L2376" s="28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5"/>
      <c r="AG2376" s="15"/>
      <c r="AH2376" s="15"/>
      <c r="AI2376" s="15"/>
      <c r="AJ2376" s="15"/>
      <c r="AK2376" s="15"/>
      <c r="AL2376" s="15"/>
      <c r="AM2376" s="15"/>
      <c r="AN2376" s="15"/>
      <c r="AO2376" s="15"/>
      <c r="AP2376" s="15"/>
      <c r="AQ2376" s="15"/>
      <c r="AR2376" s="15"/>
      <c r="AS2376" s="15"/>
      <c r="AT2376" s="15"/>
      <c r="AU2376" s="15"/>
      <c r="AV2376" s="15"/>
      <c r="AW2376" s="15"/>
    </row>
    <row r="2377" spans="3:49" x14ac:dyDescent="0.2">
      <c r="C2377" s="15"/>
      <c r="D2377" s="15"/>
      <c r="E2377" s="15"/>
      <c r="F2377" s="15"/>
      <c r="G2377" s="15"/>
      <c r="H2377" s="15"/>
      <c r="I2377" s="15"/>
      <c r="J2377" s="15"/>
      <c r="K2377" s="15"/>
      <c r="L2377" s="28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5"/>
      <c r="AG2377" s="15"/>
      <c r="AH2377" s="15"/>
      <c r="AI2377" s="15"/>
      <c r="AJ2377" s="15"/>
      <c r="AK2377" s="15"/>
      <c r="AL2377" s="15"/>
      <c r="AM2377" s="15"/>
      <c r="AN2377" s="15"/>
      <c r="AO2377" s="15"/>
      <c r="AP2377" s="15"/>
      <c r="AQ2377" s="15"/>
      <c r="AR2377" s="15"/>
      <c r="AS2377" s="15"/>
      <c r="AT2377" s="15"/>
      <c r="AU2377" s="15"/>
      <c r="AV2377" s="15"/>
      <c r="AW2377" s="15"/>
    </row>
    <row r="2378" spans="3:49" x14ac:dyDescent="0.2">
      <c r="C2378" s="15"/>
      <c r="D2378" s="15"/>
      <c r="E2378" s="15"/>
      <c r="F2378" s="15"/>
      <c r="G2378" s="15"/>
      <c r="H2378" s="15"/>
      <c r="I2378" s="15"/>
      <c r="J2378" s="15"/>
      <c r="K2378" s="15"/>
      <c r="L2378" s="28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5"/>
      <c r="AG2378" s="15"/>
      <c r="AH2378" s="15"/>
      <c r="AI2378" s="15"/>
      <c r="AJ2378" s="15"/>
      <c r="AK2378" s="15"/>
      <c r="AL2378" s="15"/>
      <c r="AM2378" s="15"/>
      <c r="AN2378" s="15"/>
      <c r="AO2378" s="15"/>
      <c r="AP2378" s="15"/>
      <c r="AQ2378" s="15"/>
      <c r="AR2378" s="15"/>
      <c r="AS2378" s="15"/>
      <c r="AT2378" s="15"/>
      <c r="AU2378" s="15"/>
      <c r="AV2378" s="15"/>
      <c r="AW2378" s="15"/>
    </row>
    <row r="2379" spans="3:49" x14ac:dyDescent="0.2">
      <c r="C2379" s="15"/>
      <c r="D2379" s="15"/>
      <c r="E2379" s="15"/>
      <c r="F2379" s="15"/>
      <c r="G2379" s="15"/>
      <c r="H2379" s="15"/>
      <c r="I2379" s="15"/>
      <c r="J2379" s="15"/>
      <c r="K2379" s="15"/>
      <c r="L2379" s="28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5"/>
      <c r="AG2379" s="15"/>
      <c r="AH2379" s="15"/>
      <c r="AI2379" s="15"/>
      <c r="AJ2379" s="15"/>
      <c r="AK2379" s="15"/>
      <c r="AL2379" s="15"/>
      <c r="AM2379" s="15"/>
      <c r="AN2379" s="15"/>
      <c r="AO2379" s="15"/>
      <c r="AP2379" s="15"/>
      <c r="AQ2379" s="15"/>
      <c r="AR2379" s="15"/>
      <c r="AS2379" s="15"/>
      <c r="AT2379" s="15"/>
      <c r="AU2379" s="15"/>
      <c r="AV2379" s="15"/>
      <c r="AW2379" s="15"/>
    </row>
    <row r="2380" spans="3:49" x14ac:dyDescent="0.2">
      <c r="C2380" s="15"/>
      <c r="D2380" s="15"/>
      <c r="E2380" s="15"/>
      <c r="F2380" s="15"/>
      <c r="G2380" s="15"/>
      <c r="H2380" s="15"/>
      <c r="I2380" s="15"/>
      <c r="J2380" s="15"/>
      <c r="K2380" s="15"/>
      <c r="L2380" s="28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5"/>
      <c r="AG2380" s="15"/>
      <c r="AH2380" s="15"/>
      <c r="AI2380" s="15"/>
      <c r="AJ2380" s="15"/>
      <c r="AK2380" s="15"/>
      <c r="AL2380" s="15"/>
      <c r="AM2380" s="15"/>
      <c r="AN2380" s="15"/>
      <c r="AO2380" s="15"/>
      <c r="AP2380" s="15"/>
      <c r="AQ2380" s="15"/>
      <c r="AR2380" s="15"/>
      <c r="AS2380" s="15"/>
      <c r="AT2380" s="15"/>
      <c r="AU2380" s="15"/>
      <c r="AV2380" s="15"/>
      <c r="AW2380" s="15"/>
    </row>
    <row r="2381" spans="3:49" x14ac:dyDescent="0.2">
      <c r="C2381" s="15"/>
      <c r="D2381" s="15"/>
      <c r="E2381" s="15"/>
      <c r="F2381" s="15"/>
      <c r="G2381" s="15"/>
      <c r="H2381" s="15"/>
      <c r="I2381" s="15"/>
      <c r="J2381" s="15"/>
      <c r="K2381" s="15"/>
      <c r="L2381" s="28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5"/>
      <c r="AG2381" s="15"/>
      <c r="AH2381" s="15"/>
      <c r="AI2381" s="15"/>
      <c r="AJ2381" s="15"/>
      <c r="AK2381" s="15"/>
      <c r="AL2381" s="15"/>
      <c r="AM2381" s="15"/>
      <c r="AN2381" s="15"/>
      <c r="AO2381" s="15"/>
      <c r="AP2381" s="15"/>
      <c r="AQ2381" s="15"/>
      <c r="AR2381" s="15"/>
      <c r="AS2381" s="15"/>
      <c r="AT2381" s="15"/>
      <c r="AU2381" s="15"/>
      <c r="AV2381" s="15"/>
      <c r="AW2381" s="15"/>
    </row>
    <row r="2382" spans="3:49" x14ac:dyDescent="0.2">
      <c r="C2382" s="15"/>
      <c r="D2382" s="15"/>
      <c r="E2382" s="15"/>
      <c r="F2382" s="15"/>
      <c r="G2382" s="15"/>
      <c r="H2382" s="15"/>
      <c r="I2382" s="15"/>
      <c r="J2382" s="15"/>
      <c r="K2382" s="15"/>
      <c r="L2382" s="28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5"/>
      <c r="AG2382" s="15"/>
      <c r="AH2382" s="15"/>
      <c r="AI2382" s="15"/>
      <c r="AJ2382" s="15"/>
      <c r="AK2382" s="15"/>
      <c r="AL2382" s="15"/>
      <c r="AM2382" s="15"/>
      <c r="AN2382" s="15"/>
      <c r="AO2382" s="15"/>
      <c r="AP2382" s="15"/>
      <c r="AQ2382" s="15"/>
      <c r="AR2382" s="15"/>
      <c r="AS2382" s="15"/>
      <c r="AT2382" s="15"/>
      <c r="AU2382" s="15"/>
      <c r="AV2382" s="15"/>
      <c r="AW2382" s="15"/>
    </row>
    <row r="2383" spans="3:49" x14ac:dyDescent="0.2">
      <c r="C2383" s="15"/>
      <c r="D2383" s="15"/>
      <c r="E2383" s="15"/>
      <c r="F2383" s="15"/>
      <c r="G2383" s="15"/>
      <c r="H2383" s="15"/>
      <c r="I2383" s="15"/>
      <c r="J2383" s="15"/>
      <c r="K2383" s="15"/>
      <c r="L2383" s="28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5"/>
      <c r="AG2383" s="15"/>
      <c r="AH2383" s="15"/>
      <c r="AI2383" s="15"/>
      <c r="AJ2383" s="15"/>
      <c r="AK2383" s="15"/>
      <c r="AL2383" s="15"/>
      <c r="AM2383" s="15"/>
      <c r="AN2383" s="15"/>
      <c r="AO2383" s="15"/>
      <c r="AP2383" s="15"/>
      <c r="AQ2383" s="15"/>
      <c r="AR2383" s="15"/>
      <c r="AS2383" s="15"/>
      <c r="AT2383" s="15"/>
      <c r="AU2383" s="15"/>
      <c r="AV2383" s="15"/>
      <c r="AW2383" s="15"/>
    </row>
    <row r="2384" spans="3:49" x14ac:dyDescent="0.2">
      <c r="C2384" s="15"/>
      <c r="D2384" s="15"/>
      <c r="E2384" s="15"/>
      <c r="F2384" s="15"/>
      <c r="G2384" s="15"/>
      <c r="H2384" s="15"/>
      <c r="I2384" s="15"/>
      <c r="J2384" s="15"/>
      <c r="K2384" s="15"/>
      <c r="L2384" s="28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5"/>
      <c r="AG2384" s="15"/>
      <c r="AH2384" s="15"/>
      <c r="AI2384" s="15"/>
      <c r="AJ2384" s="15"/>
      <c r="AK2384" s="15"/>
      <c r="AL2384" s="15"/>
      <c r="AM2384" s="15"/>
      <c r="AN2384" s="15"/>
      <c r="AO2384" s="15"/>
      <c r="AP2384" s="15"/>
      <c r="AQ2384" s="15"/>
      <c r="AR2384" s="15"/>
      <c r="AS2384" s="15"/>
      <c r="AT2384" s="15"/>
      <c r="AU2384" s="15"/>
      <c r="AV2384" s="15"/>
      <c r="AW2384" s="15"/>
    </row>
    <row r="2385" spans="3:49" x14ac:dyDescent="0.2">
      <c r="C2385" s="15"/>
      <c r="D2385" s="15"/>
      <c r="E2385" s="15"/>
      <c r="F2385" s="15"/>
      <c r="G2385" s="15"/>
      <c r="H2385" s="15"/>
      <c r="I2385" s="15"/>
      <c r="J2385" s="15"/>
      <c r="K2385" s="15"/>
      <c r="L2385" s="28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5"/>
      <c r="AG2385" s="15"/>
      <c r="AH2385" s="15"/>
      <c r="AI2385" s="15"/>
      <c r="AJ2385" s="15"/>
      <c r="AK2385" s="15"/>
      <c r="AL2385" s="15"/>
      <c r="AM2385" s="15"/>
      <c r="AN2385" s="15"/>
      <c r="AO2385" s="15"/>
      <c r="AP2385" s="15"/>
      <c r="AQ2385" s="15"/>
      <c r="AR2385" s="15"/>
      <c r="AS2385" s="15"/>
      <c r="AT2385" s="15"/>
      <c r="AU2385" s="15"/>
      <c r="AV2385" s="15"/>
      <c r="AW2385" s="15"/>
    </row>
    <row r="2386" spans="3:49" x14ac:dyDescent="0.2">
      <c r="C2386" s="15"/>
      <c r="D2386" s="15"/>
      <c r="E2386" s="15"/>
      <c r="F2386" s="15"/>
      <c r="G2386" s="15"/>
      <c r="H2386" s="15"/>
      <c r="I2386" s="15"/>
      <c r="J2386" s="15"/>
      <c r="K2386" s="15"/>
      <c r="L2386" s="28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5"/>
      <c r="AG2386" s="15"/>
      <c r="AH2386" s="15"/>
      <c r="AI2386" s="15"/>
      <c r="AJ2386" s="15"/>
      <c r="AK2386" s="15"/>
      <c r="AL2386" s="15"/>
      <c r="AM2386" s="15"/>
      <c r="AN2386" s="15"/>
      <c r="AO2386" s="15"/>
      <c r="AP2386" s="15"/>
      <c r="AQ2386" s="15"/>
      <c r="AR2386" s="15"/>
      <c r="AS2386" s="15"/>
      <c r="AT2386" s="15"/>
      <c r="AU2386" s="15"/>
      <c r="AV2386" s="15"/>
      <c r="AW2386" s="15"/>
    </row>
    <row r="2387" spans="3:49" x14ac:dyDescent="0.2">
      <c r="C2387" s="15"/>
      <c r="D2387" s="15"/>
      <c r="E2387" s="15"/>
      <c r="F2387" s="15"/>
      <c r="G2387" s="15"/>
      <c r="H2387" s="15"/>
      <c r="I2387" s="15"/>
      <c r="J2387" s="15"/>
      <c r="K2387" s="15"/>
      <c r="L2387" s="28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5"/>
      <c r="AG2387" s="15"/>
      <c r="AH2387" s="15"/>
      <c r="AI2387" s="15"/>
      <c r="AJ2387" s="15"/>
      <c r="AK2387" s="15"/>
      <c r="AL2387" s="15"/>
      <c r="AM2387" s="15"/>
      <c r="AN2387" s="15"/>
      <c r="AO2387" s="15"/>
      <c r="AP2387" s="15"/>
      <c r="AQ2387" s="15"/>
      <c r="AR2387" s="15"/>
      <c r="AS2387" s="15"/>
      <c r="AT2387" s="15"/>
      <c r="AU2387" s="15"/>
      <c r="AV2387" s="15"/>
      <c r="AW2387" s="15"/>
    </row>
    <row r="2388" spans="3:49" x14ac:dyDescent="0.2">
      <c r="C2388" s="15"/>
      <c r="D2388" s="15"/>
      <c r="E2388" s="15"/>
      <c r="F2388" s="15"/>
      <c r="G2388" s="15"/>
      <c r="H2388" s="15"/>
      <c r="I2388" s="15"/>
      <c r="J2388" s="15"/>
      <c r="K2388" s="15"/>
      <c r="L2388" s="28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5"/>
      <c r="AG2388" s="15"/>
      <c r="AH2388" s="15"/>
      <c r="AI2388" s="15"/>
      <c r="AJ2388" s="15"/>
      <c r="AK2388" s="15"/>
      <c r="AL2388" s="15"/>
      <c r="AM2388" s="15"/>
      <c r="AN2388" s="15"/>
      <c r="AO2388" s="15"/>
      <c r="AP2388" s="15"/>
      <c r="AQ2388" s="15"/>
      <c r="AR2388" s="15"/>
      <c r="AS2388" s="15"/>
      <c r="AT2388" s="15"/>
      <c r="AU2388" s="15"/>
      <c r="AV2388" s="15"/>
      <c r="AW2388" s="15"/>
    </row>
    <row r="2389" spans="3:49" x14ac:dyDescent="0.2">
      <c r="C2389" s="15"/>
      <c r="D2389" s="15"/>
      <c r="E2389" s="15"/>
      <c r="F2389" s="15"/>
      <c r="G2389" s="15"/>
      <c r="H2389" s="15"/>
      <c r="I2389" s="15"/>
      <c r="J2389" s="15"/>
      <c r="K2389" s="15"/>
      <c r="L2389" s="28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5"/>
      <c r="AG2389" s="15"/>
      <c r="AH2389" s="15"/>
      <c r="AI2389" s="15"/>
      <c r="AJ2389" s="15"/>
      <c r="AK2389" s="15"/>
      <c r="AL2389" s="15"/>
      <c r="AM2389" s="15"/>
      <c r="AN2389" s="15"/>
      <c r="AO2389" s="15"/>
      <c r="AP2389" s="15"/>
      <c r="AQ2389" s="15"/>
      <c r="AR2389" s="15"/>
      <c r="AS2389" s="15"/>
      <c r="AT2389" s="15"/>
      <c r="AU2389" s="15"/>
      <c r="AV2389" s="15"/>
      <c r="AW2389" s="15"/>
    </row>
    <row r="2390" spans="3:49" x14ac:dyDescent="0.2">
      <c r="C2390" s="15"/>
      <c r="D2390" s="15"/>
      <c r="E2390" s="15"/>
      <c r="F2390" s="15"/>
      <c r="G2390" s="15"/>
      <c r="H2390" s="15"/>
      <c r="I2390" s="15"/>
      <c r="J2390" s="15"/>
      <c r="K2390" s="15"/>
      <c r="L2390" s="28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5"/>
      <c r="AG2390" s="15"/>
      <c r="AH2390" s="15"/>
      <c r="AI2390" s="15"/>
      <c r="AJ2390" s="15"/>
      <c r="AK2390" s="15"/>
      <c r="AL2390" s="15"/>
      <c r="AM2390" s="15"/>
      <c r="AN2390" s="15"/>
      <c r="AO2390" s="15"/>
      <c r="AP2390" s="15"/>
      <c r="AQ2390" s="15"/>
      <c r="AR2390" s="15"/>
      <c r="AS2390" s="15"/>
      <c r="AT2390" s="15"/>
      <c r="AU2390" s="15"/>
      <c r="AV2390" s="15"/>
      <c r="AW2390" s="15"/>
    </row>
    <row r="2391" spans="3:49" x14ac:dyDescent="0.2">
      <c r="C2391" s="15"/>
      <c r="D2391" s="15"/>
      <c r="E2391" s="15"/>
      <c r="F2391" s="15"/>
      <c r="G2391" s="15"/>
      <c r="H2391" s="15"/>
      <c r="I2391" s="15"/>
      <c r="J2391" s="15"/>
      <c r="K2391" s="15"/>
      <c r="L2391" s="28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5"/>
      <c r="AG2391" s="15"/>
      <c r="AH2391" s="15"/>
      <c r="AI2391" s="15"/>
      <c r="AJ2391" s="15"/>
      <c r="AK2391" s="15"/>
      <c r="AL2391" s="15"/>
      <c r="AM2391" s="15"/>
      <c r="AN2391" s="15"/>
      <c r="AO2391" s="15"/>
      <c r="AP2391" s="15"/>
      <c r="AQ2391" s="15"/>
      <c r="AR2391" s="15"/>
      <c r="AS2391" s="15"/>
      <c r="AT2391" s="15"/>
      <c r="AU2391" s="15"/>
      <c r="AV2391" s="15"/>
      <c r="AW2391" s="15"/>
    </row>
    <row r="2392" spans="3:49" x14ac:dyDescent="0.2">
      <c r="C2392" s="15"/>
      <c r="D2392" s="15"/>
      <c r="E2392" s="15"/>
      <c r="F2392" s="15"/>
      <c r="G2392" s="15"/>
      <c r="H2392" s="15"/>
      <c r="I2392" s="15"/>
      <c r="J2392" s="15"/>
      <c r="K2392" s="15"/>
      <c r="L2392" s="28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5"/>
      <c r="AG2392" s="15"/>
      <c r="AH2392" s="15"/>
      <c r="AI2392" s="15"/>
      <c r="AJ2392" s="15"/>
      <c r="AK2392" s="15"/>
      <c r="AL2392" s="15"/>
      <c r="AM2392" s="15"/>
      <c r="AN2392" s="15"/>
      <c r="AO2392" s="15"/>
      <c r="AP2392" s="15"/>
      <c r="AQ2392" s="15"/>
      <c r="AR2392" s="15"/>
      <c r="AS2392" s="15"/>
      <c r="AT2392" s="15"/>
      <c r="AU2392" s="15"/>
      <c r="AV2392" s="15"/>
      <c r="AW2392" s="15"/>
    </row>
    <row r="2393" spans="3:49" x14ac:dyDescent="0.2">
      <c r="C2393" s="15"/>
      <c r="D2393" s="15"/>
      <c r="E2393" s="15"/>
      <c r="F2393" s="15"/>
      <c r="G2393" s="15"/>
      <c r="H2393" s="15"/>
      <c r="I2393" s="15"/>
      <c r="J2393" s="15"/>
      <c r="K2393" s="15"/>
      <c r="L2393" s="28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5"/>
      <c r="AG2393" s="15"/>
      <c r="AH2393" s="15"/>
      <c r="AI2393" s="15"/>
      <c r="AJ2393" s="15"/>
      <c r="AK2393" s="15"/>
      <c r="AL2393" s="15"/>
      <c r="AM2393" s="15"/>
      <c r="AN2393" s="15"/>
      <c r="AO2393" s="15"/>
      <c r="AP2393" s="15"/>
      <c r="AQ2393" s="15"/>
      <c r="AR2393" s="15"/>
      <c r="AS2393" s="15"/>
      <c r="AT2393" s="15"/>
      <c r="AU2393" s="15"/>
      <c r="AV2393" s="15"/>
      <c r="AW2393" s="15"/>
    </row>
    <row r="2394" spans="3:49" x14ac:dyDescent="0.2">
      <c r="C2394" s="15"/>
      <c r="D2394" s="15"/>
      <c r="E2394" s="15"/>
      <c r="F2394" s="15"/>
      <c r="G2394" s="15"/>
      <c r="H2394" s="15"/>
      <c r="I2394" s="15"/>
      <c r="J2394" s="15"/>
      <c r="K2394" s="15"/>
      <c r="L2394" s="28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5"/>
      <c r="AG2394" s="15"/>
      <c r="AH2394" s="15"/>
      <c r="AI2394" s="15"/>
      <c r="AJ2394" s="15"/>
      <c r="AK2394" s="15"/>
      <c r="AL2394" s="15"/>
      <c r="AM2394" s="15"/>
      <c r="AN2394" s="15"/>
      <c r="AO2394" s="15"/>
      <c r="AP2394" s="15"/>
      <c r="AQ2394" s="15"/>
      <c r="AR2394" s="15"/>
      <c r="AS2394" s="15"/>
      <c r="AT2394" s="15"/>
      <c r="AU2394" s="15"/>
      <c r="AV2394" s="15"/>
      <c r="AW2394" s="15"/>
    </row>
    <row r="2395" spans="3:49" x14ac:dyDescent="0.2">
      <c r="C2395" s="15"/>
      <c r="D2395" s="15"/>
      <c r="E2395" s="15"/>
      <c r="F2395" s="15"/>
      <c r="G2395" s="15"/>
      <c r="H2395" s="15"/>
      <c r="I2395" s="15"/>
      <c r="J2395" s="15"/>
      <c r="K2395" s="15"/>
      <c r="L2395" s="28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5"/>
      <c r="AG2395" s="15"/>
      <c r="AH2395" s="15"/>
      <c r="AI2395" s="15"/>
      <c r="AJ2395" s="15"/>
      <c r="AK2395" s="15"/>
      <c r="AL2395" s="15"/>
      <c r="AM2395" s="15"/>
      <c r="AN2395" s="15"/>
      <c r="AO2395" s="15"/>
      <c r="AP2395" s="15"/>
      <c r="AQ2395" s="15"/>
      <c r="AR2395" s="15"/>
      <c r="AS2395" s="15"/>
      <c r="AT2395" s="15"/>
      <c r="AU2395" s="15"/>
      <c r="AV2395" s="15"/>
      <c r="AW2395" s="15"/>
    </row>
    <row r="2396" spans="3:49" x14ac:dyDescent="0.2">
      <c r="C2396" s="15"/>
      <c r="D2396" s="15"/>
      <c r="E2396" s="15"/>
      <c r="F2396" s="15"/>
      <c r="G2396" s="15"/>
      <c r="H2396" s="15"/>
      <c r="I2396" s="15"/>
      <c r="J2396" s="15"/>
      <c r="K2396" s="15"/>
      <c r="L2396" s="28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5"/>
      <c r="AG2396" s="15"/>
      <c r="AH2396" s="15"/>
      <c r="AI2396" s="15"/>
      <c r="AJ2396" s="15"/>
      <c r="AK2396" s="15"/>
      <c r="AL2396" s="15"/>
      <c r="AM2396" s="15"/>
      <c r="AN2396" s="15"/>
      <c r="AO2396" s="15"/>
      <c r="AP2396" s="15"/>
      <c r="AQ2396" s="15"/>
      <c r="AR2396" s="15"/>
      <c r="AS2396" s="15"/>
      <c r="AT2396" s="15"/>
      <c r="AU2396" s="15"/>
      <c r="AV2396" s="15"/>
      <c r="AW2396" s="15"/>
    </row>
    <row r="2397" spans="3:49" x14ac:dyDescent="0.2">
      <c r="C2397" s="15"/>
      <c r="D2397" s="15"/>
      <c r="E2397" s="15"/>
      <c r="F2397" s="15"/>
      <c r="G2397" s="15"/>
      <c r="H2397" s="15"/>
      <c r="I2397" s="15"/>
      <c r="J2397" s="15"/>
      <c r="K2397" s="15"/>
      <c r="L2397" s="28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5"/>
      <c r="AG2397" s="15"/>
      <c r="AH2397" s="15"/>
      <c r="AI2397" s="15"/>
      <c r="AJ2397" s="15"/>
      <c r="AK2397" s="15"/>
      <c r="AL2397" s="15"/>
      <c r="AM2397" s="15"/>
      <c r="AN2397" s="15"/>
      <c r="AO2397" s="15"/>
      <c r="AP2397" s="15"/>
      <c r="AQ2397" s="15"/>
      <c r="AR2397" s="15"/>
      <c r="AS2397" s="15"/>
      <c r="AT2397" s="15"/>
      <c r="AU2397" s="15"/>
      <c r="AV2397" s="15"/>
      <c r="AW2397" s="15"/>
    </row>
    <row r="2398" spans="3:49" x14ac:dyDescent="0.2">
      <c r="C2398" s="15"/>
      <c r="D2398" s="15"/>
      <c r="E2398" s="15"/>
      <c r="F2398" s="15"/>
      <c r="G2398" s="15"/>
      <c r="H2398" s="15"/>
      <c r="I2398" s="15"/>
      <c r="J2398" s="15"/>
      <c r="K2398" s="15"/>
      <c r="L2398" s="28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5"/>
      <c r="AG2398" s="15"/>
      <c r="AH2398" s="15"/>
      <c r="AI2398" s="15"/>
      <c r="AJ2398" s="15"/>
      <c r="AK2398" s="15"/>
      <c r="AL2398" s="15"/>
      <c r="AM2398" s="15"/>
      <c r="AN2398" s="15"/>
      <c r="AO2398" s="15"/>
      <c r="AP2398" s="15"/>
      <c r="AQ2398" s="15"/>
      <c r="AR2398" s="15"/>
      <c r="AS2398" s="15"/>
      <c r="AT2398" s="15"/>
      <c r="AU2398" s="15"/>
      <c r="AV2398" s="15"/>
      <c r="AW2398" s="15"/>
    </row>
    <row r="2399" spans="3:49" x14ac:dyDescent="0.2">
      <c r="C2399" s="15"/>
      <c r="D2399" s="15"/>
      <c r="E2399" s="15"/>
      <c r="F2399" s="15"/>
      <c r="G2399" s="15"/>
      <c r="H2399" s="15"/>
      <c r="I2399" s="15"/>
      <c r="J2399" s="15"/>
      <c r="K2399" s="15"/>
      <c r="L2399" s="28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5"/>
      <c r="AG2399" s="15"/>
      <c r="AH2399" s="15"/>
      <c r="AI2399" s="15"/>
      <c r="AJ2399" s="15"/>
      <c r="AK2399" s="15"/>
      <c r="AL2399" s="15"/>
      <c r="AM2399" s="15"/>
      <c r="AN2399" s="15"/>
      <c r="AO2399" s="15"/>
      <c r="AP2399" s="15"/>
      <c r="AQ2399" s="15"/>
      <c r="AR2399" s="15"/>
      <c r="AS2399" s="15"/>
      <c r="AT2399" s="15"/>
      <c r="AU2399" s="15"/>
      <c r="AV2399" s="15"/>
      <c r="AW2399" s="15"/>
    </row>
    <row r="2400" spans="3:49" x14ac:dyDescent="0.2">
      <c r="C2400" s="15"/>
      <c r="D2400" s="15"/>
      <c r="E2400" s="15"/>
      <c r="F2400" s="15"/>
      <c r="G2400" s="15"/>
      <c r="H2400" s="15"/>
      <c r="I2400" s="15"/>
      <c r="J2400" s="15"/>
      <c r="K2400" s="15"/>
      <c r="L2400" s="28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5"/>
      <c r="AG2400" s="15"/>
      <c r="AH2400" s="15"/>
      <c r="AI2400" s="15"/>
      <c r="AJ2400" s="15"/>
      <c r="AK2400" s="15"/>
      <c r="AL2400" s="15"/>
      <c r="AM2400" s="15"/>
      <c r="AN2400" s="15"/>
      <c r="AO2400" s="15"/>
      <c r="AP2400" s="15"/>
      <c r="AQ2400" s="15"/>
      <c r="AR2400" s="15"/>
      <c r="AS2400" s="15"/>
      <c r="AT2400" s="15"/>
      <c r="AU2400" s="15"/>
      <c r="AV2400" s="15"/>
      <c r="AW2400" s="15"/>
    </row>
    <row r="2401" spans="3:49" x14ac:dyDescent="0.2">
      <c r="C2401" s="15"/>
      <c r="D2401" s="15"/>
      <c r="E2401" s="15"/>
      <c r="F2401" s="15"/>
      <c r="G2401" s="15"/>
      <c r="H2401" s="15"/>
      <c r="I2401" s="15"/>
      <c r="J2401" s="15"/>
      <c r="K2401" s="15"/>
      <c r="L2401" s="28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5"/>
      <c r="AG2401" s="15"/>
      <c r="AH2401" s="15"/>
      <c r="AI2401" s="15"/>
      <c r="AJ2401" s="15"/>
      <c r="AK2401" s="15"/>
      <c r="AL2401" s="15"/>
      <c r="AM2401" s="15"/>
      <c r="AN2401" s="15"/>
      <c r="AO2401" s="15"/>
      <c r="AP2401" s="15"/>
      <c r="AQ2401" s="15"/>
      <c r="AR2401" s="15"/>
      <c r="AS2401" s="15"/>
      <c r="AT2401" s="15"/>
      <c r="AU2401" s="15"/>
      <c r="AV2401" s="15"/>
      <c r="AW2401" s="15"/>
    </row>
    <row r="2402" spans="3:49" x14ac:dyDescent="0.2">
      <c r="C2402" s="15"/>
      <c r="D2402" s="15"/>
      <c r="E2402" s="15"/>
      <c r="F2402" s="15"/>
      <c r="G2402" s="15"/>
      <c r="H2402" s="15"/>
      <c r="I2402" s="15"/>
      <c r="J2402" s="15"/>
      <c r="K2402" s="15"/>
      <c r="L2402" s="28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5"/>
      <c r="AG2402" s="15"/>
      <c r="AH2402" s="15"/>
      <c r="AI2402" s="15"/>
      <c r="AJ2402" s="15"/>
      <c r="AK2402" s="15"/>
      <c r="AL2402" s="15"/>
      <c r="AM2402" s="15"/>
      <c r="AN2402" s="15"/>
      <c r="AO2402" s="15"/>
      <c r="AP2402" s="15"/>
      <c r="AQ2402" s="15"/>
      <c r="AR2402" s="15"/>
      <c r="AS2402" s="15"/>
      <c r="AT2402" s="15"/>
      <c r="AU2402" s="15"/>
      <c r="AV2402" s="15"/>
      <c r="AW2402" s="15"/>
    </row>
    <row r="2403" spans="3:49" x14ac:dyDescent="0.2">
      <c r="C2403" s="15"/>
      <c r="D2403" s="15"/>
      <c r="E2403" s="15"/>
      <c r="F2403" s="15"/>
      <c r="G2403" s="15"/>
      <c r="H2403" s="15"/>
      <c r="I2403" s="15"/>
      <c r="J2403" s="15"/>
      <c r="K2403" s="15"/>
      <c r="L2403" s="28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5"/>
      <c r="AG2403" s="15"/>
      <c r="AH2403" s="15"/>
      <c r="AI2403" s="15"/>
      <c r="AJ2403" s="15"/>
      <c r="AK2403" s="15"/>
      <c r="AL2403" s="15"/>
      <c r="AM2403" s="15"/>
      <c r="AN2403" s="15"/>
      <c r="AO2403" s="15"/>
      <c r="AP2403" s="15"/>
      <c r="AQ2403" s="15"/>
      <c r="AR2403" s="15"/>
      <c r="AS2403" s="15"/>
      <c r="AT2403" s="15"/>
      <c r="AU2403" s="15"/>
      <c r="AV2403" s="15"/>
      <c r="AW2403" s="15"/>
    </row>
    <row r="2404" spans="3:49" x14ac:dyDescent="0.2">
      <c r="C2404" s="15"/>
      <c r="D2404" s="15"/>
      <c r="E2404" s="15"/>
      <c r="F2404" s="15"/>
      <c r="G2404" s="15"/>
      <c r="H2404" s="15"/>
      <c r="I2404" s="15"/>
      <c r="J2404" s="15"/>
      <c r="K2404" s="15"/>
      <c r="L2404" s="28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5"/>
      <c r="AG2404" s="15"/>
      <c r="AH2404" s="15"/>
      <c r="AI2404" s="15"/>
      <c r="AJ2404" s="15"/>
      <c r="AK2404" s="15"/>
      <c r="AL2404" s="15"/>
      <c r="AM2404" s="15"/>
      <c r="AN2404" s="15"/>
      <c r="AO2404" s="15"/>
      <c r="AP2404" s="15"/>
      <c r="AQ2404" s="15"/>
      <c r="AR2404" s="15"/>
      <c r="AS2404" s="15"/>
      <c r="AT2404" s="15"/>
      <c r="AU2404" s="15"/>
      <c r="AV2404" s="15"/>
      <c r="AW2404" s="15"/>
    </row>
    <row r="2405" spans="3:49" x14ac:dyDescent="0.2">
      <c r="C2405" s="15"/>
      <c r="D2405" s="15"/>
      <c r="E2405" s="15"/>
      <c r="F2405" s="15"/>
      <c r="G2405" s="15"/>
      <c r="H2405" s="15"/>
      <c r="I2405" s="15"/>
      <c r="J2405" s="15"/>
      <c r="K2405" s="15"/>
      <c r="L2405" s="28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5"/>
      <c r="AG2405" s="15"/>
      <c r="AH2405" s="15"/>
      <c r="AI2405" s="15"/>
      <c r="AJ2405" s="15"/>
      <c r="AK2405" s="15"/>
      <c r="AL2405" s="15"/>
      <c r="AM2405" s="15"/>
      <c r="AN2405" s="15"/>
      <c r="AO2405" s="15"/>
      <c r="AP2405" s="15"/>
      <c r="AQ2405" s="15"/>
      <c r="AR2405" s="15"/>
      <c r="AS2405" s="15"/>
      <c r="AT2405" s="15"/>
      <c r="AU2405" s="15"/>
      <c r="AV2405" s="15"/>
      <c r="AW2405" s="15"/>
    </row>
    <row r="2406" spans="3:49" x14ac:dyDescent="0.2">
      <c r="C2406" s="15"/>
      <c r="D2406" s="15"/>
      <c r="E2406" s="15"/>
      <c r="F2406" s="15"/>
      <c r="G2406" s="15"/>
      <c r="H2406" s="15"/>
      <c r="I2406" s="15"/>
      <c r="J2406" s="15"/>
      <c r="K2406" s="15"/>
      <c r="L2406" s="28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5"/>
      <c r="AG2406" s="15"/>
      <c r="AH2406" s="15"/>
      <c r="AI2406" s="15"/>
      <c r="AJ2406" s="15"/>
      <c r="AK2406" s="15"/>
      <c r="AL2406" s="15"/>
      <c r="AM2406" s="15"/>
      <c r="AN2406" s="15"/>
      <c r="AO2406" s="15"/>
      <c r="AP2406" s="15"/>
      <c r="AQ2406" s="15"/>
      <c r="AR2406" s="15"/>
      <c r="AS2406" s="15"/>
      <c r="AT2406" s="15"/>
      <c r="AU2406" s="15"/>
      <c r="AV2406" s="15"/>
      <c r="AW2406" s="15"/>
    </row>
    <row r="2407" spans="3:49" x14ac:dyDescent="0.2">
      <c r="C2407" s="15"/>
      <c r="D2407" s="15"/>
      <c r="E2407" s="15"/>
      <c r="F2407" s="15"/>
      <c r="G2407" s="15"/>
      <c r="H2407" s="15"/>
      <c r="I2407" s="15"/>
      <c r="J2407" s="15"/>
      <c r="K2407" s="15"/>
      <c r="L2407" s="28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5"/>
      <c r="AG2407" s="15"/>
      <c r="AH2407" s="15"/>
      <c r="AI2407" s="15"/>
      <c r="AJ2407" s="15"/>
      <c r="AK2407" s="15"/>
      <c r="AL2407" s="15"/>
      <c r="AM2407" s="15"/>
      <c r="AN2407" s="15"/>
      <c r="AO2407" s="15"/>
      <c r="AP2407" s="15"/>
      <c r="AQ2407" s="15"/>
      <c r="AR2407" s="15"/>
      <c r="AS2407" s="15"/>
      <c r="AT2407" s="15"/>
      <c r="AU2407" s="15"/>
      <c r="AV2407" s="15"/>
      <c r="AW2407" s="15"/>
    </row>
    <row r="2408" spans="3:49" x14ac:dyDescent="0.2">
      <c r="C2408" s="15"/>
      <c r="D2408" s="15"/>
      <c r="E2408" s="15"/>
      <c r="F2408" s="15"/>
      <c r="G2408" s="15"/>
      <c r="H2408" s="15"/>
      <c r="I2408" s="15"/>
      <c r="J2408" s="15"/>
      <c r="K2408" s="15"/>
      <c r="L2408" s="28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5"/>
      <c r="AG2408" s="15"/>
      <c r="AH2408" s="15"/>
      <c r="AI2408" s="15"/>
      <c r="AJ2408" s="15"/>
      <c r="AK2408" s="15"/>
      <c r="AL2408" s="15"/>
      <c r="AM2408" s="15"/>
      <c r="AN2408" s="15"/>
      <c r="AO2408" s="15"/>
      <c r="AP2408" s="15"/>
      <c r="AQ2408" s="15"/>
      <c r="AR2408" s="15"/>
      <c r="AS2408" s="15"/>
      <c r="AT2408" s="15"/>
      <c r="AU2408" s="15"/>
      <c r="AV2408" s="15"/>
      <c r="AW2408" s="15"/>
    </row>
    <row r="2409" spans="3:49" x14ac:dyDescent="0.2">
      <c r="C2409" s="15"/>
      <c r="D2409" s="15"/>
      <c r="E2409" s="15"/>
      <c r="F2409" s="15"/>
      <c r="G2409" s="15"/>
      <c r="H2409" s="15"/>
      <c r="I2409" s="15"/>
      <c r="J2409" s="15"/>
      <c r="K2409" s="15"/>
      <c r="L2409" s="28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5"/>
      <c r="AG2409" s="15"/>
      <c r="AH2409" s="15"/>
      <c r="AI2409" s="15"/>
      <c r="AJ2409" s="15"/>
      <c r="AK2409" s="15"/>
      <c r="AL2409" s="15"/>
      <c r="AM2409" s="15"/>
      <c r="AN2409" s="15"/>
      <c r="AO2409" s="15"/>
      <c r="AP2409" s="15"/>
      <c r="AQ2409" s="15"/>
      <c r="AR2409" s="15"/>
      <c r="AS2409" s="15"/>
      <c r="AT2409" s="15"/>
      <c r="AU2409" s="15"/>
      <c r="AV2409" s="15"/>
      <c r="AW2409" s="15"/>
    </row>
    <row r="2410" spans="3:49" x14ac:dyDescent="0.2">
      <c r="C2410" s="15"/>
      <c r="D2410" s="15"/>
      <c r="E2410" s="15"/>
      <c r="F2410" s="15"/>
      <c r="G2410" s="15"/>
      <c r="H2410" s="15"/>
      <c r="I2410" s="15"/>
      <c r="J2410" s="15"/>
      <c r="K2410" s="15"/>
      <c r="L2410" s="28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5"/>
      <c r="AG2410" s="15"/>
      <c r="AH2410" s="15"/>
      <c r="AI2410" s="15"/>
      <c r="AJ2410" s="15"/>
      <c r="AK2410" s="15"/>
      <c r="AL2410" s="15"/>
      <c r="AM2410" s="15"/>
      <c r="AN2410" s="15"/>
      <c r="AO2410" s="15"/>
      <c r="AP2410" s="15"/>
      <c r="AQ2410" s="15"/>
      <c r="AR2410" s="15"/>
      <c r="AS2410" s="15"/>
      <c r="AT2410" s="15"/>
      <c r="AU2410" s="15"/>
      <c r="AV2410" s="15"/>
      <c r="AW2410" s="15"/>
    </row>
    <row r="2411" spans="3:49" x14ac:dyDescent="0.2">
      <c r="C2411" s="15"/>
      <c r="D2411" s="15"/>
      <c r="E2411" s="15"/>
      <c r="F2411" s="15"/>
      <c r="G2411" s="15"/>
      <c r="H2411" s="15"/>
      <c r="I2411" s="15"/>
      <c r="J2411" s="15"/>
      <c r="K2411" s="15"/>
      <c r="L2411" s="28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5"/>
      <c r="AG2411" s="15"/>
      <c r="AH2411" s="15"/>
      <c r="AI2411" s="15"/>
      <c r="AJ2411" s="15"/>
      <c r="AK2411" s="15"/>
      <c r="AL2411" s="15"/>
      <c r="AM2411" s="15"/>
      <c r="AN2411" s="15"/>
      <c r="AO2411" s="15"/>
      <c r="AP2411" s="15"/>
      <c r="AQ2411" s="15"/>
      <c r="AR2411" s="15"/>
      <c r="AS2411" s="15"/>
      <c r="AT2411" s="15"/>
      <c r="AU2411" s="15"/>
      <c r="AV2411" s="15"/>
      <c r="AW2411" s="15"/>
    </row>
    <row r="2412" spans="3:49" x14ac:dyDescent="0.2">
      <c r="C2412" s="15"/>
      <c r="D2412" s="15"/>
      <c r="E2412" s="15"/>
      <c r="F2412" s="15"/>
      <c r="G2412" s="15"/>
      <c r="H2412" s="15"/>
      <c r="I2412" s="15"/>
      <c r="J2412" s="15"/>
      <c r="K2412" s="15"/>
      <c r="L2412" s="28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5"/>
      <c r="AG2412" s="15"/>
      <c r="AH2412" s="15"/>
      <c r="AI2412" s="15"/>
      <c r="AJ2412" s="15"/>
      <c r="AK2412" s="15"/>
      <c r="AL2412" s="15"/>
      <c r="AM2412" s="15"/>
      <c r="AN2412" s="15"/>
      <c r="AO2412" s="15"/>
      <c r="AP2412" s="15"/>
      <c r="AQ2412" s="15"/>
      <c r="AR2412" s="15"/>
      <c r="AS2412" s="15"/>
      <c r="AT2412" s="15"/>
      <c r="AU2412" s="15"/>
      <c r="AV2412" s="15"/>
      <c r="AW2412" s="15"/>
    </row>
    <row r="2413" spans="3:49" x14ac:dyDescent="0.2">
      <c r="C2413" s="15"/>
      <c r="D2413" s="15"/>
      <c r="E2413" s="15"/>
      <c r="F2413" s="15"/>
      <c r="G2413" s="15"/>
      <c r="H2413" s="15"/>
      <c r="I2413" s="15"/>
      <c r="J2413" s="15"/>
      <c r="K2413" s="15"/>
      <c r="L2413" s="28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5"/>
      <c r="AG2413" s="15"/>
      <c r="AH2413" s="15"/>
      <c r="AI2413" s="15"/>
      <c r="AJ2413" s="15"/>
      <c r="AK2413" s="15"/>
      <c r="AL2413" s="15"/>
      <c r="AM2413" s="15"/>
      <c r="AN2413" s="15"/>
      <c r="AO2413" s="15"/>
      <c r="AP2413" s="15"/>
      <c r="AQ2413" s="15"/>
      <c r="AR2413" s="15"/>
      <c r="AS2413" s="15"/>
      <c r="AT2413" s="15"/>
      <c r="AU2413" s="15"/>
      <c r="AV2413" s="15"/>
      <c r="AW2413" s="15"/>
    </row>
    <row r="2414" spans="3:49" x14ac:dyDescent="0.2">
      <c r="C2414" s="15"/>
      <c r="D2414" s="15"/>
      <c r="E2414" s="15"/>
      <c r="F2414" s="15"/>
      <c r="G2414" s="15"/>
      <c r="H2414" s="15"/>
      <c r="I2414" s="15"/>
      <c r="J2414" s="15"/>
      <c r="K2414" s="15"/>
      <c r="L2414" s="28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5"/>
      <c r="AG2414" s="15"/>
      <c r="AH2414" s="15"/>
      <c r="AI2414" s="15"/>
      <c r="AJ2414" s="15"/>
      <c r="AK2414" s="15"/>
      <c r="AL2414" s="15"/>
      <c r="AM2414" s="15"/>
      <c r="AN2414" s="15"/>
      <c r="AO2414" s="15"/>
      <c r="AP2414" s="15"/>
      <c r="AQ2414" s="15"/>
      <c r="AR2414" s="15"/>
      <c r="AS2414" s="15"/>
      <c r="AT2414" s="15"/>
      <c r="AU2414" s="15"/>
      <c r="AV2414" s="15"/>
      <c r="AW2414" s="15"/>
    </row>
    <row r="2415" spans="3:49" x14ac:dyDescent="0.2">
      <c r="C2415" s="15"/>
      <c r="D2415" s="15"/>
      <c r="E2415" s="15"/>
      <c r="F2415" s="15"/>
      <c r="G2415" s="15"/>
      <c r="H2415" s="15"/>
      <c r="I2415" s="15"/>
      <c r="J2415" s="15"/>
      <c r="K2415" s="15"/>
      <c r="L2415" s="28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5"/>
      <c r="AG2415" s="15"/>
      <c r="AH2415" s="15"/>
      <c r="AI2415" s="15"/>
      <c r="AJ2415" s="15"/>
      <c r="AK2415" s="15"/>
      <c r="AL2415" s="15"/>
      <c r="AM2415" s="15"/>
      <c r="AN2415" s="15"/>
      <c r="AO2415" s="15"/>
      <c r="AP2415" s="15"/>
      <c r="AQ2415" s="15"/>
      <c r="AR2415" s="15"/>
      <c r="AS2415" s="15"/>
      <c r="AT2415" s="15"/>
      <c r="AU2415" s="15"/>
      <c r="AV2415" s="15"/>
      <c r="AW2415" s="15"/>
    </row>
    <row r="2416" spans="3:49" x14ac:dyDescent="0.2">
      <c r="C2416" s="15"/>
      <c r="D2416" s="15"/>
      <c r="E2416" s="15"/>
      <c r="F2416" s="15"/>
      <c r="G2416" s="15"/>
      <c r="H2416" s="15"/>
      <c r="I2416" s="15"/>
      <c r="J2416" s="15"/>
      <c r="K2416" s="15"/>
      <c r="L2416" s="28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5"/>
      <c r="AG2416" s="15"/>
      <c r="AH2416" s="15"/>
      <c r="AI2416" s="15"/>
      <c r="AJ2416" s="15"/>
      <c r="AK2416" s="15"/>
      <c r="AL2416" s="15"/>
      <c r="AM2416" s="15"/>
      <c r="AN2416" s="15"/>
      <c r="AO2416" s="15"/>
      <c r="AP2416" s="15"/>
      <c r="AQ2416" s="15"/>
      <c r="AR2416" s="15"/>
      <c r="AS2416" s="15"/>
      <c r="AT2416" s="15"/>
      <c r="AU2416" s="15"/>
      <c r="AV2416" s="15"/>
      <c r="AW2416" s="15"/>
    </row>
    <row r="2417" spans="3:49" x14ac:dyDescent="0.2">
      <c r="C2417" s="15"/>
      <c r="D2417" s="15"/>
      <c r="E2417" s="15"/>
      <c r="F2417" s="15"/>
      <c r="G2417" s="15"/>
      <c r="H2417" s="15"/>
      <c r="I2417" s="15"/>
      <c r="J2417" s="15"/>
      <c r="K2417" s="15"/>
      <c r="L2417" s="28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5"/>
      <c r="AG2417" s="15"/>
      <c r="AH2417" s="15"/>
      <c r="AI2417" s="15"/>
      <c r="AJ2417" s="15"/>
      <c r="AK2417" s="15"/>
      <c r="AL2417" s="15"/>
      <c r="AM2417" s="15"/>
      <c r="AN2417" s="15"/>
      <c r="AO2417" s="15"/>
      <c r="AP2417" s="15"/>
      <c r="AQ2417" s="15"/>
      <c r="AR2417" s="15"/>
      <c r="AS2417" s="15"/>
      <c r="AT2417" s="15"/>
      <c r="AU2417" s="15"/>
      <c r="AV2417" s="15"/>
      <c r="AW2417" s="15"/>
    </row>
    <row r="2418" spans="3:49" x14ac:dyDescent="0.2">
      <c r="C2418" s="15"/>
      <c r="D2418" s="15"/>
      <c r="E2418" s="15"/>
      <c r="F2418" s="15"/>
      <c r="G2418" s="15"/>
      <c r="H2418" s="15"/>
      <c r="I2418" s="15"/>
      <c r="J2418" s="15"/>
      <c r="K2418" s="15"/>
      <c r="L2418" s="28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5"/>
      <c r="AG2418" s="15"/>
      <c r="AH2418" s="15"/>
      <c r="AI2418" s="15"/>
      <c r="AJ2418" s="15"/>
      <c r="AK2418" s="15"/>
      <c r="AL2418" s="15"/>
      <c r="AM2418" s="15"/>
      <c r="AN2418" s="15"/>
      <c r="AO2418" s="15"/>
      <c r="AP2418" s="15"/>
      <c r="AQ2418" s="15"/>
      <c r="AR2418" s="15"/>
      <c r="AS2418" s="15"/>
      <c r="AT2418" s="15"/>
      <c r="AU2418" s="15"/>
      <c r="AV2418" s="15"/>
      <c r="AW2418" s="15"/>
    </row>
    <row r="2419" spans="3:49" x14ac:dyDescent="0.2">
      <c r="C2419" s="15"/>
      <c r="D2419" s="15"/>
      <c r="E2419" s="15"/>
      <c r="F2419" s="15"/>
      <c r="G2419" s="15"/>
      <c r="H2419" s="15"/>
      <c r="I2419" s="15"/>
      <c r="J2419" s="15"/>
      <c r="K2419" s="15"/>
      <c r="L2419" s="28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5"/>
      <c r="AG2419" s="15"/>
      <c r="AH2419" s="15"/>
      <c r="AI2419" s="15"/>
      <c r="AJ2419" s="15"/>
      <c r="AK2419" s="15"/>
      <c r="AL2419" s="15"/>
      <c r="AM2419" s="15"/>
      <c r="AN2419" s="15"/>
      <c r="AO2419" s="15"/>
      <c r="AP2419" s="15"/>
      <c r="AQ2419" s="15"/>
      <c r="AR2419" s="15"/>
      <c r="AS2419" s="15"/>
      <c r="AT2419" s="15"/>
      <c r="AU2419" s="15"/>
      <c r="AV2419" s="15"/>
      <c r="AW2419" s="15"/>
    </row>
    <row r="2420" spans="3:49" x14ac:dyDescent="0.2">
      <c r="C2420" s="15"/>
      <c r="D2420" s="15"/>
      <c r="E2420" s="15"/>
      <c r="F2420" s="15"/>
      <c r="G2420" s="15"/>
      <c r="H2420" s="15"/>
      <c r="I2420" s="15"/>
      <c r="J2420" s="15"/>
      <c r="K2420" s="15"/>
      <c r="L2420" s="28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5"/>
      <c r="AG2420" s="15"/>
      <c r="AH2420" s="15"/>
      <c r="AI2420" s="15"/>
      <c r="AJ2420" s="15"/>
      <c r="AK2420" s="15"/>
      <c r="AL2420" s="15"/>
      <c r="AM2420" s="15"/>
      <c r="AN2420" s="15"/>
      <c r="AO2420" s="15"/>
      <c r="AP2420" s="15"/>
      <c r="AQ2420" s="15"/>
      <c r="AR2420" s="15"/>
      <c r="AS2420" s="15"/>
      <c r="AT2420" s="15"/>
      <c r="AU2420" s="15"/>
      <c r="AV2420" s="15"/>
      <c r="AW2420" s="15"/>
    </row>
    <row r="2421" spans="3:49" x14ac:dyDescent="0.2">
      <c r="C2421" s="15"/>
      <c r="D2421" s="15"/>
      <c r="E2421" s="15"/>
      <c r="F2421" s="15"/>
      <c r="G2421" s="15"/>
      <c r="H2421" s="15"/>
      <c r="I2421" s="15"/>
      <c r="J2421" s="15"/>
      <c r="K2421" s="15"/>
      <c r="L2421" s="28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5"/>
      <c r="AG2421" s="15"/>
      <c r="AH2421" s="15"/>
      <c r="AI2421" s="15"/>
      <c r="AJ2421" s="15"/>
      <c r="AK2421" s="15"/>
      <c r="AL2421" s="15"/>
      <c r="AM2421" s="15"/>
      <c r="AN2421" s="15"/>
      <c r="AO2421" s="15"/>
      <c r="AP2421" s="15"/>
      <c r="AQ2421" s="15"/>
      <c r="AR2421" s="15"/>
      <c r="AS2421" s="15"/>
      <c r="AT2421" s="15"/>
      <c r="AU2421" s="15"/>
      <c r="AV2421" s="15"/>
      <c r="AW2421" s="15"/>
    </row>
    <row r="2422" spans="3:49" x14ac:dyDescent="0.2">
      <c r="C2422" s="15"/>
      <c r="D2422" s="15"/>
      <c r="E2422" s="15"/>
      <c r="F2422" s="15"/>
      <c r="G2422" s="15"/>
      <c r="H2422" s="15"/>
      <c r="I2422" s="15"/>
      <c r="J2422" s="15"/>
      <c r="K2422" s="15"/>
      <c r="L2422" s="28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5"/>
      <c r="AG2422" s="15"/>
      <c r="AH2422" s="15"/>
      <c r="AI2422" s="15"/>
      <c r="AJ2422" s="15"/>
      <c r="AK2422" s="15"/>
      <c r="AL2422" s="15"/>
      <c r="AM2422" s="15"/>
      <c r="AN2422" s="15"/>
      <c r="AO2422" s="15"/>
      <c r="AP2422" s="15"/>
      <c r="AQ2422" s="15"/>
      <c r="AR2422" s="15"/>
      <c r="AS2422" s="15"/>
      <c r="AT2422" s="15"/>
      <c r="AU2422" s="15"/>
      <c r="AV2422" s="15"/>
      <c r="AW2422" s="15"/>
    </row>
    <row r="2423" spans="3:49" x14ac:dyDescent="0.2">
      <c r="C2423" s="15"/>
      <c r="D2423" s="15"/>
      <c r="E2423" s="15"/>
      <c r="F2423" s="15"/>
      <c r="G2423" s="15"/>
      <c r="H2423" s="15"/>
      <c r="I2423" s="15"/>
      <c r="J2423" s="15"/>
      <c r="K2423" s="15"/>
      <c r="L2423" s="28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5"/>
      <c r="AG2423" s="15"/>
      <c r="AH2423" s="15"/>
      <c r="AI2423" s="15"/>
      <c r="AJ2423" s="15"/>
      <c r="AK2423" s="15"/>
      <c r="AL2423" s="15"/>
      <c r="AM2423" s="15"/>
      <c r="AN2423" s="15"/>
      <c r="AO2423" s="15"/>
      <c r="AP2423" s="15"/>
      <c r="AQ2423" s="15"/>
      <c r="AR2423" s="15"/>
      <c r="AS2423" s="15"/>
      <c r="AT2423" s="15"/>
      <c r="AU2423" s="15"/>
      <c r="AV2423" s="15"/>
      <c r="AW2423" s="15"/>
    </row>
    <row r="2424" spans="3:49" x14ac:dyDescent="0.2">
      <c r="C2424" s="15"/>
      <c r="D2424" s="15"/>
      <c r="E2424" s="15"/>
      <c r="F2424" s="15"/>
      <c r="G2424" s="15"/>
      <c r="H2424" s="15"/>
      <c r="I2424" s="15"/>
      <c r="J2424" s="15"/>
      <c r="K2424" s="15"/>
      <c r="L2424" s="28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5"/>
      <c r="AG2424" s="15"/>
      <c r="AH2424" s="15"/>
      <c r="AI2424" s="15"/>
      <c r="AJ2424" s="15"/>
      <c r="AK2424" s="15"/>
      <c r="AL2424" s="15"/>
      <c r="AM2424" s="15"/>
      <c r="AN2424" s="15"/>
      <c r="AO2424" s="15"/>
      <c r="AP2424" s="15"/>
      <c r="AQ2424" s="15"/>
      <c r="AR2424" s="15"/>
      <c r="AS2424" s="15"/>
      <c r="AT2424" s="15"/>
      <c r="AU2424" s="15"/>
      <c r="AV2424" s="15"/>
      <c r="AW2424" s="15"/>
    </row>
    <row r="2425" spans="3:49" x14ac:dyDescent="0.2">
      <c r="C2425" s="15"/>
      <c r="D2425" s="15"/>
      <c r="E2425" s="15"/>
      <c r="F2425" s="15"/>
      <c r="G2425" s="15"/>
      <c r="H2425" s="15"/>
      <c r="I2425" s="15"/>
      <c r="J2425" s="15"/>
      <c r="K2425" s="15"/>
      <c r="L2425" s="28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5"/>
      <c r="AG2425" s="15"/>
      <c r="AH2425" s="15"/>
      <c r="AI2425" s="15"/>
      <c r="AJ2425" s="15"/>
      <c r="AK2425" s="15"/>
      <c r="AL2425" s="15"/>
      <c r="AM2425" s="15"/>
      <c r="AN2425" s="15"/>
      <c r="AO2425" s="15"/>
      <c r="AP2425" s="15"/>
      <c r="AQ2425" s="15"/>
      <c r="AR2425" s="15"/>
      <c r="AS2425" s="15"/>
      <c r="AT2425" s="15"/>
      <c r="AU2425" s="15"/>
      <c r="AV2425" s="15"/>
      <c r="AW2425" s="15"/>
    </row>
    <row r="2426" spans="3:49" x14ac:dyDescent="0.2">
      <c r="C2426" s="15"/>
      <c r="D2426" s="15"/>
      <c r="E2426" s="15"/>
      <c r="F2426" s="15"/>
      <c r="G2426" s="15"/>
      <c r="H2426" s="15"/>
      <c r="I2426" s="15"/>
      <c r="J2426" s="15"/>
      <c r="K2426" s="15"/>
      <c r="L2426" s="28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5"/>
      <c r="AG2426" s="15"/>
      <c r="AH2426" s="15"/>
      <c r="AI2426" s="15"/>
      <c r="AJ2426" s="15"/>
      <c r="AK2426" s="15"/>
      <c r="AL2426" s="15"/>
      <c r="AM2426" s="15"/>
      <c r="AN2426" s="15"/>
      <c r="AO2426" s="15"/>
      <c r="AP2426" s="15"/>
      <c r="AQ2426" s="15"/>
      <c r="AR2426" s="15"/>
      <c r="AS2426" s="15"/>
      <c r="AT2426" s="15"/>
      <c r="AU2426" s="15"/>
      <c r="AV2426" s="15"/>
      <c r="AW2426" s="15"/>
    </row>
    <row r="2427" spans="3:49" x14ac:dyDescent="0.2">
      <c r="C2427" s="15"/>
      <c r="D2427" s="15"/>
      <c r="E2427" s="15"/>
      <c r="F2427" s="15"/>
      <c r="G2427" s="15"/>
      <c r="H2427" s="15"/>
      <c r="I2427" s="15"/>
      <c r="J2427" s="15"/>
      <c r="K2427" s="15"/>
      <c r="L2427" s="28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5"/>
      <c r="AG2427" s="15"/>
      <c r="AH2427" s="15"/>
      <c r="AI2427" s="15"/>
      <c r="AJ2427" s="15"/>
      <c r="AK2427" s="15"/>
      <c r="AL2427" s="15"/>
      <c r="AM2427" s="15"/>
      <c r="AN2427" s="15"/>
      <c r="AO2427" s="15"/>
      <c r="AP2427" s="15"/>
      <c r="AQ2427" s="15"/>
      <c r="AR2427" s="15"/>
      <c r="AS2427" s="15"/>
      <c r="AT2427" s="15"/>
      <c r="AU2427" s="15"/>
      <c r="AV2427" s="15"/>
      <c r="AW2427" s="15"/>
    </row>
    <row r="2428" spans="3:49" x14ac:dyDescent="0.2">
      <c r="C2428" s="15"/>
      <c r="D2428" s="15"/>
      <c r="E2428" s="15"/>
      <c r="F2428" s="15"/>
      <c r="G2428" s="15"/>
      <c r="H2428" s="15"/>
      <c r="I2428" s="15"/>
      <c r="J2428" s="15"/>
      <c r="K2428" s="15"/>
      <c r="L2428" s="28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5"/>
      <c r="AG2428" s="15"/>
      <c r="AH2428" s="15"/>
      <c r="AI2428" s="15"/>
      <c r="AJ2428" s="15"/>
      <c r="AK2428" s="15"/>
      <c r="AL2428" s="15"/>
      <c r="AM2428" s="15"/>
      <c r="AN2428" s="15"/>
      <c r="AO2428" s="15"/>
      <c r="AP2428" s="15"/>
      <c r="AQ2428" s="15"/>
      <c r="AR2428" s="15"/>
      <c r="AS2428" s="15"/>
      <c r="AT2428" s="15"/>
      <c r="AU2428" s="15"/>
      <c r="AV2428" s="15"/>
      <c r="AW2428" s="15"/>
    </row>
    <row r="2429" spans="3:49" x14ac:dyDescent="0.2">
      <c r="C2429" s="15"/>
      <c r="D2429" s="15"/>
      <c r="E2429" s="15"/>
      <c r="F2429" s="15"/>
      <c r="G2429" s="15"/>
      <c r="H2429" s="15"/>
      <c r="I2429" s="15"/>
      <c r="J2429" s="15"/>
      <c r="K2429" s="15"/>
      <c r="L2429" s="28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5"/>
      <c r="AG2429" s="15"/>
      <c r="AH2429" s="15"/>
      <c r="AI2429" s="15"/>
      <c r="AJ2429" s="15"/>
      <c r="AK2429" s="15"/>
      <c r="AL2429" s="15"/>
      <c r="AM2429" s="15"/>
      <c r="AN2429" s="15"/>
      <c r="AO2429" s="15"/>
      <c r="AP2429" s="15"/>
      <c r="AQ2429" s="15"/>
      <c r="AR2429" s="15"/>
      <c r="AS2429" s="15"/>
      <c r="AT2429" s="15"/>
      <c r="AU2429" s="15"/>
      <c r="AV2429" s="15"/>
      <c r="AW2429" s="15"/>
    </row>
    <row r="2430" spans="3:49" x14ac:dyDescent="0.2">
      <c r="C2430" s="15"/>
      <c r="D2430" s="15"/>
      <c r="E2430" s="15"/>
      <c r="F2430" s="15"/>
      <c r="G2430" s="15"/>
      <c r="H2430" s="15"/>
      <c r="I2430" s="15"/>
      <c r="J2430" s="15"/>
      <c r="K2430" s="15"/>
      <c r="L2430" s="28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5"/>
      <c r="AG2430" s="15"/>
      <c r="AH2430" s="15"/>
      <c r="AI2430" s="15"/>
      <c r="AJ2430" s="15"/>
      <c r="AK2430" s="15"/>
      <c r="AL2430" s="15"/>
      <c r="AM2430" s="15"/>
      <c r="AN2430" s="15"/>
      <c r="AO2430" s="15"/>
      <c r="AP2430" s="15"/>
      <c r="AQ2430" s="15"/>
      <c r="AR2430" s="15"/>
      <c r="AS2430" s="15"/>
      <c r="AT2430" s="15"/>
      <c r="AU2430" s="15"/>
      <c r="AV2430" s="15"/>
      <c r="AW2430" s="15"/>
    </row>
    <row r="2431" spans="3:49" x14ac:dyDescent="0.2">
      <c r="C2431" s="15"/>
      <c r="D2431" s="15"/>
      <c r="E2431" s="15"/>
      <c r="F2431" s="15"/>
      <c r="G2431" s="15"/>
      <c r="H2431" s="15"/>
      <c r="I2431" s="15"/>
      <c r="J2431" s="15"/>
      <c r="K2431" s="15"/>
      <c r="L2431" s="28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5"/>
      <c r="AG2431" s="15"/>
      <c r="AH2431" s="15"/>
      <c r="AI2431" s="15"/>
      <c r="AJ2431" s="15"/>
      <c r="AK2431" s="15"/>
      <c r="AL2431" s="15"/>
      <c r="AM2431" s="15"/>
      <c r="AN2431" s="15"/>
      <c r="AO2431" s="15"/>
      <c r="AP2431" s="15"/>
      <c r="AQ2431" s="15"/>
      <c r="AR2431" s="15"/>
      <c r="AS2431" s="15"/>
      <c r="AT2431" s="15"/>
      <c r="AU2431" s="15"/>
      <c r="AV2431" s="15"/>
      <c r="AW2431" s="15"/>
    </row>
    <row r="2432" spans="3:49" x14ac:dyDescent="0.2">
      <c r="C2432" s="15"/>
      <c r="D2432" s="15"/>
      <c r="E2432" s="15"/>
      <c r="F2432" s="15"/>
      <c r="G2432" s="15"/>
      <c r="H2432" s="15"/>
      <c r="I2432" s="15"/>
      <c r="J2432" s="15"/>
      <c r="K2432" s="15"/>
      <c r="L2432" s="28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5"/>
      <c r="AG2432" s="15"/>
      <c r="AH2432" s="15"/>
      <c r="AI2432" s="15"/>
      <c r="AJ2432" s="15"/>
      <c r="AK2432" s="15"/>
      <c r="AL2432" s="15"/>
      <c r="AM2432" s="15"/>
      <c r="AN2432" s="15"/>
      <c r="AO2432" s="15"/>
      <c r="AP2432" s="15"/>
      <c r="AQ2432" s="15"/>
      <c r="AR2432" s="15"/>
      <c r="AS2432" s="15"/>
      <c r="AT2432" s="15"/>
      <c r="AU2432" s="15"/>
      <c r="AV2432" s="15"/>
      <c r="AW2432" s="15"/>
    </row>
    <row r="2433" spans="3:49" x14ac:dyDescent="0.2">
      <c r="C2433" s="15"/>
      <c r="D2433" s="15"/>
      <c r="E2433" s="15"/>
      <c r="F2433" s="15"/>
      <c r="G2433" s="15"/>
      <c r="H2433" s="15"/>
      <c r="I2433" s="15"/>
      <c r="J2433" s="15"/>
      <c r="K2433" s="15"/>
      <c r="L2433" s="28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5"/>
      <c r="AG2433" s="15"/>
      <c r="AH2433" s="15"/>
      <c r="AI2433" s="15"/>
      <c r="AJ2433" s="15"/>
      <c r="AK2433" s="15"/>
      <c r="AL2433" s="15"/>
      <c r="AM2433" s="15"/>
      <c r="AN2433" s="15"/>
      <c r="AO2433" s="15"/>
      <c r="AP2433" s="15"/>
      <c r="AQ2433" s="15"/>
      <c r="AR2433" s="15"/>
      <c r="AS2433" s="15"/>
      <c r="AT2433" s="15"/>
      <c r="AU2433" s="15"/>
      <c r="AV2433" s="15"/>
      <c r="AW2433" s="15"/>
    </row>
    <row r="2434" spans="3:49" x14ac:dyDescent="0.2">
      <c r="C2434" s="15"/>
      <c r="D2434" s="15"/>
      <c r="E2434" s="15"/>
      <c r="F2434" s="15"/>
      <c r="G2434" s="15"/>
      <c r="H2434" s="15"/>
      <c r="I2434" s="15"/>
      <c r="J2434" s="15"/>
      <c r="K2434" s="15"/>
      <c r="L2434" s="28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5"/>
      <c r="AG2434" s="15"/>
      <c r="AH2434" s="15"/>
      <c r="AI2434" s="15"/>
      <c r="AJ2434" s="15"/>
      <c r="AK2434" s="15"/>
      <c r="AL2434" s="15"/>
      <c r="AM2434" s="15"/>
      <c r="AN2434" s="15"/>
      <c r="AO2434" s="15"/>
      <c r="AP2434" s="15"/>
      <c r="AQ2434" s="15"/>
      <c r="AR2434" s="15"/>
      <c r="AS2434" s="15"/>
      <c r="AT2434" s="15"/>
      <c r="AU2434" s="15"/>
      <c r="AV2434" s="15"/>
      <c r="AW2434" s="15"/>
    </row>
    <row r="2435" spans="3:49" x14ac:dyDescent="0.2">
      <c r="C2435" s="15"/>
      <c r="D2435" s="15"/>
      <c r="E2435" s="15"/>
      <c r="F2435" s="15"/>
      <c r="G2435" s="15"/>
      <c r="H2435" s="15"/>
      <c r="I2435" s="15"/>
      <c r="J2435" s="15"/>
      <c r="K2435" s="15"/>
      <c r="L2435" s="28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5"/>
      <c r="AG2435" s="15"/>
      <c r="AH2435" s="15"/>
      <c r="AI2435" s="15"/>
      <c r="AJ2435" s="15"/>
      <c r="AK2435" s="15"/>
      <c r="AL2435" s="15"/>
      <c r="AM2435" s="15"/>
      <c r="AN2435" s="15"/>
      <c r="AO2435" s="15"/>
      <c r="AP2435" s="15"/>
      <c r="AQ2435" s="15"/>
      <c r="AR2435" s="15"/>
      <c r="AS2435" s="15"/>
      <c r="AT2435" s="15"/>
      <c r="AU2435" s="15"/>
      <c r="AV2435" s="15"/>
      <c r="AW2435" s="15"/>
    </row>
    <row r="2436" spans="3:49" x14ac:dyDescent="0.2">
      <c r="C2436" s="15"/>
      <c r="D2436" s="15"/>
      <c r="E2436" s="15"/>
      <c r="F2436" s="15"/>
      <c r="G2436" s="15"/>
      <c r="H2436" s="15"/>
      <c r="I2436" s="15"/>
      <c r="J2436" s="15"/>
      <c r="K2436" s="15"/>
      <c r="L2436" s="28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5"/>
      <c r="AG2436" s="15"/>
      <c r="AH2436" s="15"/>
      <c r="AI2436" s="15"/>
      <c r="AJ2436" s="15"/>
      <c r="AK2436" s="15"/>
      <c r="AL2436" s="15"/>
      <c r="AM2436" s="15"/>
      <c r="AN2436" s="15"/>
      <c r="AO2436" s="15"/>
      <c r="AP2436" s="15"/>
      <c r="AQ2436" s="15"/>
      <c r="AR2436" s="15"/>
      <c r="AS2436" s="15"/>
      <c r="AT2436" s="15"/>
      <c r="AU2436" s="15"/>
      <c r="AV2436" s="15"/>
      <c r="AW2436" s="15"/>
    </row>
    <row r="2437" spans="3:49" x14ac:dyDescent="0.2">
      <c r="C2437" s="15"/>
      <c r="D2437" s="15"/>
      <c r="E2437" s="15"/>
      <c r="F2437" s="15"/>
      <c r="G2437" s="15"/>
      <c r="H2437" s="15"/>
      <c r="I2437" s="15"/>
      <c r="J2437" s="15"/>
      <c r="K2437" s="15"/>
      <c r="L2437" s="28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5"/>
      <c r="AG2437" s="15"/>
      <c r="AH2437" s="15"/>
      <c r="AI2437" s="15"/>
      <c r="AJ2437" s="15"/>
      <c r="AK2437" s="15"/>
      <c r="AL2437" s="15"/>
      <c r="AM2437" s="15"/>
      <c r="AN2437" s="15"/>
      <c r="AO2437" s="15"/>
      <c r="AP2437" s="15"/>
      <c r="AQ2437" s="15"/>
      <c r="AR2437" s="15"/>
      <c r="AS2437" s="15"/>
      <c r="AT2437" s="15"/>
      <c r="AU2437" s="15"/>
      <c r="AV2437" s="15"/>
      <c r="AW2437" s="15"/>
    </row>
    <row r="2438" spans="3:49" x14ac:dyDescent="0.2">
      <c r="C2438" s="15"/>
      <c r="D2438" s="15"/>
      <c r="E2438" s="15"/>
      <c r="F2438" s="15"/>
      <c r="G2438" s="15"/>
      <c r="H2438" s="15"/>
      <c r="I2438" s="15"/>
      <c r="J2438" s="15"/>
      <c r="K2438" s="15"/>
      <c r="L2438" s="28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5"/>
      <c r="AG2438" s="15"/>
      <c r="AH2438" s="15"/>
      <c r="AI2438" s="15"/>
      <c r="AJ2438" s="15"/>
      <c r="AK2438" s="15"/>
      <c r="AL2438" s="15"/>
      <c r="AM2438" s="15"/>
      <c r="AN2438" s="15"/>
      <c r="AO2438" s="15"/>
      <c r="AP2438" s="15"/>
      <c r="AQ2438" s="15"/>
      <c r="AR2438" s="15"/>
      <c r="AS2438" s="15"/>
      <c r="AT2438" s="15"/>
      <c r="AU2438" s="15"/>
      <c r="AV2438" s="15"/>
      <c r="AW2438" s="15"/>
    </row>
    <row r="2439" spans="3:49" x14ac:dyDescent="0.2">
      <c r="C2439" s="15"/>
      <c r="D2439" s="15"/>
      <c r="E2439" s="15"/>
      <c r="F2439" s="15"/>
      <c r="G2439" s="15"/>
      <c r="H2439" s="15"/>
      <c r="I2439" s="15"/>
      <c r="J2439" s="15"/>
      <c r="K2439" s="15"/>
      <c r="L2439" s="28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5"/>
      <c r="AG2439" s="15"/>
      <c r="AH2439" s="15"/>
      <c r="AI2439" s="15"/>
      <c r="AJ2439" s="15"/>
      <c r="AK2439" s="15"/>
      <c r="AL2439" s="15"/>
      <c r="AM2439" s="15"/>
      <c r="AN2439" s="15"/>
      <c r="AO2439" s="15"/>
      <c r="AP2439" s="15"/>
      <c r="AQ2439" s="15"/>
      <c r="AR2439" s="15"/>
      <c r="AS2439" s="15"/>
      <c r="AT2439" s="15"/>
      <c r="AU2439" s="15"/>
      <c r="AV2439" s="15"/>
      <c r="AW2439" s="15"/>
    </row>
    <row r="2440" spans="3:49" x14ac:dyDescent="0.2">
      <c r="C2440" s="15"/>
      <c r="D2440" s="15"/>
      <c r="E2440" s="15"/>
      <c r="F2440" s="15"/>
      <c r="G2440" s="15"/>
      <c r="H2440" s="15"/>
      <c r="I2440" s="15"/>
      <c r="J2440" s="15"/>
      <c r="K2440" s="15"/>
      <c r="L2440" s="28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5"/>
      <c r="AG2440" s="15"/>
      <c r="AH2440" s="15"/>
      <c r="AI2440" s="15"/>
      <c r="AJ2440" s="15"/>
      <c r="AK2440" s="15"/>
      <c r="AL2440" s="15"/>
      <c r="AM2440" s="15"/>
      <c r="AN2440" s="15"/>
      <c r="AO2440" s="15"/>
      <c r="AP2440" s="15"/>
      <c r="AQ2440" s="15"/>
      <c r="AR2440" s="15"/>
      <c r="AS2440" s="15"/>
      <c r="AT2440" s="15"/>
      <c r="AU2440" s="15"/>
      <c r="AV2440" s="15"/>
      <c r="AW2440" s="15"/>
    </row>
    <row r="2441" spans="3:49" x14ac:dyDescent="0.2">
      <c r="C2441" s="15"/>
      <c r="D2441" s="15"/>
      <c r="E2441" s="15"/>
      <c r="F2441" s="15"/>
      <c r="G2441" s="15"/>
      <c r="H2441" s="15"/>
      <c r="I2441" s="15"/>
      <c r="J2441" s="15"/>
      <c r="K2441" s="15"/>
      <c r="L2441" s="28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5"/>
      <c r="AG2441" s="15"/>
      <c r="AH2441" s="15"/>
      <c r="AI2441" s="15"/>
      <c r="AJ2441" s="15"/>
      <c r="AK2441" s="15"/>
      <c r="AL2441" s="15"/>
      <c r="AM2441" s="15"/>
      <c r="AN2441" s="15"/>
      <c r="AO2441" s="15"/>
      <c r="AP2441" s="15"/>
      <c r="AQ2441" s="15"/>
      <c r="AR2441" s="15"/>
      <c r="AS2441" s="15"/>
      <c r="AT2441" s="15"/>
      <c r="AU2441" s="15"/>
      <c r="AV2441" s="15"/>
      <c r="AW2441" s="15"/>
    </row>
    <row r="2442" spans="3:49" x14ac:dyDescent="0.2">
      <c r="C2442" s="15"/>
      <c r="D2442" s="15"/>
      <c r="E2442" s="15"/>
      <c r="F2442" s="15"/>
      <c r="G2442" s="15"/>
      <c r="H2442" s="15"/>
      <c r="I2442" s="15"/>
      <c r="J2442" s="15"/>
      <c r="K2442" s="15"/>
      <c r="L2442" s="28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5"/>
      <c r="AG2442" s="15"/>
      <c r="AH2442" s="15"/>
      <c r="AI2442" s="15"/>
      <c r="AJ2442" s="15"/>
      <c r="AK2442" s="15"/>
      <c r="AL2442" s="15"/>
      <c r="AM2442" s="15"/>
      <c r="AN2442" s="15"/>
      <c r="AO2442" s="15"/>
      <c r="AP2442" s="15"/>
      <c r="AQ2442" s="15"/>
      <c r="AR2442" s="15"/>
      <c r="AS2442" s="15"/>
      <c r="AT2442" s="15"/>
      <c r="AU2442" s="15"/>
      <c r="AV2442" s="15"/>
      <c r="AW2442" s="15"/>
    </row>
    <row r="2443" spans="3:49" x14ac:dyDescent="0.2">
      <c r="C2443" s="15"/>
      <c r="D2443" s="15"/>
      <c r="E2443" s="15"/>
      <c r="F2443" s="15"/>
      <c r="G2443" s="15"/>
      <c r="H2443" s="15"/>
      <c r="I2443" s="15"/>
      <c r="J2443" s="15"/>
      <c r="K2443" s="15"/>
      <c r="L2443" s="28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5"/>
      <c r="AG2443" s="15"/>
      <c r="AH2443" s="15"/>
      <c r="AI2443" s="15"/>
      <c r="AJ2443" s="15"/>
      <c r="AK2443" s="15"/>
      <c r="AL2443" s="15"/>
      <c r="AM2443" s="15"/>
      <c r="AN2443" s="15"/>
      <c r="AO2443" s="15"/>
      <c r="AP2443" s="15"/>
      <c r="AQ2443" s="15"/>
      <c r="AR2443" s="15"/>
      <c r="AS2443" s="15"/>
      <c r="AT2443" s="15"/>
      <c r="AU2443" s="15"/>
      <c r="AV2443" s="15"/>
      <c r="AW2443" s="15"/>
    </row>
    <row r="2444" spans="3:49" x14ac:dyDescent="0.2">
      <c r="C2444" s="15"/>
      <c r="D2444" s="15"/>
      <c r="E2444" s="15"/>
      <c r="F2444" s="15"/>
      <c r="G2444" s="15"/>
      <c r="H2444" s="15"/>
      <c r="I2444" s="15"/>
      <c r="J2444" s="15"/>
      <c r="K2444" s="15"/>
      <c r="L2444" s="28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5"/>
      <c r="AG2444" s="15"/>
      <c r="AH2444" s="15"/>
      <c r="AI2444" s="15"/>
      <c r="AJ2444" s="15"/>
      <c r="AK2444" s="15"/>
      <c r="AL2444" s="15"/>
      <c r="AM2444" s="15"/>
      <c r="AN2444" s="15"/>
      <c r="AO2444" s="15"/>
      <c r="AP2444" s="15"/>
      <c r="AQ2444" s="15"/>
      <c r="AR2444" s="15"/>
      <c r="AS2444" s="15"/>
      <c r="AT2444" s="15"/>
      <c r="AU2444" s="15"/>
      <c r="AV2444" s="15"/>
      <c r="AW2444" s="15"/>
    </row>
    <row r="2445" spans="3:49" x14ac:dyDescent="0.2">
      <c r="C2445" s="15"/>
      <c r="D2445" s="15"/>
      <c r="E2445" s="15"/>
      <c r="F2445" s="15"/>
      <c r="G2445" s="15"/>
      <c r="H2445" s="15"/>
      <c r="I2445" s="15"/>
      <c r="J2445" s="15"/>
      <c r="K2445" s="15"/>
      <c r="L2445" s="28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5"/>
      <c r="AG2445" s="15"/>
      <c r="AH2445" s="15"/>
      <c r="AI2445" s="15"/>
      <c r="AJ2445" s="15"/>
      <c r="AK2445" s="15"/>
      <c r="AL2445" s="15"/>
      <c r="AM2445" s="15"/>
      <c r="AN2445" s="15"/>
      <c r="AO2445" s="15"/>
      <c r="AP2445" s="15"/>
      <c r="AQ2445" s="15"/>
      <c r="AR2445" s="15"/>
      <c r="AS2445" s="15"/>
      <c r="AT2445" s="15"/>
      <c r="AU2445" s="15"/>
      <c r="AV2445" s="15"/>
      <c r="AW2445" s="15"/>
    </row>
    <row r="2446" spans="3:49" x14ac:dyDescent="0.2">
      <c r="C2446" s="15"/>
      <c r="D2446" s="15"/>
      <c r="E2446" s="15"/>
      <c r="F2446" s="15"/>
      <c r="G2446" s="15"/>
      <c r="H2446" s="15"/>
      <c r="I2446" s="15"/>
      <c r="J2446" s="15"/>
      <c r="K2446" s="15"/>
      <c r="L2446" s="28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5"/>
      <c r="AG2446" s="15"/>
      <c r="AH2446" s="15"/>
      <c r="AI2446" s="15"/>
      <c r="AJ2446" s="15"/>
      <c r="AK2446" s="15"/>
      <c r="AL2446" s="15"/>
      <c r="AM2446" s="15"/>
      <c r="AN2446" s="15"/>
      <c r="AO2446" s="15"/>
      <c r="AP2446" s="15"/>
      <c r="AQ2446" s="15"/>
      <c r="AR2446" s="15"/>
      <c r="AS2446" s="15"/>
      <c r="AT2446" s="15"/>
      <c r="AU2446" s="15"/>
      <c r="AV2446" s="15"/>
      <c r="AW2446" s="15"/>
    </row>
    <row r="2447" spans="3:49" x14ac:dyDescent="0.2">
      <c r="C2447" s="15"/>
      <c r="D2447" s="15"/>
      <c r="E2447" s="15"/>
      <c r="F2447" s="15"/>
      <c r="G2447" s="15"/>
      <c r="H2447" s="15"/>
      <c r="I2447" s="15"/>
      <c r="J2447" s="15"/>
      <c r="K2447" s="15"/>
      <c r="L2447" s="28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5"/>
      <c r="AG2447" s="15"/>
      <c r="AH2447" s="15"/>
      <c r="AI2447" s="15"/>
      <c r="AJ2447" s="15"/>
      <c r="AK2447" s="15"/>
      <c r="AL2447" s="15"/>
      <c r="AM2447" s="15"/>
      <c r="AN2447" s="15"/>
      <c r="AO2447" s="15"/>
      <c r="AP2447" s="15"/>
      <c r="AQ2447" s="15"/>
      <c r="AR2447" s="15"/>
      <c r="AS2447" s="15"/>
      <c r="AT2447" s="15"/>
      <c r="AU2447" s="15"/>
      <c r="AV2447" s="15"/>
      <c r="AW2447" s="15"/>
    </row>
    <row r="2448" spans="3:49" x14ac:dyDescent="0.2">
      <c r="C2448" s="15"/>
      <c r="D2448" s="15"/>
      <c r="E2448" s="15"/>
      <c r="F2448" s="15"/>
      <c r="G2448" s="15"/>
      <c r="H2448" s="15"/>
      <c r="I2448" s="15"/>
      <c r="J2448" s="15"/>
      <c r="K2448" s="15"/>
      <c r="L2448" s="28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5"/>
      <c r="AG2448" s="15"/>
      <c r="AH2448" s="15"/>
      <c r="AI2448" s="15"/>
      <c r="AJ2448" s="15"/>
      <c r="AK2448" s="15"/>
      <c r="AL2448" s="15"/>
      <c r="AM2448" s="15"/>
      <c r="AN2448" s="15"/>
      <c r="AO2448" s="15"/>
      <c r="AP2448" s="15"/>
      <c r="AQ2448" s="15"/>
      <c r="AR2448" s="15"/>
      <c r="AS2448" s="15"/>
      <c r="AT2448" s="15"/>
      <c r="AU2448" s="15"/>
      <c r="AV2448" s="15"/>
      <c r="AW2448" s="15"/>
    </row>
    <row r="2449" spans="3:49" x14ac:dyDescent="0.2">
      <c r="C2449" s="15"/>
      <c r="D2449" s="15"/>
      <c r="E2449" s="15"/>
      <c r="F2449" s="15"/>
      <c r="G2449" s="15"/>
      <c r="H2449" s="15"/>
      <c r="I2449" s="15"/>
      <c r="J2449" s="15"/>
      <c r="K2449" s="15"/>
      <c r="L2449" s="28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5"/>
      <c r="AG2449" s="15"/>
      <c r="AH2449" s="15"/>
      <c r="AI2449" s="15"/>
      <c r="AJ2449" s="15"/>
      <c r="AK2449" s="15"/>
      <c r="AL2449" s="15"/>
      <c r="AM2449" s="15"/>
      <c r="AN2449" s="15"/>
      <c r="AO2449" s="15"/>
      <c r="AP2449" s="15"/>
      <c r="AQ2449" s="15"/>
      <c r="AR2449" s="15"/>
      <c r="AS2449" s="15"/>
      <c r="AT2449" s="15"/>
      <c r="AU2449" s="15"/>
      <c r="AV2449" s="15"/>
      <c r="AW2449" s="15"/>
    </row>
    <row r="2450" spans="3:49" x14ac:dyDescent="0.2">
      <c r="C2450" s="15"/>
      <c r="D2450" s="15"/>
      <c r="E2450" s="15"/>
      <c r="F2450" s="15"/>
      <c r="G2450" s="15"/>
      <c r="H2450" s="15"/>
      <c r="I2450" s="15"/>
      <c r="J2450" s="15"/>
      <c r="K2450" s="15"/>
      <c r="L2450" s="28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5"/>
      <c r="AG2450" s="15"/>
      <c r="AH2450" s="15"/>
      <c r="AI2450" s="15"/>
      <c r="AJ2450" s="15"/>
      <c r="AK2450" s="15"/>
      <c r="AL2450" s="15"/>
      <c r="AM2450" s="15"/>
      <c r="AN2450" s="15"/>
      <c r="AO2450" s="15"/>
      <c r="AP2450" s="15"/>
      <c r="AQ2450" s="15"/>
      <c r="AR2450" s="15"/>
      <c r="AS2450" s="15"/>
      <c r="AT2450" s="15"/>
      <c r="AU2450" s="15"/>
      <c r="AV2450" s="15"/>
      <c r="AW2450" s="15"/>
    </row>
    <row r="2451" spans="3:49" x14ac:dyDescent="0.2">
      <c r="C2451" s="15"/>
      <c r="D2451" s="15"/>
      <c r="E2451" s="15"/>
      <c r="F2451" s="15"/>
      <c r="G2451" s="15"/>
      <c r="H2451" s="15"/>
      <c r="I2451" s="15"/>
      <c r="J2451" s="15"/>
      <c r="K2451" s="15"/>
      <c r="L2451" s="28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5"/>
      <c r="AG2451" s="15"/>
      <c r="AH2451" s="15"/>
      <c r="AI2451" s="15"/>
      <c r="AJ2451" s="15"/>
      <c r="AK2451" s="15"/>
      <c r="AL2451" s="15"/>
      <c r="AM2451" s="15"/>
      <c r="AN2451" s="15"/>
      <c r="AO2451" s="15"/>
      <c r="AP2451" s="15"/>
      <c r="AQ2451" s="15"/>
      <c r="AR2451" s="15"/>
      <c r="AS2451" s="15"/>
      <c r="AT2451" s="15"/>
      <c r="AU2451" s="15"/>
      <c r="AV2451" s="15"/>
      <c r="AW2451" s="15"/>
    </row>
    <row r="2452" spans="3:49" x14ac:dyDescent="0.2">
      <c r="C2452" s="15"/>
      <c r="D2452" s="15"/>
      <c r="E2452" s="15"/>
      <c r="F2452" s="15"/>
      <c r="G2452" s="15"/>
      <c r="H2452" s="15"/>
      <c r="I2452" s="15"/>
      <c r="J2452" s="15"/>
      <c r="K2452" s="15"/>
      <c r="L2452" s="28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5"/>
      <c r="AG2452" s="15"/>
      <c r="AH2452" s="15"/>
      <c r="AI2452" s="15"/>
      <c r="AJ2452" s="15"/>
      <c r="AK2452" s="15"/>
      <c r="AL2452" s="15"/>
      <c r="AM2452" s="15"/>
      <c r="AN2452" s="15"/>
      <c r="AO2452" s="15"/>
      <c r="AP2452" s="15"/>
      <c r="AQ2452" s="15"/>
      <c r="AR2452" s="15"/>
      <c r="AS2452" s="15"/>
      <c r="AT2452" s="15"/>
      <c r="AU2452" s="15"/>
      <c r="AV2452" s="15"/>
      <c r="AW2452" s="15"/>
    </row>
    <row r="2453" spans="3:49" x14ac:dyDescent="0.2">
      <c r="C2453" s="15"/>
      <c r="D2453" s="15"/>
      <c r="E2453" s="15"/>
      <c r="F2453" s="15"/>
      <c r="G2453" s="15"/>
      <c r="H2453" s="15"/>
      <c r="I2453" s="15"/>
      <c r="J2453" s="15"/>
      <c r="K2453" s="15"/>
      <c r="L2453" s="28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5"/>
      <c r="AG2453" s="15"/>
      <c r="AH2453" s="15"/>
      <c r="AI2453" s="15"/>
      <c r="AJ2453" s="15"/>
      <c r="AK2453" s="15"/>
      <c r="AL2453" s="15"/>
      <c r="AM2453" s="15"/>
      <c r="AN2453" s="15"/>
      <c r="AO2453" s="15"/>
      <c r="AP2453" s="15"/>
      <c r="AQ2453" s="15"/>
      <c r="AR2453" s="15"/>
      <c r="AS2453" s="15"/>
      <c r="AT2453" s="15"/>
      <c r="AU2453" s="15"/>
      <c r="AV2453" s="15"/>
      <c r="AW2453" s="15"/>
    </row>
    <row r="2454" spans="3:49" x14ac:dyDescent="0.2">
      <c r="C2454" s="15"/>
      <c r="D2454" s="15"/>
      <c r="E2454" s="15"/>
      <c r="F2454" s="15"/>
      <c r="G2454" s="15"/>
      <c r="H2454" s="15"/>
      <c r="I2454" s="15"/>
      <c r="J2454" s="15"/>
      <c r="K2454" s="15"/>
      <c r="L2454" s="28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5"/>
      <c r="AG2454" s="15"/>
      <c r="AH2454" s="15"/>
      <c r="AI2454" s="15"/>
      <c r="AJ2454" s="15"/>
      <c r="AK2454" s="15"/>
      <c r="AL2454" s="15"/>
      <c r="AM2454" s="15"/>
      <c r="AN2454" s="15"/>
      <c r="AO2454" s="15"/>
      <c r="AP2454" s="15"/>
      <c r="AQ2454" s="15"/>
      <c r="AR2454" s="15"/>
      <c r="AS2454" s="15"/>
      <c r="AT2454" s="15"/>
      <c r="AU2454" s="15"/>
      <c r="AV2454" s="15"/>
      <c r="AW2454" s="15"/>
    </row>
    <row r="2455" spans="3:49" x14ac:dyDescent="0.2">
      <c r="C2455" s="15"/>
      <c r="D2455" s="15"/>
      <c r="E2455" s="15"/>
      <c r="F2455" s="15"/>
      <c r="G2455" s="15"/>
      <c r="H2455" s="15"/>
      <c r="I2455" s="15"/>
      <c r="J2455" s="15"/>
      <c r="K2455" s="15"/>
      <c r="L2455" s="28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5"/>
      <c r="AG2455" s="15"/>
      <c r="AH2455" s="15"/>
      <c r="AI2455" s="15"/>
      <c r="AJ2455" s="15"/>
      <c r="AK2455" s="15"/>
      <c r="AL2455" s="15"/>
      <c r="AM2455" s="15"/>
      <c r="AN2455" s="15"/>
      <c r="AO2455" s="15"/>
      <c r="AP2455" s="15"/>
      <c r="AQ2455" s="15"/>
      <c r="AR2455" s="15"/>
      <c r="AS2455" s="15"/>
      <c r="AT2455" s="15"/>
      <c r="AU2455" s="15"/>
      <c r="AV2455" s="15"/>
      <c r="AW2455" s="15"/>
    </row>
    <row r="2456" spans="3:49" x14ac:dyDescent="0.2">
      <c r="C2456" s="15"/>
      <c r="D2456" s="15"/>
      <c r="E2456" s="15"/>
      <c r="F2456" s="15"/>
      <c r="G2456" s="15"/>
      <c r="H2456" s="15"/>
      <c r="I2456" s="15"/>
      <c r="J2456" s="15"/>
      <c r="K2456" s="15"/>
      <c r="L2456" s="28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5"/>
      <c r="AG2456" s="15"/>
      <c r="AH2456" s="15"/>
      <c r="AI2456" s="15"/>
      <c r="AJ2456" s="15"/>
      <c r="AK2456" s="15"/>
      <c r="AL2456" s="15"/>
      <c r="AM2456" s="15"/>
      <c r="AN2456" s="15"/>
      <c r="AO2456" s="15"/>
      <c r="AP2456" s="15"/>
      <c r="AQ2456" s="15"/>
      <c r="AR2456" s="15"/>
      <c r="AS2456" s="15"/>
      <c r="AT2456" s="15"/>
      <c r="AU2456" s="15"/>
      <c r="AV2456" s="15"/>
      <c r="AW2456" s="15"/>
    </row>
    <row r="2457" spans="3:49" x14ac:dyDescent="0.2">
      <c r="C2457" s="15"/>
      <c r="D2457" s="15"/>
      <c r="E2457" s="15"/>
      <c r="F2457" s="15"/>
      <c r="G2457" s="15"/>
      <c r="H2457" s="15"/>
      <c r="I2457" s="15"/>
      <c r="J2457" s="15"/>
      <c r="K2457" s="15"/>
      <c r="L2457" s="28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5"/>
      <c r="AG2457" s="15"/>
      <c r="AH2457" s="15"/>
      <c r="AI2457" s="15"/>
      <c r="AJ2457" s="15"/>
      <c r="AK2457" s="15"/>
      <c r="AL2457" s="15"/>
      <c r="AM2457" s="15"/>
      <c r="AN2457" s="15"/>
      <c r="AO2457" s="15"/>
      <c r="AP2457" s="15"/>
      <c r="AQ2457" s="15"/>
      <c r="AR2457" s="15"/>
      <c r="AS2457" s="15"/>
      <c r="AT2457" s="15"/>
      <c r="AU2457" s="15"/>
      <c r="AV2457" s="15"/>
      <c r="AW2457" s="15"/>
    </row>
    <row r="2458" spans="3:49" x14ac:dyDescent="0.2">
      <c r="C2458" s="15"/>
      <c r="D2458" s="15"/>
      <c r="E2458" s="15"/>
      <c r="F2458" s="15"/>
      <c r="G2458" s="15"/>
      <c r="H2458" s="15"/>
      <c r="I2458" s="15"/>
      <c r="J2458" s="15"/>
      <c r="K2458" s="15"/>
      <c r="L2458" s="28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5"/>
      <c r="AG2458" s="15"/>
      <c r="AH2458" s="15"/>
      <c r="AI2458" s="15"/>
      <c r="AJ2458" s="15"/>
      <c r="AK2458" s="15"/>
      <c r="AL2458" s="15"/>
      <c r="AM2458" s="15"/>
      <c r="AN2458" s="15"/>
      <c r="AO2458" s="15"/>
      <c r="AP2458" s="15"/>
      <c r="AQ2458" s="15"/>
      <c r="AR2458" s="15"/>
      <c r="AS2458" s="15"/>
      <c r="AT2458" s="15"/>
      <c r="AU2458" s="15"/>
      <c r="AV2458" s="15"/>
      <c r="AW2458" s="15"/>
    </row>
    <row r="2459" spans="3:49" x14ac:dyDescent="0.2">
      <c r="C2459" s="15"/>
      <c r="D2459" s="15"/>
      <c r="E2459" s="15"/>
      <c r="F2459" s="15"/>
      <c r="G2459" s="15"/>
      <c r="H2459" s="15"/>
      <c r="I2459" s="15"/>
      <c r="J2459" s="15"/>
      <c r="K2459" s="15"/>
      <c r="L2459" s="28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5"/>
      <c r="AG2459" s="15"/>
      <c r="AH2459" s="15"/>
      <c r="AI2459" s="15"/>
      <c r="AJ2459" s="15"/>
      <c r="AK2459" s="15"/>
      <c r="AL2459" s="15"/>
      <c r="AM2459" s="15"/>
      <c r="AN2459" s="15"/>
      <c r="AO2459" s="15"/>
      <c r="AP2459" s="15"/>
      <c r="AQ2459" s="15"/>
      <c r="AR2459" s="15"/>
      <c r="AS2459" s="15"/>
      <c r="AT2459" s="15"/>
      <c r="AU2459" s="15"/>
      <c r="AV2459" s="15"/>
      <c r="AW2459" s="15"/>
    </row>
    <row r="2460" spans="3:49" x14ac:dyDescent="0.2">
      <c r="C2460" s="15"/>
      <c r="D2460" s="15"/>
      <c r="E2460" s="15"/>
      <c r="F2460" s="15"/>
      <c r="G2460" s="15"/>
      <c r="H2460" s="15"/>
      <c r="I2460" s="15"/>
      <c r="J2460" s="15"/>
      <c r="K2460" s="15"/>
      <c r="L2460" s="28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5"/>
      <c r="AG2460" s="15"/>
      <c r="AH2460" s="15"/>
      <c r="AI2460" s="15"/>
      <c r="AJ2460" s="15"/>
      <c r="AK2460" s="15"/>
      <c r="AL2460" s="15"/>
      <c r="AM2460" s="15"/>
      <c r="AN2460" s="15"/>
      <c r="AO2460" s="15"/>
      <c r="AP2460" s="15"/>
      <c r="AQ2460" s="15"/>
      <c r="AR2460" s="15"/>
      <c r="AS2460" s="15"/>
      <c r="AT2460" s="15"/>
      <c r="AU2460" s="15"/>
      <c r="AV2460" s="15"/>
      <c r="AW2460" s="15"/>
    </row>
    <row r="2461" spans="3:49" x14ac:dyDescent="0.2">
      <c r="C2461" s="15"/>
      <c r="D2461" s="15"/>
      <c r="E2461" s="15"/>
      <c r="F2461" s="15"/>
      <c r="G2461" s="15"/>
      <c r="H2461" s="15"/>
      <c r="I2461" s="15"/>
      <c r="J2461" s="15"/>
      <c r="K2461" s="15"/>
      <c r="L2461" s="28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5"/>
      <c r="AG2461" s="15"/>
      <c r="AH2461" s="15"/>
      <c r="AI2461" s="15"/>
      <c r="AJ2461" s="15"/>
      <c r="AK2461" s="15"/>
      <c r="AL2461" s="15"/>
      <c r="AM2461" s="15"/>
      <c r="AN2461" s="15"/>
      <c r="AO2461" s="15"/>
      <c r="AP2461" s="15"/>
      <c r="AQ2461" s="15"/>
      <c r="AR2461" s="15"/>
      <c r="AS2461" s="15"/>
      <c r="AT2461" s="15"/>
      <c r="AU2461" s="15"/>
      <c r="AV2461" s="15"/>
      <c r="AW2461" s="15"/>
    </row>
    <row r="2462" spans="3:49" x14ac:dyDescent="0.2">
      <c r="C2462" s="15"/>
      <c r="D2462" s="15"/>
      <c r="E2462" s="15"/>
      <c r="F2462" s="15"/>
      <c r="G2462" s="15"/>
      <c r="H2462" s="15"/>
      <c r="I2462" s="15"/>
      <c r="J2462" s="15"/>
      <c r="K2462" s="15"/>
      <c r="L2462" s="28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5"/>
      <c r="AG2462" s="15"/>
      <c r="AH2462" s="15"/>
      <c r="AI2462" s="15"/>
      <c r="AJ2462" s="15"/>
      <c r="AK2462" s="15"/>
      <c r="AL2462" s="15"/>
      <c r="AM2462" s="15"/>
      <c r="AN2462" s="15"/>
      <c r="AO2462" s="15"/>
      <c r="AP2462" s="15"/>
      <c r="AQ2462" s="15"/>
      <c r="AR2462" s="15"/>
      <c r="AS2462" s="15"/>
      <c r="AT2462" s="15"/>
      <c r="AU2462" s="15"/>
      <c r="AV2462" s="15"/>
      <c r="AW2462" s="15"/>
    </row>
    <row r="2463" spans="3:49" x14ac:dyDescent="0.2">
      <c r="C2463" s="15"/>
      <c r="D2463" s="15"/>
      <c r="E2463" s="15"/>
      <c r="F2463" s="15"/>
      <c r="G2463" s="15"/>
      <c r="H2463" s="15"/>
      <c r="I2463" s="15"/>
      <c r="J2463" s="15"/>
      <c r="K2463" s="15"/>
      <c r="L2463" s="28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5"/>
      <c r="AG2463" s="15"/>
      <c r="AH2463" s="15"/>
      <c r="AI2463" s="15"/>
      <c r="AJ2463" s="15"/>
      <c r="AK2463" s="15"/>
      <c r="AL2463" s="15"/>
      <c r="AM2463" s="15"/>
      <c r="AN2463" s="15"/>
      <c r="AO2463" s="15"/>
      <c r="AP2463" s="15"/>
      <c r="AQ2463" s="15"/>
      <c r="AR2463" s="15"/>
      <c r="AS2463" s="15"/>
      <c r="AT2463" s="15"/>
      <c r="AU2463" s="15"/>
      <c r="AV2463" s="15"/>
      <c r="AW2463" s="15"/>
    </row>
    <row r="2464" spans="3:49" x14ac:dyDescent="0.2">
      <c r="C2464" s="15"/>
      <c r="D2464" s="15"/>
      <c r="E2464" s="15"/>
      <c r="F2464" s="15"/>
      <c r="G2464" s="15"/>
      <c r="H2464" s="15"/>
      <c r="I2464" s="15"/>
      <c r="J2464" s="15"/>
      <c r="K2464" s="15"/>
      <c r="L2464" s="28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5"/>
      <c r="AG2464" s="15"/>
      <c r="AH2464" s="15"/>
      <c r="AI2464" s="15"/>
      <c r="AJ2464" s="15"/>
      <c r="AK2464" s="15"/>
      <c r="AL2464" s="15"/>
      <c r="AM2464" s="15"/>
      <c r="AN2464" s="15"/>
      <c r="AO2464" s="15"/>
      <c r="AP2464" s="15"/>
      <c r="AQ2464" s="15"/>
      <c r="AR2464" s="15"/>
      <c r="AS2464" s="15"/>
      <c r="AT2464" s="15"/>
      <c r="AU2464" s="15"/>
      <c r="AV2464" s="15"/>
      <c r="AW2464" s="15"/>
    </row>
    <row r="2465" spans="3:49" x14ac:dyDescent="0.2">
      <c r="C2465" s="15"/>
      <c r="D2465" s="15"/>
      <c r="E2465" s="15"/>
      <c r="F2465" s="15"/>
      <c r="G2465" s="15"/>
      <c r="H2465" s="15"/>
      <c r="I2465" s="15"/>
      <c r="J2465" s="15"/>
      <c r="K2465" s="15"/>
      <c r="L2465" s="28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5"/>
      <c r="AG2465" s="15"/>
      <c r="AH2465" s="15"/>
      <c r="AI2465" s="15"/>
      <c r="AJ2465" s="15"/>
      <c r="AK2465" s="15"/>
      <c r="AL2465" s="15"/>
      <c r="AM2465" s="15"/>
      <c r="AN2465" s="15"/>
      <c r="AO2465" s="15"/>
      <c r="AP2465" s="15"/>
      <c r="AQ2465" s="15"/>
      <c r="AR2465" s="15"/>
      <c r="AS2465" s="15"/>
      <c r="AT2465" s="15"/>
      <c r="AU2465" s="15"/>
      <c r="AV2465" s="15"/>
      <c r="AW2465" s="15"/>
    </row>
    <row r="2466" spans="3:49" x14ac:dyDescent="0.2">
      <c r="C2466" s="15"/>
      <c r="D2466" s="15"/>
      <c r="E2466" s="15"/>
      <c r="F2466" s="15"/>
      <c r="G2466" s="15"/>
      <c r="H2466" s="15"/>
      <c r="I2466" s="15"/>
      <c r="J2466" s="15"/>
      <c r="K2466" s="15"/>
      <c r="L2466" s="28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5"/>
      <c r="AG2466" s="15"/>
      <c r="AH2466" s="15"/>
      <c r="AI2466" s="15"/>
      <c r="AJ2466" s="15"/>
      <c r="AK2466" s="15"/>
      <c r="AL2466" s="15"/>
      <c r="AM2466" s="15"/>
      <c r="AN2466" s="15"/>
      <c r="AO2466" s="15"/>
      <c r="AP2466" s="15"/>
      <c r="AQ2466" s="15"/>
      <c r="AR2466" s="15"/>
      <c r="AS2466" s="15"/>
      <c r="AT2466" s="15"/>
      <c r="AU2466" s="15"/>
      <c r="AV2466" s="15"/>
      <c r="AW2466" s="15"/>
    </row>
    <row r="2467" spans="3:49" x14ac:dyDescent="0.2">
      <c r="C2467" s="15"/>
      <c r="D2467" s="15"/>
      <c r="E2467" s="15"/>
      <c r="F2467" s="15"/>
      <c r="G2467" s="15"/>
      <c r="H2467" s="15"/>
      <c r="I2467" s="15"/>
      <c r="J2467" s="15"/>
      <c r="K2467" s="15"/>
      <c r="L2467" s="28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5"/>
      <c r="AG2467" s="15"/>
      <c r="AH2467" s="15"/>
      <c r="AI2467" s="15"/>
      <c r="AJ2467" s="15"/>
      <c r="AK2467" s="15"/>
      <c r="AL2467" s="15"/>
      <c r="AM2467" s="15"/>
      <c r="AN2467" s="15"/>
      <c r="AO2467" s="15"/>
      <c r="AP2467" s="15"/>
      <c r="AQ2467" s="15"/>
      <c r="AR2467" s="15"/>
      <c r="AS2467" s="15"/>
      <c r="AT2467" s="15"/>
      <c r="AU2467" s="15"/>
      <c r="AV2467" s="15"/>
      <c r="AW2467" s="15"/>
    </row>
    <row r="2468" spans="3:49" x14ac:dyDescent="0.2">
      <c r="C2468" s="15"/>
      <c r="D2468" s="15"/>
      <c r="E2468" s="15"/>
      <c r="F2468" s="15"/>
      <c r="G2468" s="15"/>
      <c r="H2468" s="15"/>
      <c r="I2468" s="15"/>
      <c r="J2468" s="15"/>
      <c r="K2468" s="15"/>
      <c r="L2468" s="28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5"/>
      <c r="AG2468" s="15"/>
      <c r="AH2468" s="15"/>
      <c r="AI2468" s="15"/>
      <c r="AJ2468" s="15"/>
      <c r="AK2468" s="15"/>
      <c r="AL2468" s="15"/>
      <c r="AM2468" s="15"/>
      <c r="AN2468" s="15"/>
      <c r="AO2468" s="15"/>
      <c r="AP2468" s="15"/>
      <c r="AQ2468" s="15"/>
      <c r="AR2468" s="15"/>
      <c r="AS2468" s="15"/>
      <c r="AT2468" s="15"/>
      <c r="AU2468" s="15"/>
      <c r="AV2468" s="15"/>
      <c r="AW2468" s="15"/>
    </row>
    <row r="2469" spans="3:49" x14ac:dyDescent="0.2">
      <c r="C2469" s="15"/>
      <c r="D2469" s="15"/>
      <c r="E2469" s="15"/>
      <c r="F2469" s="15"/>
      <c r="G2469" s="15"/>
      <c r="H2469" s="15"/>
      <c r="I2469" s="15"/>
      <c r="J2469" s="15"/>
      <c r="K2469" s="15"/>
      <c r="L2469" s="28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5"/>
      <c r="AG2469" s="15"/>
      <c r="AH2469" s="15"/>
      <c r="AI2469" s="15"/>
      <c r="AJ2469" s="15"/>
      <c r="AK2469" s="15"/>
      <c r="AL2469" s="15"/>
      <c r="AM2469" s="15"/>
      <c r="AN2469" s="15"/>
      <c r="AO2469" s="15"/>
      <c r="AP2469" s="15"/>
      <c r="AQ2469" s="15"/>
      <c r="AR2469" s="15"/>
      <c r="AS2469" s="15"/>
      <c r="AT2469" s="15"/>
      <c r="AU2469" s="15"/>
      <c r="AV2469" s="15"/>
      <c r="AW2469" s="15"/>
    </row>
    <row r="2470" spans="3:49" x14ac:dyDescent="0.2">
      <c r="C2470" s="15"/>
      <c r="D2470" s="15"/>
      <c r="E2470" s="15"/>
      <c r="F2470" s="15"/>
      <c r="G2470" s="15"/>
      <c r="H2470" s="15"/>
      <c r="I2470" s="15"/>
      <c r="J2470" s="15"/>
      <c r="K2470" s="15"/>
      <c r="L2470" s="28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5"/>
      <c r="AG2470" s="15"/>
      <c r="AH2470" s="15"/>
      <c r="AI2470" s="15"/>
      <c r="AJ2470" s="15"/>
      <c r="AK2470" s="15"/>
      <c r="AL2470" s="15"/>
      <c r="AM2470" s="15"/>
      <c r="AN2470" s="15"/>
      <c r="AO2470" s="15"/>
      <c r="AP2470" s="15"/>
      <c r="AQ2470" s="15"/>
      <c r="AR2470" s="15"/>
      <c r="AS2470" s="15"/>
      <c r="AT2470" s="15"/>
      <c r="AU2470" s="15"/>
      <c r="AV2470" s="15"/>
      <c r="AW2470" s="15"/>
    </row>
    <row r="2471" spans="3:49" x14ac:dyDescent="0.2">
      <c r="C2471" s="15"/>
      <c r="D2471" s="15"/>
      <c r="E2471" s="15"/>
      <c r="F2471" s="15"/>
      <c r="G2471" s="15"/>
      <c r="H2471" s="15"/>
      <c r="I2471" s="15"/>
      <c r="J2471" s="15"/>
      <c r="K2471" s="15"/>
      <c r="L2471" s="28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5"/>
      <c r="AG2471" s="15"/>
      <c r="AH2471" s="15"/>
      <c r="AI2471" s="15"/>
      <c r="AJ2471" s="15"/>
      <c r="AK2471" s="15"/>
      <c r="AL2471" s="15"/>
      <c r="AM2471" s="15"/>
      <c r="AN2471" s="15"/>
      <c r="AO2471" s="15"/>
      <c r="AP2471" s="15"/>
      <c r="AQ2471" s="15"/>
      <c r="AR2471" s="15"/>
      <c r="AS2471" s="15"/>
      <c r="AT2471" s="15"/>
      <c r="AU2471" s="15"/>
      <c r="AV2471" s="15"/>
      <c r="AW2471" s="15"/>
    </row>
    <row r="2472" spans="3:49" x14ac:dyDescent="0.2">
      <c r="C2472" s="15"/>
      <c r="D2472" s="15"/>
      <c r="E2472" s="15"/>
      <c r="F2472" s="15"/>
      <c r="G2472" s="15"/>
      <c r="H2472" s="15"/>
      <c r="I2472" s="15"/>
      <c r="J2472" s="15"/>
      <c r="K2472" s="15"/>
      <c r="L2472" s="28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5"/>
      <c r="AG2472" s="15"/>
      <c r="AH2472" s="15"/>
      <c r="AI2472" s="15"/>
      <c r="AJ2472" s="15"/>
      <c r="AK2472" s="15"/>
      <c r="AL2472" s="15"/>
      <c r="AM2472" s="15"/>
      <c r="AN2472" s="15"/>
      <c r="AO2472" s="15"/>
      <c r="AP2472" s="15"/>
      <c r="AQ2472" s="15"/>
      <c r="AR2472" s="15"/>
      <c r="AS2472" s="15"/>
      <c r="AT2472" s="15"/>
      <c r="AU2472" s="15"/>
      <c r="AV2472" s="15"/>
      <c r="AW2472" s="15"/>
    </row>
    <row r="2473" spans="3:49" x14ac:dyDescent="0.2">
      <c r="C2473" s="15"/>
      <c r="D2473" s="15"/>
      <c r="E2473" s="15"/>
      <c r="F2473" s="15"/>
      <c r="G2473" s="15"/>
      <c r="H2473" s="15"/>
      <c r="I2473" s="15"/>
      <c r="J2473" s="15"/>
      <c r="K2473" s="15"/>
      <c r="L2473" s="28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5"/>
      <c r="AG2473" s="15"/>
      <c r="AH2473" s="15"/>
      <c r="AI2473" s="15"/>
      <c r="AJ2473" s="15"/>
      <c r="AK2473" s="15"/>
      <c r="AL2473" s="15"/>
      <c r="AM2473" s="15"/>
      <c r="AN2473" s="15"/>
      <c r="AO2473" s="15"/>
      <c r="AP2473" s="15"/>
      <c r="AQ2473" s="15"/>
      <c r="AR2473" s="15"/>
      <c r="AS2473" s="15"/>
      <c r="AT2473" s="15"/>
      <c r="AU2473" s="15"/>
      <c r="AV2473" s="15"/>
      <c r="AW2473" s="15"/>
    </row>
    <row r="2474" spans="3:49" x14ac:dyDescent="0.2">
      <c r="C2474" s="15"/>
      <c r="D2474" s="15"/>
      <c r="E2474" s="15"/>
      <c r="F2474" s="15"/>
      <c r="G2474" s="15"/>
      <c r="H2474" s="15"/>
      <c r="I2474" s="15"/>
      <c r="J2474" s="15"/>
      <c r="K2474" s="15"/>
      <c r="L2474" s="28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5"/>
      <c r="AG2474" s="15"/>
      <c r="AH2474" s="15"/>
      <c r="AI2474" s="15"/>
      <c r="AJ2474" s="15"/>
      <c r="AK2474" s="15"/>
      <c r="AL2474" s="15"/>
      <c r="AM2474" s="15"/>
      <c r="AN2474" s="15"/>
      <c r="AO2474" s="15"/>
      <c r="AP2474" s="15"/>
      <c r="AQ2474" s="15"/>
      <c r="AR2474" s="15"/>
      <c r="AS2474" s="15"/>
      <c r="AT2474" s="15"/>
      <c r="AU2474" s="15"/>
      <c r="AV2474" s="15"/>
      <c r="AW2474" s="15"/>
    </row>
    <row r="2475" spans="3:49" x14ac:dyDescent="0.2">
      <c r="C2475" s="15"/>
      <c r="D2475" s="15"/>
      <c r="E2475" s="15"/>
      <c r="F2475" s="15"/>
      <c r="G2475" s="15"/>
      <c r="H2475" s="15"/>
      <c r="I2475" s="15"/>
      <c r="J2475" s="15"/>
      <c r="K2475" s="15"/>
      <c r="L2475" s="28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5"/>
      <c r="AG2475" s="15"/>
      <c r="AH2475" s="15"/>
      <c r="AI2475" s="15"/>
      <c r="AJ2475" s="15"/>
      <c r="AK2475" s="15"/>
      <c r="AL2475" s="15"/>
      <c r="AM2475" s="15"/>
      <c r="AN2475" s="15"/>
      <c r="AO2475" s="15"/>
      <c r="AP2475" s="15"/>
      <c r="AQ2475" s="15"/>
      <c r="AR2475" s="15"/>
      <c r="AS2475" s="15"/>
      <c r="AT2475" s="15"/>
      <c r="AU2475" s="15"/>
      <c r="AV2475" s="15"/>
      <c r="AW2475" s="15"/>
    </row>
    <row r="2476" spans="3:49" x14ac:dyDescent="0.2">
      <c r="C2476" s="15"/>
      <c r="D2476" s="15"/>
      <c r="E2476" s="15"/>
      <c r="F2476" s="15"/>
      <c r="G2476" s="15"/>
      <c r="H2476" s="15"/>
      <c r="I2476" s="15"/>
      <c r="J2476" s="15"/>
      <c r="K2476" s="15"/>
      <c r="L2476" s="28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5"/>
      <c r="AG2476" s="15"/>
      <c r="AH2476" s="15"/>
      <c r="AI2476" s="15"/>
      <c r="AJ2476" s="15"/>
      <c r="AK2476" s="15"/>
      <c r="AL2476" s="15"/>
      <c r="AM2476" s="15"/>
      <c r="AN2476" s="15"/>
      <c r="AO2476" s="15"/>
      <c r="AP2476" s="15"/>
      <c r="AQ2476" s="15"/>
      <c r="AR2476" s="15"/>
      <c r="AS2476" s="15"/>
      <c r="AT2476" s="15"/>
      <c r="AU2476" s="15"/>
      <c r="AV2476" s="15"/>
      <c r="AW2476" s="15"/>
    </row>
    <row r="2477" spans="3:49" x14ac:dyDescent="0.2">
      <c r="C2477" s="15"/>
      <c r="D2477" s="15"/>
      <c r="E2477" s="15"/>
      <c r="F2477" s="15"/>
      <c r="G2477" s="15"/>
      <c r="H2477" s="15"/>
      <c r="I2477" s="15"/>
      <c r="J2477" s="15"/>
      <c r="K2477" s="15"/>
      <c r="L2477" s="28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5"/>
      <c r="AG2477" s="15"/>
      <c r="AH2477" s="15"/>
      <c r="AI2477" s="15"/>
      <c r="AJ2477" s="15"/>
      <c r="AK2477" s="15"/>
      <c r="AL2477" s="15"/>
      <c r="AM2477" s="15"/>
      <c r="AN2477" s="15"/>
      <c r="AO2477" s="15"/>
      <c r="AP2477" s="15"/>
      <c r="AQ2477" s="15"/>
      <c r="AR2477" s="15"/>
      <c r="AS2477" s="15"/>
      <c r="AT2477" s="15"/>
      <c r="AU2477" s="15"/>
      <c r="AV2477" s="15"/>
      <c r="AW2477" s="15"/>
    </row>
    <row r="2478" spans="3:49" x14ac:dyDescent="0.2">
      <c r="C2478" s="15"/>
      <c r="D2478" s="15"/>
      <c r="E2478" s="15"/>
      <c r="F2478" s="15"/>
      <c r="G2478" s="15"/>
      <c r="H2478" s="15"/>
      <c r="I2478" s="15"/>
      <c r="J2478" s="15"/>
      <c r="K2478" s="15"/>
      <c r="L2478" s="28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5"/>
      <c r="AG2478" s="15"/>
      <c r="AH2478" s="15"/>
      <c r="AI2478" s="15"/>
      <c r="AJ2478" s="15"/>
      <c r="AK2478" s="15"/>
      <c r="AL2478" s="15"/>
      <c r="AM2478" s="15"/>
      <c r="AN2478" s="15"/>
      <c r="AO2478" s="15"/>
      <c r="AP2478" s="15"/>
      <c r="AQ2478" s="15"/>
      <c r="AR2478" s="15"/>
      <c r="AS2478" s="15"/>
      <c r="AT2478" s="15"/>
      <c r="AU2478" s="15"/>
      <c r="AV2478" s="15"/>
      <c r="AW2478" s="15"/>
    </row>
    <row r="2479" spans="3:49" x14ac:dyDescent="0.2">
      <c r="C2479" s="15"/>
      <c r="D2479" s="15"/>
      <c r="E2479" s="15"/>
      <c r="F2479" s="15"/>
      <c r="G2479" s="15"/>
      <c r="H2479" s="15"/>
      <c r="I2479" s="15"/>
      <c r="J2479" s="15"/>
      <c r="K2479" s="15"/>
      <c r="L2479" s="28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5"/>
      <c r="AG2479" s="15"/>
      <c r="AH2479" s="15"/>
      <c r="AI2479" s="15"/>
      <c r="AJ2479" s="15"/>
      <c r="AK2479" s="15"/>
      <c r="AL2479" s="15"/>
      <c r="AM2479" s="15"/>
      <c r="AN2479" s="15"/>
      <c r="AO2479" s="15"/>
      <c r="AP2479" s="15"/>
      <c r="AQ2479" s="15"/>
      <c r="AR2479" s="15"/>
      <c r="AS2479" s="15"/>
      <c r="AT2479" s="15"/>
      <c r="AU2479" s="15"/>
      <c r="AV2479" s="15"/>
      <c r="AW2479" s="15"/>
    </row>
    <row r="2480" spans="3:49" x14ac:dyDescent="0.2">
      <c r="C2480" s="15"/>
      <c r="D2480" s="15"/>
      <c r="E2480" s="15"/>
      <c r="F2480" s="15"/>
      <c r="G2480" s="15"/>
      <c r="H2480" s="15"/>
      <c r="I2480" s="15"/>
      <c r="J2480" s="15"/>
      <c r="K2480" s="15"/>
      <c r="L2480" s="28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5"/>
      <c r="AG2480" s="15"/>
      <c r="AH2480" s="15"/>
      <c r="AI2480" s="15"/>
      <c r="AJ2480" s="15"/>
      <c r="AK2480" s="15"/>
      <c r="AL2480" s="15"/>
      <c r="AM2480" s="15"/>
      <c r="AN2480" s="15"/>
      <c r="AO2480" s="15"/>
      <c r="AP2480" s="15"/>
      <c r="AQ2480" s="15"/>
      <c r="AR2480" s="15"/>
      <c r="AS2480" s="15"/>
      <c r="AT2480" s="15"/>
      <c r="AU2480" s="15"/>
      <c r="AV2480" s="15"/>
      <c r="AW2480" s="15"/>
    </row>
    <row r="2481" spans="3:49" x14ac:dyDescent="0.2">
      <c r="C2481" s="15"/>
      <c r="D2481" s="15"/>
      <c r="E2481" s="15"/>
      <c r="F2481" s="15"/>
      <c r="G2481" s="15"/>
      <c r="H2481" s="15"/>
      <c r="I2481" s="15"/>
      <c r="J2481" s="15"/>
      <c r="K2481" s="15"/>
      <c r="L2481" s="28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5"/>
      <c r="AG2481" s="15"/>
      <c r="AH2481" s="15"/>
      <c r="AI2481" s="15"/>
      <c r="AJ2481" s="15"/>
      <c r="AK2481" s="15"/>
      <c r="AL2481" s="15"/>
      <c r="AM2481" s="15"/>
      <c r="AN2481" s="15"/>
      <c r="AO2481" s="15"/>
      <c r="AP2481" s="15"/>
      <c r="AQ2481" s="15"/>
      <c r="AR2481" s="15"/>
      <c r="AS2481" s="15"/>
      <c r="AT2481" s="15"/>
      <c r="AU2481" s="15"/>
      <c r="AV2481" s="15"/>
      <c r="AW2481" s="15"/>
    </row>
    <row r="2482" spans="3:49" x14ac:dyDescent="0.2">
      <c r="C2482" s="15"/>
      <c r="D2482" s="15"/>
      <c r="E2482" s="15"/>
      <c r="F2482" s="15"/>
      <c r="G2482" s="15"/>
      <c r="H2482" s="15"/>
      <c r="I2482" s="15"/>
      <c r="J2482" s="15"/>
      <c r="K2482" s="15"/>
      <c r="L2482" s="28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5"/>
      <c r="AG2482" s="15"/>
      <c r="AH2482" s="15"/>
      <c r="AI2482" s="15"/>
      <c r="AJ2482" s="15"/>
      <c r="AK2482" s="15"/>
      <c r="AL2482" s="15"/>
      <c r="AM2482" s="15"/>
      <c r="AN2482" s="15"/>
      <c r="AO2482" s="15"/>
      <c r="AP2482" s="15"/>
      <c r="AQ2482" s="15"/>
      <c r="AR2482" s="15"/>
      <c r="AS2482" s="15"/>
      <c r="AT2482" s="15"/>
      <c r="AU2482" s="15"/>
      <c r="AV2482" s="15"/>
      <c r="AW2482" s="15"/>
    </row>
    <row r="2483" spans="3:49" x14ac:dyDescent="0.2">
      <c r="C2483" s="15"/>
      <c r="D2483" s="15"/>
      <c r="E2483" s="15"/>
      <c r="F2483" s="15"/>
      <c r="G2483" s="15"/>
      <c r="H2483" s="15"/>
      <c r="I2483" s="15"/>
      <c r="J2483" s="15"/>
      <c r="K2483" s="15"/>
      <c r="L2483" s="28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5"/>
      <c r="AG2483" s="15"/>
      <c r="AH2483" s="15"/>
      <c r="AI2483" s="15"/>
      <c r="AJ2483" s="15"/>
      <c r="AK2483" s="15"/>
      <c r="AL2483" s="15"/>
      <c r="AM2483" s="15"/>
      <c r="AN2483" s="15"/>
      <c r="AO2483" s="15"/>
      <c r="AP2483" s="15"/>
      <c r="AQ2483" s="15"/>
      <c r="AR2483" s="15"/>
      <c r="AS2483" s="15"/>
      <c r="AT2483" s="15"/>
      <c r="AU2483" s="15"/>
      <c r="AV2483" s="15"/>
      <c r="AW2483" s="15"/>
    </row>
    <row r="2484" spans="3:49" x14ac:dyDescent="0.2">
      <c r="C2484" s="15"/>
      <c r="D2484" s="15"/>
      <c r="E2484" s="15"/>
      <c r="F2484" s="15"/>
      <c r="G2484" s="15"/>
      <c r="H2484" s="15"/>
      <c r="I2484" s="15"/>
      <c r="J2484" s="15"/>
      <c r="K2484" s="15"/>
      <c r="L2484" s="28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5"/>
      <c r="AG2484" s="15"/>
      <c r="AH2484" s="15"/>
      <c r="AI2484" s="15"/>
      <c r="AJ2484" s="15"/>
      <c r="AK2484" s="15"/>
      <c r="AL2484" s="15"/>
      <c r="AM2484" s="15"/>
      <c r="AN2484" s="15"/>
      <c r="AO2484" s="15"/>
      <c r="AP2484" s="15"/>
      <c r="AQ2484" s="15"/>
      <c r="AR2484" s="15"/>
      <c r="AS2484" s="15"/>
      <c r="AT2484" s="15"/>
      <c r="AU2484" s="15"/>
      <c r="AV2484" s="15"/>
      <c r="AW2484" s="15"/>
    </row>
    <row r="2485" spans="3:49" x14ac:dyDescent="0.2">
      <c r="C2485" s="15"/>
      <c r="D2485" s="15"/>
      <c r="E2485" s="15"/>
      <c r="F2485" s="15"/>
      <c r="G2485" s="15"/>
      <c r="H2485" s="15"/>
      <c r="I2485" s="15"/>
      <c r="J2485" s="15"/>
      <c r="K2485" s="15"/>
      <c r="L2485" s="28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5"/>
      <c r="AG2485" s="15"/>
      <c r="AH2485" s="15"/>
      <c r="AI2485" s="15"/>
      <c r="AJ2485" s="15"/>
      <c r="AK2485" s="15"/>
      <c r="AL2485" s="15"/>
      <c r="AM2485" s="15"/>
      <c r="AN2485" s="15"/>
      <c r="AO2485" s="15"/>
      <c r="AP2485" s="15"/>
      <c r="AQ2485" s="15"/>
      <c r="AR2485" s="15"/>
      <c r="AS2485" s="15"/>
      <c r="AT2485" s="15"/>
      <c r="AU2485" s="15"/>
      <c r="AV2485" s="15"/>
      <c r="AW2485" s="15"/>
    </row>
    <row r="2486" spans="3:49" x14ac:dyDescent="0.2">
      <c r="C2486" s="15"/>
      <c r="D2486" s="15"/>
      <c r="E2486" s="15"/>
      <c r="F2486" s="15"/>
      <c r="G2486" s="15"/>
      <c r="H2486" s="15"/>
      <c r="I2486" s="15"/>
      <c r="J2486" s="15"/>
      <c r="K2486" s="15"/>
      <c r="L2486" s="28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5"/>
      <c r="AG2486" s="15"/>
      <c r="AH2486" s="15"/>
      <c r="AI2486" s="15"/>
      <c r="AJ2486" s="15"/>
      <c r="AK2486" s="15"/>
      <c r="AL2486" s="15"/>
      <c r="AM2486" s="15"/>
      <c r="AN2486" s="15"/>
      <c r="AO2486" s="15"/>
      <c r="AP2486" s="15"/>
      <c r="AQ2486" s="15"/>
      <c r="AR2486" s="15"/>
      <c r="AS2486" s="15"/>
      <c r="AT2486" s="15"/>
      <c r="AU2486" s="15"/>
      <c r="AV2486" s="15"/>
      <c r="AW2486" s="15"/>
    </row>
    <row r="2487" spans="3:49" x14ac:dyDescent="0.2">
      <c r="C2487" s="15"/>
      <c r="D2487" s="15"/>
      <c r="E2487" s="15"/>
      <c r="F2487" s="15"/>
      <c r="G2487" s="15"/>
      <c r="H2487" s="15"/>
      <c r="I2487" s="15"/>
      <c r="J2487" s="15"/>
      <c r="K2487" s="15"/>
      <c r="L2487" s="28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5"/>
      <c r="AG2487" s="15"/>
      <c r="AH2487" s="15"/>
      <c r="AI2487" s="15"/>
      <c r="AJ2487" s="15"/>
      <c r="AK2487" s="15"/>
      <c r="AL2487" s="15"/>
      <c r="AM2487" s="15"/>
      <c r="AN2487" s="15"/>
      <c r="AO2487" s="15"/>
      <c r="AP2487" s="15"/>
      <c r="AQ2487" s="15"/>
      <c r="AR2487" s="15"/>
      <c r="AS2487" s="15"/>
      <c r="AT2487" s="15"/>
      <c r="AU2487" s="15"/>
      <c r="AV2487" s="15"/>
      <c r="AW2487" s="15"/>
    </row>
    <row r="2488" spans="3:49" x14ac:dyDescent="0.2">
      <c r="C2488" s="15"/>
      <c r="D2488" s="15"/>
      <c r="E2488" s="15"/>
      <c r="F2488" s="15"/>
      <c r="G2488" s="15"/>
      <c r="H2488" s="15"/>
      <c r="I2488" s="15"/>
      <c r="J2488" s="15"/>
      <c r="K2488" s="15"/>
      <c r="L2488" s="28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5"/>
      <c r="AG2488" s="15"/>
      <c r="AH2488" s="15"/>
      <c r="AI2488" s="15"/>
      <c r="AJ2488" s="15"/>
      <c r="AK2488" s="15"/>
      <c r="AL2488" s="15"/>
      <c r="AM2488" s="15"/>
      <c r="AN2488" s="15"/>
      <c r="AO2488" s="15"/>
      <c r="AP2488" s="15"/>
      <c r="AQ2488" s="15"/>
      <c r="AR2488" s="15"/>
      <c r="AS2488" s="15"/>
      <c r="AT2488" s="15"/>
      <c r="AU2488" s="15"/>
      <c r="AV2488" s="15"/>
      <c r="AW2488" s="15"/>
    </row>
    <row r="2489" spans="3:49" x14ac:dyDescent="0.2">
      <c r="C2489" s="15"/>
      <c r="D2489" s="15"/>
      <c r="E2489" s="15"/>
      <c r="F2489" s="15"/>
      <c r="G2489" s="15"/>
      <c r="H2489" s="15"/>
      <c r="I2489" s="15"/>
      <c r="J2489" s="15"/>
      <c r="K2489" s="15"/>
      <c r="L2489" s="28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5"/>
      <c r="AG2489" s="15"/>
      <c r="AH2489" s="15"/>
      <c r="AI2489" s="15"/>
      <c r="AJ2489" s="15"/>
      <c r="AK2489" s="15"/>
      <c r="AL2489" s="15"/>
      <c r="AM2489" s="15"/>
      <c r="AN2489" s="15"/>
      <c r="AO2489" s="15"/>
      <c r="AP2489" s="15"/>
      <c r="AQ2489" s="15"/>
      <c r="AR2489" s="15"/>
      <c r="AS2489" s="15"/>
      <c r="AT2489" s="15"/>
      <c r="AU2489" s="15"/>
      <c r="AV2489" s="15"/>
      <c r="AW2489" s="15"/>
    </row>
    <row r="2490" spans="3:49" x14ac:dyDescent="0.2">
      <c r="C2490" s="15"/>
      <c r="D2490" s="15"/>
      <c r="E2490" s="15"/>
      <c r="F2490" s="15"/>
      <c r="G2490" s="15"/>
      <c r="H2490" s="15"/>
      <c r="I2490" s="15"/>
      <c r="J2490" s="15"/>
      <c r="K2490" s="15"/>
      <c r="L2490" s="28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5"/>
      <c r="AG2490" s="15"/>
      <c r="AH2490" s="15"/>
      <c r="AI2490" s="15"/>
      <c r="AJ2490" s="15"/>
      <c r="AK2490" s="15"/>
      <c r="AL2490" s="15"/>
      <c r="AM2490" s="15"/>
      <c r="AN2490" s="15"/>
      <c r="AO2490" s="15"/>
      <c r="AP2490" s="15"/>
      <c r="AQ2490" s="15"/>
      <c r="AR2490" s="15"/>
      <c r="AS2490" s="15"/>
      <c r="AT2490" s="15"/>
      <c r="AU2490" s="15"/>
      <c r="AV2490" s="15"/>
      <c r="AW2490" s="15"/>
    </row>
    <row r="2491" spans="3:49" x14ac:dyDescent="0.2">
      <c r="C2491" s="15"/>
      <c r="D2491" s="15"/>
      <c r="E2491" s="15"/>
      <c r="F2491" s="15"/>
      <c r="G2491" s="15"/>
      <c r="H2491" s="15"/>
      <c r="I2491" s="15"/>
      <c r="J2491" s="15"/>
      <c r="K2491" s="15"/>
      <c r="L2491" s="28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5"/>
      <c r="AG2491" s="15"/>
      <c r="AH2491" s="15"/>
      <c r="AI2491" s="15"/>
      <c r="AJ2491" s="15"/>
      <c r="AK2491" s="15"/>
      <c r="AL2491" s="15"/>
      <c r="AM2491" s="15"/>
      <c r="AN2491" s="15"/>
      <c r="AO2491" s="15"/>
      <c r="AP2491" s="15"/>
      <c r="AQ2491" s="15"/>
      <c r="AR2491" s="15"/>
      <c r="AS2491" s="15"/>
      <c r="AT2491" s="15"/>
      <c r="AU2491" s="15"/>
      <c r="AV2491" s="15"/>
      <c r="AW2491" s="15"/>
    </row>
    <row r="2492" spans="3:49" x14ac:dyDescent="0.2">
      <c r="C2492" s="15"/>
      <c r="D2492" s="15"/>
      <c r="E2492" s="15"/>
      <c r="F2492" s="15"/>
      <c r="G2492" s="15"/>
      <c r="H2492" s="15"/>
      <c r="I2492" s="15"/>
      <c r="J2492" s="15"/>
      <c r="K2492" s="15"/>
      <c r="L2492" s="28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5"/>
      <c r="AG2492" s="15"/>
      <c r="AH2492" s="15"/>
      <c r="AI2492" s="15"/>
      <c r="AJ2492" s="15"/>
      <c r="AK2492" s="15"/>
      <c r="AL2492" s="15"/>
      <c r="AM2492" s="15"/>
      <c r="AN2492" s="15"/>
      <c r="AO2492" s="15"/>
      <c r="AP2492" s="15"/>
      <c r="AQ2492" s="15"/>
      <c r="AR2492" s="15"/>
      <c r="AS2492" s="15"/>
      <c r="AT2492" s="15"/>
      <c r="AU2492" s="15"/>
      <c r="AV2492" s="15"/>
      <c r="AW2492" s="15"/>
    </row>
    <row r="2493" spans="3:49" x14ac:dyDescent="0.2">
      <c r="C2493" s="15"/>
      <c r="D2493" s="15"/>
      <c r="E2493" s="15"/>
      <c r="F2493" s="15"/>
      <c r="G2493" s="15"/>
      <c r="H2493" s="15"/>
      <c r="I2493" s="15"/>
      <c r="J2493" s="15"/>
      <c r="K2493" s="15"/>
      <c r="L2493" s="28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5"/>
      <c r="AG2493" s="15"/>
      <c r="AH2493" s="15"/>
      <c r="AI2493" s="15"/>
      <c r="AJ2493" s="15"/>
      <c r="AK2493" s="15"/>
      <c r="AL2493" s="15"/>
      <c r="AM2493" s="15"/>
      <c r="AN2493" s="15"/>
      <c r="AO2493" s="15"/>
      <c r="AP2493" s="15"/>
      <c r="AQ2493" s="15"/>
      <c r="AR2493" s="15"/>
      <c r="AS2493" s="15"/>
      <c r="AT2493" s="15"/>
      <c r="AU2493" s="15"/>
      <c r="AV2493" s="15"/>
      <c r="AW2493" s="15"/>
    </row>
    <row r="2494" spans="3:49" x14ac:dyDescent="0.2">
      <c r="C2494" s="15"/>
      <c r="D2494" s="15"/>
      <c r="E2494" s="15"/>
      <c r="F2494" s="15"/>
      <c r="G2494" s="15"/>
      <c r="H2494" s="15"/>
      <c r="I2494" s="15"/>
      <c r="J2494" s="15"/>
      <c r="K2494" s="15"/>
      <c r="L2494" s="28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5"/>
      <c r="AG2494" s="15"/>
      <c r="AH2494" s="15"/>
      <c r="AI2494" s="15"/>
      <c r="AJ2494" s="15"/>
      <c r="AK2494" s="15"/>
      <c r="AL2494" s="15"/>
      <c r="AM2494" s="15"/>
      <c r="AN2494" s="15"/>
      <c r="AO2494" s="15"/>
      <c r="AP2494" s="15"/>
      <c r="AQ2494" s="15"/>
      <c r="AR2494" s="15"/>
      <c r="AS2494" s="15"/>
      <c r="AT2494" s="15"/>
      <c r="AU2494" s="15"/>
      <c r="AV2494" s="15"/>
      <c r="AW2494" s="15"/>
    </row>
    <row r="2495" spans="3:49" x14ac:dyDescent="0.2">
      <c r="C2495" s="15"/>
      <c r="D2495" s="15"/>
      <c r="E2495" s="15"/>
      <c r="F2495" s="15"/>
      <c r="G2495" s="15"/>
      <c r="H2495" s="15"/>
      <c r="I2495" s="15"/>
      <c r="J2495" s="15"/>
      <c r="K2495" s="15"/>
      <c r="L2495" s="28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5"/>
      <c r="AG2495" s="15"/>
      <c r="AH2495" s="15"/>
      <c r="AI2495" s="15"/>
      <c r="AJ2495" s="15"/>
      <c r="AK2495" s="15"/>
      <c r="AL2495" s="15"/>
      <c r="AM2495" s="15"/>
      <c r="AN2495" s="15"/>
      <c r="AO2495" s="15"/>
      <c r="AP2495" s="15"/>
      <c r="AQ2495" s="15"/>
      <c r="AR2495" s="15"/>
      <c r="AS2495" s="15"/>
      <c r="AT2495" s="15"/>
      <c r="AU2495" s="15"/>
      <c r="AV2495" s="15"/>
      <c r="AW2495" s="15"/>
    </row>
    <row r="2496" spans="3:49" x14ac:dyDescent="0.2">
      <c r="C2496" s="15"/>
      <c r="D2496" s="15"/>
      <c r="E2496" s="15"/>
      <c r="F2496" s="15"/>
      <c r="G2496" s="15"/>
      <c r="H2496" s="15"/>
      <c r="I2496" s="15"/>
      <c r="J2496" s="15"/>
      <c r="K2496" s="15"/>
      <c r="L2496" s="28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5"/>
      <c r="AG2496" s="15"/>
      <c r="AH2496" s="15"/>
      <c r="AI2496" s="15"/>
      <c r="AJ2496" s="15"/>
      <c r="AK2496" s="15"/>
      <c r="AL2496" s="15"/>
      <c r="AM2496" s="15"/>
      <c r="AN2496" s="15"/>
      <c r="AO2496" s="15"/>
      <c r="AP2496" s="15"/>
      <c r="AQ2496" s="15"/>
      <c r="AR2496" s="15"/>
      <c r="AS2496" s="15"/>
      <c r="AT2496" s="15"/>
      <c r="AU2496" s="15"/>
      <c r="AV2496" s="15"/>
      <c r="AW2496" s="15"/>
    </row>
    <row r="2497" spans="3:49" x14ac:dyDescent="0.2">
      <c r="C2497" s="15"/>
      <c r="D2497" s="15"/>
      <c r="E2497" s="15"/>
      <c r="F2497" s="15"/>
      <c r="G2497" s="15"/>
      <c r="H2497" s="15"/>
      <c r="I2497" s="15"/>
      <c r="J2497" s="15"/>
      <c r="K2497" s="15"/>
      <c r="L2497" s="28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5"/>
      <c r="AG2497" s="15"/>
      <c r="AH2497" s="15"/>
      <c r="AI2497" s="15"/>
      <c r="AJ2497" s="15"/>
      <c r="AK2497" s="15"/>
      <c r="AL2497" s="15"/>
      <c r="AM2497" s="15"/>
      <c r="AN2497" s="15"/>
      <c r="AO2497" s="15"/>
      <c r="AP2497" s="15"/>
      <c r="AQ2497" s="15"/>
      <c r="AR2497" s="15"/>
      <c r="AS2497" s="15"/>
      <c r="AT2497" s="15"/>
      <c r="AU2497" s="15"/>
      <c r="AV2497" s="15"/>
      <c r="AW2497" s="15"/>
    </row>
    <row r="2498" spans="3:49" x14ac:dyDescent="0.2">
      <c r="C2498" s="15"/>
      <c r="D2498" s="15"/>
      <c r="E2498" s="15"/>
      <c r="F2498" s="15"/>
      <c r="G2498" s="15"/>
      <c r="H2498" s="15"/>
      <c r="I2498" s="15"/>
      <c r="J2498" s="15"/>
      <c r="K2498" s="15"/>
      <c r="L2498" s="28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5"/>
      <c r="AG2498" s="15"/>
      <c r="AH2498" s="15"/>
      <c r="AI2498" s="15"/>
      <c r="AJ2498" s="15"/>
      <c r="AK2498" s="15"/>
      <c r="AL2498" s="15"/>
      <c r="AM2498" s="15"/>
      <c r="AN2498" s="15"/>
      <c r="AO2498" s="15"/>
      <c r="AP2498" s="15"/>
      <c r="AQ2498" s="15"/>
      <c r="AR2498" s="15"/>
      <c r="AS2498" s="15"/>
      <c r="AT2498" s="15"/>
      <c r="AU2498" s="15"/>
      <c r="AV2498" s="15"/>
      <c r="AW2498" s="15"/>
    </row>
    <row r="2499" spans="3:49" x14ac:dyDescent="0.2">
      <c r="C2499" s="15"/>
      <c r="D2499" s="15"/>
      <c r="E2499" s="15"/>
      <c r="F2499" s="15"/>
      <c r="G2499" s="15"/>
      <c r="H2499" s="15"/>
      <c r="I2499" s="15"/>
      <c r="J2499" s="15"/>
      <c r="K2499" s="15"/>
      <c r="L2499" s="28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5"/>
      <c r="AG2499" s="15"/>
      <c r="AH2499" s="15"/>
      <c r="AI2499" s="15"/>
      <c r="AJ2499" s="15"/>
      <c r="AK2499" s="15"/>
      <c r="AL2499" s="15"/>
      <c r="AM2499" s="15"/>
      <c r="AN2499" s="15"/>
      <c r="AO2499" s="15"/>
      <c r="AP2499" s="15"/>
      <c r="AQ2499" s="15"/>
      <c r="AR2499" s="15"/>
      <c r="AS2499" s="15"/>
      <c r="AT2499" s="15"/>
      <c r="AU2499" s="15"/>
      <c r="AV2499" s="15"/>
      <c r="AW2499" s="15"/>
    </row>
    <row r="2500" spans="3:49" x14ac:dyDescent="0.2">
      <c r="C2500" s="15"/>
      <c r="D2500" s="15"/>
      <c r="E2500" s="15"/>
      <c r="F2500" s="15"/>
      <c r="G2500" s="15"/>
      <c r="H2500" s="15"/>
      <c r="I2500" s="15"/>
      <c r="J2500" s="15"/>
      <c r="K2500" s="15"/>
      <c r="L2500" s="28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5"/>
      <c r="AG2500" s="15"/>
      <c r="AH2500" s="15"/>
      <c r="AI2500" s="15"/>
      <c r="AJ2500" s="15"/>
      <c r="AK2500" s="15"/>
      <c r="AL2500" s="15"/>
      <c r="AM2500" s="15"/>
      <c r="AN2500" s="15"/>
      <c r="AO2500" s="15"/>
      <c r="AP2500" s="15"/>
      <c r="AQ2500" s="15"/>
      <c r="AR2500" s="15"/>
      <c r="AS2500" s="15"/>
      <c r="AT2500" s="15"/>
      <c r="AU2500" s="15"/>
      <c r="AV2500" s="15"/>
      <c r="AW2500" s="15"/>
    </row>
    <row r="2501" spans="3:49" x14ac:dyDescent="0.2">
      <c r="C2501" s="15"/>
      <c r="D2501" s="15"/>
      <c r="E2501" s="15"/>
      <c r="F2501" s="15"/>
      <c r="G2501" s="15"/>
      <c r="H2501" s="15"/>
      <c r="I2501" s="15"/>
      <c r="J2501" s="15"/>
      <c r="K2501" s="15"/>
      <c r="L2501" s="28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5"/>
      <c r="AG2501" s="15"/>
      <c r="AH2501" s="15"/>
      <c r="AI2501" s="15"/>
      <c r="AJ2501" s="15"/>
      <c r="AK2501" s="15"/>
      <c r="AL2501" s="15"/>
      <c r="AM2501" s="15"/>
      <c r="AN2501" s="15"/>
      <c r="AO2501" s="15"/>
      <c r="AP2501" s="15"/>
      <c r="AQ2501" s="15"/>
      <c r="AR2501" s="15"/>
      <c r="AS2501" s="15"/>
      <c r="AT2501" s="15"/>
      <c r="AU2501" s="15"/>
      <c r="AV2501" s="15"/>
      <c r="AW2501" s="15"/>
    </row>
    <row r="2502" spans="3:49" x14ac:dyDescent="0.2">
      <c r="C2502" s="15"/>
      <c r="D2502" s="15"/>
      <c r="E2502" s="15"/>
      <c r="F2502" s="15"/>
      <c r="G2502" s="15"/>
      <c r="H2502" s="15"/>
      <c r="I2502" s="15"/>
      <c r="J2502" s="15"/>
      <c r="K2502" s="15"/>
      <c r="L2502" s="28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5"/>
      <c r="AG2502" s="15"/>
      <c r="AH2502" s="15"/>
      <c r="AI2502" s="15"/>
      <c r="AJ2502" s="15"/>
      <c r="AK2502" s="15"/>
      <c r="AL2502" s="15"/>
      <c r="AM2502" s="15"/>
      <c r="AN2502" s="15"/>
      <c r="AO2502" s="15"/>
      <c r="AP2502" s="15"/>
      <c r="AQ2502" s="15"/>
      <c r="AR2502" s="15"/>
      <c r="AS2502" s="15"/>
      <c r="AT2502" s="15"/>
      <c r="AU2502" s="15"/>
      <c r="AV2502" s="15"/>
      <c r="AW2502" s="15"/>
    </row>
    <row r="2503" spans="3:49" x14ac:dyDescent="0.2">
      <c r="C2503" s="15"/>
      <c r="D2503" s="15"/>
      <c r="E2503" s="15"/>
      <c r="F2503" s="15"/>
      <c r="G2503" s="15"/>
      <c r="H2503" s="15"/>
      <c r="I2503" s="15"/>
      <c r="J2503" s="15"/>
      <c r="K2503" s="15"/>
      <c r="L2503" s="28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5"/>
      <c r="AG2503" s="15"/>
      <c r="AH2503" s="15"/>
      <c r="AI2503" s="15"/>
      <c r="AJ2503" s="15"/>
      <c r="AK2503" s="15"/>
      <c r="AL2503" s="15"/>
      <c r="AM2503" s="15"/>
      <c r="AN2503" s="15"/>
      <c r="AO2503" s="15"/>
      <c r="AP2503" s="15"/>
      <c r="AQ2503" s="15"/>
      <c r="AR2503" s="15"/>
      <c r="AS2503" s="15"/>
      <c r="AT2503" s="15"/>
      <c r="AU2503" s="15"/>
      <c r="AV2503" s="15"/>
      <c r="AW2503" s="15"/>
    </row>
    <row r="2504" spans="3:49" x14ac:dyDescent="0.2">
      <c r="C2504" s="15"/>
      <c r="D2504" s="15"/>
      <c r="E2504" s="15"/>
      <c r="F2504" s="15"/>
      <c r="G2504" s="15"/>
      <c r="H2504" s="15"/>
      <c r="I2504" s="15"/>
      <c r="J2504" s="15"/>
      <c r="K2504" s="15"/>
      <c r="L2504" s="28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5"/>
      <c r="AG2504" s="15"/>
      <c r="AH2504" s="15"/>
      <c r="AI2504" s="15"/>
      <c r="AJ2504" s="15"/>
      <c r="AK2504" s="15"/>
      <c r="AL2504" s="15"/>
      <c r="AM2504" s="15"/>
      <c r="AN2504" s="15"/>
      <c r="AO2504" s="15"/>
      <c r="AP2504" s="15"/>
      <c r="AQ2504" s="15"/>
      <c r="AR2504" s="15"/>
      <c r="AS2504" s="15"/>
      <c r="AT2504" s="15"/>
      <c r="AU2504" s="15"/>
      <c r="AV2504" s="15"/>
      <c r="AW2504" s="15"/>
    </row>
    <row r="2505" spans="3:49" x14ac:dyDescent="0.2">
      <c r="C2505" s="15"/>
      <c r="D2505" s="15"/>
      <c r="E2505" s="15"/>
      <c r="F2505" s="15"/>
      <c r="G2505" s="15"/>
      <c r="H2505" s="15"/>
      <c r="I2505" s="15"/>
      <c r="J2505" s="15"/>
      <c r="K2505" s="15"/>
      <c r="L2505" s="28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5"/>
      <c r="AG2505" s="15"/>
      <c r="AH2505" s="15"/>
      <c r="AI2505" s="15"/>
      <c r="AJ2505" s="15"/>
      <c r="AK2505" s="15"/>
      <c r="AL2505" s="15"/>
      <c r="AM2505" s="15"/>
      <c r="AN2505" s="15"/>
      <c r="AO2505" s="15"/>
      <c r="AP2505" s="15"/>
      <c r="AQ2505" s="15"/>
      <c r="AR2505" s="15"/>
      <c r="AS2505" s="15"/>
      <c r="AT2505" s="15"/>
      <c r="AU2505" s="15"/>
      <c r="AV2505" s="15"/>
      <c r="AW2505" s="15"/>
    </row>
    <row r="2506" spans="3:49" x14ac:dyDescent="0.2">
      <c r="C2506" s="15"/>
      <c r="D2506" s="15"/>
      <c r="E2506" s="15"/>
      <c r="F2506" s="15"/>
      <c r="G2506" s="15"/>
      <c r="H2506" s="15"/>
      <c r="I2506" s="15"/>
      <c r="J2506" s="15"/>
      <c r="K2506" s="15"/>
      <c r="L2506" s="28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5"/>
      <c r="AG2506" s="15"/>
      <c r="AH2506" s="15"/>
      <c r="AI2506" s="15"/>
      <c r="AJ2506" s="15"/>
      <c r="AK2506" s="15"/>
      <c r="AL2506" s="15"/>
      <c r="AM2506" s="15"/>
      <c r="AN2506" s="15"/>
      <c r="AO2506" s="15"/>
      <c r="AP2506" s="15"/>
      <c r="AQ2506" s="15"/>
      <c r="AR2506" s="15"/>
      <c r="AS2506" s="15"/>
      <c r="AT2506" s="15"/>
      <c r="AU2506" s="15"/>
      <c r="AV2506" s="15"/>
      <c r="AW2506" s="15"/>
    </row>
    <row r="2507" spans="3:49" x14ac:dyDescent="0.2">
      <c r="C2507" s="15"/>
      <c r="D2507" s="15"/>
      <c r="E2507" s="15"/>
      <c r="F2507" s="15"/>
      <c r="G2507" s="15"/>
      <c r="H2507" s="15"/>
      <c r="I2507" s="15"/>
      <c r="J2507" s="15"/>
      <c r="K2507" s="15"/>
      <c r="L2507" s="28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5"/>
      <c r="AG2507" s="15"/>
      <c r="AH2507" s="15"/>
      <c r="AI2507" s="15"/>
      <c r="AJ2507" s="15"/>
      <c r="AK2507" s="15"/>
      <c r="AL2507" s="15"/>
      <c r="AM2507" s="15"/>
      <c r="AN2507" s="15"/>
      <c r="AO2507" s="15"/>
      <c r="AP2507" s="15"/>
      <c r="AQ2507" s="15"/>
      <c r="AR2507" s="15"/>
      <c r="AS2507" s="15"/>
      <c r="AT2507" s="15"/>
      <c r="AU2507" s="15"/>
      <c r="AV2507" s="15"/>
      <c r="AW2507" s="15"/>
    </row>
    <row r="2508" spans="3:49" x14ac:dyDescent="0.2">
      <c r="C2508" s="15"/>
      <c r="D2508" s="15"/>
      <c r="E2508" s="15"/>
      <c r="F2508" s="15"/>
      <c r="G2508" s="15"/>
      <c r="H2508" s="15"/>
      <c r="I2508" s="15"/>
      <c r="J2508" s="15"/>
      <c r="K2508" s="15"/>
      <c r="L2508" s="28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5"/>
      <c r="AG2508" s="15"/>
      <c r="AH2508" s="15"/>
      <c r="AI2508" s="15"/>
      <c r="AJ2508" s="15"/>
      <c r="AK2508" s="15"/>
      <c r="AL2508" s="15"/>
      <c r="AM2508" s="15"/>
      <c r="AN2508" s="15"/>
      <c r="AO2508" s="15"/>
      <c r="AP2508" s="15"/>
      <c r="AQ2508" s="15"/>
      <c r="AR2508" s="15"/>
      <c r="AS2508" s="15"/>
      <c r="AT2508" s="15"/>
      <c r="AU2508" s="15"/>
      <c r="AV2508" s="15"/>
      <c r="AW2508" s="15"/>
    </row>
    <row r="2509" spans="3:49" x14ac:dyDescent="0.2">
      <c r="C2509" s="15"/>
      <c r="D2509" s="15"/>
      <c r="E2509" s="15"/>
      <c r="F2509" s="15"/>
      <c r="G2509" s="15"/>
      <c r="H2509" s="15"/>
      <c r="I2509" s="15"/>
      <c r="J2509" s="15"/>
      <c r="K2509" s="15"/>
      <c r="L2509" s="28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5"/>
      <c r="AG2509" s="15"/>
      <c r="AH2509" s="15"/>
      <c r="AI2509" s="15"/>
      <c r="AJ2509" s="15"/>
      <c r="AK2509" s="15"/>
      <c r="AL2509" s="15"/>
      <c r="AM2509" s="15"/>
      <c r="AN2509" s="15"/>
      <c r="AO2509" s="15"/>
      <c r="AP2509" s="15"/>
      <c r="AQ2509" s="15"/>
      <c r="AR2509" s="15"/>
      <c r="AS2509" s="15"/>
      <c r="AT2509" s="15"/>
      <c r="AU2509" s="15"/>
      <c r="AV2509" s="15"/>
      <c r="AW2509" s="15"/>
    </row>
    <row r="2510" spans="3:49" x14ac:dyDescent="0.2">
      <c r="C2510" s="15"/>
      <c r="D2510" s="15"/>
      <c r="E2510" s="15"/>
      <c r="F2510" s="15"/>
      <c r="G2510" s="15"/>
      <c r="H2510" s="15"/>
      <c r="I2510" s="15"/>
      <c r="J2510" s="15"/>
      <c r="K2510" s="15"/>
      <c r="L2510" s="28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5"/>
      <c r="AG2510" s="15"/>
      <c r="AH2510" s="15"/>
      <c r="AI2510" s="15"/>
      <c r="AJ2510" s="15"/>
      <c r="AK2510" s="15"/>
      <c r="AL2510" s="15"/>
      <c r="AM2510" s="15"/>
      <c r="AN2510" s="15"/>
      <c r="AO2510" s="15"/>
      <c r="AP2510" s="15"/>
      <c r="AQ2510" s="15"/>
      <c r="AR2510" s="15"/>
      <c r="AS2510" s="15"/>
      <c r="AT2510" s="15"/>
      <c r="AU2510" s="15"/>
      <c r="AV2510" s="15"/>
      <c r="AW2510" s="15"/>
    </row>
    <row r="2511" spans="3:49" x14ac:dyDescent="0.2">
      <c r="C2511" s="15"/>
      <c r="D2511" s="15"/>
      <c r="E2511" s="15"/>
      <c r="F2511" s="15"/>
      <c r="G2511" s="15"/>
      <c r="H2511" s="15"/>
      <c r="I2511" s="15"/>
      <c r="J2511" s="15"/>
      <c r="K2511" s="15"/>
      <c r="L2511" s="28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5"/>
      <c r="AG2511" s="15"/>
      <c r="AH2511" s="15"/>
      <c r="AI2511" s="15"/>
      <c r="AJ2511" s="15"/>
      <c r="AK2511" s="15"/>
      <c r="AL2511" s="15"/>
      <c r="AM2511" s="15"/>
      <c r="AN2511" s="15"/>
      <c r="AO2511" s="15"/>
      <c r="AP2511" s="15"/>
      <c r="AQ2511" s="15"/>
      <c r="AR2511" s="15"/>
      <c r="AS2511" s="15"/>
      <c r="AT2511" s="15"/>
      <c r="AU2511" s="15"/>
      <c r="AV2511" s="15"/>
      <c r="AW2511" s="15"/>
    </row>
    <row r="2512" spans="3:49" x14ac:dyDescent="0.2">
      <c r="C2512" s="15"/>
      <c r="D2512" s="15"/>
      <c r="E2512" s="15"/>
      <c r="F2512" s="15"/>
      <c r="G2512" s="15"/>
      <c r="H2512" s="15"/>
      <c r="I2512" s="15"/>
      <c r="J2512" s="15"/>
      <c r="K2512" s="15"/>
      <c r="L2512" s="28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5"/>
      <c r="AG2512" s="15"/>
      <c r="AH2512" s="15"/>
      <c r="AI2512" s="15"/>
      <c r="AJ2512" s="15"/>
      <c r="AK2512" s="15"/>
      <c r="AL2512" s="15"/>
      <c r="AM2512" s="15"/>
      <c r="AN2512" s="15"/>
      <c r="AO2512" s="15"/>
      <c r="AP2512" s="15"/>
      <c r="AQ2512" s="15"/>
      <c r="AR2512" s="15"/>
      <c r="AS2512" s="15"/>
      <c r="AT2512" s="15"/>
      <c r="AU2512" s="15"/>
      <c r="AV2512" s="15"/>
      <c r="AW2512" s="15"/>
    </row>
    <row r="2513" spans="3:49" x14ac:dyDescent="0.2">
      <c r="C2513" s="15"/>
      <c r="D2513" s="15"/>
      <c r="E2513" s="15"/>
      <c r="F2513" s="15"/>
      <c r="G2513" s="15"/>
      <c r="H2513" s="15"/>
      <c r="I2513" s="15"/>
      <c r="J2513" s="15"/>
      <c r="K2513" s="15"/>
      <c r="L2513" s="28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5"/>
      <c r="AG2513" s="15"/>
      <c r="AH2513" s="15"/>
      <c r="AI2513" s="15"/>
      <c r="AJ2513" s="15"/>
      <c r="AK2513" s="15"/>
      <c r="AL2513" s="15"/>
      <c r="AM2513" s="15"/>
      <c r="AN2513" s="15"/>
      <c r="AO2513" s="15"/>
      <c r="AP2513" s="15"/>
      <c r="AQ2513" s="15"/>
      <c r="AR2513" s="15"/>
      <c r="AS2513" s="15"/>
      <c r="AT2513" s="15"/>
      <c r="AU2513" s="15"/>
      <c r="AV2513" s="15"/>
      <c r="AW2513" s="15"/>
    </row>
    <row r="2514" spans="3:49" x14ac:dyDescent="0.2">
      <c r="C2514" s="15"/>
      <c r="D2514" s="15"/>
      <c r="E2514" s="15"/>
      <c r="F2514" s="15"/>
      <c r="G2514" s="15"/>
      <c r="H2514" s="15"/>
      <c r="I2514" s="15"/>
      <c r="J2514" s="15"/>
      <c r="K2514" s="15"/>
      <c r="L2514" s="28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5"/>
      <c r="AG2514" s="15"/>
      <c r="AH2514" s="15"/>
      <c r="AI2514" s="15"/>
      <c r="AJ2514" s="15"/>
      <c r="AK2514" s="15"/>
      <c r="AL2514" s="15"/>
      <c r="AM2514" s="15"/>
      <c r="AN2514" s="15"/>
      <c r="AO2514" s="15"/>
      <c r="AP2514" s="15"/>
      <c r="AQ2514" s="15"/>
      <c r="AR2514" s="15"/>
      <c r="AS2514" s="15"/>
      <c r="AT2514" s="15"/>
      <c r="AU2514" s="15"/>
      <c r="AV2514" s="15"/>
      <c r="AW2514" s="15"/>
    </row>
    <row r="2515" spans="3:49" x14ac:dyDescent="0.2">
      <c r="C2515" s="15"/>
      <c r="D2515" s="15"/>
      <c r="E2515" s="15"/>
      <c r="F2515" s="15"/>
      <c r="G2515" s="15"/>
      <c r="H2515" s="15"/>
      <c r="I2515" s="15"/>
      <c r="J2515" s="15"/>
      <c r="K2515" s="15"/>
      <c r="L2515" s="28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5"/>
      <c r="AG2515" s="15"/>
      <c r="AH2515" s="15"/>
      <c r="AI2515" s="15"/>
      <c r="AJ2515" s="15"/>
      <c r="AK2515" s="15"/>
      <c r="AL2515" s="15"/>
      <c r="AM2515" s="15"/>
      <c r="AN2515" s="15"/>
      <c r="AO2515" s="15"/>
      <c r="AP2515" s="15"/>
      <c r="AQ2515" s="15"/>
      <c r="AR2515" s="15"/>
      <c r="AS2515" s="15"/>
      <c r="AT2515" s="15"/>
      <c r="AU2515" s="15"/>
      <c r="AV2515" s="15"/>
      <c r="AW2515" s="15"/>
    </row>
    <row r="2516" spans="3:49" x14ac:dyDescent="0.2">
      <c r="C2516" s="15"/>
      <c r="D2516" s="15"/>
      <c r="E2516" s="15"/>
      <c r="F2516" s="15"/>
      <c r="G2516" s="15"/>
      <c r="H2516" s="15"/>
      <c r="I2516" s="15"/>
      <c r="J2516" s="15"/>
      <c r="K2516" s="15"/>
      <c r="L2516" s="28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5"/>
      <c r="AG2516" s="15"/>
      <c r="AH2516" s="15"/>
      <c r="AI2516" s="15"/>
      <c r="AJ2516" s="15"/>
      <c r="AK2516" s="15"/>
      <c r="AL2516" s="15"/>
      <c r="AM2516" s="15"/>
      <c r="AN2516" s="15"/>
      <c r="AO2516" s="15"/>
      <c r="AP2516" s="15"/>
      <c r="AQ2516" s="15"/>
      <c r="AR2516" s="15"/>
      <c r="AS2516" s="15"/>
      <c r="AT2516" s="15"/>
      <c r="AU2516" s="15"/>
      <c r="AV2516" s="15"/>
      <c r="AW2516" s="15"/>
    </row>
    <row r="2517" spans="3:49" x14ac:dyDescent="0.2">
      <c r="C2517" s="15"/>
      <c r="D2517" s="15"/>
      <c r="E2517" s="15"/>
      <c r="F2517" s="15"/>
      <c r="G2517" s="15"/>
      <c r="H2517" s="15"/>
      <c r="I2517" s="15"/>
      <c r="J2517" s="15"/>
      <c r="K2517" s="15"/>
      <c r="L2517" s="28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5"/>
      <c r="AG2517" s="15"/>
      <c r="AH2517" s="15"/>
      <c r="AI2517" s="15"/>
      <c r="AJ2517" s="15"/>
      <c r="AK2517" s="15"/>
      <c r="AL2517" s="15"/>
      <c r="AM2517" s="15"/>
      <c r="AN2517" s="15"/>
      <c r="AO2517" s="15"/>
      <c r="AP2517" s="15"/>
      <c r="AQ2517" s="15"/>
      <c r="AR2517" s="15"/>
      <c r="AS2517" s="15"/>
      <c r="AT2517" s="15"/>
      <c r="AU2517" s="15"/>
      <c r="AV2517" s="15"/>
      <c r="AW2517" s="15"/>
    </row>
    <row r="2518" spans="3:49" x14ac:dyDescent="0.2">
      <c r="C2518" s="15"/>
      <c r="D2518" s="15"/>
      <c r="E2518" s="15"/>
      <c r="F2518" s="15"/>
      <c r="G2518" s="15"/>
      <c r="H2518" s="15"/>
      <c r="I2518" s="15"/>
      <c r="J2518" s="15"/>
      <c r="K2518" s="15"/>
      <c r="L2518" s="28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5"/>
      <c r="AG2518" s="15"/>
      <c r="AH2518" s="15"/>
      <c r="AI2518" s="15"/>
      <c r="AJ2518" s="15"/>
      <c r="AK2518" s="15"/>
      <c r="AL2518" s="15"/>
      <c r="AM2518" s="15"/>
      <c r="AN2518" s="15"/>
      <c r="AO2518" s="15"/>
      <c r="AP2518" s="15"/>
      <c r="AQ2518" s="15"/>
      <c r="AR2518" s="15"/>
      <c r="AS2518" s="15"/>
      <c r="AT2518" s="15"/>
      <c r="AU2518" s="15"/>
      <c r="AV2518" s="15"/>
      <c r="AW2518" s="15"/>
    </row>
    <row r="2519" spans="3:49" x14ac:dyDescent="0.2">
      <c r="C2519" s="15"/>
      <c r="D2519" s="15"/>
      <c r="E2519" s="15"/>
      <c r="F2519" s="15"/>
      <c r="G2519" s="15"/>
      <c r="H2519" s="15"/>
      <c r="I2519" s="15"/>
      <c r="J2519" s="15"/>
      <c r="K2519" s="15"/>
      <c r="L2519" s="28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5"/>
      <c r="AG2519" s="15"/>
      <c r="AH2519" s="15"/>
      <c r="AI2519" s="15"/>
      <c r="AJ2519" s="15"/>
      <c r="AK2519" s="15"/>
      <c r="AL2519" s="15"/>
      <c r="AM2519" s="15"/>
      <c r="AN2519" s="15"/>
      <c r="AO2519" s="15"/>
      <c r="AP2519" s="15"/>
      <c r="AQ2519" s="15"/>
      <c r="AR2519" s="15"/>
      <c r="AS2519" s="15"/>
      <c r="AT2519" s="15"/>
      <c r="AU2519" s="15"/>
      <c r="AV2519" s="15"/>
      <c r="AW2519" s="15"/>
    </row>
    <row r="2520" spans="3:49" x14ac:dyDescent="0.2">
      <c r="C2520" s="15"/>
      <c r="D2520" s="15"/>
      <c r="E2520" s="15"/>
      <c r="F2520" s="15"/>
      <c r="G2520" s="15"/>
      <c r="H2520" s="15"/>
      <c r="I2520" s="15"/>
      <c r="J2520" s="15"/>
      <c r="K2520" s="15"/>
      <c r="L2520" s="28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5"/>
      <c r="AG2520" s="15"/>
      <c r="AH2520" s="15"/>
      <c r="AI2520" s="15"/>
      <c r="AJ2520" s="15"/>
      <c r="AK2520" s="15"/>
      <c r="AL2520" s="15"/>
      <c r="AM2520" s="15"/>
      <c r="AN2520" s="15"/>
      <c r="AO2520" s="15"/>
      <c r="AP2520" s="15"/>
      <c r="AQ2520" s="15"/>
      <c r="AR2520" s="15"/>
      <c r="AS2520" s="15"/>
      <c r="AT2520" s="15"/>
      <c r="AU2520" s="15"/>
      <c r="AV2520" s="15"/>
      <c r="AW2520" s="15"/>
    </row>
    <row r="2521" spans="3:49" x14ac:dyDescent="0.2">
      <c r="C2521" s="15"/>
      <c r="D2521" s="15"/>
      <c r="E2521" s="15"/>
      <c r="F2521" s="15"/>
      <c r="G2521" s="15"/>
      <c r="H2521" s="15"/>
      <c r="I2521" s="15"/>
      <c r="J2521" s="15"/>
      <c r="K2521" s="15"/>
      <c r="L2521" s="28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5"/>
      <c r="AG2521" s="15"/>
      <c r="AH2521" s="15"/>
      <c r="AI2521" s="15"/>
      <c r="AJ2521" s="15"/>
      <c r="AK2521" s="15"/>
      <c r="AL2521" s="15"/>
      <c r="AM2521" s="15"/>
      <c r="AN2521" s="15"/>
      <c r="AO2521" s="15"/>
      <c r="AP2521" s="15"/>
      <c r="AQ2521" s="15"/>
      <c r="AR2521" s="15"/>
      <c r="AS2521" s="15"/>
      <c r="AT2521" s="15"/>
      <c r="AU2521" s="15"/>
      <c r="AV2521" s="15"/>
      <c r="AW2521" s="15"/>
    </row>
    <row r="2522" spans="3:49" x14ac:dyDescent="0.2">
      <c r="C2522" s="15"/>
      <c r="D2522" s="15"/>
      <c r="E2522" s="15"/>
      <c r="F2522" s="15"/>
      <c r="G2522" s="15"/>
      <c r="H2522" s="15"/>
      <c r="I2522" s="15"/>
      <c r="J2522" s="15"/>
      <c r="K2522" s="15"/>
      <c r="L2522" s="28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5"/>
      <c r="AG2522" s="15"/>
      <c r="AH2522" s="15"/>
      <c r="AI2522" s="15"/>
      <c r="AJ2522" s="15"/>
      <c r="AK2522" s="15"/>
      <c r="AL2522" s="15"/>
      <c r="AM2522" s="15"/>
      <c r="AN2522" s="15"/>
      <c r="AO2522" s="15"/>
      <c r="AP2522" s="15"/>
      <c r="AQ2522" s="15"/>
      <c r="AR2522" s="15"/>
      <c r="AS2522" s="15"/>
      <c r="AT2522" s="15"/>
      <c r="AU2522" s="15"/>
      <c r="AV2522" s="15"/>
      <c r="AW2522" s="15"/>
    </row>
    <row r="2523" spans="3:49" x14ac:dyDescent="0.2">
      <c r="C2523" s="15"/>
      <c r="D2523" s="15"/>
      <c r="E2523" s="15"/>
      <c r="F2523" s="15"/>
      <c r="G2523" s="15"/>
      <c r="H2523" s="15"/>
      <c r="I2523" s="15"/>
      <c r="J2523" s="15"/>
      <c r="K2523" s="15"/>
      <c r="L2523" s="28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5"/>
      <c r="AG2523" s="15"/>
      <c r="AH2523" s="15"/>
      <c r="AI2523" s="15"/>
      <c r="AJ2523" s="15"/>
      <c r="AK2523" s="15"/>
      <c r="AL2523" s="15"/>
      <c r="AM2523" s="15"/>
      <c r="AN2523" s="15"/>
      <c r="AO2523" s="15"/>
      <c r="AP2523" s="15"/>
      <c r="AQ2523" s="15"/>
      <c r="AR2523" s="15"/>
      <c r="AS2523" s="15"/>
      <c r="AT2523" s="15"/>
      <c r="AU2523" s="15"/>
      <c r="AV2523" s="15"/>
      <c r="AW2523" s="15"/>
    </row>
    <row r="2524" spans="3:49" x14ac:dyDescent="0.2">
      <c r="C2524" s="15"/>
      <c r="D2524" s="15"/>
      <c r="E2524" s="15"/>
      <c r="F2524" s="15"/>
      <c r="G2524" s="15"/>
      <c r="H2524" s="15"/>
      <c r="I2524" s="15"/>
      <c r="J2524" s="15"/>
      <c r="K2524" s="15"/>
      <c r="L2524" s="28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5"/>
      <c r="AG2524" s="15"/>
      <c r="AH2524" s="15"/>
      <c r="AI2524" s="15"/>
      <c r="AJ2524" s="15"/>
      <c r="AK2524" s="15"/>
      <c r="AL2524" s="15"/>
      <c r="AM2524" s="15"/>
      <c r="AN2524" s="15"/>
      <c r="AO2524" s="15"/>
      <c r="AP2524" s="15"/>
      <c r="AQ2524" s="15"/>
      <c r="AR2524" s="15"/>
      <c r="AS2524" s="15"/>
      <c r="AT2524" s="15"/>
      <c r="AU2524" s="15"/>
      <c r="AV2524" s="15"/>
      <c r="AW2524" s="15"/>
    </row>
    <row r="2525" spans="3:49" x14ac:dyDescent="0.2">
      <c r="C2525" s="15"/>
      <c r="D2525" s="15"/>
      <c r="E2525" s="15"/>
      <c r="F2525" s="15"/>
      <c r="G2525" s="15"/>
      <c r="H2525" s="15"/>
      <c r="I2525" s="15"/>
      <c r="J2525" s="15"/>
      <c r="K2525" s="15"/>
      <c r="L2525" s="28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5"/>
      <c r="AG2525" s="15"/>
      <c r="AH2525" s="15"/>
      <c r="AI2525" s="15"/>
      <c r="AJ2525" s="15"/>
      <c r="AK2525" s="15"/>
      <c r="AL2525" s="15"/>
      <c r="AM2525" s="15"/>
      <c r="AN2525" s="15"/>
      <c r="AO2525" s="15"/>
      <c r="AP2525" s="15"/>
      <c r="AQ2525" s="15"/>
      <c r="AR2525" s="15"/>
      <c r="AS2525" s="15"/>
      <c r="AT2525" s="15"/>
      <c r="AU2525" s="15"/>
      <c r="AV2525" s="15"/>
      <c r="AW2525" s="15"/>
    </row>
    <row r="2526" spans="3:49" x14ac:dyDescent="0.2">
      <c r="C2526" s="15"/>
      <c r="D2526" s="15"/>
      <c r="E2526" s="15"/>
      <c r="F2526" s="15"/>
      <c r="G2526" s="15"/>
      <c r="H2526" s="15"/>
      <c r="I2526" s="15"/>
      <c r="J2526" s="15"/>
      <c r="K2526" s="15"/>
      <c r="L2526" s="28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5"/>
      <c r="AG2526" s="15"/>
      <c r="AH2526" s="15"/>
      <c r="AI2526" s="15"/>
      <c r="AJ2526" s="15"/>
      <c r="AK2526" s="15"/>
      <c r="AL2526" s="15"/>
      <c r="AM2526" s="15"/>
      <c r="AN2526" s="15"/>
      <c r="AO2526" s="15"/>
      <c r="AP2526" s="15"/>
      <c r="AQ2526" s="15"/>
      <c r="AR2526" s="15"/>
      <c r="AS2526" s="15"/>
      <c r="AT2526" s="15"/>
      <c r="AU2526" s="15"/>
      <c r="AV2526" s="15"/>
      <c r="AW2526" s="15"/>
    </row>
    <row r="2527" spans="3:49" x14ac:dyDescent="0.2">
      <c r="C2527" s="15"/>
      <c r="D2527" s="15"/>
      <c r="E2527" s="15"/>
      <c r="F2527" s="15"/>
      <c r="G2527" s="15"/>
      <c r="H2527" s="15"/>
      <c r="I2527" s="15"/>
      <c r="J2527" s="15"/>
      <c r="K2527" s="15"/>
      <c r="L2527" s="28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5"/>
      <c r="AG2527" s="15"/>
      <c r="AH2527" s="15"/>
      <c r="AI2527" s="15"/>
      <c r="AJ2527" s="15"/>
      <c r="AK2527" s="15"/>
      <c r="AL2527" s="15"/>
      <c r="AM2527" s="15"/>
      <c r="AN2527" s="15"/>
      <c r="AO2527" s="15"/>
      <c r="AP2527" s="15"/>
      <c r="AQ2527" s="15"/>
      <c r="AR2527" s="15"/>
      <c r="AS2527" s="15"/>
      <c r="AT2527" s="15"/>
      <c r="AU2527" s="15"/>
      <c r="AV2527" s="15"/>
      <c r="AW2527" s="15"/>
    </row>
    <row r="2528" spans="3:49" x14ac:dyDescent="0.2">
      <c r="C2528" s="15"/>
      <c r="D2528" s="15"/>
      <c r="E2528" s="15"/>
      <c r="F2528" s="15"/>
      <c r="G2528" s="15"/>
      <c r="H2528" s="15"/>
      <c r="I2528" s="15"/>
      <c r="J2528" s="15"/>
      <c r="K2528" s="15"/>
      <c r="L2528" s="28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5"/>
      <c r="AG2528" s="15"/>
      <c r="AH2528" s="15"/>
      <c r="AI2528" s="15"/>
      <c r="AJ2528" s="15"/>
      <c r="AK2528" s="15"/>
      <c r="AL2528" s="15"/>
      <c r="AM2528" s="15"/>
      <c r="AN2528" s="15"/>
      <c r="AO2528" s="15"/>
      <c r="AP2528" s="15"/>
      <c r="AQ2528" s="15"/>
      <c r="AR2528" s="15"/>
      <c r="AS2528" s="15"/>
      <c r="AT2528" s="15"/>
      <c r="AU2528" s="15"/>
      <c r="AV2528" s="15"/>
      <c r="AW2528" s="15"/>
    </row>
    <row r="2529" spans="3:49" x14ac:dyDescent="0.2">
      <c r="C2529" s="15"/>
      <c r="D2529" s="15"/>
      <c r="E2529" s="15"/>
      <c r="F2529" s="15"/>
      <c r="G2529" s="15"/>
      <c r="H2529" s="15"/>
      <c r="I2529" s="15"/>
      <c r="J2529" s="15"/>
      <c r="K2529" s="15"/>
      <c r="L2529" s="28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5"/>
      <c r="AG2529" s="15"/>
      <c r="AH2529" s="15"/>
      <c r="AI2529" s="15"/>
      <c r="AJ2529" s="15"/>
      <c r="AK2529" s="15"/>
      <c r="AL2529" s="15"/>
      <c r="AM2529" s="15"/>
      <c r="AN2529" s="15"/>
      <c r="AO2529" s="15"/>
      <c r="AP2529" s="15"/>
      <c r="AQ2529" s="15"/>
      <c r="AR2529" s="15"/>
      <c r="AS2529" s="15"/>
      <c r="AT2529" s="15"/>
      <c r="AU2529" s="15"/>
      <c r="AV2529" s="15"/>
      <c r="AW2529" s="15"/>
    </row>
    <row r="2530" spans="3:49" x14ac:dyDescent="0.2">
      <c r="C2530" s="15"/>
      <c r="D2530" s="15"/>
      <c r="E2530" s="15"/>
      <c r="F2530" s="15"/>
      <c r="G2530" s="15"/>
      <c r="H2530" s="15"/>
      <c r="I2530" s="15"/>
      <c r="J2530" s="15"/>
      <c r="K2530" s="15"/>
      <c r="L2530" s="28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5"/>
      <c r="AG2530" s="15"/>
      <c r="AH2530" s="15"/>
      <c r="AI2530" s="15"/>
      <c r="AJ2530" s="15"/>
      <c r="AK2530" s="15"/>
      <c r="AL2530" s="15"/>
      <c r="AM2530" s="15"/>
      <c r="AN2530" s="15"/>
      <c r="AO2530" s="15"/>
      <c r="AP2530" s="15"/>
      <c r="AQ2530" s="15"/>
      <c r="AR2530" s="15"/>
      <c r="AS2530" s="15"/>
      <c r="AT2530" s="15"/>
      <c r="AU2530" s="15"/>
      <c r="AV2530" s="15"/>
      <c r="AW2530" s="15"/>
    </row>
    <row r="2531" spans="3:49" x14ac:dyDescent="0.2">
      <c r="C2531" s="15"/>
      <c r="D2531" s="15"/>
      <c r="E2531" s="15"/>
      <c r="F2531" s="15"/>
      <c r="G2531" s="15"/>
      <c r="H2531" s="15"/>
      <c r="I2531" s="15"/>
      <c r="J2531" s="15"/>
      <c r="K2531" s="15"/>
      <c r="L2531" s="28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5"/>
      <c r="AG2531" s="15"/>
      <c r="AH2531" s="15"/>
      <c r="AI2531" s="15"/>
      <c r="AJ2531" s="15"/>
      <c r="AK2531" s="15"/>
      <c r="AL2531" s="15"/>
      <c r="AM2531" s="15"/>
      <c r="AN2531" s="15"/>
      <c r="AO2531" s="15"/>
      <c r="AP2531" s="15"/>
      <c r="AQ2531" s="15"/>
      <c r="AR2531" s="15"/>
      <c r="AS2531" s="15"/>
      <c r="AT2531" s="15"/>
      <c r="AU2531" s="15"/>
      <c r="AV2531" s="15"/>
      <c r="AW2531" s="15"/>
    </row>
    <row r="2532" spans="3:49" x14ac:dyDescent="0.2">
      <c r="C2532" s="15"/>
      <c r="D2532" s="15"/>
      <c r="E2532" s="15"/>
      <c r="F2532" s="15"/>
      <c r="G2532" s="15"/>
      <c r="H2532" s="15"/>
      <c r="I2532" s="15"/>
      <c r="J2532" s="15"/>
      <c r="K2532" s="15"/>
      <c r="L2532" s="28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5"/>
      <c r="AG2532" s="15"/>
      <c r="AH2532" s="15"/>
      <c r="AI2532" s="15"/>
      <c r="AJ2532" s="15"/>
      <c r="AK2532" s="15"/>
      <c r="AL2532" s="15"/>
      <c r="AM2532" s="15"/>
      <c r="AN2532" s="15"/>
      <c r="AO2532" s="15"/>
      <c r="AP2532" s="15"/>
      <c r="AQ2532" s="15"/>
      <c r="AR2532" s="15"/>
      <c r="AS2532" s="15"/>
      <c r="AT2532" s="15"/>
      <c r="AU2532" s="15"/>
      <c r="AV2532" s="15"/>
      <c r="AW2532" s="15"/>
    </row>
    <row r="2533" spans="3:49" x14ac:dyDescent="0.2">
      <c r="C2533" s="15"/>
      <c r="D2533" s="15"/>
      <c r="E2533" s="15"/>
      <c r="F2533" s="15"/>
      <c r="G2533" s="15"/>
      <c r="H2533" s="15"/>
      <c r="I2533" s="15"/>
      <c r="J2533" s="15"/>
      <c r="K2533" s="15"/>
      <c r="L2533" s="28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5"/>
      <c r="AG2533" s="15"/>
      <c r="AH2533" s="15"/>
      <c r="AI2533" s="15"/>
      <c r="AJ2533" s="15"/>
      <c r="AK2533" s="15"/>
      <c r="AL2533" s="15"/>
      <c r="AM2533" s="15"/>
      <c r="AN2533" s="15"/>
      <c r="AO2533" s="15"/>
      <c r="AP2533" s="15"/>
      <c r="AQ2533" s="15"/>
      <c r="AR2533" s="15"/>
      <c r="AS2533" s="15"/>
      <c r="AT2533" s="15"/>
      <c r="AU2533" s="15"/>
      <c r="AV2533" s="15"/>
      <c r="AW2533" s="15"/>
    </row>
    <row r="2534" spans="3:49" x14ac:dyDescent="0.2">
      <c r="C2534" s="15"/>
      <c r="D2534" s="15"/>
      <c r="E2534" s="15"/>
      <c r="F2534" s="15"/>
      <c r="G2534" s="15"/>
      <c r="H2534" s="15"/>
      <c r="I2534" s="15"/>
      <c r="J2534" s="15"/>
      <c r="K2534" s="15"/>
      <c r="L2534" s="28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5"/>
      <c r="AG2534" s="15"/>
      <c r="AH2534" s="15"/>
      <c r="AI2534" s="15"/>
      <c r="AJ2534" s="15"/>
      <c r="AK2534" s="15"/>
      <c r="AL2534" s="15"/>
      <c r="AM2534" s="15"/>
      <c r="AN2534" s="15"/>
      <c r="AO2534" s="15"/>
      <c r="AP2534" s="15"/>
      <c r="AQ2534" s="15"/>
      <c r="AR2534" s="15"/>
      <c r="AS2534" s="15"/>
      <c r="AT2534" s="15"/>
      <c r="AU2534" s="15"/>
      <c r="AV2534" s="15"/>
      <c r="AW2534" s="15"/>
    </row>
    <row r="2535" spans="3:49" x14ac:dyDescent="0.2">
      <c r="C2535" s="15"/>
      <c r="D2535" s="15"/>
      <c r="E2535" s="15"/>
      <c r="F2535" s="15"/>
      <c r="G2535" s="15"/>
      <c r="H2535" s="15"/>
      <c r="I2535" s="15"/>
      <c r="J2535" s="15"/>
      <c r="K2535" s="15"/>
      <c r="L2535" s="28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5"/>
      <c r="AG2535" s="15"/>
      <c r="AH2535" s="15"/>
      <c r="AI2535" s="15"/>
      <c r="AJ2535" s="15"/>
      <c r="AK2535" s="15"/>
      <c r="AL2535" s="15"/>
      <c r="AM2535" s="15"/>
      <c r="AN2535" s="15"/>
      <c r="AO2535" s="15"/>
      <c r="AP2535" s="15"/>
      <c r="AQ2535" s="15"/>
      <c r="AR2535" s="15"/>
      <c r="AS2535" s="15"/>
      <c r="AT2535" s="15"/>
      <c r="AU2535" s="15"/>
      <c r="AV2535" s="15"/>
      <c r="AW2535" s="15"/>
    </row>
    <row r="2536" spans="3:49" x14ac:dyDescent="0.2">
      <c r="C2536" s="15"/>
      <c r="D2536" s="15"/>
      <c r="E2536" s="15"/>
      <c r="F2536" s="15"/>
      <c r="G2536" s="15"/>
      <c r="H2536" s="15"/>
      <c r="I2536" s="15"/>
      <c r="J2536" s="15"/>
      <c r="K2536" s="15"/>
      <c r="L2536" s="28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5"/>
      <c r="AG2536" s="15"/>
      <c r="AH2536" s="15"/>
      <c r="AI2536" s="15"/>
      <c r="AJ2536" s="15"/>
      <c r="AK2536" s="15"/>
      <c r="AL2536" s="15"/>
      <c r="AM2536" s="15"/>
      <c r="AN2536" s="15"/>
      <c r="AO2536" s="15"/>
      <c r="AP2536" s="15"/>
      <c r="AQ2536" s="15"/>
      <c r="AR2536" s="15"/>
      <c r="AS2536" s="15"/>
      <c r="AT2536" s="15"/>
      <c r="AU2536" s="15"/>
      <c r="AV2536" s="15"/>
      <c r="AW2536" s="15"/>
    </row>
    <row r="2537" spans="3:49" x14ac:dyDescent="0.2">
      <c r="C2537" s="15"/>
      <c r="D2537" s="15"/>
      <c r="E2537" s="15"/>
      <c r="F2537" s="15"/>
      <c r="G2537" s="15"/>
      <c r="H2537" s="15"/>
      <c r="I2537" s="15"/>
      <c r="J2537" s="15"/>
      <c r="K2537" s="15"/>
      <c r="L2537" s="28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5"/>
      <c r="AG2537" s="15"/>
      <c r="AH2537" s="15"/>
      <c r="AI2537" s="15"/>
      <c r="AJ2537" s="15"/>
      <c r="AK2537" s="15"/>
      <c r="AL2537" s="15"/>
      <c r="AM2537" s="15"/>
      <c r="AN2537" s="15"/>
      <c r="AO2537" s="15"/>
      <c r="AP2537" s="15"/>
      <c r="AQ2537" s="15"/>
      <c r="AR2537" s="15"/>
      <c r="AS2537" s="15"/>
      <c r="AT2537" s="15"/>
      <c r="AU2537" s="15"/>
      <c r="AV2537" s="15"/>
      <c r="AW2537" s="15"/>
    </row>
    <row r="2538" spans="3:49" x14ac:dyDescent="0.2">
      <c r="C2538" s="15"/>
      <c r="D2538" s="15"/>
      <c r="E2538" s="15"/>
      <c r="F2538" s="15"/>
      <c r="G2538" s="15"/>
      <c r="H2538" s="15"/>
      <c r="I2538" s="15"/>
      <c r="J2538" s="15"/>
      <c r="K2538" s="15"/>
      <c r="L2538" s="28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5"/>
      <c r="AG2538" s="15"/>
      <c r="AH2538" s="15"/>
      <c r="AI2538" s="15"/>
      <c r="AJ2538" s="15"/>
      <c r="AK2538" s="15"/>
      <c r="AL2538" s="15"/>
      <c r="AM2538" s="15"/>
      <c r="AN2538" s="15"/>
      <c r="AO2538" s="15"/>
      <c r="AP2538" s="15"/>
      <c r="AQ2538" s="15"/>
      <c r="AR2538" s="15"/>
      <c r="AS2538" s="15"/>
      <c r="AT2538" s="15"/>
      <c r="AU2538" s="15"/>
      <c r="AV2538" s="15"/>
      <c r="AW2538" s="15"/>
    </row>
    <row r="2539" spans="3:49" x14ac:dyDescent="0.2">
      <c r="C2539" s="15"/>
      <c r="D2539" s="15"/>
      <c r="E2539" s="15"/>
      <c r="F2539" s="15"/>
      <c r="G2539" s="15"/>
      <c r="H2539" s="15"/>
      <c r="I2539" s="15"/>
      <c r="J2539" s="15"/>
      <c r="K2539" s="15"/>
      <c r="L2539" s="28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5"/>
      <c r="AG2539" s="15"/>
      <c r="AH2539" s="15"/>
      <c r="AI2539" s="15"/>
      <c r="AJ2539" s="15"/>
      <c r="AK2539" s="15"/>
      <c r="AL2539" s="15"/>
      <c r="AM2539" s="15"/>
      <c r="AN2539" s="15"/>
      <c r="AO2539" s="15"/>
      <c r="AP2539" s="15"/>
      <c r="AQ2539" s="15"/>
      <c r="AR2539" s="15"/>
      <c r="AS2539" s="15"/>
      <c r="AT2539" s="15"/>
      <c r="AU2539" s="15"/>
      <c r="AV2539" s="15"/>
      <c r="AW2539" s="15"/>
    </row>
    <row r="2540" spans="3:49" x14ac:dyDescent="0.2">
      <c r="C2540" s="15"/>
      <c r="D2540" s="15"/>
      <c r="E2540" s="15"/>
      <c r="F2540" s="15"/>
      <c r="G2540" s="15"/>
      <c r="H2540" s="15"/>
      <c r="I2540" s="15"/>
      <c r="J2540" s="15"/>
      <c r="K2540" s="15"/>
      <c r="L2540" s="28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5"/>
      <c r="AG2540" s="15"/>
      <c r="AH2540" s="15"/>
      <c r="AI2540" s="15"/>
      <c r="AJ2540" s="15"/>
      <c r="AK2540" s="15"/>
      <c r="AL2540" s="15"/>
      <c r="AM2540" s="15"/>
      <c r="AN2540" s="15"/>
      <c r="AO2540" s="15"/>
      <c r="AP2540" s="15"/>
      <c r="AQ2540" s="15"/>
      <c r="AR2540" s="15"/>
      <c r="AS2540" s="15"/>
      <c r="AT2540" s="15"/>
      <c r="AU2540" s="15"/>
      <c r="AV2540" s="15"/>
      <c r="AW2540" s="15"/>
    </row>
    <row r="2541" spans="3:49" x14ac:dyDescent="0.2">
      <c r="C2541" s="15"/>
      <c r="D2541" s="15"/>
      <c r="E2541" s="15"/>
      <c r="F2541" s="15"/>
      <c r="G2541" s="15"/>
      <c r="H2541" s="15"/>
      <c r="I2541" s="15"/>
      <c r="J2541" s="15"/>
      <c r="K2541" s="15"/>
      <c r="L2541" s="28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5"/>
      <c r="AG2541" s="15"/>
      <c r="AH2541" s="15"/>
      <c r="AI2541" s="15"/>
      <c r="AJ2541" s="15"/>
      <c r="AK2541" s="15"/>
      <c r="AL2541" s="15"/>
      <c r="AM2541" s="15"/>
      <c r="AN2541" s="15"/>
      <c r="AO2541" s="15"/>
      <c r="AP2541" s="15"/>
      <c r="AQ2541" s="15"/>
      <c r="AR2541" s="15"/>
      <c r="AS2541" s="15"/>
      <c r="AT2541" s="15"/>
      <c r="AU2541" s="15"/>
      <c r="AV2541" s="15"/>
      <c r="AW2541" s="15"/>
    </row>
    <row r="2542" spans="3:49" x14ac:dyDescent="0.2">
      <c r="C2542" s="15"/>
      <c r="D2542" s="15"/>
      <c r="E2542" s="15"/>
      <c r="F2542" s="15"/>
      <c r="G2542" s="15"/>
      <c r="H2542" s="15"/>
      <c r="I2542" s="15"/>
      <c r="J2542" s="15"/>
      <c r="K2542" s="15"/>
      <c r="L2542" s="28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5"/>
      <c r="AG2542" s="15"/>
      <c r="AH2542" s="15"/>
      <c r="AI2542" s="15"/>
      <c r="AJ2542" s="15"/>
      <c r="AK2542" s="15"/>
      <c r="AL2542" s="15"/>
      <c r="AM2542" s="15"/>
      <c r="AN2542" s="15"/>
      <c r="AO2542" s="15"/>
      <c r="AP2542" s="15"/>
      <c r="AQ2542" s="15"/>
      <c r="AR2542" s="15"/>
      <c r="AS2542" s="15"/>
      <c r="AT2542" s="15"/>
      <c r="AU2542" s="15"/>
      <c r="AV2542" s="15"/>
      <c r="AW2542" s="15"/>
    </row>
    <row r="2543" spans="3:49" x14ac:dyDescent="0.2">
      <c r="C2543" s="15"/>
      <c r="D2543" s="15"/>
      <c r="E2543" s="15"/>
      <c r="F2543" s="15"/>
      <c r="G2543" s="15"/>
      <c r="H2543" s="15"/>
      <c r="I2543" s="15"/>
      <c r="J2543" s="15"/>
      <c r="K2543" s="15"/>
      <c r="L2543" s="28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5"/>
      <c r="AG2543" s="15"/>
      <c r="AH2543" s="15"/>
      <c r="AI2543" s="15"/>
      <c r="AJ2543" s="15"/>
      <c r="AK2543" s="15"/>
      <c r="AL2543" s="15"/>
      <c r="AM2543" s="15"/>
      <c r="AN2543" s="15"/>
      <c r="AO2543" s="15"/>
      <c r="AP2543" s="15"/>
      <c r="AQ2543" s="15"/>
      <c r="AR2543" s="15"/>
      <c r="AS2543" s="15"/>
      <c r="AT2543" s="15"/>
      <c r="AU2543" s="15"/>
      <c r="AV2543" s="15"/>
      <c r="AW2543" s="15"/>
    </row>
    <row r="2544" spans="3:49" x14ac:dyDescent="0.2">
      <c r="C2544" s="15"/>
      <c r="D2544" s="15"/>
      <c r="E2544" s="15"/>
      <c r="F2544" s="15"/>
      <c r="G2544" s="15"/>
      <c r="H2544" s="15"/>
      <c r="I2544" s="15"/>
      <c r="J2544" s="15"/>
      <c r="K2544" s="15"/>
      <c r="L2544" s="28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5"/>
      <c r="AG2544" s="15"/>
      <c r="AH2544" s="15"/>
      <c r="AI2544" s="15"/>
      <c r="AJ2544" s="15"/>
      <c r="AK2544" s="15"/>
      <c r="AL2544" s="15"/>
      <c r="AM2544" s="15"/>
      <c r="AN2544" s="15"/>
      <c r="AO2544" s="15"/>
      <c r="AP2544" s="15"/>
      <c r="AQ2544" s="15"/>
      <c r="AR2544" s="15"/>
      <c r="AS2544" s="15"/>
      <c r="AT2544" s="15"/>
      <c r="AU2544" s="15"/>
      <c r="AV2544" s="15"/>
      <c r="AW2544" s="15"/>
    </row>
    <row r="2545" spans="3:49" x14ac:dyDescent="0.2">
      <c r="C2545" s="15"/>
      <c r="D2545" s="15"/>
      <c r="E2545" s="15"/>
      <c r="F2545" s="15"/>
      <c r="G2545" s="15"/>
      <c r="H2545" s="15"/>
      <c r="I2545" s="15"/>
      <c r="J2545" s="15"/>
      <c r="K2545" s="15"/>
      <c r="L2545" s="28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5"/>
      <c r="AG2545" s="15"/>
      <c r="AH2545" s="15"/>
      <c r="AI2545" s="15"/>
      <c r="AJ2545" s="15"/>
      <c r="AK2545" s="15"/>
      <c r="AL2545" s="15"/>
      <c r="AM2545" s="15"/>
      <c r="AN2545" s="15"/>
      <c r="AO2545" s="15"/>
      <c r="AP2545" s="15"/>
      <c r="AQ2545" s="15"/>
      <c r="AR2545" s="15"/>
      <c r="AS2545" s="15"/>
      <c r="AT2545" s="15"/>
      <c r="AU2545" s="15"/>
      <c r="AV2545" s="15"/>
      <c r="AW2545" s="15"/>
    </row>
    <row r="2546" spans="3:49" x14ac:dyDescent="0.2">
      <c r="C2546" s="15"/>
      <c r="D2546" s="15"/>
      <c r="E2546" s="15"/>
      <c r="F2546" s="15"/>
      <c r="G2546" s="15"/>
      <c r="H2546" s="15"/>
      <c r="I2546" s="15"/>
      <c r="J2546" s="15"/>
      <c r="K2546" s="15"/>
      <c r="L2546" s="28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5"/>
      <c r="AG2546" s="15"/>
      <c r="AH2546" s="15"/>
      <c r="AI2546" s="15"/>
      <c r="AJ2546" s="15"/>
      <c r="AK2546" s="15"/>
      <c r="AL2546" s="15"/>
      <c r="AM2546" s="15"/>
      <c r="AN2546" s="15"/>
      <c r="AO2546" s="15"/>
      <c r="AP2546" s="15"/>
      <c r="AQ2546" s="15"/>
      <c r="AR2546" s="15"/>
      <c r="AS2546" s="15"/>
      <c r="AT2546" s="15"/>
      <c r="AU2546" s="15"/>
      <c r="AV2546" s="15"/>
      <c r="AW2546" s="15"/>
    </row>
    <row r="2547" spans="3:49" x14ac:dyDescent="0.2">
      <c r="C2547" s="15"/>
      <c r="D2547" s="15"/>
      <c r="E2547" s="15"/>
      <c r="F2547" s="15"/>
      <c r="G2547" s="15"/>
      <c r="H2547" s="15"/>
      <c r="I2547" s="15"/>
      <c r="J2547" s="15"/>
      <c r="K2547" s="15"/>
      <c r="L2547" s="28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5"/>
      <c r="AG2547" s="15"/>
      <c r="AH2547" s="15"/>
      <c r="AI2547" s="15"/>
      <c r="AJ2547" s="15"/>
      <c r="AK2547" s="15"/>
      <c r="AL2547" s="15"/>
      <c r="AM2547" s="15"/>
      <c r="AN2547" s="15"/>
      <c r="AO2547" s="15"/>
      <c r="AP2547" s="15"/>
      <c r="AQ2547" s="15"/>
      <c r="AR2547" s="15"/>
      <c r="AS2547" s="15"/>
      <c r="AT2547" s="15"/>
      <c r="AU2547" s="15"/>
      <c r="AV2547" s="15"/>
      <c r="AW2547" s="15"/>
    </row>
    <row r="2548" spans="3:49" x14ac:dyDescent="0.2">
      <c r="C2548" s="15"/>
      <c r="D2548" s="15"/>
      <c r="E2548" s="15"/>
      <c r="F2548" s="15"/>
      <c r="G2548" s="15"/>
      <c r="H2548" s="15"/>
      <c r="I2548" s="15"/>
      <c r="J2548" s="15"/>
      <c r="K2548" s="15"/>
      <c r="L2548" s="28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5"/>
      <c r="AG2548" s="15"/>
      <c r="AH2548" s="15"/>
      <c r="AI2548" s="15"/>
      <c r="AJ2548" s="15"/>
      <c r="AK2548" s="15"/>
      <c r="AL2548" s="15"/>
      <c r="AM2548" s="15"/>
      <c r="AN2548" s="15"/>
      <c r="AO2548" s="15"/>
      <c r="AP2548" s="15"/>
      <c r="AQ2548" s="15"/>
      <c r="AR2548" s="15"/>
      <c r="AS2548" s="15"/>
      <c r="AT2548" s="15"/>
      <c r="AU2548" s="15"/>
      <c r="AV2548" s="15"/>
      <c r="AW2548" s="15"/>
    </row>
    <row r="2549" spans="3:49" x14ac:dyDescent="0.2">
      <c r="C2549" s="15"/>
      <c r="D2549" s="15"/>
      <c r="E2549" s="15"/>
      <c r="F2549" s="15"/>
      <c r="G2549" s="15"/>
      <c r="H2549" s="15"/>
      <c r="I2549" s="15"/>
      <c r="J2549" s="15"/>
      <c r="K2549" s="15"/>
      <c r="L2549" s="28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5"/>
      <c r="AG2549" s="15"/>
      <c r="AH2549" s="15"/>
      <c r="AI2549" s="15"/>
      <c r="AJ2549" s="15"/>
      <c r="AK2549" s="15"/>
      <c r="AL2549" s="15"/>
      <c r="AM2549" s="15"/>
      <c r="AN2549" s="15"/>
      <c r="AO2549" s="15"/>
      <c r="AP2549" s="15"/>
      <c r="AQ2549" s="15"/>
      <c r="AR2549" s="15"/>
      <c r="AS2549" s="15"/>
      <c r="AT2549" s="15"/>
      <c r="AU2549" s="15"/>
      <c r="AV2549" s="15"/>
      <c r="AW2549" s="15"/>
    </row>
    <row r="2550" spans="3:49" x14ac:dyDescent="0.2">
      <c r="C2550" s="15"/>
      <c r="D2550" s="15"/>
      <c r="E2550" s="15"/>
      <c r="F2550" s="15"/>
      <c r="G2550" s="15"/>
      <c r="H2550" s="15"/>
      <c r="I2550" s="15"/>
      <c r="J2550" s="15"/>
      <c r="K2550" s="15"/>
      <c r="L2550" s="28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5"/>
      <c r="AG2550" s="15"/>
      <c r="AH2550" s="15"/>
      <c r="AI2550" s="15"/>
      <c r="AJ2550" s="15"/>
      <c r="AK2550" s="15"/>
      <c r="AL2550" s="15"/>
      <c r="AM2550" s="15"/>
      <c r="AN2550" s="15"/>
      <c r="AO2550" s="15"/>
      <c r="AP2550" s="15"/>
      <c r="AQ2550" s="15"/>
      <c r="AR2550" s="15"/>
      <c r="AS2550" s="15"/>
      <c r="AT2550" s="15"/>
      <c r="AU2550" s="15"/>
      <c r="AV2550" s="15"/>
      <c r="AW2550" s="15"/>
    </row>
    <row r="2551" spans="3:49" x14ac:dyDescent="0.2">
      <c r="C2551" s="15"/>
      <c r="D2551" s="15"/>
      <c r="E2551" s="15"/>
      <c r="F2551" s="15"/>
      <c r="G2551" s="15"/>
      <c r="H2551" s="15"/>
      <c r="I2551" s="15"/>
      <c r="J2551" s="15"/>
      <c r="K2551" s="15"/>
      <c r="L2551" s="28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5"/>
      <c r="AG2551" s="15"/>
      <c r="AH2551" s="15"/>
      <c r="AI2551" s="15"/>
      <c r="AJ2551" s="15"/>
      <c r="AK2551" s="15"/>
      <c r="AL2551" s="15"/>
      <c r="AM2551" s="15"/>
      <c r="AN2551" s="15"/>
      <c r="AO2551" s="15"/>
      <c r="AP2551" s="15"/>
      <c r="AQ2551" s="15"/>
      <c r="AR2551" s="15"/>
      <c r="AS2551" s="15"/>
      <c r="AT2551" s="15"/>
      <c r="AU2551" s="15"/>
      <c r="AV2551" s="15"/>
      <c r="AW2551" s="15"/>
    </row>
    <row r="2552" spans="3:49" x14ac:dyDescent="0.2">
      <c r="C2552" s="15"/>
      <c r="D2552" s="15"/>
      <c r="E2552" s="15"/>
      <c r="F2552" s="15"/>
      <c r="G2552" s="15"/>
      <c r="H2552" s="15"/>
      <c r="I2552" s="15"/>
      <c r="J2552" s="15"/>
      <c r="K2552" s="15"/>
      <c r="L2552" s="28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5"/>
      <c r="AG2552" s="15"/>
      <c r="AH2552" s="15"/>
      <c r="AI2552" s="15"/>
      <c r="AJ2552" s="15"/>
      <c r="AK2552" s="15"/>
      <c r="AL2552" s="15"/>
      <c r="AM2552" s="15"/>
      <c r="AN2552" s="15"/>
      <c r="AO2552" s="15"/>
      <c r="AP2552" s="15"/>
      <c r="AQ2552" s="15"/>
      <c r="AR2552" s="15"/>
      <c r="AS2552" s="15"/>
      <c r="AT2552" s="15"/>
      <c r="AU2552" s="15"/>
      <c r="AV2552" s="15"/>
      <c r="AW2552" s="15"/>
    </row>
    <row r="2553" spans="3:49" x14ac:dyDescent="0.2">
      <c r="C2553" s="15"/>
      <c r="D2553" s="15"/>
      <c r="E2553" s="15"/>
      <c r="F2553" s="15"/>
      <c r="G2553" s="15"/>
      <c r="H2553" s="15"/>
      <c r="I2553" s="15"/>
      <c r="J2553" s="15"/>
      <c r="K2553" s="15"/>
      <c r="L2553" s="28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5"/>
      <c r="AG2553" s="15"/>
      <c r="AH2553" s="15"/>
      <c r="AI2553" s="15"/>
      <c r="AJ2553" s="15"/>
      <c r="AK2553" s="15"/>
      <c r="AL2553" s="15"/>
      <c r="AM2553" s="15"/>
      <c r="AN2553" s="15"/>
      <c r="AO2553" s="15"/>
      <c r="AP2553" s="15"/>
      <c r="AQ2553" s="15"/>
      <c r="AR2553" s="15"/>
      <c r="AS2553" s="15"/>
      <c r="AT2553" s="15"/>
      <c r="AU2553" s="15"/>
      <c r="AV2553" s="15"/>
      <c r="AW2553" s="15"/>
    </row>
    <row r="2554" spans="3:49" x14ac:dyDescent="0.2">
      <c r="C2554" s="15"/>
      <c r="D2554" s="15"/>
      <c r="E2554" s="15"/>
      <c r="F2554" s="15"/>
      <c r="G2554" s="15"/>
      <c r="H2554" s="15"/>
      <c r="I2554" s="15"/>
      <c r="J2554" s="15"/>
      <c r="K2554" s="15"/>
      <c r="L2554" s="28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5"/>
      <c r="AG2554" s="15"/>
      <c r="AH2554" s="15"/>
      <c r="AI2554" s="15"/>
      <c r="AJ2554" s="15"/>
      <c r="AK2554" s="15"/>
      <c r="AL2554" s="15"/>
      <c r="AM2554" s="15"/>
      <c r="AN2554" s="15"/>
      <c r="AO2554" s="15"/>
      <c r="AP2554" s="15"/>
      <c r="AQ2554" s="15"/>
      <c r="AR2554" s="15"/>
      <c r="AS2554" s="15"/>
      <c r="AT2554" s="15"/>
      <c r="AU2554" s="15"/>
      <c r="AV2554" s="15"/>
      <c r="AW2554" s="15"/>
    </row>
    <row r="2555" spans="3:49" x14ac:dyDescent="0.2">
      <c r="C2555" s="15"/>
      <c r="D2555" s="15"/>
      <c r="E2555" s="15"/>
      <c r="F2555" s="15"/>
      <c r="G2555" s="15"/>
      <c r="H2555" s="15"/>
      <c r="I2555" s="15"/>
      <c r="J2555" s="15"/>
      <c r="K2555" s="15"/>
      <c r="L2555" s="28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5"/>
      <c r="AG2555" s="15"/>
      <c r="AH2555" s="15"/>
      <c r="AI2555" s="15"/>
      <c r="AJ2555" s="15"/>
      <c r="AK2555" s="15"/>
      <c r="AL2555" s="15"/>
      <c r="AM2555" s="15"/>
      <c r="AN2555" s="15"/>
      <c r="AO2555" s="15"/>
      <c r="AP2555" s="15"/>
      <c r="AQ2555" s="15"/>
      <c r="AR2555" s="15"/>
      <c r="AS2555" s="15"/>
      <c r="AT2555" s="15"/>
      <c r="AU2555" s="15"/>
      <c r="AV2555" s="15"/>
      <c r="AW2555" s="15"/>
    </row>
    <row r="2556" spans="3:49" x14ac:dyDescent="0.2">
      <c r="C2556" s="15"/>
      <c r="D2556" s="15"/>
      <c r="E2556" s="15"/>
      <c r="F2556" s="15"/>
      <c r="G2556" s="15"/>
      <c r="H2556" s="15"/>
      <c r="I2556" s="15"/>
      <c r="J2556" s="15"/>
      <c r="K2556" s="15"/>
      <c r="L2556" s="28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5"/>
      <c r="AG2556" s="15"/>
      <c r="AH2556" s="15"/>
      <c r="AI2556" s="15"/>
      <c r="AJ2556" s="15"/>
      <c r="AK2556" s="15"/>
      <c r="AL2556" s="15"/>
      <c r="AM2556" s="15"/>
      <c r="AN2556" s="15"/>
      <c r="AO2556" s="15"/>
      <c r="AP2556" s="15"/>
      <c r="AQ2556" s="15"/>
      <c r="AR2556" s="15"/>
      <c r="AS2556" s="15"/>
      <c r="AT2556" s="15"/>
      <c r="AU2556" s="15"/>
      <c r="AV2556" s="15"/>
      <c r="AW2556" s="15"/>
    </row>
    <row r="2557" spans="3:49" x14ac:dyDescent="0.2">
      <c r="C2557" s="15"/>
      <c r="D2557" s="15"/>
      <c r="E2557" s="15"/>
      <c r="F2557" s="15"/>
      <c r="G2557" s="15"/>
      <c r="H2557" s="15"/>
      <c r="I2557" s="15"/>
      <c r="J2557" s="15"/>
      <c r="K2557" s="15"/>
      <c r="L2557" s="28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5"/>
      <c r="AG2557" s="15"/>
      <c r="AH2557" s="15"/>
      <c r="AI2557" s="15"/>
      <c r="AJ2557" s="15"/>
      <c r="AK2557" s="15"/>
      <c r="AL2557" s="15"/>
      <c r="AM2557" s="15"/>
      <c r="AN2557" s="15"/>
      <c r="AO2557" s="15"/>
      <c r="AP2557" s="15"/>
      <c r="AQ2557" s="15"/>
      <c r="AR2557" s="15"/>
      <c r="AS2557" s="15"/>
      <c r="AT2557" s="15"/>
      <c r="AU2557" s="15"/>
      <c r="AV2557" s="15"/>
      <c r="AW2557" s="15"/>
    </row>
    <row r="2558" spans="3:49" x14ac:dyDescent="0.2">
      <c r="C2558" s="15"/>
      <c r="D2558" s="15"/>
      <c r="E2558" s="15"/>
      <c r="F2558" s="15"/>
      <c r="G2558" s="15"/>
      <c r="H2558" s="15"/>
      <c r="I2558" s="15"/>
      <c r="J2558" s="15"/>
      <c r="K2558" s="15"/>
      <c r="L2558" s="28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5"/>
      <c r="AG2558" s="15"/>
      <c r="AH2558" s="15"/>
      <c r="AI2558" s="15"/>
      <c r="AJ2558" s="15"/>
      <c r="AK2558" s="15"/>
      <c r="AL2558" s="15"/>
      <c r="AM2558" s="15"/>
      <c r="AN2558" s="15"/>
      <c r="AO2558" s="15"/>
      <c r="AP2558" s="15"/>
      <c r="AQ2558" s="15"/>
      <c r="AR2558" s="15"/>
      <c r="AS2558" s="15"/>
      <c r="AT2558" s="15"/>
      <c r="AU2558" s="15"/>
      <c r="AV2558" s="15"/>
      <c r="AW2558" s="15"/>
    </row>
    <row r="2559" spans="3:49" x14ac:dyDescent="0.2">
      <c r="C2559" s="15"/>
      <c r="D2559" s="15"/>
      <c r="E2559" s="15"/>
      <c r="F2559" s="15"/>
      <c r="G2559" s="15"/>
      <c r="H2559" s="15"/>
      <c r="I2559" s="15"/>
      <c r="J2559" s="15"/>
      <c r="K2559" s="15"/>
      <c r="L2559" s="28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5"/>
      <c r="AG2559" s="15"/>
      <c r="AH2559" s="15"/>
      <c r="AI2559" s="15"/>
      <c r="AJ2559" s="15"/>
      <c r="AK2559" s="15"/>
      <c r="AL2559" s="15"/>
      <c r="AM2559" s="15"/>
      <c r="AN2559" s="15"/>
      <c r="AO2559" s="15"/>
      <c r="AP2559" s="15"/>
      <c r="AQ2559" s="15"/>
      <c r="AR2559" s="15"/>
      <c r="AS2559" s="15"/>
      <c r="AT2559" s="15"/>
      <c r="AU2559" s="15"/>
      <c r="AV2559" s="15"/>
      <c r="AW2559" s="15"/>
    </row>
    <row r="2560" spans="3:49" x14ac:dyDescent="0.2">
      <c r="C2560" s="15"/>
      <c r="D2560" s="15"/>
      <c r="E2560" s="15"/>
      <c r="F2560" s="15"/>
      <c r="G2560" s="15"/>
      <c r="H2560" s="15"/>
      <c r="I2560" s="15"/>
      <c r="J2560" s="15"/>
      <c r="K2560" s="15"/>
      <c r="L2560" s="28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5"/>
      <c r="AG2560" s="15"/>
      <c r="AH2560" s="15"/>
      <c r="AI2560" s="15"/>
      <c r="AJ2560" s="15"/>
      <c r="AK2560" s="15"/>
      <c r="AL2560" s="15"/>
      <c r="AM2560" s="15"/>
      <c r="AN2560" s="15"/>
      <c r="AO2560" s="15"/>
      <c r="AP2560" s="15"/>
      <c r="AQ2560" s="15"/>
      <c r="AR2560" s="15"/>
      <c r="AS2560" s="15"/>
      <c r="AT2560" s="15"/>
      <c r="AU2560" s="15"/>
      <c r="AV2560" s="15"/>
      <c r="AW2560" s="15"/>
    </row>
    <row r="2561" spans="3:49" x14ac:dyDescent="0.2">
      <c r="C2561" s="15"/>
      <c r="D2561" s="15"/>
      <c r="E2561" s="15"/>
      <c r="F2561" s="15"/>
      <c r="G2561" s="15"/>
      <c r="H2561" s="15"/>
      <c r="I2561" s="15"/>
      <c r="J2561" s="15"/>
      <c r="K2561" s="15"/>
      <c r="L2561" s="28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5"/>
      <c r="AG2561" s="15"/>
      <c r="AH2561" s="15"/>
      <c r="AI2561" s="15"/>
      <c r="AJ2561" s="15"/>
      <c r="AK2561" s="15"/>
      <c r="AL2561" s="15"/>
      <c r="AM2561" s="15"/>
      <c r="AN2561" s="15"/>
      <c r="AO2561" s="15"/>
      <c r="AP2561" s="15"/>
      <c r="AQ2561" s="15"/>
      <c r="AR2561" s="15"/>
      <c r="AS2561" s="15"/>
      <c r="AT2561" s="15"/>
      <c r="AU2561" s="15"/>
      <c r="AV2561" s="15"/>
      <c r="AW2561" s="15"/>
    </row>
    <row r="2562" spans="3:49" x14ac:dyDescent="0.2">
      <c r="C2562" s="15"/>
      <c r="D2562" s="15"/>
      <c r="E2562" s="15"/>
      <c r="F2562" s="15"/>
      <c r="G2562" s="15"/>
      <c r="H2562" s="15"/>
      <c r="I2562" s="15"/>
      <c r="J2562" s="15"/>
      <c r="K2562" s="15"/>
      <c r="L2562" s="28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5"/>
      <c r="AG2562" s="15"/>
      <c r="AH2562" s="15"/>
      <c r="AI2562" s="15"/>
      <c r="AJ2562" s="15"/>
      <c r="AK2562" s="15"/>
      <c r="AL2562" s="15"/>
      <c r="AM2562" s="15"/>
      <c r="AN2562" s="15"/>
      <c r="AO2562" s="15"/>
      <c r="AP2562" s="15"/>
      <c r="AQ2562" s="15"/>
      <c r="AR2562" s="15"/>
      <c r="AS2562" s="15"/>
      <c r="AT2562" s="15"/>
      <c r="AU2562" s="15"/>
      <c r="AV2562" s="15"/>
      <c r="AW2562" s="15"/>
    </row>
    <row r="2563" spans="3:49" x14ac:dyDescent="0.2">
      <c r="C2563" s="15"/>
      <c r="D2563" s="15"/>
      <c r="E2563" s="15"/>
      <c r="F2563" s="15"/>
      <c r="G2563" s="15"/>
      <c r="H2563" s="15"/>
      <c r="I2563" s="15"/>
      <c r="J2563" s="15"/>
      <c r="K2563" s="15"/>
      <c r="L2563" s="28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5"/>
      <c r="AG2563" s="15"/>
      <c r="AH2563" s="15"/>
      <c r="AI2563" s="15"/>
      <c r="AJ2563" s="15"/>
      <c r="AK2563" s="15"/>
      <c r="AL2563" s="15"/>
      <c r="AM2563" s="15"/>
      <c r="AN2563" s="15"/>
      <c r="AO2563" s="15"/>
      <c r="AP2563" s="15"/>
      <c r="AQ2563" s="15"/>
      <c r="AR2563" s="15"/>
      <c r="AS2563" s="15"/>
      <c r="AT2563" s="15"/>
      <c r="AU2563" s="15"/>
      <c r="AV2563" s="15"/>
      <c r="AW2563" s="15"/>
    </row>
    <row r="2564" spans="3:49" x14ac:dyDescent="0.2">
      <c r="C2564" s="15"/>
      <c r="D2564" s="15"/>
      <c r="E2564" s="15"/>
      <c r="F2564" s="15"/>
      <c r="G2564" s="15"/>
      <c r="H2564" s="15"/>
      <c r="I2564" s="15"/>
      <c r="J2564" s="15"/>
      <c r="K2564" s="15"/>
      <c r="L2564" s="28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5"/>
      <c r="AG2564" s="15"/>
      <c r="AH2564" s="15"/>
      <c r="AI2564" s="15"/>
      <c r="AJ2564" s="15"/>
      <c r="AK2564" s="15"/>
      <c r="AL2564" s="15"/>
      <c r="AM2564" s="15"/>
      <c r="AN2564" s="15"/>
      <c r="AO2564" s="15"/>
      <c r="AP2564" s="15"/>
      <c r="AQ2564" s="15"/>
      <c r="AR2564" s="15"/>
      <c r="AS2564" s="15"/>
      <c r="AT2564" s="15"/>
      <c r="AU2564" s="15"/>
      <c r="AV2564" s="15"/>
      <c r="AW2564" s="15"/>
    </row>
    <row r="2565" spans="3:49" x14ac:dyDescent="0.2">
      <c r="C2565" s="15"/>
      <c r="D2565" s="15"/>
      <c r="E2565" s="15"/>
      <c r="F2565" s="15"/>
      <c r="G2565" s="15"/>
      <c r="H2565" s="15"/>
      <c r="I2565" s="15"/>
      <c r="J2565" s="15"/>
      <c r="K2565" s="15"/>
      <c r="L2565" s="28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5"/>
      <c r="AG2565" s="15"/>
      <c r="AH2565" s="15"/>
      <c r="AI2565" s="15"/>
      <c r="AJ2565" s="15"/>
      <c r="AK2565" s="15"/>
      <c r="AL2565" s="15"/>
      <c r="AM2565" s="15"/>
      <c r="AN2565" s="15"/>
      <c r="AO2565" s="15"/>
      <c r="AP2565" s="15"/>
      <c r="AQ2565" s="15"/>
      <c r="AR2565" s="15"/>
      <c r="AS2565" s="15"/>
      <c r="AT2565" s="15"/>
      <c r="AU2565" s="15"/>
      <c r="AV2565" s="15"/>
      <c r="AW2565" s="15"/>
    </row>
    <row r="2566" spans="3:49" x14ac:dyDescent="0.2">
      <c r="C2566" s="15"/>
      <c r="D2566" s="15"/>
      <c r="E2566" s="15"/>
      <c r="F2566" s="15"/>
      <c r="G2566" s="15"/>
      <c r="H2566" s="15"/>
      <c r="I2566" s="15"/>
      <c r="J2566" s="15"/>
      <c r="K2566" s="15"/>
      <c r="L2566" s="28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5"/>
      <c r="AG2566" s="15"/>
      <c r="AH2566" s="15"/>
      <c r="AI2566" s="15"/>
      <c r="AJ2566" s="15"/>
      <c r="AK2566" s="15"/>
      <c r="AL2566" s="15"/>
      <c r="AM2566" s="15"/>
      <c r="AN2566" s="15"/>
      <c r="AO2566" s="15"/>
      <c r="AP2566" s="15"/>
      <c r="AQ2566" s="15"/>
      <c r="AR2566" s="15"/>
      <c r="AS2566" s="15"/>
      <c r="AT2566" s="15"/>
      <c r="AU2566" s="15"/>
      <c r="AV2566" s="15"/>
      <c r="AW2566" s="15"/>
    </row>
    <row r="2567" spans="3:49" x14ac:dyDescent="0.2">
      <c r="C2567" s="15"/>
      <c r="D2567" s="15"/>
      <c r="E2567" s="15"/>
      <c r="F2567" s="15"/>
      <c r="G2567" s="15"/>
      <c r="H2567" s="15"/>
      <c r="I2567" s="15"/>
      <c r="J2567" s="15"/>
      <c r="K2567" s="15"/>
      <c r="L2567" s="28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5"/>
      <c r="AG2567" s="15"/>
      <c r="AH2567" s="15"/>
      <c r="AI2567" s="15"/>
      <c r="AJ2567" s="15"/>
      <c r="AK2567" s="15"/>
      <c r="AL2567" s="15"/>
      <c r="AM2567" s="15"/>
      <c r="AN2567" s="15"/>
      <c r="AO2567" s="15"/>
      <c r="AP2567" s="15"/>
      <c r="AQ2567" s="15"/>
      <c r="AR2567" s="15"/>
      <c r="AS2567" s="15"/>
      <c r="AT2567" s="15"/>
      <c r="AU2567" s="15"/>
      <c r="AV2567" s="15"/>
      <c r="AW2567" s="15"/>
    </row>
    <row r="2568" spans="3:49" x14ac:dyDescent="0.2">
      <c r="C2568" s="15"/>
      <c r="D2568" s="15"/>
      <c r="E2568" s="15"/>
      <c r="F2568" s="15"/>
      <c r="G2568" s="15"/>
      <c r="H2568" s="15"/>
      <c r="I2568" s="15"/>
      <c r="J2568" s="15"/>
      <c r="K2568" s="15"/>
      <c r="L2568" s="28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5"/>
      <c r="AG2568" s="15"/>
      <c r="AH2568" s="15"/>
      <c r="AI2568" s="15"/>
      <c r="AJ2568" s="15"/>
      <c r="AK2568" s="15"/>
      <c r="AL2568" s="15"/>
      <c r="AM2568" s="15"/>
      <c r="AN2568" s="15"/>
      <c r="AO2568" s="15"/>
      <c r="AP2568" s="15"/>
      <c r="AQ2568" s="15"/>
      <c r="AR2568" s="15"/>
      <c r="AS2568" s="15"/>
      <c r="AT2568" s="15"/>
      <c r="AU2568" s="15"/>
      <c r="AV2568" s="15"/>
      <c r="AW2568" s="15"/>
    </row>
    <row r="2569" spans="3:49" x14ac:dyDescent="0.2">
      <c r="C2569" s="15"/>
      <c r="D2569" s="15"/>
      <c r="E2569" s="15"/>
      <c r="F2569" s="15"/>
      <c r="G2569" s="15"/>
      <c r="H2569" s="15"/>
      <c r="I2569" s="15"/>
      <c r="J2569" s="15"/>
      <c r="K2569" s="15"/>
      <c r="L2569" s="28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5"/>
      <c r="AG2569" s="15"/>
      <c r="AH2569" s="15"/>
      <c r="AI2569" s="15"/>
      <c r="AJ2569" s="15"/>
      <c r="AK2569" s="15"/>
      <c r="AL2569" s="15"/>
      <c r="AM2569" s="15"/>
      <c r="AN2569" s="15"/>
      <c r="AO2569" s="15"/>
      <c r="AP2569" s="15"/>
      <c r="AQ2569" s="15"/>
      <c r="AR2569" s="15"/>
      <c r="AS2569" s="15"/>
      <c r="AT2569" s="15"/>
      <c r="AU2569" s="15"/>
      <c r="AV2569" s="15"/>
      <c r="AW2569" s="15"/>
    </row>
    <row r="2570" spans="3:49" x14ac:dyDescent="0.2">
      <c r="C2570" s="15"/>
      <c r="D2570" s="15"/>
      <c r="E2570" s="15"/>
      <c r="F2570" s="15"/>
      <c r="G2570" s="15"/>
      <c r="H2570" s="15"/>
      <c r="I2570" s="15"/>
      <c r="J2570" s="15"/>
      <c r="K2570" s="15"/>
      <c r="L2570" s="28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5"/>
      <c r="AG2570" s="15"/>
      <c r="AH2570" s="15"/>
      <c r="AI2570" s="15"/>
      <c r="AJ2570" s="15"/>
      <c r="AK2570" s="15"/>
      <c r="AL2570" s="15"/>
      <c r="AM2570" s="15"/>
      <c r="AN2570" s="15"/>
      <c r="AO2570" s="15"/>
      <c r="AP2570" s="15"/>
      <c r="AQ2570" s="15"/>
      <c r="AR2570" s="15"/>
      <c r="AS2570" s="15"/>
      <c r="AT2570" s="15"/>
      <c r="AU2570" s="15"/>
      <c r="AV2570" s="15"/>
      <c r="AW2570" s="15"/>
    </row>
    <row r="2571" spans="3:49" x14ac:dyDescent="0.2">
      <c r="C2571" s="15"/>
      <c r="D2571" s="15"/>
      <c r="E2571" s="15"/>
      <c r="F2571" s="15"/>
      <c r="G2571" s="15"/>
      <c r="H2571" s="15"/>
      <c r="I2571" s="15"/>
      <c r="J2571" s="15"/>
      <c r="K2571" s="15"/>
      <c r="L2571" s="28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5"/>
      <c r="AG2571" s="15"/>
      <c r="AH2571" s="15"/>
      <c r="AI2571" s="15"/>
      <c r="AJ2571" s="15"/>
      <c r="AK2571" s="15"/>
      <c r="AL2571" s="15"/>
      <c r="AM2571" s="15"/>
      <c r="AN2571" s="15"/>
      <c r="AO2571" s="15"/>
      <c r="AP2571" s="15"/>
      <c r="AQ2571" s="15"/>
      <c r="AR2571" s="15"/>
      <c r="AS2571" s="15"/>
      <c r="AT2571" s="15"/>
      <c r="AU2571" s="15"/>
      <c r="AV2571" s="15"/>
      <c r="AW2571" s="15"/>
    </row>
    <row r="2572" spans="3:49" x14ac:dyDescent="0.2">
      <c r="C2572" s="15"/>
      <c r="D2572" s="15"/>
      <c r="E2572" s="15"/>
      <c r="F2572" s="15"/>
      <c r="G2572" s="15"/>
      <c r="H2572" s="15"/>
      <c r="I2572" s="15"/>
      <c r="J2572" s="15"/>
      <c r="K2572" s="15"/>
      <c r="L2572" s="28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5"/>
      <c r="AG2572" s="15"/>
      <c r="AH2572" s="15"/>
      <c r="AI2572" s="15"/>
      <c r="AJ2572" s="15"/>
      <c r="AK2572" s="15"/>
      <c r="AL2572" s="15"/>
      <c r="AM2572" s="15"/>
      <c r="AN2572" s="15"/>
      <c r="AO2572" s="15"/>
      <c r="AP2572" s="15"/>
      <c r="AQ2572" s="15"/>
      <c r="AR2572" s="15"/>
      <c r="AS2572" s="15"/>
      <c r="AT2572" s="15"/>
      <c r="AU2572" s="15"/>
      <c r="AV2572" s="15"/>
      <c r="AW2572" s="15"/>
    </row>
    <row r="2573" spans="3:49" x14ac:dyDescent="0.2">
      <c r="C2573" s="15"/>
      <c r="D2573" s="15"/>
      <c r="E2573" s="15"/>
      <c r="F2573" s="15"/>
      <c r="G2573" s="15"/>
      <c r="H2573" s="15"/>
      <c r="I2573" s="15"/>
      <c r="J2573" s="15"/>
      <c r="K2573" s="15"/>
      <c r="L2573" s="28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5"/>
      <c r="AG2573" s="15"/>
      <c r="AH2573" s="15"/>
      <c r="AI2573" s="15"/>
      <c r="AJ2573" s="15"/>
      <c r="AK2573" s="15"/>
      <c r="AL2573" s="15"/>
      <c r="AM2573" s="15"/>
      <c r="AN2573" s="15"/>
      <c r="AO2573" s="15"/>
      <c r="AP2573" s="15"/>
      <c r="AQ2573" s="15"/>
      <c r="AR2573" s="15"/>
      <c r="AS2573" s="15"/>
      <c r="AT2573" s="15"/>
      <c r="AU2573" s="15"/>
      <c r="AV2573" s="15"/>
      <c r="AW2573" s="15"/>
    </row>
    <row r="2574" spans="3:49" x14ac:dyDescent="0.2">
      <c r="C2574" s="15"/>
      <c r="D2574" s="15"/>
      <c r="E2574" s="15"/>
      <c r="F2574" s="15"/>
      <c r="G2574" s="15"/>
      <c r="H2574" s="15"/>
      <c r="I2574" s="15"/>
      <c r="J2574" s="15"/>
      <c r="K2574" s="15"/>
      <c r="L2574" s="28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5"/>
      <c r="AG2574" s="15"/>
      <c r="AH2574" s="15"/>
      <c r="AI2574" s="15"/>
      <c r="AJ2574" s="15"/>
      <c r="AK2574" s="15"/>
      <c r="AL2574" s="15"/>
      <c r="AM2574" s="15"/>
      <c r="AN2574" s="15"/>
      <c r="AO2574" s="15"/>
      <c r="AP2574" s="15"/>
      <c r="AQ2574" s="15"/>
      <c r="AR2574" s="15"/>
      <c r="AS2574" s="15"/>
      <c r="AT2574" s="15"/>
      <c r="AU2574" s="15"/>
      <c r="AV2574" s="15"/>
      <c r="AW2574" s="15"/>
    </row>
    <row r="2575" spans="3:49" x14ac:dyDescent="0.2">
      <c r="C2575" s="15"/>
      <c r="D2575" s="15"/>
      <c r="E2575" s="15"/>
      <c r="F2575" s="15"/>
      <c r="G2575" s="15"/>
      <c r="H2575" s="15"/>
      <c r="I2575" s="15"/>
      <c r="J2575" s="15"/>
      <c r="K2575" s="15"/>
      <c r="L2575" s="28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5"/>
      <c r="AG2575" s="15"/>
      <c r="AH2575" s="15"/>
      <c r="AI2575" s="15"/>
      <c r="AJ2575" s="15"/>
      <c r="AK2575" s="15"/>
      <c r="AL2575" s="15"/>
      <c r="AM2575" s="15"/>
      <c r="AN2575" s="15"/>
      <c r="AO2575" s="15"/>
      <c r="AP2575" s="15"/>
      <c r="AQ2575" s="15"/>
      <c r="AR2575" s="15"/>
      <c r="AS2575" s="15"/>
      <c r="AT2575" s="15"/>
      <c r="AU2575" s="15"/>
      <c r="AV2575" s="15"/>
      <c r="AW2575" s="15"/>
    </row>
    <row r="2576" spans="3:49" x14ac:dyDescent="0.2">
      <c r="C2576" s="15"/>
      <c r="D2576" s="15"/>
      <c r="E2576" s="15"/>
      <c r="F2576" s="15"/>
      <c r="G2576" s="15"/>
      <c r="H2576" s="15"/>
      <c r="I2576" s="15"/>
      <c r="J2576" s="15"/>
      <c r="K2576" s="15"/>
      <c r="L2576" s="28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5"/>
      <c r="AG2576" s="15"/>
      <c r="AH2576" s="15"/>
      <c r="AI2576" s="15"/>
      <c r="AJ2576" s="15"/>
      <c r="AK2576" s="15"/>
      <c r="AL2576" s="15"/>
      <c r="AM2576" s="15"/>
      <c r="AN2576" s="15"/>
      <c r="AO2576" s="15"/>
      <c r="AP2576" s="15"/>
      <c r="AQ2576" s="15"/>
      <c r="AR2576" s="15"/>
      <c r="AS2576" s="15"/>
      <c r="AT2576" s="15"/>
      <c r="AU2576" s="15"/>
      <c r="AV2576" s="15"/>
      <c r="AW2576" s="15"/>
    </row>
    <row r="2577" spans="3:49" x14ac:dyDescent="0.2">
      <c r="C2577" s="15"/>
      <c r="D2577" s="15"/>
      <c r="E2577" s="15"/>
      <c r="F2577" s="15"/>
      <c r="G2577" s="15"/>
      <c r="H2577" s="15"/>
      <c r="I2577" s="15"/>
      <c r="J2577" s="15"/>
      <c r="K2577" s="15"/>
      <c r="L2577" s="28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5"/>
      <c r="AG2577" s="15"/>
      <c r="AH2577" s="15"/>
      <c r="AI2577" s="15"/>
      <c r="AJ2577" s="15"/>
      <c r="AK2577" s="15"/>
      <c r="AL2577" s="15"/>
      <c r="AM2577" s="15"/>
      <c r="AN2577" s="15"/>
      <c r="AO2577" s="15"/>
      <c r="AP2577" s="15"/>
      <c r="AQ2577" s="15"/>
      <c r="AR2577" s="15"/>
      <c r="AS2577" s="15"/>
      <c r="AT2577" s="15"/>
      <c r="AU2577" s="15"/>
      <c r="AV2577" s="15"/>
      <c r="AW2577" s="15"/>
    </row>
    <row r="2578" spans="3:49" x14ac:dyDescent="0.2">
      <c r="C2578" s="15"/>
      <c r="D2578" s="15"/>
      <c r="E2578" s="15"/>
      <c r="F2578" s="15"/>
      <c r="G2578" s="15"/>
      <c r="H2578" s="15"/>
      <c r="I2578" s="15"/>
      <c r="J2578" s="15"/>
      <c r="K2578" s="15"/>
      <c r="L2578" s="28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5"/>
      <c r="AG2578" s="15"/>
      <c r="AH2578" s="15"/>
      <c r="AI2578" s="15"/>
      <c r="AJ2578" s="15"/>
      <c r="AK2578" s="15"/>
      <c r="AL2578" s="15"/>
      <c r="AM2578" s="15"/>
      <c r="AN2578" s="15"/>
      <c r="AO2578" s="15"/>
      <c r="AP2578" s="15"/>
      <c r="AQ2578" s="15"/>
      <c r="AR2578" s="15"/>
      <c r="AS2578" s="15"/>
      <c r="AT2578" s="15"/>
      <c r="AU2578" s="15"/>
      <c r="AV2578" s="15"/>
      <c r="AW2578" s="15"/>
    </row>
    <row r="2579" spans="3:49" x14ac:dyDescent="0.2">
      <c r="C2579" s="15"/>
      <c r="D2579" s="15"/>
      <c r="E2579" s="15"/>
      <c r="F2579" s="15"/>
      <c r="G2579" s="15"/>
      <c r="H2579" s="15"/>
      <c r="I2579" s="15"/>
      <c r="J2579" s="15"/>
      <c r="K2579" s="15"/>
      <c r="L2579" s="28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5"/>
      <c r="AG2579" s="15"/>
      <c r="AH2579" s="15"/>
      <c r="AI2579" s="15"/>
      <c r="AJ2579" s="15"/>
      <c r="AK2579" s="15"/>
      <c r="AL2579" s="15"/>
      <c r="AM2579" s="15"/>
      <c r="AN2579" s="15"/>
      <c r="AO2579" s="15"/>
      <c r="AP2579" s="15"/>
      <c r="AQ2579" s="15"/>
      <c r="AR2579" s="15"/>
      <c r="AS2579" s="15"/>
      <c r="AT2579" s="15"/>
      <c r="AU2579" s="15"/>
      <c r="AV2579" s="15"/>
      <c r="AW2579" s="15"/>
    </row>
    <row r="2580" spans="3:49" x14ac:dyDescent="0.2">
      <c r="C2580" s="15"/>
      <c r="D2580" s="15"/>
      <c r="E2580" s="15"/>
      <c r="F2580" s="15"/>
      <c r="G2580" s="15"/>
      <c r="H2580" s="15"/>
      <c r="I2580" s="15"/>
      <c r="J2580" s="15"/>
      <c r="K2580" s="15"/>
      <c r="L2580" s="28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5"/>
      <c r="AG2580" s="15"/>
      <c r="AH2580" s="15"/>
      <c r="AI2580" s="15"/>
      <c r="AJ2580" s="15"/>
      <c r="AK2580" s="15"/>
      <c r="AL2580" s="15"/>
      <c r="AM2580" s="15"/>
      <c r="AN2580" s="15"/>
      <c r="AO2580" s="15"/>
      <c r="AP2580" s="15"/>
      <c r="AQ2580" s="15"/>
      <c r="AR2580" s="15"/>
      <c r="AS2580" s="15"/>
      <c r="AT2580" s="15"/>
      <c r="AU2580" s="15"/>
      <c r="AV2580" s="15"/>
      <c r="AW2580" s="15"/>
    </row>
    <row r="2581" spans="3:49" x14ac:dyDescent="0.2">
      <c r="C2581" s="15"/>
      <c r="D2581" s="15"/>
      <c r="E2581" s="15"/>
      <c r="F2581" s="15"/>
      <c r="G2581" s="15"/>
      <c r="H2581" s="15"/>
      <c r="I2581" s="15"/>
      <c r="J2581" s="15"/>
      <c r="K2581" s="15"/>
      <c r="L2581" s="28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5"/>
      <c r="AG2581" s="15"/>
      <c r="AH2581" s="15"/>
      <c r="AI2581" s="15"/>
      <c r="AJ2581" s="15"/>
      <c r="AK2581" s="15"/>
      <c r="AL2581" s="15"/>
      <c r="AM2581" s="15"/>
      <c r="AN2581" s="15"/>
      <c r="AO2581" s="15"/>
      <c r="AP2581" s="15"/>
      <c r="AQ2581" s="15"/>
      <c r="AR2581" s="15"/>
      <c r="AS2581" s="15"/>
      <c r="AT2581" s="15"/>
      <c r="AU2581" s="15"/>
      <c r="AV2581" s="15"/>
      <c r="AW2581" s="15"/>
    </row>
    <row r="2582" spans="3:49" x14ac:dyDescent="0.2">
      <c r="C2582" s="15"/>
      <c r="D2582" s="15"/>
      <c r="E2582" s="15"/>
      <c r="F2582" s="15"/>
      <c r="G2582" s="15"/>
      <c r="H2582" s="15"/>
      <c r="I2582" s="15"/>
      <c r="J2582" s="15"/>
      <c r="K2582" s="15"/>
      <c r="L2582" s="28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5"/>
      <c r="AG2582" s="15"/>
      <c r="AH2582" s="15"/>
      <c r="AI2582" s="15"/>
      <c r="AJ2582" s="15"/>
      <c r="AK2582" s="15"/>
      <c r="AL2582" s="15"/>
      <c r="AM2582" s="15"/>
      <c r="AN2582" s="15"/>
      <c r="AO2582" s="15"/>
      <c r="AP2582" s="15"/>
      <c r="AQ2582" s="15"/>
      <c r="AR2582" s="15"/>
      <c r="AS2582" s="15"/>
      <c r="AT2582" s="15"/>
      <c r="AU2582" s="15"/>
      <c r="AV2582" s="15"/>
      <c r="AW2582" s="15"/>
    </row>
    <row r="2583" spans="3:49" x14ac:dyDescent="0.2">
      <c r="C2583" s="15"/>
      <c r="D2583" s="15"/>
      <c r="E2583" s="15"/>
      <c r="F2583" s="15"/>
      <c r="G2583" s="15"/>
      <c r="H2583" s="15"/>
      <c r="I2583" s="15"/>
      <c r="J2583" s="15"/>
      <c r="K2583" s="15"/>
      <c r="L2583" s="28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5"/>
      <c r="AG2583" s="15"/>
      <c r="AH2583" s="15"/>
      <c r="AI2583" s="15"/>
      <c r="AJ2583" s="15"/>
      <c r="AK2583" s="15"/>
      <c r="AL2583" s="15"/>
      <c r="AM2583" s="15"/>
      <c r="AN2583" s="15"/>
      <c r="AO2583" s="15"/>
      <c r="AP2583" s="15"/>
      <c r="AQ2583" s="15"/>
      <c r="AR2583" s="15"/>
      <c r="AS2583" s="15"/>
      <c r="AT2583" s="15"/>
      <c r="AU2583" s="15"/>
      <c r="AV2583" s="15"/>
      <c r="AW2583" s="15"/>
    </row>
    <row r="2584" spans="3:49" x14ac:dyDescent="0.2">
      <c r="C2584" s="15"/>
      <c r="D2584" s="15"/>
      <c r="E2584" s="15"/>
      <c r="F2584" s="15"/>
      <c r="G2584" s="15"/>
      <c r="H2584" s="15"/>
      <c r="I2584" s="15"/>
      <c r="J2584" s="15"/>
      <c r="K2584" s="15"/>
      <c r="L2584" s="28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5"/>
      <c r="AG2584" s="15"/>
      <c r="AH2584" s="15"/>
      <c r="AI2584" s="15"/>
      <c r="AJ2584" s="15"/>
      <c r="AK2584" s="15"/>
      <c r="AL2584" s="15"/>
      <c r="AM2584" s="15"/>
      <c r="AN2584" s="15"/>
      <c r="AO2584" s="15"/>
      <c r="AP2584" s="15"/>
      <c r="AQ2584" s="15"/>
      <c r="AR2584" s="15"/>
      <c r="AS2584" s="15"/>
      <c r="AT2584" s="15"/>
      <c r="AU2584" s="15"/>
      <c r="AV2584" s="15"/>
      <c r="AW2584" s="15"/>
    </row>
    <row r="2585" spans="3:49" x14ac:dyDescent="0.2">
      <c r="C2585" s="15"/>
      <c r="D2585" s="15"/>
      <c r="E2585" s="15"/>
      <c r="F2585" s="15"/>
      <c r="G2585" s="15"/>
      <c r="H2585" s="15"/>
      <c r="I2585" s="15"/>
      <c r="J2585" s="15"/>
      <c r="K2585" s="15"/>
      <c r="L2585" s="28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5"/>
      <c r="AG2585" s="15"/>
      <c r="AH2585" s="15"/>
      <c r="AI2585" s="15"/>
      <c r="AJ2585" s="15"/>
      <c r="AK2585" s="15"/>
      <c r="AL2585" s="15"/>
      <c r="AM2585" s="15"/>
      <c r="AN2585" s="15"/>
      <c r="AO2585" s="15"/>
      <c r="AP2585" s="15"/>
      <c r="AQ2585" s="15"/>
      <c r="AR2585" s="15"/>
      <c r="AS2585" s="15"/>
      <c r="AT2585" s="15"/>
      <c r="AU2585" s="15"/>
      <c r="AV2585" s="15"/>
      <c r="AW2585" s="15"/>
    </row>
    <row r="2586" spans="3:49" x14ac:dyDescent="0.2">
      <c r="C2586" s="15"/>
      <c r="D2586" s="15"/>
      <c r="E2586" s="15"/>
      <c r="F2586" s="15"/>
      <c r="G2586" s="15"/>
      <c r="H2586" s="15"/>
      <c r="I2586" s="15"/>
      <c r="J2586" s="15"/>
      <c r="K2586" s="15"/>
      <c r="L2586" s="28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5"/>
      <c r="AG2586" s="15"/>
      <c r="AH2586" s="15"/>
      <c r="AI2586" s="15"/>
      <c r="AJ2586" s="15"/>
      <c r="AK2586" s="15"/>
      <c r="AL2586" s="15"/>
      <c r="AM2586" s="15"/>
      <c r="AN2586" s="15"/>
      <c r="AO2586" s="15"/>
      <c r="AP2586" s="15"/>
      <c r="AQ2586" s="15"/>
      <c r="AR2586" s="15"/>
      <c r="AS2586" s="15"/>
      <c r="AT2586" s="15"/>
      <c r="AU2586" s="15"/>
      <c r="AV2586" s="15"/>
      <c r="AW2586" s="15"/>
    </row>
    <row r="2587" spans="3:49" x14ac:dyDescent="0.2">
      <c r="C2587" s="15"/>
      <c r="D2587" s="15"/>
      <c r="E2587" s="15"/>
      <c r="F2587" s="15"/>
      <c r="G2587" s="15"/>
      <c r="H2587" s="15"/>
      <c r="I2587" s="15"/>
      <c r="J2587" s="15"/>
      <c r="K2587" s="15"/>
      <c r="L2587" s="28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5"/>
      <c r="AG2587" s="15"/>
      <c r="AH2587" s="15"/>
      <c r="AI2587" s="15"/>
      <c r="AJ2587" s="15"/>
      <c r="AK2587" s="15"/>
      <c r="AL2587" s="15"/>
      <c r="AM2587" s="15"/>
      <c r="AN2587" s="15"/>
      <c r="AO2587" s="15"/>
      <c r="AP2587" s="15"/>
      <c r="AQ2587" s="15"/>
      <c r="AR2587" s="15"/>
      <c r="AS2587" s="15"/>
      <c r="AT2587" s="15"/>
      <c r="AU2587" s="15"/>
      <c r="AV2587" s="15"/>
      <c r="AW2587" s="15"/>
    </row>
    <row r="2588" spans="3:49" x14ac:dyDescent="0.2">
      <c r="C2588" s="15"/>
      <c r="D2588" s="15"/>
      <c r="E2588" s="15"/>
      <c r="F2588" s="15"/>
      <c r="G2588" s="15"/>
      <c r="H2588" s="15"/>
      <c r="I2588" s="15"/>
      <c r="J2588" s="15"/>
      <c r="K2588" s="15"/>
      <c r="L2588" s="28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5"/>
      <c r="AG2588" s="15"/>
      <c r="AH2588" s="15"/>
      <c r="AI2588" s="15"/>
      <c r="AJ2588" s="15"/>
      <c r="AK2588" s="15"/>
      <c r="AL2588" s="15"/>
      <c r="AM2588" s="15"/>
      <c r="AN2588" s="15"/>
      <c r="AO2588" s="15"/>
      <c r="AP2588" s="15"/>
      <c r="AQ2588" s="15"/>
      <c r="AR2588" s="15"/>
      <c r="AS2588" s="15"/>
      <c r="AT2588" s="15"/>
      <c r="AU2588" s="15"/>
      <c r="AV2588" s="15"/>
      <c r="AW2588" s="15"/>
    </row>
    <row r="2589" spans="3:49" x14ac:dyDescent="0.2">
      <c r="C2589" s="15"/>
      <c r="D2589" s="15"/>
      <c r="E2589" s="15"/>
      <c r="F2589" s="15"/>
      <c r="G2589" s="15"/>
      <c r="H2589" s="15"/>
      <c r="I2589" s="15"/>
      <c r="J2589" s="15"/>
      <c r="K2589" s="15"/>
      <c r="L2589" s="28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5"/>
      <c r="AG2589" s="15"/>
      <c r="AH2589" s="15"/>
      <c r="AI2589" s="15"/>
      <c r="AJ2589" s="15"/>
      <c r="AK2589" s="15"/>
      <c r="AL2589" s="15"/>
      <c r="AM2589" s="15"/>
      <c r="AN2589" s="15"/>
      <c r="AO2589" s="15"/>
      <c r="AP2589" s="15"/>
      <c r="AQ2589" s="15"/>
      <c r="AR2589" s="15"/>
      <c r="AS2589" s="15"/>
      <c r="AT2589" s="15"/>
      <c r="AU2589" s="15"/>
      <c r="AV2589" s="15"/>
      <c r="AW2589" s="15"/>
    </row>
    <row r="2590" spans="3:49" x14ac:dyDescent="0.2">
      <c r="C2590" s="15"/>
      <c r="D2590" s="15"/>
      <c r="E2590" s="15"/>
      <c r="F2590" s="15"/>
      <c r="G2590" s="15"/>
      <c r="H2590" s="15"/>
      <c r="I2590" s="15"/>
      <c r="J2590" s="15"/>
      <c r="K2590" s="15"/>
      <c r="L2590" s="28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5"/>
      <c r="AG2590" s="15"/>
      <c r="AH2590" s="15"/>
      <c r="AI2590" s="15"/>
      <c r="AJ2590" s="15"/>
      <c r="AK2590" s="15"/>
      <c r="AL2590" s="15"/>
      <c r="AM2590" s="15"/>
      <c r="AN2590" s="15"/>
      <c r="AO2590" s="15"/>
      <c r="AP2590" s="15"/>
      <c r="AQ2590" s="15"/>
      <c r="AR2590" s="15"/>
      <c r="AS2590" s="15"/>
      <c r="AT2590" s="15"/>
      <c r="AU2590" s="15"/>
      <c r="AV2590" s="15"/>
      <c r="AW2590" s="15"/>
    </row>
    <row r="2591" spans="3:49" x14ac:dyDescent="0.2">
      <c r="C2591" s="15"/>
      <c r="D2591" s="15"/>
      <c r="E2591" s="15"/>
      <c r="F2591" s="15"/>
      <c r="G2591" s="15"/>
      <c r="H2591" s="15"/>
      <c r="I2591" s="15"/>
      <c r="J2591" s="15"/>
      <c r="K2591" s="15"/>
      <c r="L2591" s="28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5"/>
      <c r="AG2591" s="15"/>
      <c r="AH2591" s="15"/>
      <c r="AI2591" s="15"/>
      <c r="AJ2591" s="15"/>
      <c r="AK2591" s="15"/>
      <c r="AL2591" s="15"/>
      <c r="AM2591" s="15"/>
      <c r="AN2591" s="15"/>
      <c r="AO2591" s="15"/>
      <c r="AP2591" s="15"/>
      <c r="AQ2591" s="15"/>
      <c r="AR2591" s="15"/>
      <c r="AS2591" s="15"/>
      <c r="AT2591" s="15"/>
      <c r="AU2591" s="15"/>
      <c r="AV2591" s="15"/>
      <c r="AW2591" s="15"/>
    </row>
    <row r="2592" spans="3:49" x14ac:dyDescent="0.2">
      <c r="C2592" s="15"/>
      <c r="D2592" s="15"/>
      <c r="E2592" s="15"/>
      <c r="F2592" s="15"/>
      <c r="G2592" s="15"/>
      <c r="H2592" s="15"/>
      <c r="I2592" s="15"/>
      <c r="J2592" s="15"/>
      <c r="K2592" s="15"/>
      <c r="L2592" s="28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5"/>
      <c r="AG2592" s="15"/>
      <c r="AH2592" s="15"/>
      <c r="AI2592" s="15"/>
      <c r="AJ2592" s="15"/>
      <c r="AK2592" s="15"/>
      <c r="AL2592" s="15"/>
      <c r="AM2592" s="15"/>
      <c r="AN2592" s="15"/>
      <c r="AO2592" s="15"/>
      <c r="AP2592" s="15"/>
      <c r="AQ2592" s="15"/>
      <c r="AR2592" s="15"/>
      <c r="AS2592" s="15"/>
      <c r="AT2592" s="15"/>
      <c r="AU2592" s="15"/>
      <c r="AV2592" s="15"/>
      <c r="AW2592" s="15"/>
    </row>
    <row r="2593" spans="3:49" x14ac:dyDescent="0.2">
      <c r="C2593" s="15"/>
      <c r="D2593" s="15"/>
      <c r="E2593" s="15"/>
      <c r="F2593" s="15"/>
      <c r="G2593" s="15"/>
      <c r="H2593" s="15"/>
      <c r="I2593" s="15"/>
      <c r="J2593" s="15"/>
      <c r="K2593" s="15"/>
      <c r="L2593" s="28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5"/>
      <c r="AG2593" s="15"/>
      <c r="AH2593" s="15"/>
      <c r="AI2593" s="15"/>
      <c r="AJ2593" s="15"/>
      <c r="AK2593" s="15"/>
      <c r="AL2593" s="15"/>
      <c r="AM2593" s="15"/>
      <c r="AN2593" s="15"/>
      <c r="AO2593" s="15"/>
      <c r="AP2593" s="15"/>
      <c r="AQ2593" s="15"/>
      <c r="AR2593" s="15"/>
      <c r="AS2593" s="15"/>
      <c r="AT2593" s="15"/>
      <c r="AU2593" s="15"/>
      <c r="AV2593" s="15"/>
      <c r="AW2593" s="15"/>
    </row>
    <row r="2594" spans="3:49" x14ac:dyDescent="0.2">
      <c r="C2594" s="15"/>
      <c r="D2594" s="15"/>
      <c r="E2594" s="15"/>
      <c r="F2594" s="15"/>
      <c r="G2594" s="15"/>
      <c r="H2594" s="15"/>
      <c r="I2594" s="15"/>
      <c r="J2594" s="15"/>
      <c r="K2594" s="15"/>
      <c r="L2594" s="28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5"/>
      <c r="AG2594" s="15"/>
      <c r="AH2594" s="15"/>
      <c r="AI2594" s="15"/>
      <c r="AJ2594" s="15"/>
      <c r="AK2594" s="15"/>
      <c r="AL2594" s="15"/>
      <c r="AM2594" s="15"/>
      <c r="AN2594" s="15"/>
      <c r="AO2594" s="15"/>
      <c r="AP2594" s="15"/>
      <c r="AQ2594" s="15"/>
      <c r="AR2594" s="15"/>
      <c r="AS2594" s="15"/>
      <c r="AT2594" s="15"/>
      <c r="AU2594" s="15"/>
      <c r="AV2594" s="15"/>
      <c r="AW2594" s="15"/>
    </row>
    <row r="2595" spans="3:49" x14ac:dyDescent="0.2">
      <c r="C2595" s="15"/>
      <c r="D2595" s="15"/>
      <c r="E2595" s="15"/>
      <c r="F2595" s="15"/>
      <c r="G2595" s="15"/>
      <c r="H2595" s="15"/>
      <c r="I2595" s="15"/>
      <c r="J2595" s="15"/>
      <c r="K2595" s="15"/>
      <c r="L2595" s="28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5"/>
      <c r="AG2595" s="15"/>
      <c r="AH2595" s="15"/>
      <c r="AI2595" s="15"/>
      <c r="AJ2595" s="15"/>
      <c r="AK2595" s="15"/>
      <c r="AL2595" s="15"/>
      <c r="AM2595" s="15"/>
      <c r="AN2595" s="15"/>
      <c r="AO2595" s="15"/>
      <c r="AP2595" s="15"/>
      <c r="AQ2595" s="15"/>
      <c r="AR2595" s="15"/>
      <c r="AS2595" s="15"/>
      <c r="AT2595" s="15"/>
      <c r="AU2595" s="15"/>
      <c r="AV2595" s="15"/>
      <c r="AW2595" s="15"/>
    </row>
    <row r="2596" spans="3:49" x14ac:dyDescent="0.2">
      <c r="C2596" s="15"/>
      <c r="D2596" s="15"/>
      <c r="E2596" s="15"/>
      <c r="F2596" s="15"/>
      <c r="G2596" s="15"/>
      <c r="H2596" s="15"/>
      <c r="I2596" s="15"/>
      <c r="J2596" s="15"/>
      <c r="K2596" s="15"/>
      <c r="L2596" s="28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5"/>
      <c r="AG2596" s="15"/>
      <c r="AH2596" s="15"/>
      <c r="AI2596" s="15"/>
      <c r="AJ2596" s="15"/>
      <c r="AK2596" s="15"/>
      <c r="AL2596" s="15"/>
      <c r="AM2596" s="15"/>
      <c r="AN2596" s="15"/>
      <c r="AO2596" s="15"/>
      <c r="AP2596" s="15"/>
      <c r="AQ2596" s="15"/>
      <c r="AR2596" s="15"/>
      <c r="AS2596" s="15"/>
      <c r="AT2596" s="15"/>
      <c r="AU2596" s="15"/>
      <c r="AV2596" s="15"/>
      <c r="AW2596" s="15"/>
    </row>
    <row r="2597" spans="3:49" x14ac:dyDescent="0.2">
      <c r="C2597" s="15"/>
      <c r="D2597" s="15"/>
      <c r="E2597" s="15"/>
      <c r="F2597" s="15"/>
      <c r="G2597" s="15"/>
      <c r="H2597" s="15"/>
      <c r="I2597" s="15"/>
      <c r="J2597" s="15"/>
      <c r="K2597" s="15"/>
      <c r="L2597" s="28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5"/>
      <c r="AG2597" s="15"/>
      <c r="AH2597" s="15"/>
      <c r="AI2597" s="15"/>
      <c r="AJ2597" s="15"/>
      <c r="AK2597" s="15"/>
      <c r="AL2597" s="15"/>
      <c r="AM2597" s="15"/>
      <c r="AN2597" s="15"/>
      <c r="AO2597" s="15"/>
      <c r="AP2597" s="15"/>
      <c r="AQ2597" s="15"/>
      <c r="AR2597" s="15"/>
      <c r="AS2597" s="15"/>
      <c r="AT2597" s="15"/>
      <c r="AU2597" s="15"/>
      <c r="AV2597" s="15"/>
      <c r="AW2597" s="15"/>
    </row>
    <row r="2598" spans="3:49" x14ac:dyDescent="0.2">
      <c r="C2598" s="15"/>
      <c r="D2598" s="15"/>
      <c r="E2598" s="15"/>
      <c r="F2598" s="15"/>
      <c r="G2598" s="15"/>
      <c r="H2598" s="15"/>
      <c r="I2598" s="15"/>
      <c r="J2598" s="15"/>
      <c r="K2598" s="15"/>
      <c r="L2598" s="28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5"/>
      <c r="AG2598" s="15"/>
      <c r="AH2598" s="15"/>
      <c r="AI2598" s="15"/>
      <c r="AJ2598" s="15"/>
      <c r="AK2598" s="15"/>
      <c r="AL2598" s="15"/>
      <c r="AM2598" s="15"/>
      <c r="AN2598" s="15"/>
      <c r="AO2598" s="15"/>
      <c r="AP2598" s="15"/>
      <c r="AQ2598" s="15"/>
      <c r="AR2598" s="15"/>
      <c r="AS2598" s="15"/>
      <c r="AT2598" s="15"/>
      <c r="AU2598" s="15"/>
      <c r="AV2598" s="15"/>
      <c r="AW2598" s="15"/>
    </row>
    <row r="2599" spans="3:49" x14ac:dyDescent="0.2">
      <c r="C2599" s="15"/>
      <c r="D2599" s="15"/>
      <c r="E2599" s="15"/>
      <c r="F2599" s="15"/>
      <c r="G2599" s="15"/>
      <c r="H2599" s="15"/>
      <c r="I2599" s="15"/>
      <c r="J2599" s="15"/>
      <c r="K2599" s="15"/>
      <c r="L2599" s="28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5"/>
      <c r="AG2599" s="15"/>
      <c r="AH2599" s="15"/>
      <c r="AI2599" s="15"/>
      <c r="AJ2599" s="15"/>
      <c r="AK2599" s="15"/>
      <c r="AL2599" s="15"/>
      <c r="AM2599" s="15"/>
      <c r="AN2599" s="15"/>
      <c r="AO2599" s="15"/>
      <c r="AP2599" s="15"/>
      <c r="AQ2599" s="15"/>
      <c r="AR2599" s="15"/>
      <c r="AS2599" s="15"/>
      <c r="AT2599" s="15"/>
      <c r="AU2599" s="15"/>
      <c r="AV2599" s="15"/>
      <c r="AW2599" s="15"/>
    </row>
    <row r="2600" spans="3:49" x14ac:dyDescent="0.2">
      <c r="C2600" s="15"/>
      <c r="D2600" s="15"/>
      <c r="E2600" s="15"/>
      <c r="F2600" s="15"/>
      <c r="G2600" s="15"/>
      <c r="H2600" s="15"/>
      <c r="I2600" s="15"/>
      <c r="J2600" s="15"/>
      <c r="K2600" s="15"/>
      <c r="L2600" s="28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5"/>
      <c r="AG2600" s="15"/>
      <c r="AH2600" s="15"/>
      <c r="AI2600" s="15"/>
      <c r="AJ2600" s="15"/>
      <c r="AK2600" s="15"/>
      <c r="AL2600" s="15"/>
      <c r="AM2600" s="15"/>
      <c r="AN2600" s="15"/>
      <c r="AO2600" s="15"/>
      <c r="AP2600" s="15"/>
      <c r="AQ2600" s="15"/>
      <c r="AR2600" s="15"/>
      <c r="AS2600" s="15"/>
      <c r="AT2600" s="15"/>
      <c r="AU2600" s="15"/>
      <c r="AV2600" s="15"/>
      <c r="AW2600" s="15"/>
    </row>
    <row r="2601" spans="3:49" x14ac:dyDescent="0.2">
      <c r="C2601" s="15"/>
      <c r="D2601" s="15"/>
      <c r="E2601" s="15"/>
      <c r="F2601" s="15"/>
      <c r="G2601" s="15"/>
      <c r="H2601" s="15"/>
      <c r="I2601" s="15"/>
      <c r="J2601" s="15"/>
      <c r="K2601" s="15"/>
      <c r="L2601" s="28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5"/>
      <c r="AG2601" s="15"/>
      <c r="AH2601" s="15"/>
      <c r="AI2601" s="15"/>
      <c r="AJ2601" s="15"/>
      <c r="AK2601" s="15"/>
      <c r="AL2601" s="15"/>
      <c r="AM2601" s="15"/>
      <c r="AN2601" s="15"/>
      <c r="AO2601" s="15"/>
      <c r="AP2601" s="15"/>
      <c r="AQ2601" s="15"/>
      <c r="AR2601" s="15"/>
      <c r="AS2601" s="15"/>
      <c r="AT2601" s="15"/>
      <c r="AU2601" s="15"/>
      <c r="AV2601" s="15"/>
      <c r="AW2601" s="15"/>
    </row>
    <row r="2602" spans="3:49" x14ac:dyDescent="0.2">
      <c r="C2602" s="15"/>
      <c r="D2602" s="15"/>
      <c r="E2602" s="15"/>
      <c r="F2602" s="15"/>
      <c r="G2602" s="15"/>
      <c r="H2602" s="15"/>
      <c r="I2602" s="15"/>
      <c r="J2602" s="15"/>
      <c r="K2602" s="15"/>
      <c r="L2602" s="28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5"/>
      <c r="AG2602" s="15"/>
      <c r="AH2602" s="15"/>
      <c r="AI2602" s="15"/>
      <c r="AJ2602" s="15"/>
      <c r="AK2602" s="15"/>
      <c r="AL2602" s="15"/>
      <c r="AM2602" s="15"/>
      <c r="AN2602" s="15"/>
      <c r="AO2602" s="15"/>
      <c r="AP2602" s="15"/>
      <c r="AQ2602" s="15"/>
      <c r="AR2602" s="15"/>
      <c r="AS2602" s="15"/>
      <c r="AT2602" s="15"/>
      <c r="AU2602" s="15"/>
      <c r="AV2602" s="15"/>
      <c r="AW2602" s="15"/>
    </row>
    <row r="2603" spans="3:49" x14ac:dyDescent="0.2">
      <c r="C2603" s="15"/>
      <c r="D2603" s="15"/>
      <c r="E2603" s="15"/>
      <c r="F2603" s="15"/>
      <c r="G2603" s="15"/>
      <c r="H2603" s="15"/>
      <c r="I2603" s="15"/>
      <c r="J2603" s="15"/>
      <c r="K2603" s="15"/>
      <c r="L2603" s="28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5"/>
      <c r="AG2603" s="15"/>
      <c r="AH2603" s="15"/>
      <c r="AI2603" s="15"/>
      <c r="AJ2603" s="15"/>
      <c r="AK2603" s="15"/>
      <c r="AL2603" s="15"/>
      <c r="AM2603" s="15"/>
      <c r="AN2603" s="15"/>
      <c r="AO2603" s="15"/>
      <c r="AP2603" s="15"/>
      <c r="AQ2603" s="15"/>
      <c r="AR2603" s="15"/>
      <c r="AS2603" s="15"/>
      <c r="AT2603" s="15"/>
      <c r="AU2603" s="15"/>
      <c r="AV2603" s="15"/>
      <c r="AW2603" s="15"/>
    </row>
    <row r="2604" spans="3:49" x14ac:dyDescent="0.2">
      <c r="C2604" s="15"/>
      <c r="D2604" s="15"/>
      <c r="E2604" s="15"/>
      <c r="F2604" s="15"/>
      <c r="G2604" s="15"/>
      <c r="H2604" s="15"/>
      <c r="I2604" s="15"/>
      <c r="J2604" s="15"/>
      <c r="K2604" s="15"/>
      <c r="L2604" s="28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5"/>
      <c r="AG2604" s="15"/>
      <c r="AH2604" s="15"/>
      <c r="AI2604" s="15"/>
      <c r="AJ2604" s="15"/>
      <c r="AK2604" s="15"/>
      <c r="AL2604" s="15"/>
      <c r="AM2604" s="15"/>
      <c r="AN2604" s="15"/>
      <c r="AO2604" s="15"/>
      <c r="AP2604" s="15"/>
      <c r="AQ2604" s="15"/>
      <c r="AR2604" s="15"/>
      <c r="AS2604" s="15"/>
      <c r="AT2604" s="15"/>
      <c r="AU2604" s="15"/>
      <c r="AV2604" s="15"/>
      <c r="AW2604" s="15"/>
    </row>
    <row r="2605" spans="3:49" x14ac:dyDescent="0.2">
      <c r="C2605" s="15"/>
      <c r="D2605" s="15"/>
      <c r="E2605" s="15"/>
      <c r="F2605" s="15"/>
      <c r="G2605" s="15"/>
      <c r="H2605" s="15"/>
      <c r="I2605" s="15"/>
      <c r="J2605" s="15"/>
      <c r="K2605" s="15"/>
      <c r="L2605" s="28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5"/>
      <c r="AG2605" s="15"/>
      <c r="AH2605" s="15"/>
      <c r="AI2605" s="15"/>
      <c r="AJ2605" s="15"/>
      <c r="AK2605" s="15"/>
      <c r="AL2605" s="15"/>
      <c r="AM2605" s="15"/>
      <c r="AN2605" s="15"/>
      <c r="AO2605" s="15"/>
      <c r="AP2605" s="15"/>
      <c r="AQ2605" s="15"/>
      <c r="AR2605" s="15"/>
      <c r="AS2605" s="15"/>
      <c r="AT2605" s="15"/>
      <c r="AU2605" s="15"/>
      <c r="AV2605" s="15"/>
      <c r="AW2605" s="15"/>
    </row>
    <row r="2606" spans="3:49" x14ac:dyDescent="0.2">
      <c r="C2606" s="15"/>
      <c r="D2606" s="15"/>
      <c r="E2606" s="15"/>
      <c r="F2606" s="15"/>
      <c r="G2606" s="15"/>
      <c r="H2606" s="15"/>
      <c r="I2606" s="15"/>
      <c r="J2606" s="15"/>
      <c r="K2606" s="15"/>
      <c r="L2606" s="28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5"/>
      <c r="AG2606" s="15"/>
      <c r="AH2606" s="15"/>
      <c r="AI2606" s="15"/>
      <c r="AJ2606" s="15"/>
      <c r="AK2606" s="15"/>
      <c r="AL2606" s="15"/>
      <c r="AM2606" s="15"/>
      <c r="AN2606" s="15"/>
      <c r="AO2606" s="15"/>
      <c r="AP2606" s="15"/>
      <c r="AQ2606" s="15"/>
      <c r="AR2606" s="15"/>
      <c r="AS2606" s="15"/>
      <c r="AT2606" s="15"/>
      <c r="AU2606" s="15"/>
      <c r="AV2606" s="15"/>
      <c r="AW2606" s="15"/>
    </row>
    <row r="2607" spans="3:49" x14ac:dyDescent="0.2">
      <c r="C2607" s="15"/>
      <c r="D2607" s="15"/>
      <c r="E2607" s="15"/>
      <c r="F2607" s="15"/>
      <c r="G2607" s="15"/>
      <c r="H2607" s="15"/>
      <c r="I2607" s="15"/>
      <c r="J2607" s="15"/>
      <c r="K2607" s="15"/>
      <c r="L2607" s="28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5"/>
      <c r="AG2607" s="15"/>
      <c r="AH2607" s="15"/>
      <c r="AI2607" s="15"/>
      <c r="AJ2607" s="15"/>
      <c r="AK2607" s="15"/>
      <c r="AL2607" s="15"/>
      <c r="AM2607" s="15"/>
      <c r="AN2607" s="15"/>
      <c r="AO2607" s="15"/>
      <c r="AP2607" s="15"/>
      <c r="AQ2607" s="15"/>
      <c r="AR2607" s="15"/>
      <c r="AS2607" s="15"/>
      <c r="AT2607" s="15"/>
      <c r="AU2607" s="15"/>
      <c r="AV2607" s="15"/>
      <c r="AW2607" s="15"/>
    </row>
    <row r="2608" spans="3:49" x14ac:dyDescent="0.2">
      <c r="C2608" s="15"/>
      <c r="D2608" s="15"/>
      <c r="E2608" s="15"/>
      <c r="F2608" s="15"/>
      <c r="G2608" s="15"/>
      <c r="H2608" s="15"/>
      <c r="I2608" s="15"/>
      <c r="J2608" s="15"/>
      <c r="K2608" s="15"/>
      <c r="L2608" s="28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5"/>
      <c r="AG2608" s="15"/>
      <c r="AH2608" s="15"/>
      <c r="AI2608" s="15"/>
      <c r="AJ2608" s="15"/>
      <c r="AK2608" s="15"/>
      <c r="AL2608" s="15"/>
      <c r="AM2608" s="15"/>
      <c r="AN2608" s="15"/>
      <c r="AO2608" s="15"/>
      <c r="AP2608" s="15"/>
      <c r="AQ2608" s="15"/>
      <c r="AR2608" s="15"/>
      <c r="AS2608" s="15"/>
      <c r="AT2608" s="15"/>
      <c r="AU2608" s="15"/>
      <c r="AV2608" s="15"/>
      <c r="AW2608" s="15"/>
    </row>
    <row r="2609" spans="3:49" x14ac:dyDescent="0.2">
      <c r="C2609" s="15"/>
      <c r="D2609" s="15"/>
      <c r="E2609" s="15"/>
      <c r="F2609" s="15"/>
      <c r="G2609" s="15"/>
      <c r="H2609" s="15"/>
      <c r="I2609" s="15"/>
      <c r="J2609" s="15"/>
      <c r="K2609" s="15"/>
      <c r="L2609" s="28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5"/>
      <c r="AG2609" s="15"/>
      <c r="AH2609" s="15"/>
      <c r="AI2609" s="15"/>
      <c r="AJ2609" s="15"/>
      <c r="AK2609" s="15"/>
      <c r="AL2609" s="15"/>
      <c r="AM2609" s="15"/>
      <c r="AN2609" s="15"/>
      <c r="AO2609" s="15"/>
      <c r="AP2609" s="15"/>
      <c r="AQ2609" s="15"/>
      <c r="AR2609" s="15"/>
      <c r="AS2609" s="15"/>
      <c r="AT2609" s="15"/>
      <c r="AU2609" s="15"/>
      <c r="AV2609" s="15"/>
      <c r="AW2609" s="15"/>
    </row>
    <row r="2610" spans="3:49" x14ac:dyDescent="0.2">
      <c r="C2610" s="15"/>
      <c r="D2610" s="15"/>
      <c r="E2610" s="15"/>
      <c r="F2610" s="15"/>
      <c r="G2610" s="15"/>
      <c r="H2610" s="15"/>
      <c r="I2610" s="15"/>
      <c r="J2610" s="15"/>
      <c r="K2610" s="15"/>
      <c r="L2610" s="28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5"/>
      <c r="AG2610" s="15"/>
      <c r="AH2610" s="15"/>
      <c r="AI2610" s="15"/>
      <c r="AJ2610" s="15"/>
      <c r="AK2610" s="15"/>
      <c r="AL2610" s="15"/>
      <c r="AM2610" s="15"/>
      <c r="AN2610" s="15"/>
      <c r="AO2610" s="15"/>
      <c r="AP2610" s="15"/>
      <c r="AQ2610" s="15"/>
      <c r="AR2610" s="15"/>
      <c r="AS2610" s="15"/>
      <c r="AT2610" s="15"/>
      <c r="AU2610" s="15"/>
      <c r="AV2610" s="15"/>
      <c r="AW2610" s="15"/>
    </row>
    <row r="2611" spans="3:49" x14ac:dyDescent="0.2">
      <c r="C2611" s="15"/>
      <c r="D2611" s="15"/>
      <c r="E2611" s="15"/>
      <c r="F2611" s="15"/>
      <c r="G2611" s="15"/>
      <c r="H2611" s="15"/>
      <c r="I2611" s="15"/>
      <c r="J2611" s="15"/>
      <c r="K2611" s="15"/>
      <c r="L2611" s="28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5"/>
      <c r="AG2611" s="15"/>
      <c r="AH2611" s="15"/>
      <c r="AI2611" s="15"/>
      <c r="AJ2611" s="15"/>
      <c r="AK2611" s="15"/>
      <c r="AL2611" s="15"/>
      <c r="AM2611" s="15"/>
      <c r="AN2611" s="15"/>
      <c r="AO2611" s="15"/>
      <c r="AP2611" s="15"/>
      <c r="AQ2611" s="15"/>
      <c r="AR2611" s="15"/>
      <c r="AS2611" s="15"/>
      <c r="AT2611" s="15"/>
      <c r="AU2611" s="15"/>
      <c r="AV2611" s="15"/>
      <c r="AW2611" s="15"/>
    </row>
    <row r="2612" spans="3:49" x14ac:dyDescent="0.2">
      <c r="C2612" s="15"/>
      <c r="D2612" s="15"/>
      <c r="E2612" s="15"/>
      <c r="F2612" s="15"/>
      <c r="G2612" s="15"/>
      <c r="H2612" s="15"/>
      <c r="I2612" s="15"/>
      <c r="J2612" s="15"/>
      <c r="K2612" s="15"/>
      <c r="L2612" s="28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5"/>
      <c r="AG2612" s="15"/>
      <c r="AH2612" s="15"/>
      <c r="AI2612" s="15"/>
      <c r="AJ2612" s="15"/>
      <c r="AK2612" s="15"/>
      <c r="AL2612" s="15"/>
      <c r="AM2612" s="15"/>
      <c r="AN2612" s="15"/>
      <c r="AO2612" s="15"/>
      <c r="AP2612" s="15"/>
      <c r="AQ2612" s="15"/>
      <c r="AR2612" s="15"/>
      <c r="AS2612" s="15"/>
      <c r="AT2612" s="15"/>
      <c r="AU2612" s="15"/>
      <c r="AV2612" s="15"/>
      <c r="AW2612" s="15"/>
    </row>
    <row r="2613" spans="3:49" x14ac:dyDescent="0.2">
      <c r="C2613" s="15"/>
      <c r="D2613" s="15"/>
      <c r="E2613" s="15"/>
      <c r="F2613" s="15"/>
      <c r="G2613" s="15"/>
      <c r="H2613" s="15"/>
      <c r="I2613" s="15"/>
      <c r="J2613" s="15"/>
      <c r="K2613" s="15"/>
      <c r="L2613" s="28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5"/>
      <c r="AG2613" s="15"/>
      <c r="AH2613" s="15"/>
      <c r="AI2613" s="15"/>
      <c r="AJ2613" s="15"/>
      <c r="AK2613" s="15"/>
      <c r="AL2613" s="15"/>
      <c r="AM2613" s="15"/>
      <c r="AN2613" s="15"/>
      <c r="AO2613" s="15"/>
      <c r="AP2613" s="15"/>
      <c r="AQ2613" s="15"/>
      <c r="AR2613" s="15"/>
      <c r="AS2613" s="15"/>
      <c r="AT2613" s="15"/>
      <c r="AU2613" s="15"/>
      <c r="AV2613" s="15"/>
      <c r="AW2613" s="15"/>
    </row>
    <row r="2614" spans="3:49" x14ac:dyDescent="0.2">
      <c r="C2614" s="15"/>
      <c r="D2614" s="15"/>
      <c r="E2614" s="15"/>
      <c r="F2614" s="15"/>
      <c r="G2614" s="15"/>
      <c r="H2614" s="15"/>
      <c r="I2614" s="15"/>
      <c r="J2614" s="15"/>
      <c r="K2614" s="15"/>
      <c r="L2614" s="28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5"/>
      <c r="AG2614" s="15"/>
      <c r="AH2614" s="15"/>
      <c r="AI2614" s="15"/>
      <c r="AJ2614" s="15"/>
      <c r="AK2614" s="15"/>
      <c r="AL2614" s="15"/>
      <c r="AM2614" s="15"/>
      <c r="AN2614" s="15"/>
      <c r="AO2614" s="15"/>
      <c r="AP2614" s="15"/>
      <c r="AQ2614" s="15"/>
      <c r="AR2614" s="15"/>
      <c r="AS2614" s="15"/>
      <c r="AT2614" s="15"/>
      <c r="AU2614" s="15"/>
      <c r="AV2614" s="15"/>
      <c r="AW2614" s="15"/>
    </row>
    <row r="2615" spans="3:49" x14ac:dyDescent="0.2">
      <c r="C2615" s="15"/>
      <c r="D2615" s="15"/>
      <c r="E2615" s="15"/>
      <c r="F2615" s="15"/>
      <c r="G2615" s="15"/>
      <c r="H2615" s="15"/>
      <c r="I2615" s="15"/>
      <c r="J2615" s="15"/>
      <c r="K2615" s="15"/>
      <c r="L2615" s="28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5"/>
      <c r="AG2615" s="15"/>
      <c r="AH2615" s="15"/>
      <c r="AI2615" s="15"/>
      <c r="AJ2615" s="15"/>
      <c r="AK2615" s="15"/>
      <c r="AL2615" s="15"/>
      <c r="AM2615" s="15"/>
      <c r="AN2615" s="15"/>
      <c r="AO2615" s="15"/>
      <c r="AP2615" s="15"/>
      <c r="AQ2615" s="15"/>
      <c r="AR2615" s="15"/>
      <c r="AS2615" s="15"/>
      <c r="AT2615" s="15"/>
      <c r="AU2615" s="15"/>
      <c r="AV2615" s="15"/>
      <c r="AW2615" s="15"/>
    </row>
    <row r="2616" spans="3:49" x14ac:dyDescent="0.2">
      <c r="C2616" s="15"/>
      <c r="D2616" s="15"/>
      <c r="E2616" s="15"/>
      <c r="F2616" s="15"/>
      <c r="G2616" s="15"/>
      <c r="H2616" s="15"/>
      <c r="I2616" s="15"/>
      <c r="J2616" s="15"/>
      <c r="K2616" s="15"/>
      <c r="L2616" s="28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5"/>
      <c r="AG2616" s="15"/>
      <c r="AH2616" s="15"/>
      <c r="AI2616" s="15"/>
      <c r="AJ2616" s="15"/>
      <c r="AK2616" s="15"/>
      <c r="AL2616" s="15"/>
      <c r="AM2616" s="15"/>
      <c r="AN2616" s="15"/>
      <c r="AO2616" s="15"/>
      <c r="AP2616" s="15"/>
      <c r="AQ2616" s="15"/>
      <c r="AR2616" s="15"/>
      <c r="AS2616" s="15"/>
      <c r="AT2616" s="15"/>
      <c r="AU2616" s="15"/>
      <c r="AV2616" s="15"/>
      <c r="AW2616" s="15"/>
    </row>
    <row r="2617" spans="3:49" x14ac:dyDescent="0.2">
      <c r="C2617" s="15"/>
      <c r="D2617" s="15"/>
      <c r="E2617" s="15"/>
      <c r="F2617" s="15"/>
      <c r="G2617" s="15"/>
      <c r="H2617" s="15"/>
      <c r="I2617" s="15"/>
      <c r="J2617" s="15"/>
      <c r="K2617" s="15"/>
      <c r="L2617" s="28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5"/>
      <c r="AG2617" s="15"/>
      <c r="AH2617" s="15"/>
      <c r="AI2617" s="15"/>
      <c r="AJ2617" s="15"/>
      <c r="AK2617" s="15"/>
      <c r="AL2617" s="15"/>
      <c r="AM2617" s="15"/>
      <c r="AN2617" s="15"/>
      <c r="AO2617" s="15"/>
      <c r="AP2617" s="15"/>
      <c r="AQ2617" s="15"/>
      <c r="AR2617" s="15"/>
      <c r="AS2617" s="15"/>
      <c r="AT2617" s="15"/>
      <c r="AU2617" s="15"/>
      <c r="AV2617" s="15"/>
      <c r="AW2617" s="15"/>
    </row>
    <row r="2618" spans="3:49" x14ac:dyDescent="0.2">
      <c r="C2618" s="15"/>
      <c r="D2618" s="15"/>
      <c r="E2618" s="15"/>
      <c r="F2618" s="15"/>
      <c r="G2618" s="15"/>
      <c r="H2618" s="15"/>
      <c r="I2618" s="15"/>
      <c r="J2618" s="15"/>
      <c r="K2618" s="15"/>
      <c r="L2618" s="28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5"/>
      <c r="AG2618" s="15"/>
      <c r="AH2618" s="15"/>
      <c r="AI2618" s="15"/>
      <c r="AJ2618" s="15"/>
      <c r="AK2618" s="15"/>
      <c r="AL2618" s="15"/>
      <c r="AM2618" s="15"/>
      <c r="AN2618" s="15"/>
      <c r="AO2618" s="15"/>
      <c r="AP2618" s="15"/>
      <c r="AQ2618" s="15"/>
      <c r="AR2618" s="15"/>
      <c r="AS2618" s="15"/>
      <c r="AT2618" s="15"/>
      <c r="AU2618" s="15"/>
      <c r="AV2618" s="15"/>
      <c r="AW2618" s="15"/>
    </row>
    <row r="2619" spans="3:49" x14ac:dyDescent="0.2">
      <c r="C2619" s="15"/>
      <c r="D2619" s="15"/>
      <c r="E2619" s="15"/>
      <c r="F2619" s="15"/>
      <c r="G2619" s="15"/>
      <c r="H2619" s="15"/>
      <c r="I2619" s="15"/>
      <c r="J2619" s="15"/>
      <c r="K2619" s="15"/>
      <c r="L2619" s="28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5"/>
      <c r="AG2619" s="15"/>
      <c r="AH2619" s="15"/>
      <c r="AI2619" s="15"/>
      <c r="AJ2619" s="15"/>
      <c r="AK2619" s="15"/>
      <c r="AL2619" s="15"/>
      <c r="AM2619" s="15"/>
      <c r="AN2619" s="15"/>
      <c r="AO2619" s="15"/>
      <c r="AP2619" s="15"/>
      <c r="AQ2619" s="15"/>
      <c r="AR2619" s="15"/>
      <c r="AS2619" s="15"/>
      <c r="AT2619" s="15"/>
      <c r="AU2619" s="15"/>
      <c r="AV2619" s="15"/>
      <c r="AW2619" s="15"/>
    </row>
    <row r="2620" spans="3:49" x14ac:dyDescent="0.2">
      <c r="C2620" s="15"/>
      <c r="D2620" s="15"/>
      <c r="E2620" s="15"/>
      <c r="F2620" s="15"/>
      <c r="G2620" s="15"/>
      <c r="H2620" s="15"/>
      <c r="I2620" s="15"/>
      <c r="J2620" s="15"/>
      <c r="K2620" s="15"/>
      <c r="L2620" s="28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5"/>
      <c r="AG2620" s="15"/>
      <c r="AH2620" s="15"/>
      <c r="AI2620" s="15"/>
      <c r="AJ2620" s="15"/>
      <c r="AK2620" s="15"/>
      <c r="AL2620" s="15"/>
      <c r="AM2620" s="15"/>
      <c r="AN2620" s="15"/>
      <c r="AO2620" s="15"/>
      <c r="AP2620" s="15"/>
      <c r="AQ2620" s="15"/>
      <c r="AR2620" s="15"/>
      <c r="AS2620" s="15"/>
      <c r="AT2620" s="15"/>
      <c r="AU2620" s="15"/>
      <c r="AV2620" s="15"/>
      <c r="AW2620" s="15"/>
    </row>
    <row r="2621" spans="3:49" x14ac:dyDescent="0.2">
      <c r="C2621" s="15"/>
      <c r="D2621" s="15"/>
      <c r="E2621" s="15"/>
      <c r="F2621" s="15"/>
      <c r="G2621" s="15"/>
      <c r="H2621" s="15"/>
      <c r="I2621" s="15"/>
      <c r="J2621" s="15"/>
      <c r="K2621" s="15"/>
      <c r="L2621" s="28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5"/>
      <c r="AG2621" s="15"/>
      <c r="AH2621" s="15"/>
      <c r="AI2621" s="15"/>
      <c r="AJ2621" s="15"/>
      <c r="AK2621" s="15"/>
      <c r="AL2621" s="15"/>
      <c r="AM2621" s="15"/>
      <c r="AN2621" s="15"/>
      <c r="AO2621" s="15"/>
      <c r="AP2621" s="15"/>
      <c r="AQ2621" s="15"/>
      <c r="AR2621" s="15"/>
      <c r="AS2621" s="15"/>
      <c r="AT2621" s="15"/>
      <c r="AU2621" s="15"/>
      <c r="AV2621" s="15"/>
      <c r="AW2621" s="15"/>
    </row>
    <row r="2622" spans="3:49" x14ac:dyDescent="0.2">
      <c r="C2622" s="15"/>
      <c r="D2622" s="15"/>
      <c r="E2622" s="15"/>
      <c r="F2622" s="15"/>
      <c r="G2622" s="15"/>
      <c r="H2622" s="15"/>
      <c r="I2622" s="15"/>
      <c r="J2622" s="15"/>
      <c r="K2622" s="15"/>
      <c r="L2622" s="28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5"/>
      <c r="AG2622" s="15"/>
      <c r="AH2622" s="15"/>
      <c r="AI2622" s="15"/>
      <c r="AJ2622" s="15"/>
      <c r="AK2622" s="15"/>
      <c r="AL2622" s="15"/>
      <c r="AM2622" s="15"/>
      <c r="AN2622" s="15"/>
      <c r="AO2622" s="15"/>
      <c r="AP2622" s="15"/>
      <c r="AQ2622" s="15"/>
      <c r="AR2622" s="15"/>
      <c r="AS2622" s="15"/>
      <c r="AT2622" s="15"/>
      <c r="AU2622" s="15"/>
      <c r="AV2622" s="15"/>
      <c r="AW2622" s="15"/>
    </row>
    <row r="2623" spans="3:49" x14ac:dyDescent="0.2">
      <c r="C2623" s="15"/>
      <c r="D2623" s="15"/>
      <c r="E2623" s="15"/>
      <c r="F2623" s="15"/>
      <c r="G2623" s="15"/>
      <c r="H2623" s="15"/>
      <c r="I2623" s="15"/>
      <c r="J2623" s="15"/>
      <c r="K2623" s="15"/>
      <c r="L2623" s="28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5"/>
      <c r="AG2623" s="15"/>
      <c r="AH2623" s="15"/>
      <c r="AI2623" s="15"/>
      <c r="AJ2623" s="15"/>
      <c r="AK2623" s="15"/>
      <c r="AL2623" s="15"/>
      <c r="AM2623" s="15"/>
      <c r="AN2623" s="15"/>
      <c r="AO2623" s="15"/>
      <c r="AP2623" s="15"/>
      <c r="AQ2623" s="15"/>
      <c r="AR2623" s="15"/>
      <c r="AS2623" s="15"/>
      <c r="AT2623" s="15"/>
      <c r="AU2623" s="15"/>
      <c r="AV2623" s="15"/>
      <c r="AW2623" s="15"/>
    </row>
    <row r="2624" spans="3:49" x14ac:dyDescent="0.2">
      <c r="C2624" s="15"/>
      <c r="D2624" s="15"/>
      <c r="E2624" s="15"/>
      <c r="F2624" s="15"/>
      <c r="G2624" s="15"/>
      <c r="H2624" s="15"/>
      <c r="I2624" s="15"/>
      <c r="J2624" s="15"/>
      <c r="K2624" s="15"/>
      <c r="L2624" s="28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5"/>
      <c r="AG2624" s="15"/>
      <c r="AH2624" s="15"/>
      <c r="AI2624" s="15"/>
      <c r="AJ2624" s="15"/>
      <c r="AK2624" s="15"/>
      <c r="AL2624" s="15"/>
      <c r="AM2624" s="15"/>
      <c r="AN2624" s="15"/>
      <c r="AO2624" s="15"/>
      <c r="AP2624" s="15"/>
      <c r="AQ2624" s="15"/>
      <c r="AR2624" s="15"/>
      <c r="AS2624" s="15"/>
      <c r="AT2624" s="15"/>
      <c r="AU2624" s="15"/>
      <c r="AV2624" s="15"/>
      <c r="AW2624" s="15"/>
    </row>
    <row r="2625" spans="3:49" x14ac:dyDescent="0.2">
      <c r="C2625" s="15"/>
      <c r="D2625" s="15"/>
      <c r="E2625" s="15"/>
      <c r="F2625" s="15"/>
      <c r="G2625" s="15"/>
      <c r="H2625" s="15"/>
      <c r="I2625" s="15"/>
      <c r="J2625" s="15"/>
      <c r="K2625" s="15"/>
      <c r="L2625" s="28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5"/>
      <c r="AG2625" s="15"/>
      <c r="AH2625" s="15"/>
      <c r="AI2625" s="15"/>
      <c r="AJ2625" s="15"/>
      <c r="AK2625" s="15"/>
      <c r="AL2625" s="15"/>
      <c r="AM2625" s="15"/>
      <c r="AN2625" s="15"/>
      <c r="AO2625" s="15"/>
      <c r="AP2625" s="15"/>
      <c r="AQ2625" s="15"/>
      <c r="AR2625" s="15"/>
      <c r="AS2625" s="15"/>
      <c r="AT2625" s="15"/>
      <c r="AU2625" s="15"/>
      <c r="AV2625" s="15"/>
      <c r="AW2625" s="15"/>
    </row>
    <row r="2626" spans="3:49" x14ac:dyDescent="0.2">
      <c r="C2626" s="15"/>
      <c r="D2626" s="15"/>
      <c r="E2626" s="15"/>
      <c r="F2626" s="15"/>
      <c r="G2626" s="15"/>
      <c r="H2626" s="15"/>
      <c r="I2626" s="15"/>
      <c r="J2626" s="15"/>
      <c r="K2626" s="15"/>
      <c r="L2626" s="28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5"/>
      <c r="AG2626" s="15"/>
      <c r="AH2626" s="15"/>
      <c r="AI2626" s="15"/>
      <c r="AJ2626" s="15"/>
      <c r="AK2626" s="15"/>
      <c r="AL2626" s="15"/>
      <c r="AM2626" s="15"/>
      <c r="AN2626" s="15"/>
      <c r="AO2626" s="15"/>
      <c r="AP2626" s="15"/>
      <c r="AQ2626" s="15"/>
      <c r="AR2626" s="15"/>
      <c r="AS2626" s="15"/>
      <c r="AT2626" s="15"/>
      <c r="AU2626" s="15"/>
      <c r="AV2626" s="15"/>
      <c r="AW2626" s="15"/>
    </row>
    <row r="2627" spans="3:49" x14ac:dyDescent="0.2">
      <c r="C2627" s="15"/>
      <c r="D2627" s="15"/>
      <c r="E2627" s="15"/>
      <c r="F2627" s="15"/>
      <c r="G2627" s="15"/>
      <c r="H2627" s="15"/>
      <c r="I2627" s="15"/>
      <c r="J2627" s="15"/>
      <c r="K2627" s="15"/>
      <c r="L2627" s="28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5"/>
      <c r="AG2627" s="15"/>
      <c r="AH2627" s="15"/>
      <c r="AI2627" s="15"/>
      <c r="AJ2627" s="15"/>
      <c r="AK2627" s="15"/>
      <c r="AL2627" s="15"/>
      <c r="AM2627" s="15"/>
      <c r="AN2627" s="15"/>
      <c r="AO2627" s="15"/>
      <c r="AP2627" s="15"/>
      <c r="AQ2627" s="15"/>
      <c r="AR2627" s="15"/>
      <c r="AS2627" s="15"/>
      <c r="AT2627" s="15"/>
      <c r="AU2627" s="15"/>
      <c r="AV2627" s="15"/>
      <c r="AW2627" s="15"/>
    </row>
    <row r="2628" spans="3:49" x14ac:dyDescent="0.2">
      <c r="C2628" s="15"/>
      <c r="D2628" s="15"/>
      <c r="E2628" s="15"/>
      <c r="F2628" s="15"/>
      <c r="G2628" s="15"/>
      <c r="H2628" s="15"/>
      <c r="I2628" s="15"/>
      <c r="J2628" s="15"/>
      <c r="K2628" s="15"/>
      <c r="L2628" s="28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5"/>
      <c r="AG2628" s="15"/>
      <c r="AH2628" s="15"/>
      <c r="AI2628" s="15"/>
      <c r="AJ2628" s="15"/>
      <c r="AK2628" s="15"/>
      <c r="AL2628" s="15"/>
      <c r="AM2628" s="15"/>
      <c r="AN2628" s="15"/>
      <c r="AO2628" s="15"/>
      <c r="AP2628" s="15"/>
      <c r="AQ2628" s="15"/>
      <c r="AR2628" s="15"/>
      <c r="AS2628" s="15"/>
      <c r="AT2628" s="15"/>
      <c r="AU2628" s="15"/>
      <c r="AV2628" s="15"/>
      <c r="AW2628" s="15"/>
    </row>
    <row r="2629" spans="3:49" x14ac:dyDescent="0.2">
      <c r="C2629" s="15"/>
      <c r="D2629" s="15"/>
      <c r="E2629" s="15"/>
      <c r="F2629" s="15"/>
      <c r="G2629" s="15"/>
      <c r="H2629" s="15"/>
      <c r="I2629" s="15"/>
      <c r="J2629" s="15"/>
      <c r="K2629" s="15"/>
      <c r="L2629" s="28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5"/>
      <c r="AG2629" s="15"/>
      <c r="AH2629" s="15"/>
      <c r="AI2629" s="15"/>
      <c r="AJ2629" s="15"/>
      <c r="AK2629" s="15"/>
      <c r="AL2629" s="15"/>
      <c r="AM2629" s="15"/>
      <c r="AN2629" s="15"/>
      <c r="AO2629" s="15"/>
      <c r="AP2629" s="15"/>
      <c r="AQ2629" s="15"/>
      <c r="AR2629" s="15"/>
      <c r="AS2629" s="15"/>
      <c r="AT2629" s="15"/>
      <c r="AU2629" s="15"/>
      <c r="AV2629" s="15"/>
      <c r="AW2629" s="15"/>
    </row>
    <row r="2630" spans="3:49" x14ac:dyDescent="0.2">
      <c r="C2630" s="15"/>
      <c r="D2630" s="15"/>
      <c r="E2630" s="15"/>
      <c r="F2630" s="15"/>
      <c r="G2630" s="15"/>
      <c r="H2630" s="15"/>
      <c r="I2630" s="15"/>
      <c r="J2630" s="15"/>
      <c r="K2630" s="15"/>
      <c r="L2630" s="28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5"/>
      <c r="AG2630" s="15"/>
      <c r="AH2630" s="15"/>
      <c r="AI2630" s="15"/>
      <c r="AJ2630" s="15"/>
      <c r="AK2630" s="15"/>
      <c r="AL2630" s="15"/>
      <c r="AM2630" s="15"/>
      <c r="AN2630" s="15"/>
      <c r="AO2630" s="15"/>
      <c r="AP2630" s="15"/>
      <c r="AQ2630" s="15"/>
      <c r="AR2630" s="15"/>
      <c r="AS2630" s="15"/>
      <c r="AT2630" s="15"/>
      <c r="AU2630" s="15"/>
      <c r="AV2630" s="15"/>
      <c r="AW2630" s="15"/>
    </row>
    <row r="2631" spans="3:49" x14ac:dyDescent="0.2">
      <c r="C2631" s="15"/>
      <c r="D2631" s="15"/>
      <c r="E2631" s="15"/>
      <c r="F2631" s="15"/>
      <c r="G2631" s="15"/>
      <c r="H2631" s="15"/>
      <c r="I2631" s="15"/>
      <c r="J2631" s="15"/>
      <c r="K2631" s="15"/>
      <c r="L2631" s="28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5"/>
      <c r="AG2631" s="15"/>
      <c r="AH2631" s="15"/>
      <c r="AI2631" s="15"/>
      <c r="AJ2631" s="15"/>
      <c r="AK2631" s="15"/>
      <c r="AL2631" s="15"/>
      <c r="AM2631" s="15"/>
      <c r="AN2631" s="15"/>
      <c r="AO2631" s="15"/>
      <c r="AP2631" s="15"/>
      <c r="AQ2631" s="15"/>
      <c r="AR2631" s="15"/>
      <c r="AS2631" s="15"/>
      <c r="AT2631" s="15"/>
      <c r="AU2631" s="15"/>
      <c r="AV2631" s="15"/>
      <c r="AW2631" s="15"/>
    </row>
    <row r="2632" spans="3:49" x14ac:dyDescent="0.2">
      <c r="C2632" s="15"/>
      <c r="D2632" s="15"/>
      <c r="E2632" s="15"/>
      <c r="F2632" s="15"/>
      <c r="G2632" s="15"/>
      <c r="H2632" s="15"/>
      <c r="I2632" s="15"/>
      <c r="J2632" s="15"/>
      <c r="K2632" s="15"/>
      <c r="L2632" s="28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5"/>
      <c r="AG2632" s="15"/>
      <c r="AH2632" s="15"/>
      <c r="AI2632" s="15"/>
      <c r="AJ2632" s="15"/>
      <c r="AK2632" s="15"/>
      <c r="AL2632" s="15"/>
      <c r="AM2632" s="15"/>
      <c r="AN2632" s="15"/>
      <c r="AO2632" s="15"/>
      <c r="AP2632" s="15"/>
      <c r="AQ2632" s="15"/>
      <c r="AR2632" s="15"/>
      <c r="AS2632" s="15"/>
      <c r="AT2632" s="15"/>
      <c r="AU2632" s="15"/>
      <c r="AV2632" s="15"/>
      <c r="AW2632" s="15"/>
    </row>
    <row r="2633" spans="3:49" x14ac:dyDescent="0.2">
      <c r="C2633" s="15"/>
      <c r="D2633" s="15"/>
      <c r="E2633" s="15"/>
      <c r="F2633" s="15"/>
      <c r="G2633" s="15"/>
      <c r="H2633" s="15"/>
      <c r="I2633" s="15"/>
      <c r="J2633" s="15"/>
      <c r="K2633" s="15"/>
      <c r="L2633" s="28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5"/>
      <c r="AG2633" s="15"/>
      <c r="AH2633" s="15"/>
      <c r="AI2633" s="15"/>
      <c r="AJ2633" s="15"/>
      <c r="AK2633" s="15"/>
      <c r="AL2633" s="15"/>
      <c r="AM2633" s="15"/>
      <c r="AN2633" s="15"/>
      <c r="AO2633" s="15"/>
      <c r="AP2633" s="15"/>
      <c r="AQ2633" s="15"/>
      <c r="AR2633" s="15"/>
      <c r="AS2633" s="15"/>
      <c r="AT2633" s="15"/>
      <c r="AU2633" s="15"/>
      <c r="AV2633" s="15"/>
      <c r="AW2633" s="15"/>
    </row>
    <row r="2634" spans="3:49" x14ac:dyDescent="0.2">
      <c r="C2634" s="15"/>
      <c r="D2634" s="15"/>
      <c r="E2634" s="15"/>
      <c r="F2634" s="15"/>
      <c r="G2634" s="15"/>
      <c r="H2634" s="15"/>
      <c r="I2634" s="15"/>
      <c r="J2634" s="15"/>
      <c r="K2634" s="15"/>
      <c r="L2634" s="28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5"/>
      <c r="AG2634" s="15"/>
      <c r="AH2634" s="15"/>
      <c r="AI2634" s="15"/>
      <c r="AJ2634" s="15"/>
      <c r="AK2634" s="15"/>
      <c r="AL2634" s="15"/>
      <c r="AM2634" s="15"/>
      <c r="AN2634" s="15"/>
      <c r="AO2634" s="15"/>
      <c r="AP2634" s="15"/>
      <c r="AQ2634" s="15"/>
      <c r="AR2634" s="15"/>
      <c r="AS2634" s="15"/>
      <c r="AT2634" s="15"/>
      <c r="AU2634" s="15"/>
      <c r="AV2634" s="15"/>
      <c r="AW2634" s="15"/>
    </row>
    <row r="2635" spans="3:49" x14ac:dyDescent="0.2">
      <c r="C2635" s="15"/>
      <c r="D2635" s="15"/>
      <c r="E2635" s="15"/>
      <c r="F2635" s="15"/>
      <c r="G2635" s="15"/>
      <c r="H2635" s="15"/>
      <c r="I2635" s="15"/>
      <c r="J2635" s="15"/>
      <c r="K2635" s="15"/>
      <c r="L2635" s="28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5"/>
      <c r="AG2635" s="15"/>
      <c r="AH2635" s="15"/>
      <c r="AI2635" s="15"/>
      <c r="AJ2635" s="15"/>
      <c r="AK2635" s="15"/>
      <c r="AL2635" s="15"/>
      <c r="AM2635" s="15"/>
      <c r="AN2635" s="15"/>
      <c r="AO2635" s="15"/>
      <c r="AP2635" s="15"/>
      <c r="AQ2635" s="15"/>
      <c r="AR2635" s="15"/>
      <c r="AS2635" s="15"/>
      <c r="AT2635" s="15"/>
      <c r="AU2635" s="15"/>
      <c r="AV2635" s="15"/>
      <c r="AW2635" s="15"/>
    </row>
    <row r="2636" spans="3:49" x14ac:dyDescent="0.2">
      <c r="C2636" s="15"/>
      <c r="D2636" s="15"/>
      <c r="E2636" s="15"/>
      <c r="F2636" s="15"/>
      <c r="G2636" s="15"/>
      <c r="H2636" s="15"/>
      <c r="I2636" s="15"/>
      <c r="J2636" s="15"/>
      <c r="K2636" s="15"/>
      <c r="L2636" s="28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5"/>
      <c r="AG2636" s="15"/>
      <c r="AH2636" s="15"/>
      <c r="AI2636" s="15"/>
      <c r="AJ2636" s="15"/>
      <c r="AK2636" s="15"/>
      <c r="AL2636" s="15"/>
      <c r="AM2636" s="15"/>
      <c r="AN2636" s="15"/>
      <c r="AO2636" s="15"/>
      <c r="AP2636" s="15"/>
      <c r="AQ2636" s="15"/>
      <c r="AR2636" s="15"/>
      <c r="AS2636" s="15"/>
      <c r="AT2636" s="15"/>
      <c r="AU2636" s="15"/>
      <c r="AV2636" s="15"/>
      <c r="AW2636" s="15"/>
    </row>
    <row r="2637" spans="3:49" x14ac:dyDescent="0.2">
      <c r="C2637" s="15"/>
      <c r="D2637" s="15"/>
      <c r="E2637" s="15"/>
      <c r="F2637" s="15"/>
      <c r="G2637" s="15"/>
      <c r="H2637" s="15"/>
      <c r="I2637" s="15"/>
      <c r="J2637" s="15"/>
      <c r="K2637" s="15"/>
      <c r="L2637" s="28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5"/>
      <c r="AG2637" s="15"/>
      <c r="AH2637" s="15"/>
      <c r="AI2637" s="15"/>
      <c r="AJ2637" s="15"/>
      <c r="AK2637" s="15"/>
      <c r="AL2637" s="15"/>
      <c r="AM2637" s="15"/>
      <c r="AN2637" s="15"/>
      <c r="AO2637" s="15"/>
      <c r="AP2637" s="15"/>
      <c r="AQ2637" s="15"/>
      <c r="AR2637" s="15"/>
      <c r="AS2637" s="15"/>
      <c r="AT2637" s="15"/>
      <c r="AU2637" s="15"/>
      <c r="AV2637" s="15"/>
      <c r="AW2637" s="15"/>
    </row>
    <row r="2638" spans="3:49" x14ac:dyDescent="0.2">
      <c r="C2638" s="15"/>
      <c r="D2638" s="15"/>
      <c r="E2638" s="15"/>
      <c r="F2638" s="15"/>
      <c r="G2638" s="15"/>
      <c r="H2638" s="15"/>
      <c r="I2638" s="15"/>
      <c r="J2638" s="15"/>
      <c r="K2638" s="15"/>
      <c r="L2638" s="28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5"/>
      <c r="AG2638" s="15"/>
      <c r="AH2638" s="15"/>
      <c r="AI2638" s="15"/>
      <c r="AJ2638" s="15"/>
      <c r="AK2638" s="15"/>
      <c r="AL2638" s="15"/>
      <c r="AM2638" s="15"/>
      <c r="AN2638" s="15"/>
      <c r="AO2638" s="15"/>
      <c r="AP2638" s="15"/>
      <c r="AQ2638" s="15"/>
      <c r="AR2638" s="15"/>
      <c r="AS2638" s="15"/>
      <c r="AT2638" s="15"/>
      <c r="AU2638" s="15"/>
      <c r="AV2638" s="15"/>
      <c r="AW2638" s="15"/>
    </row>
    <row r="2639" spans="3:49" x14ac:dyDescent="0.2">
      <c r="C2639" s="15"/>
      <c r="D2639" s="15"/>
      <c r="E2639" s="15"/>
      <c r="F2639" s="15"/>
      <c r="G2639" s="15"/>
      <c r="H2639" s="15"/>
      <c r="I2639" s="15"/>
      <c r="J2639" s="15"/>
      <c r="K2639" s="15"/>
      <c r="L2639" s="28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5"/>
      <c r="AG2639" s="15"/>
      <c r="AH2639" s="15"/>
      <c r="AI2639" s="15"/>
      <c r="AJ2639" s="15"/>
      <c r="AK2639" s="15"/>
      <c r="AL2639" s="15"/>
      <c r="AM2639" s="15"/>
      <c r="AN2639" s="15"/>
      <c r="AO2639" s="15"/>
      <c r="AP2639" s="15"/>
      <c r="AQ2639" s="15"/>
      <c r="AR2639" s="15"/>
      <c r="AS2639" s="15"/>
      <c r="AT2639" s="15"/>
      <c r="AU2639" s="15"/>
      <c r="AV2639" s="15"/>
      <c r="AW2639" s="15"/>
    </row>
    <row r="2640" spans="3:49" x14ac:dyDescent="0.2">
      <c r="C2640" s="15"/>
      <c r="D2640" s="15"/>
      <c r="E2640" s="15"/>
      <c r="F2640" s="15"/>
      <c r="G2640" s="15"/>
      <c r="H2640" s="15"/>
      <c r="I2640" s="15"/>
      <c r="J2640" s="15"/>
      <c r="K2640" s="15"/>
      <c r="L2640" s="28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5"/>
      <c r="AG2640" s="15"/>
      <c r="AH2640" s="15"/>
      <c r="AI2640" s="15"/>
      <c r="AJ2640" s="15"/>
      <c r="AK2640" s="15"/>
      <c r="AL2640" s="15"/>
      <c r="AM2640" s="15"/>
      <c r="AN2640" s="15"/>
      <c r="AO2640" s="15"/>
      <c r="AP2640" s="15"/>
      <c r="AQ2640" s="15"/>
      <c r="AR2640" s="15"/>
      <c r="AS2640" s="15"/>
      <c r="AT2640" s="15"/>
      <c r="AU2640" s="15"/>
      <c r="AV2640" s="15"/>
      <c r="AW2640" s="15"/>
    </row>
    <row r="2641" spans="3:49" x14ac:dyDescent="0.2">
      <c r="C2641" s="15"/>
      <c r="D2641" s="15"/>
      <c r="E2641" s="15"/>
      <c r="F2641" s="15"/>
      <c r="G2641" s="15"/>
      <c r="H2641" s="15"/>
      <c r="I2641" s="15"/>
      <c r="J2641" s="15"/>
      <c r="K2641" s="15"/>
      <c r="L2641" s="28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5"/>
      <c r="AG2641" s="15"/>
      <c r="AH2641" s="15"/>
      <c r="AI2641" s="15"/>
      <c r="AJ2641" s="15"/>
      <c r="AK2641" s="15"/>
      <c r="AL2641" s="15"/>
      <c r="AM2641" s="15"/>
      <c r="AN2641" s="15"/>
      <c r="AO2641" s="15"/>
      <c r="AP2641" s="15"/>
      <c r="AQ2641" s="15"/>
      <c r="AR2641" s="15"/>
      <c r="AS2641" s="15"/>
      <c r="AT2641" s="15"/>
      <c r="AU2641" s="15"/>
      <c r="AV2641" s="15"/>
      <c r="AW2641" s="15"/>
    </row>
    <row r="2642" spans="3:49" x14ac:dyDescent="0.2">
      <c r="C2642" s="15"/>
      <c r="D2642" s="15"/>
      <c r="E2642" s="15"/>
      <c r="F2642" s="15"/>
      <c r="G2642" s="15"/>
      <c r="H2642" s="15"/>
      <c r="I2642" s="15"/>
      <c r="J2642" s="15"/>
      <c r="K2642" s="15"/>
      <c r="L2642" s="28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5"/>
      <c r="AG2642" s="15"/>
      <c r="AH2642" s="15"/>
      <c r="AI2642" s="15"/>
      <c r="AJ2642" s="15"/>
      <c r="AK2642" s="15"/>
      <c r="AL2642" s="15"/>
      <c r="AM2642" s="15"/>
      <c r="AN2642" s="15"/>
      <c r="AO2642" s="15"/>
      <c r="AP2642" s="15"/>
      <c r="AQ2642" s="15"/>
      <c r="AR2642" s="15"/>
      <c r="AS2642" s="15"/>
      <c r="AT2642" s="15"/>
      <c r="AU2642" s="15"/>
      <c r="AV2642" s="15"/>
      <c r="AW2642" s="15"/>
    </row>
    <row r="2643" spans="3:49" x14ac:dyDescent="0.2">
      <c r="C2643" s="15"/>
      <c r="D2643" s="15"/>
      <c r="E2643" s="15"/>
      <c r="F2643" s="15"/>
      <c r="G2643" s="15"/>
      <c r="H2643" s="15"/>
      <c r="I2643" s="15"/>
      <c r="J2643" s="15"/>
      <c r="K2643" s="15"/>
      <c r="L2643" s="28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5"/>
      <c r="AG2643" s="15"/>
      <c r="AH2643" s="15"/>
      <c r="AI2643" s="15"/>
      <c r="AJ2643" s="15"/>
      <c r="AK2643" s="15"/>
      <c r="AL2643" s="15"/>
      <c r="AM2643" s="15"/>
      <c r="AN2643" s="15"/>
      <c r="AO2643" s="15"/>
      <c r="AP2643" s="15"/>
      <c r="AQ2643" s="15"/>
      <c r="AR2643" s="15"/>
      <c r="AS2643" s="15"/>
      <c r="AT2643" s="15"/>
      <c r="AU2643" s="15"/>
      <c r="AV2643" s="15"/>
      <c r="AW2643" s="15"/>
    </row>
    <row r="2644" spans="3:49" x14ac:dyDescent="0.2">
      <c r="C2644" s="15"/>
      <c r="D2644" s="15"/>
      <c r="E2644" s="15"/>
      <c r="F2644" s="15"/>
      <c r="G2644" s="15"/>
      <c r="H2644" s="15"/>
      <c r="I2644" s="15"/>
      <c r="J2644" s="15"/>
      <c r="K2644" s="15"/>
      <c r="L2644" s="28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5"/>
      <c r="AG2644" s="15"/>
      <c r="AH2644" s="15"/>
      <c r="AI2644" s="15"/>
      <c r="AJ2644" s="15"/>
      <c r="AK2644" s="15"/>
      <c r="AL2644" s="15"/>
      <c r="AM2644" s="15"/>
      <c r="AN2644" s="15"/>
      <c r="AO2644" s="15"/>
      <c r="AP2644" s="15"/>
      <c r="AQ2644" s="15"/>
      <c r="AR2644" s="15"/>
      <c r="AS2644" s="15"/>
      <c r="AT2644" s="15"/>
      <c r="AU2644" s="15"/>
      <c r="AV2644" s="15"/>
      <c r="AW2644" s="15"/>
    </row>
    <row r="2645" spans="3:49" x14ac:dyDescent="0.2">
      <c r="C2645" s="15"/>
      <c r="D2645" s="15"/>
      <c r="E2645" s="15"/>
      <c r="F2645" s="15"/>
      <c r="G2645" s="15"/>
      <c r="H2645" s="15"/>
      <c r="I2645" s="15"/>
      <c r="J2645" s="15"/>
      <c r="K2645" s="15"/>
      <c r="L2645" s="28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5"/>
      <c r="AG2645" s="15"/>
      <c r="AH2645" s="15"/>
      <c r="AI2645" s="15"/>
      <c r="AJ2645" s="15"/>
      <c r="AK2645" s="15"/>
      <c r="AL2645" s="15"/>
      <c r="AM2645" s="15"/>
      <c r="AN2645" s="15"/>
      <c r="AO2645" s="15"/>
      <c r="AP2645" s="15"/>
      <c r="AQ2645" s="15"/>
      <c r="AR2645" s="15"/>
      <c r="AS2645" s="15"/>
      <c r="AT2645" s="15"/>
      <c r="AU2645" s="15"/>
      <c r="AV2645" s="15"/>
      <c r="AW2645" s="15"/>
    </row>
    <row r="2646" spans="3:49" x14ac:dyDescent="0.2">
      <c r="C2646" s="15"/>
      <c r="D2646" s="15"/>
      <c r="E2646" s="15"/>
      <c r="F2646" s="15"/>
      <c r="G2646" s="15"/>
      <c r="H2646" s="15"/>
      <c r="I2646" s="15"/>
      <c r="J2646" s="15"/>
      <c r="K2646" s="15"/>
      <c r="L2646" s="28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5"/>
      <c r="AG2646" s="15"/>
      <c r="AH2646" s="15"/>
      <c r="AI2646" s="15"/>
      <c r="AJ2646" s="15"/>
      <c r="AK2646" s="15"/>
      <c r="AL2646" s="15"/>
      <c r="AM2646" s="15"/>
      <c r="AN2646" s="15"/>
      <c r="AO2646" s="15"/>
      <c r="AP2646" s="15"/>
      <c r="AQ2646" s="15"/>
      <c r="AR2646" s="15"/>
      <c r="AS2646" s="15"/>
      <c r="AT2646" s="15"/>
      <c r="AU2646" s="15"/>
      <c r="AV2646" s="15"/>
      <c r="AW2646" s="15"/>
    </row>
    <row r="2647" spans="3:49" x14ac:dyDescent="0.2">
      <c r="C2647" s="15"/>
      <c r="D2647" s="15"/>
      <c r="E2647" s="15"/>
      <c r="F2647" s="15"/>
      <c r="G2647" s="15"/>
      <c r="H2647" s="15"/>
      <c r="I2647" s="15"/>
      <c r="J2647" s="15"/>
      <c r="K2647" s="15"/>
      <c r="L2647" s="28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5"/>
      <c r="AG2647" s="15"/>
      <c r="AH2647" s="15"/>
      <c r="AI2647" s="15"/>
      <c r="AJ2647" s="15"/>
      <c r="AK2647" s="15"/>
      <c r="AL2647" s="15"/>
      <c r="AM2647" s="15"/>
      <c r="AN2647" s="15"/>
      <c r="AO2647" s="15"/>
      <c r="AP2647" s="15"/>
      <c r="AQ2647" s="15"/>
      <c r="AR2647" s="15"/>
      <c r="AS2647" s="15"/>
      <c r="AT2647" s="15"/>
      <c r="AU2647" s="15"/>
      <c r="AV2647" s="15"/>
      <c r="AW2647" s="15"/>
    </row>
    <row r="2648" spans="3:49" x14ac:dyDescent="0.2">
      <c r="C2648" s="15"/>
      <c r="D2648" s="15"/>
      <c r="E2648" s="15"/>
      <c r="F2648" s="15"/>
      <c r="G2648" s="15"/>
      <c r="H2648" s="15"/>
      <c r="I2648" s="15"/>
      <c r="J2648" s="15"/>
      <c r="K2648" s="15"/>
      <c r="L2648" s="28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5"/>
      <c r="AG2648" s="15"/>
      <c r="AH2648" s="15"/>
      <c r="AI2648" s="15"/>
      <c r="AJ2648" s="15"/>
      <c r="AK2648" s="15"/>
      <c r="AL2648" s="15"/>
      <c r="AM2648" s="15"/>
      <c r="AN2648" s="15"/>
      <c r="AO2648" s="15"/>
      <c r="AP2648" s="15"/>
      <c r="AQ2648" s="15"/>
      <c r="AR2648" s="15"/>
      <c r="AS2648" s="15"/>
      <c r="AT2648" s="15"/>
      <c r="AU2648" s="15"/>
      <c r="AV2648" s="15"/>
      <c r="AW2648" s="15"/>
    </row>
    <row r="2649" spans="3:49" x14ac:dyDescent="0.2">
      <c r="C2649" s="15"/>
      <c r="D2649" s="15"/>
      <c r="E2649" s="15"/>
      <c r="F2649" s="15"/>
      <c r="G2649" s="15"/>
      <c r="H2649" s="15"/>
      <c r="I2649" s="15"/>
      <c r="J2649" s="15"/>
      <c r="K2649" s="15"/>
      <c r="L2649" s="28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5"/>
      <c r="AG2649" s="15"/>
      <c r="AH2649" s="15"/>
      <c r="AI2649" s="15"/>
      <c r="AJ2649" s="15"/>
      <c r="AK2649" s="15"/>
      <c r="AL2649" s="15"/>
      <c r="AM2649" s="15"/>
      <c r="AN2649" s="15"/>
      <c r="AO2649" s="15"/>
      <c r="AP2649" s="15"/>
      <c r="AQ2649" s="15"/>
      <c r="AR2649" s="15"/>
      <c r="AS2649" s="15"/>
      <c r="AT2649" s="15"/>
      <c r="AU2649" s="15"/>
      <c r="AV2649" s="15"/>
      <c r="AW2649" s="15"/>
    </row>
    <row r="2650" spans="3:49" x14ac:dyDescent="0.2">
      <c r="C2650" s="15"/>
      <c r="D2650" s="15"/>
      <c r="E2650" s="15"/>
      <c r="F2650" s="15"/>
      <c r="G2650" s="15"/>
      <c r="H2650" s="15"/>
      <c r="I2650" s="15"/>
      <c r="J2650" s="15"/>
      <c r="K2650" s="15"/>
      <c r="L2650" s="28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5"/>
      <c r="AG2650" s="15"/>
      <c r="AH2650" s="15"/>
      <c r="AI2650" s="15"/>
      <c r="AJ2650" s="15"/>
      <c r="AK2650" s="15"/>
      <c r="AL2650" s="15"/>
      <c r="AM2650" s="15"/>
      <c r="AN2650" s="15"/>
      <c r="AO2650" s="15"/>
      <c r="AP2650" s="15"/>
      <c r="AQ2650" s="15"/>
      <c r="AR2650" s="15"/>
      <c r="AS2650" s="15"/>
      <c r="AT2650" s="15"/>
      <c r="AU2650" s="15"/>
      <c r="AV2650" s="15"/>
      <c r="AW2650" s="15"/>
    </row>
    <row r="2651" spans="3:49" x14ac:dyDescent="0.2">
      <c r="C2651" s="15"/>
      <c r="D2651" s="15"/>
      <c r="E2651" s="15"/>
      <c r="F2651" s="15"/>
      <c r="G2651" s="15"/>
      <c r="H2651" s="15"/>
      <c r="I2651" s="15"/>
      <c r="J2651" s="15"/>
      <c r="K2651" s="15"/>
      <c r="L2651" s="28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5"/>
      <c r="AG2651" s="15"/>
      <c r="AH2651" s="15"/>
      <c r="AI2651" s="15"/>
      <c r="AJ2651" s="15"/>
      <c r="AK2651" s="15"/>
      <c r="AL2651" s="15"/>
      <c r="AM2651" s="15"/>
      <c r="AN2651" s="15"/>
      <c r="AO2651" s="15"/>
      <c r="AP2651" s="15"/>
      <c r="AQ2651" s="15"/>
      <c r="AR2651" s="15"/>
      <c r="AS2651" s="15"/>
      <c r="AT2651" s="15"/>
      <c r="AU2651" s="15"/>
      <c r="AV2651" s="15"/>
      <c r="AW2651" s="15"/>
    </row>
    <row r="2652" spans="3:49" x14ac:dyDescent="0.2">
      <c r="C2652" s="15"/>
      <c r="D2652" s="15"/>
      <c r="E2652" s="15"/>
      <c r="F2652" s="15"/>
      <c r="G2652" s="15"/>
      <c r="H2652" s="15"/>
      <c r="I2652" s="15"/>
      <c r="J2652" s="15"/>
      <c r="K2652" s="15"/>
      <c r="L2652" s="28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5"/>
      <c r="AG2652" s="15"/>
      <c r="AH2652" s="15"/>
      <c r="AI2652" s="15"/>
      <c r="AJ2652" s="15"/>
      <c r="AK2652" s="15"/>
      <c r="AL2652" s="15"/>
      <c r="AM2652" s="15"/>
      <c r="AN2652" s="15"/>
      <c r="AO2652" s="15"/>
      <c r="AP2652" s="15"/>
      <c r="AQ2652" s="15"/>
      <c r="AR2652" s="15"/>
      <c r="AS2652" s="15"/>
      <c r="AT2652" s="15"/>
      <c r="AU2652" s="15"/>
      <c r="AV2652" s="15"/>
      <c r="AW2652" s="15"/>
    </row>
    <row r="2653" spans="3:49" x14ac:dyDescent="0.2">
      <c r="C2653" s="15"/>
      <c r="D2653" s="15"/>
      <c r="E2653" s="15"/>
      <c r="F2653" s="15"/>
      <c r="G2653" s="15"/>
      <c r="H2653" s="15"/>
      <c r="I2653" s="15"/>
      <c r="J2653" s="15"/>
      <c r="K2653" s="15"/>
      <c r="L2653" s="28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5"/>
      <c r="AG2653" s="15"/>
      <c r="AH2653" s="15"/>
      <c r="AI2653" s="15"/>
      <c r="AJ2653" s="15"/>
      <c r="AK2653" s="15"/>
      <c r="AL2653" s="15"/>
      <c r="AM2653" s="15"/>
      <c r="AN2653" s="15"/>
      <c r="AO2653" s="15"/>
      <c r="AP2653" s="15"/>
      <c r="AQ2653" s="15"/>
      <c r="AR2653" s="15"/>
      <c r="AS2653" s="15"/>
      <c r="AT2653" s="15"/>
      <c r="AU2653" s="15"/>
      <c r="AV2653" s="15"/>
      <c r="AW2653" s="15"/>
    </row>
    <row r="2654" spans="3:49" x14ac:dyDescent="0.2">
      <c r="C2654" s="15"/>
      <c r="D2654" s="15"/>
      <c r="E2654" s="15"/>
      <c r="F2654" s="15"/>
      <c r="G2654" s="15"/>
      <c r="H2654" s="15"/>
      <c r="I2654" s="15"/>
      <c r="J2654" s="15"/>
      <c r="K2654" s="15"/>
      <c r="L2654" s="28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5"/>
      <c r="AG2654" s="15"/>
      <c r="AH2654" s="15"/>
      <c r="AI2654" s="15"/>
      <c r="AJ2654" s="15"/>
      <c r="AK2654" s="15"/>
      <c r="AL2654" s="15"/>
      <c r="AM2654" s="15"/>
      <c r="AN2654" s="15"/>
      <c r="AO2654" s="15"/>
      <c r="AP2654" s="15"/>
      <c r="AQ2654" s="15"/>
      <c r="AR2654" s="15"/>
      <c r="AS2654" s="15"/>
      <c r="AT2654" s="15"/>
      <c r="AU2654" s="15"/>
      <c r="AV2654" s="15"/>
      <c r="AW2654" s="15"/>
    </row>
    <row r="2655" spans="3:49" x14ac:dyDescent="0.2">
      <c r="C2655" s="15"/>
      <c r="D2655" s="15"/>
      <c r="E2655" s="15"/>
      <c r="F2655" s="15"/>
      <c r="G2655" s="15"/>
      <c r="H2655" s="15"/>
      <c r="I2655" s="15"/>
      <c r="J2655" s="15"/>
      <c r="K2655" s="15"/>
      <c r="L2655" s="28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5"/>
      <c r="AG2655" s="15"/>
      <c r="AH2655" s="15"/>
      <c r="AI2655" s="15"/>
      <c r="AJ2655" s="15"/>
      <c r="AK2655" s="15"/>
      <c r="AL2655" s="15"/>
      <c r="AM2655" s="15"/>
      <c r="AN2655" s="15"/>
      <c r="AO2655" s="15"/>
      <c r="AP2655" s="15"/>
      <c r="AQ2655" s="15"/>
      <c r="AR2655" s="15"/>
      <c r="AS2655" s="15"/>
      <c r="AT2655" s="15"/>
      <c r="AU2655" s="15"/>
      <c r="AV2655" s="15"/>
      <c r="AW2655" s="15"/>
    </row>
    <row r="2656" spans="3:49" x14ac:dyDescent="0.2">
      <c r="C2656" s="15"/>
      <c r="D2656" s="15"/>
      <c r="E2656" s="15"/>
      <c r="F2656" s="15"/>
      <c r="G2656" s="15"/>
      <c r="H2656" s="15"/>
      <c r="I2656" s="15"/>
      <c r="J2656" s="15"/>
      <c r="K2656" s="15"/>
      <c r="L2656" s="28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5"/>
      <c r="AG2656" s="15"/>
      <c r="AH2656" s="15"/>
      <c r="AI2656" s="15"/>
      <c r="AJ2656" s="15"/>
      <c r="AK2656" s="15"/>
      <c r="AL2656" s="15"/>
      <c r="AM2656" s="15"/>
      <c r="AN2656" s="15"/>
      <c r="AO2656" s="15"/>
      <c r="AP2656" s="15"/>
      <c r="AQ2656" s="15"/>
      <c r="AR2656" s="15"/>
      <c r="AS2656" s="15"/>
      <c r="AT2656" s="15"/>
      <c r="AU2656" s="15"/>
      <c r="AV2656" s="15"/>
      <c r="AW2656" s="15"/>
    </row>
    <row r="2657" spans="3:49" x14ac:dyDescent="0.2">
      <c r="C2657" s="15"/>
      <c r="D2657" s="15"/>
      <c r="E2657" s="15"/>
      <c r="F2657" s="15"/>
      <c r="G2657" s="15"/>
      <c r="H2657" s="15"/>
      <c r="I2657" s="15"/>
      <c r="J2657" s="15"/>
      <c r="K2657" s="15"/>
      <c r="L2657" s="28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5"/>
      <c r="AG2657" s="15"/>
      <c r="AH2657" s="15"/>
      <c r="AI2657" s="15"/>
      <c r="AJ2657" s="15"/>
      <c r="AK2657" s="15"/>
      <c r="AL2657" s="15"/>
      <c r="AM2657" s="15"/>
      <c r="AN2657" s="15"/>
      <c r="AO2657" s="15"/>
      <c r="AP2657" s="15"/>
      <c r="AQ2657" s="15"/>
      <c r="AR2657" s="15"/>
      <c r="AS2657" s="15"/>
      <c r="AT2657" s="15"/>
      <c r="AU2657" s="15"/>
      <c r="AV2657" s="15"/>
      <c r="AW2657" s="15"/>
    </row>
    <row r="2658" spans="3:49" x14ac:dyDescent="0.2">
      <c r="C2658" s="15"/>
      <c r="D2658" s="15"/>
      <c r="E2658" s="15"/>
      <c r="F2658" s="15"/>
      <c r="G2658" s="15"/>
      <c r="H2658" s="15"/>
      <c r="I2658" s="15"/>
      <c r="J2658" s="15"/>
      <c r="K2658" s="15"/>
      <c r="L2658" s="28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5"/>
      <c r="AG2658" s="15"/>
      <c r="AH2658" s="15"/>
      <c r="AI2658" s="15"/>
      <c r="AJ2658" s="15"/>
      <c r="AK2658" s="15"/>
      <c r="AL2658" s="15"/>
      <c r="AM2658" s="15"/>
      <c r="AN2658" s="15"/>
      <c r="AO2658" s="15"/>
      <c r="AP2658" s="15"/>
      <c r="AQ2658" s="15"/>
      <c r="AR2658" s="15"/>
      <c r="AS2658" s="15"/>
      <c r="AT2658" s="15"/>
      <c r="AU2658" s="15"/>
      <c r="AV2658" s="15"/>
      <c r="AW2658" s="15"/>
    </row>
    <row r="2659" spans="3:49" x14ac:dyDescent="0.2">
      <c r="C2659" s="15"/>
      <c r="D2659" s="15"/>
      <c r="E2659" s="15"/>
      <c r="F2659" s="15"/>
      <c r="G2659" s="15"/>
      <c r="H2659" s="15"/>
      <c r="I2659" s="15"/>
      <c r="J2659" s="15"/>
      <c r="K2659" s="15"/>
      <c r="L2659" s="28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5"/>
      <c r="AG2659" s="15"/>
      <c r="AH2659" s="15"/>
      <c r="AI2659" s="15"/>
      <c r="AJ2659" s="15"/>
      <c r="AK2659" s="15"/>
      <c r="AL2659" s="15"/>
      <c r="AM2659" s="15"/>
      <c r="AN2659" s="15"/>
      <c r="AO2659" s="15"/>
      <c r="AP2659" s="15"/>
      <c r="AQ2659" s="15"/>
      <c r="AR2659" s="15"/>
      <c r="AS2659" s="15"/>
      <c r="AT2659" s="15"/>
      <c r="AU2659" s="15"/>
      <c r="AV2659" s="15"/>
      <c r="AW2659" s="15"/>
    </row>
    <row r="2660" spans="3:49" x14ac:dyDescent="0.2">
      <c r="C2660" s="15"/>
      <c r="D2660" s="15"/>
      <c r="E2660" s="15"/>
      <c r="F2660" s="15"/>
      <c r="G2660" s="15"/>
      <c r="H2660" s="15"/>
      <c r="I2660" s="15"/>
      <c r="J2660" s="15"/>
      <c r="K2660" s="15"/>
      <c r="L2660" s="28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5"/>
      <c r="AG2660" s="15"/>
      <c r="AH2660" s="15"/>
      <c r="AI2660" s="15"/>
      <c r="AJ2660" s="15"/>
      <c r="AK2660" s="15"/>
      <c r="AL2660" s="15"/>
      <c r="AM2660" s="15"/>
      <c r="AN2660" s="15"/>
      <c r="AO2660" s="15"/>
      <c r="AP2660" s="15"/>
      <c r="AQ2660" s="15"/>
      <c r="AR2660" s="15"/>
      <c r="AS2660" s="15"/>
      <c r="AT2660" s="15"/>
      <c r="AU2660" s="15"/>
      <c r="AV2660" s="15"/>
      <c r="AW2660" s="15"/>
    </row>
    <row r="2661" spans="3:49" x14ac:dyDescent="0.2">
      <c r="C2661" s="15"/>
      <c r="D2661" s="15"/>
      <c r="E2661" s="15"/>
      <c r="F2661" s="15"/>
      <c r="G2661" s="15"/>
      <c r="H2661" s="15"/>
      <c r="I2661" s="15"/>
      <c r="J2661" s="15"/>
      <c r="K2661" s="15"/>
      <c r="L2661" s="28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5"/>
      <c r="AG2661" s="15"/>
      <c r="AH2661" s="15"/>
      <c r="AI2661" s="15"/>
      <c r="AJ2661" s="15"/>
      <c r="AK2661" s="15"/>
      <c r="AL2661" s="15"/>
      <c r="AM2661" s="15"/>
      <c r="AN2661" s="15"/>
      <c r="AO2661" s="15"/>
      <c r="AP2661" s="15"/>
      <c r="AQ2661" s="15"/>
      <c r="AR2661" s="15"/>
      <c r="AS2661" s="15"/>
      <c r="AT2661" s="15"/>
      <c r="AU2661" s="15"/>
      <c r="AV2661" s="15"/>
      <c r="AW2661" s="15"/>
    </row>
    <row r="2662" spans="3:49" x14ac:dyDescent="0.2">
      <c r="C2662" s="15"/>
      <c r="D2662" s="15"/>
      <c r="E2662" s="15"/>
      <c r="F2662" s="15"/>
      <c r="G2662" s="15"/>
      <c r="H2662" s="15"/>
      <c r="I2662" s="15"/>
      <c r="J2662" s="15"/>
      <c r="K2662" s="15"/>
      <c r="L2662" s="28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5"/>
      <c r="AG2662" s="15"/>
      <c r="AH2662" s="15"/>
      <c r="AI2662" s="15"/>
      <c r="AJ2662" s="15"/>
      <c r="AK2662" s="15"/>
      <c r="AL2662" s="15"/>
      <c r="AM2662" s="15"/>
      <c r="AN2662" s="15"/>
      <c r="AO2662" s="15"/>
      <c r="AP2662" s="15"/>
      <c r="AQ2662" s="15"/>
      <c r="AR2662" s="15"/>
      <c r="AS2662" s="15"/>
      <c r="AT2662" s="15"/>
      <c r="AU2662" s="15"/>
      <c r="AV2662" s="15"/>
      <c r="AW2662" s="15"/>
    </row>
    <row r="2663" spans="3:49" x14ac:dyDescent="0.2">
      <c r="C2663" s="15"/>
      <c r="D2663" s="15"/>
      <c r="E2663" s="15"/>
      <c r="F2663" s="15"/>
      <c r="G2663" s="15"/>
      <c r="H2663" s="15"/>
      <c r="I2663" s="15"/>
      <c r="J2663" s="15"/>
      <c r="K2663" s="15"/>
      <c r="L2663" s="28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5"/>
      <c r="AG2663" s="15"/>
      <c r="AH2663" s="15"/>
      <c r="AI2663" s="15"/>
      <c r="AJ2663" s="15"/>
      <c r="AK2663" s="15"/>
      <c r="AL2663" s="15"/>
      <c r="AM2663" s="15"/>
      <c r="AN2663" s="15"/>
      <c r="AO2663" s="15"/>
      <c r="AP2663" s="15"/>
      <c r="AQ2663" s="15"/>
      <c r="AR2663" s="15"/>
      <c r="AS2663" s="15"/>
      <c r="AT2663" s="15"/>
      <c r="AU2663" s="15"/>
      <c r="AV2663" s="15"/>
      <c r="AW2663" s="15"/>
    </row>
    <row r="2664" spans="3:49" x14ac:dyDescent="0.2">
      <c r="C2664" s="15"/>
      <c r="D2664" s="15"/>
      <c r="E2664" s="15"/>
      <c r="F2664" s="15"/>
      <c r="G2664" s="15"/>
      <c r="H2664" s="15"/>
      <c r="I2664" s="15"/>
      <c r="J2664" s="15"/>
      <c r="K2664" s="15"/>
      <c r="L2664" s="28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5"/>
      <c r="AG2664" s="15"/>
      <c r="AH2664" s="15"/>
      <c r="AI2664" s="15"/>
      <c r="AJ2664" s="15"/>
      <c r="AK2664" s="15"/>
      <c r="AL2664" s="15"/>
      <c r="AM2664" s="15"/>
      <c r="AN2664" s="15"/>
      <c r="AO2664" s="15"/>
      <c r="AP2664" s="15"/>
      <c r="AQ2664" s="15"/>
      <c r="AR2664" s="15"/>
      <c r="AS2664" s="15"/>
      <c r="AT2664" s="15"/>
      <c r="AU2664" s="15"/>
      <c r="AV2664" s="15"/>
      <c r="AW2664" s="15"/>
    </row>
    <row r="2665" spans="3:49" x14ac:dyDescent="0.2">
      <c r="C2665" s="15"/>
      <c r="D2665" s="15"/>
      <c r="E2665" s="15"/>
      <c r="F2665" s="15"/>
      <c r="G2665" s="15"/>
      <c r="H2665" s="15"/>
      <c r="I2665" s="15"/>
      <c r="J2665" s="15"/>
      <c r="K2665" s="15"/>
      <c r="L2665" s="28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5"/>
      <c r="AG2665" s="15"/>
      <c r="AH2665" s="15"/>
      <c r="AI2665" s="15"/>
      <c r="AJ2665" s="15"/>
      <c r="AK2665" s="15"/>
      <c r="AL2665" s="15"/>
      <c r="AM2665" s="15"/>
      <c r="AN2665" s="15"/>
      <c r="AO2665" s="15"/>
      <c r="AP2665" s="15"/>
      <c r="AQ2665" s="15"/>
      <c r="AR2665" s="15"/>
      <c r="AS2665" s="15"/>
      <c r="AT2665" s="15"/>
      <c r="AU2665" s="15"/>
      <c r="AV2665" s="15"/>
      <c r="AW2665" s="15"/>
    </row>
    <row r="2666" spans="3:49" x14ac:dyDescent="0.2">
      <c r="C2666" s="15"/>
      <c r="D2666" s="15"/>
      <c r="E2666" s="15"/>
      <c r="F2666" s="15"/>
      <c r="G2666" s="15"/>
      <c r="H2666" s="15"/>
      <c r="I2666" s="15"/>
      <c r="J2666" s="15"/>
      <c r="K2666" s="15"/>
      <c r="L2666" s="28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5"/>
      <c r="AG2666" s="15"/>
      <c r="AH2666" s="15"/>
      <c r="AI2666" s="15"/>
      <c r="AJ2666" s="15"/>
      <c r="AK2666" s="15"/>
      <c r="AL2666" s="15"/>
      <c r="AM2666" s="15"/>
      <c r="AN2666" s="15"/>
      <c r="AO2666" s="15"/>
      <c r="AP2666" s="15"/>
      <c r="AQ2666" s="15"/>
      <c r="AR2666" s="15"/>
      <c r="AS2666" s="15"/>
      <c r="AT2666" s="15"/>
      <c r="AU2666" s="15"/>
      <c r="AV2666" s="15"/>
      <c r="AW2666" s="15"/>
    </row>
    <row r="2667" spans="3:49" x14ac:dyDescent="0.2">
      <c r="C2667" s="15"/>
      <c r="D2667" s="15"/>
      <c r="E2667" s="15"/>
      <c r="F2667" s="15"/>
      <c r="G2667" s="15"/>
      <c r="H2667" s="15"/>
      <c r="I2667" s="15"/>
      <c r="J2667" s="15"/>
      <c r="K2667" s="15"/>
      <c r="L2667" s="28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5"/>
      <c r="AG2667" s="15"/>
      <c r="AH2667" s="15"/>
      <c r="AI2667" s="15"/>
      <c r="AJ2667" s="15"/>
      <c r="AK2667" s="15"/>
      <c r="AL2667" s="15"/>
      <c r="AM2667" s="15"/>
      <c r="AN2667" s="15"/>
      <c r="AO2667" s="15"/>
      <c r="AP2667" s="15"/>
      <c r="AQ2667" s="15"/>
      <c r="AR2667" s="15"/>
      <c r="AS2667" s="15"/>
      <c r="AT2667" s="15"/>
      <c r="AU2667" s="15"/>
      <c r="AV2667" s="15"/>
      <c r="AW2667" s="15"/>
    </row>
    <row r="2668" spans="3:49" x14ac:dyDescent="0.2">
      <c r="C2668" s="15"/>
      <c r="D2668" s="15"/>
      <c r="E2668" s="15"/>
      <c r="F2668" s="15"/>
      <c r="G2668" s="15"/>
      <c r="H2668" s="15"/>
      <c r="I2668" s="15"/>
      <c r="J2668" s="15"/>
      <c r="K2668" s="15"/>
      <c r="L2668" s="28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5"/>
      <c r="AG2668" s="15"/>
      <c r="AH2668" s="15"/>
      <c r="AI2668" s="15"/>
      <c r="AJ2668" s="15"/>
      <c r="AK2668" s="15"/>
      <c r="AL2668" s="15"/>
      <c r="AM2668" s="15"/>
      <c r="AN2668" s="15"/>
      <c r="AO2668" s="15"/>
      <c r="AP2668" s="15"/>
      <c r="AQ2668" s="15"/>
      <c r="AR2668" s="15"/>
      <c r="AS2668" s="15"/>
      <c r="AT2668" s="15"/>
      <c r="AU2668" s="15"/>
      <c r="AV2668" s="15"/>
      <c r="AW2668" s="15"/>
    </row>
    <row r="2669" spans="3:49" x14ac:dyDescent="0.2">
      <c r="C2669" s="15"/>
      <c r="D2669" s="15"/>
      <c r="E2669" s="15"/>
      <c r="F2669" s="15"/>
      <c r="G2669" s="15"/>
      <c r="H2669" s="15"/>
      <c r="I2669" s="15"/>
      <c r="J2669" s="15"/>
      <c r="K2669" s="15"/>
      <c r="L2669" s="28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5"/>
      <c r="AG2669" s="15"/>
      <c r="AH2669" s="15"/>
      <c r="AI2669" s="15"/>
      <c r="AJ2669" s="15"/>
      <c r="AK2669" s="15"/>
      <c r="AL2669" s="15"/>
      <c r="AM2669" s="15"/>
      <c r="AN2669" s="15"/>
      <c r="AO2669" s="15"/>
      <c r="AP2669" s="15"/>
      <c r="AQ2669" s="15"/>
      <c r="AR2669" s="15"/>
      <c r="AS2669" s="15"/>
      <c r="AT2669" s="15"/>
      <c r="AU2669" s="15"/>
      <c r="AV2669" s="15"/>
      <c r="AW2669" s="15"/>
    </row>
    <row r="2670" spans="3:49" x14ac:dyDescent="0.2">
      <c r="C2670" s="15"/>
      <c r="D2670" s="15"/>
      <c r="E2670" s="15"/>
      <c r="F2670" s="15"/>
      <c r="G2670" s="15"/>
      <c r="H2670" s="15"/>
      <c r="I2670" s="15"/>
      <c r="J2670" s="15"/>
      <c r="K2670" s="15"/>
      <c r="L2670" s="28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5"/>
      <c r="AG2670" s="15"/>
      <c r="AH2670" s="15"/>
      <c r="AI2670" s="15"/>
      <c r="AJ2670" s="15"/>
      <c r="AK2670" s="15"/>
      <c r="AL2670" s="15"/>
      <c r="AM2670" s="15"/>
      <c r="AN2670" s="15"/>
      <c r="AO2670" s="15"/>
      <c r="AP2670" s="15"/>
      <c r="AQ2670" s="15"/>
      <c r="AR2670" s="15"/>
      <c r="AS2670" s="15"/>
      <c r="AT2670" s="15"/>
      <c r="AU2670" s="15"/>
      <c r="AV2670" s="15"/>
      <c r="AW2670" s="15"/>
    </row>
    <row r="2671" spans="3:49" x14ac:dyDescent="0.2">
      <c r="C2671" s="15"/>
      <c r="D2671" s="15"/>
      <c r="E2671" s="15"/>
      <c r="F2671" s="15"/>
      <c r="G2671" s="15"/>
      <c r="H2671" s="15"/>
      <c r="I2671" s="15"/>
      <c r="J2671" s="15"/>
      <c r="K2671" s="15"/>
      <c r="L2671" s="28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5"/>
      <c r="AG2671" s="15"/>
      <c r="AH2671" s="15"/>
      <c r="AI2671" s="15"/>
      <c r="AJ2671" s="15"/>
      <c r="AK2671" s="15"/>
      <c r="AL2671" s="15"/>
      <c r="AM2671" s="15"/>
      <c r="AN2671" s="15"/>
      <c r="AO2671" s="15"/>
      <c r="AP2671" s="15"/>
      <c r="AQ2671" s="15"/>
      <c r="AR2671" s="15"/>
      <c r="AS2671" s="15"/>
      <c r="AT2671" s="15"/>
      <c r="AU2671" s="15"/>
      <c r="AV2671" s="15"/>
      <c r="AW2671" s="15"/>
    </row>
    <row r="2672" spans="3:49" x14ac:dyDescent="0.2">
      <c r="C2672" s="15"/>
      <c r="D2672" s="15"/>
      <c r="E2672" s="15"/>
      <c r="F2672" s="15"/>
      <c r="G2672" s="15"/>
      <c r="H2672" s="15"/>
      <c r="I2672" s="15"/>
      <c r="J2672" s="15"/>
      <c r="K2672" s="15"/>
      <c r="L2672" s="28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5"/>
      <c r="AG2672" s="15"/>
      <c r="AH2672" s="15"/>
      <c r="AI2672" s="15"/>
      <c r="AJ2672" s="15"/>
      <c r="AK2672" s="15"/>
      <c r="AL2672" s="15"/>
      <c r="AM2672" s="15"/>
      <c r="AN2672" s="15"/>
      <c r="AO2672" s="15"/>
      <c r="AP2672" s="15"/>
      <c r="AQ2672" s="15"/>
      <c r="AR2672" s="15"/>
      <c r="AS2672" s="15"/>
      <c r="AT2672" s="15"/>
      <c r="AU2672" s="15"/>
      <c r="AV2672" s="15"/>
      <c r="AW2672" s="15"/>
    </row>
    <row r="2673" spans="3:49" x14ac:dyDescent="0.2">
      <c r="C2673" s="15"/>
      <c r="D2673" s="15"/>
      <c r="E2673" s="15"/>
      <c r="F2673" s="15"/>
      <c r="G2673" s="15"/>
      <c r="H2673" s="15"/>
      <c r="I2673" s="15"/>
      <c r="J2673" s="15"/>
      <c r="K2673" s="15"/>
      <c r="L2673" s="28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5"/>
      <c r="AG2673" s="15"/>
      <c r="AH2673" s="15"/>
      <c r="AI2673" s="15"/>
      <c r="AJ2673" s="15"/>
      <c r="AK2673" s="15"/>
      <c r="AL2673" s="15"/>
      <c r="AM2673" s="15"/>
      <c r="AN2673" s="15"/>
      <c r="AO2673" s="15"/>
      <c r="AP2673" s="15"/>
      <c r="AQ2673" s="15"/>
      <c r="AR2673" s="15"/>
      <c r="AS2673" s="15"/>
      <c r="AT2673" s="15"/>
      <c r="AU2673" s="15"/>
      <c r="AV2673" s="15"/>
      <c r="AW2673" s="15"/>
    </row>
    <row r="2674" spans="3:49" x14ac:dyDescent="0.2">
      <c r="C2674" s="15"/>
      <c r="D2674" s="15"/>
      <c r="E2674" s="15"/>
      <c r="F2674" s="15"/>
      <c r="G2674" s="15"/>
      <c r="H2674" s="15"/>
      <c r="I2674" s="15"/>
      <c r="J2674" s="15"/>
      <c r="K2674" s="15"/>
      <c r="L2674" s="28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5"/>
      <c r="AG2674" s="15"/>
      <c r="AH2674" s="15"/>
      <c r="AI2674" s="15"/>
      <c r="AJ2674" s="15"/>
      <c r="AK2674" s="15"/>
      <c r="AL2674" s="15"/>
      <c r="AM2674" s="15"/>
      <c r="AN2674" s="15"/>
      <c r="AO2674" s="15"/>
      <c r="AP2674" s="15"/>
      <c r="AQ2674" s="15"/>
      <c r="AR2674" s="15"/>
      <c r="AS2674" s="15"/>
      <c r="AT2674" s="15"/>
      <c r="AU2674" s="15"/>
      <c r="AV2674" s="15"/>
      <c r="AW2674" s="15"/>
    </row>
    <row r="2675" spans="3:49" x14ac:dyDescent="0.2">
      <c r="C2675" s="15"/>
      <c r="D2675" s="15"/>
      <c r="E2675" s="15"/>
      <c r="F2675" s="15"/>
      <c r="G2675" s="15"/>
      <c r="H2675" s="15"/>
      <c r="I2675" s="15"/>
      <c r="J2675" s="15"/>
      <c r="K2675" s="15"/>
      <c r="L2675" s="28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5"/>
      <c r="AG2675" s="15"/>
      <c r="AH2675" s="15"/>
      <c r="AI2675" s="15"/>
      <c r="AJ2675" s="15"/>
      <c r="AK2675" s="15"/>
      <c r="AL2675" s="15"/>
      <c r="AM2675" s="15"/>
      <c r="AN2675" s="15"/>
      <c r="AO2675" s="15"/>
      <c r="AP2675" s="15"/>
      <c r="AQ2675" s="15"/>
      <c r="AR2675" s="15"/>
      <c r="AS2675" s="15"/>
      <c r="AT2675" s="15"/>
      <c r="AU2675" s="15"/>
      <c r="AV2675" s="15"/>
      <c r="AW2675" s="15"/>
    </row>
    <row r="2676" spans="3:49" x14ac:dyDescent="0.2">
      <c r="C2676" s="15"/>
      <c r="D2676" s="15"/>
      <c r="E2676" s="15"/>
      <c r="F2676" s="15"/>
      <c r="G2676" s="15"/>
      <c r="H2676" s="15"/>
      <c r="I2676" s="15"/>
      <c r="J2676" s="15"/>
      <c r="K2676" s="15"/>
      <c r="L2676" s="28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5"/>
      <c r="AG2676" s="15"/>
      <c r="AH2676" s="15"/>
      <c r="AI2676" s="15"/>
      <c r="AJ2676" s="15"/>
      <c r="AK2676" s="15"/>
      <c r="AL2676" s="15"/>
      <c r="AM2676" s="15"/>
      <c r="AN2676" s="15"/>
      <c r="AO2676" s="15"/>
      <c r="AP2676" s="15"/>
      <c r="AQ2676" s="15"/>
      <c r="AR2676" s="15"/>
      <c r="AS2676" s="15"/>
      <c r="AT2676" s="15"/>
      <c r="AU2676" s="15"/>
      <c r="AV2676" s="15"/>
      <c r="AW2676" s="15"/>
    </row>
    <row r="2677" spans="3:49" x14ac:dyDescent="0.2">
      <c r="C2677" s="15"/>
      <c r="D2677" s="15"/>
      <c r="E2677" s="15"/>
      <c r="F2677" s="15"/>
      <c r="G2677" s="15"/>
      <c r="H2677" s="15"/>
      <c r="I2677" s="15"/>
      <c r="J2677" s="15"/>
      <c r="K2677" s="15"/>
      <c r="L2677" s="28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5"/>
      <c r="AG2677" s="15"/>
      <c r="AH2677" s="15"/>
      <c r="AI2677" s="15"/>
      <c r="AJ2677" s="15"/>
      <c r="AK2677" s="15"/>
      <c r="AL2677" s="15"/>
      <c r="AM2677" s="15"/>
      <c r="AN2677" s="15"/>
      <c r="AO2677" s="15"/>
      <c r="AP2677" s="15"/>
      <c r="AQ2677" s="15"/>
      <c r="AR2677" s="15"/>
      <c r="AS2677" s="15"/>
      <c r="AT2677" s="15"/>
      <c r="AU2677" s="15"/>
      <c r="AV2677" s="15"/>
      <c r="AW2677" s="15"/>
    </row>
    <row r="2678" spans="3:49" x14ac:dyDescent="0.2">
      <c r="C2678" s="15"/>
      <c r="D2678" s="15"/>
      <c r="E2678" s="15"/>
      <c r="F2678" s="15"/>
      <c r="G2678" s="15"/>
      <c r="H2678" s="15"/>
      <c r="I2678" s="15"/>
      <c r="J2678" s="15"/>
      <c r="K2678" s="15"/>
      <c r="L2678" s="28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5"/>
      <c r="AG2678" s="15"/>
      <c r="AH2678" s="15"/>
      <c r="AI2678" s="15"/>
      <c r="AJ2678" s="15"/>
      <c r="AK2678" s="15"/>
      <c r="AL2678" s="15"/>
      <c r="AM2678" s="15"/>
      <c r="AN2678" s="15"/>
      <c r="AO2678" s="15"/>
      <c r="AP2678" s="15"/>
      <c r="AQ2678" s="15"/>
      <c r="AR2678" s="15"/>
      <c r="AS2678" s="15"/>
      <c r="AT2678" s="15"/>
      <c r="AU2678" s="15"/>
      <c r="AV2678" s="15"/>
      <c r="AW2678" s="15"/>
    </row>
    <row r="2679" spans="3:49" x14ac:dyDescent="0.2">
      <c r="C2679" s="15"/>
      <c r="D2679" s="15"/>
      <c r="E2679" s="15"/>
      <c r="F2679" s="15"/>
      <c r="G2679" s="15"/>
      <c r="H2679" s="15"/>
      <c r="I2679" s="15"/>
      <c r="J2679" s="15"/>
      <c r="K2679" s="15"/>
      <c r="L2679" s="28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5"/>
      <c r="AG2679" s="15"/>
      <c r="AH2679" s="15"/>
      <c r="AI2679" s="15"/>
      <c r="AJ2679" s="15"/>
      <c r="AK2679" s="15"/>
      <c r="AL2679" s="15"/>
      <c r="AM2679" s="15"/>
      <c r="AN2679" s="15"/>
      <c r="AO2679" s="15"/>
      <c r="AP2679" s="15"/>
      <c r="AQ2679" s="15"/>
      <c r="AR2679" s="15"/>
      <c r="AS2679" s="15"/>
      <c r="AT2679" s="15"/>
      <c r="AU2679" s="15"/>
      <c r="AV2679" s="15"/>
      <c r="AW2679" s="15"/>
    </row>
    <row r="2680" spans="3:49" x14ac:dyDescent="0.2">
      <c r="C2680" s="15"/>
      <c r="D2680" s="15"/>
      <c r="E2680" s="15"/>
      <c r="F2680" s="15"/>
      <c r="G2680" s="15"/>
      <c r="H2680" s="15"/>
      <c r="I2680" s="15"/>
      <c r="J2680" s="15"/>
      <c r="K2680" s="15"/>
      <c r="L2680" s="28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5"/>
      <c r="AG2680" s="15"/>
      <c r="AH2680" s="15"/>
      <c r="AI2680" s="15"/>
      <c r="AJ2680" s="15"/>
      <c r="AK2680" s="15"/>
      <c r="AL2680" s="15"/>
      <c r="AM2680" s="15"/>
      <c r="AN2680" s="15"/>
      <c r="AO2680" s="15"/>
      <c r="AP2680" s="15"/>
      <c r="AQ2680" s="15"/>
      <c r="AR2680" s="15"/>
      <c r="AS2680" s="15"/>
      <c r="AT2680" s="15"/>
      <c r="AU2680" s="15"/>
      <c r="AV2680" s="15"/>
      <c r="AW2680" s="15"/>
    </row>
    <row r="2681" spans="3:49" x14ac:dyDescent="0.2">
      <c r="C2681" s="15"/>
      <c r="D2681" s="15"/>
      <c r="E2681" s="15"/>
      <c r="F2681" s="15"/>
      <c r="G2681" s="15"/>
      <c r="H2681" s="15"/>
      <c r="I2681" s="15"/>
      <c r="J2681" s="15"/>
      <c r="K2681" s="15"/>
      <c r="L2681" s="28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5"/>
      <c r="AG2681" s="15"/>
      <c r="AH2681" s="15"/>
      <c r="AI2681" s="15"/>
      <c r="AJ2681" s="15"/>
      <c r="AK2681" s="15"/>
      <c r="AL2681" s="15"/>
      <c r="AM2681" s="15"/>
      <c r="AN2681" s="15"/>
      <c r="AO2681" s="15"/>
      <c r="AP2681" s="15"/>
      <c r="AQ2681" s="15"/>
      <c r="AR2681" s="15"/>
      <c r="AS2681" s="15"/>
      <c r="AT2681" s="15"/>
      <c r="AU2681" s="15"/>
      <c r="AV2681" s="15"/>
      <c r="AW2681" s="15"/>
    </row>
    <row r="2682" spans="3:49" x14ac:dyDescent="0.2">
      <c r="C2682" s="15"/>
      <c r="D2682" s="15"/>
      <c r="E2682" s="15"/>
      <c r="F2682" s="15"/>
      <c r="G2682" s="15"/>
      <c r="H2682" s="15"/>
      <c r="I2682" s="15"/>
      <c r="J2682" s="15"/>
      <c r="K2682" s="15"/>
      <c r="L2682" s="28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5"/>
      <c r="AG2682" s="15"/>
      <c r="AH2682" s="15"/>
      <c r="AI2682" s="15"/>
      <c r="AJ2682" s="15"/>
      <c r="AK2682" s="15"/>
      <c r="AL2682" s="15"/>
      <c r="AM2682" s="15"/>
      <c r="AN2682" s="15"/>
      <c r="AO2682" s="15"/>
      <c r="AP2682" s="15"/>
      <c r="AQ2682" s="15"/>
      <c r="AR2682" s="15"/>
      <c r="AS2682" s="15"/>
      <c r="AT2682" s="15"/>
      <c r="AU2682" s="15"/>
      <c r="AV2682" s="15"/>
      <c r="AW2682" s="15"/>
    </row>
    <row r="2683" spans="3:49" x14ac:dyDescent="0.2">
      <c r="C2683" s="15"/>
      <c r="D2683" s="15"/>
      <c r="E2683" s="15"/>
      <c r="F2683" s="15"/>
      <c r="G2683" s="15"/>
      <c r="H2683" s="15"/>
      <c r="I2683" s="15"/>
      <c r="J2683" s="15"/>
      <c r="K2683" s="15"/>
      <c r="L2683" s="28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5"/>
      <c r="AG2683" s="15"/>
      <c r="AH2683" s="15"/>
      <c r="AI2683" s="15"/>
      <c r="AJ2683" s="15"/>
      <c r="AK2683" s="15"/>
      <c r="AL2683" s="15"/>
      <c r="AM2683" s="15"/>
      <c r="AN2683" s="15"/>
      <c r="AO2683" s="15"/>
      <c r="AP2683" s="15"/>
      <c r="AQ2683" s="15"/>
      <c r="AR2683" s="15"/>
      <c r="AS2683" s="15"/>
      <c r="AT2683" s="15"/>
      <c r="AU2683" s="15"/>
      <c r="AV2683" s="15"/>
      <c r="AW2683" s="15"/>
    </row>
    <row r="2684" spans="3:49" x14ac:dyDescent="0.2">
      <c r="C2684" s="15"/>
      <c r="D2684" s="15"/>
      <c r="E2684" s="15"/>
      <c r="F2684" s="15"/>
      <c r="G2684" s="15"/>
      <c r="H2684" s="15"/>
      <c r="I2684" s="15"/>
      <c r="J2684" s="15"/>
      <c r="K2684" s="15"/>
      <c r="L2684" s="28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5"/>
      <c r="AG2684" s="15"/>
      <c r="AH2684" s="15"/>
      <c r="AI2684" s="15"/>
      <c r="AJ2684" s="15"/>
      <c r="AK2684" s="15"/>
      <c r="AL2684" s="15"/>
      <c r="AM2684" s="15"/>
      <c r="AN2684" s="15"/>
      <c r="AO2684" s="15"/>
      <c r="AP2684" s="15"/>
      <c r="AQ2684" s="15"/>
      <c r="AR2684" s="15"/>
      <c r="AS2684" s="15"/>
      <c r="AT2684" s="15"/>
      <c r="AU2684" s="15"/>
      <c r="AV2684" s="15"/>
      <c r="AW2684" s="15"/>
    </row>
    <row r="2685" spans="3:49" x14ac:dyDescent="0.2">
      <c r="C2685" s="15"/>
      <c r="D2685" s="15"/>
      <c r="E2685" s="15"/>
      <c r="F2685" s="15"/>
      <c r="G2685" s="15"/>
      <c r="H2685" s="15"/>
      <c r="I2685" s="15"/>
      <c r="J2685" s="15"/>
      <c r="K2685" s="15"/>
      <c r="L2685" s="28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5"/>
      <c r="AG2685" s="15"/>
      <c r="AH2685" s="15"/>
      <c r="AI2685" s="15"/>
      <c r="AJ2685" s="15"/>
      <c r="AK2685" s="15"/>
      <c r="AL2685" s="15"/>
      <c r="AM2685" s="15"/>
      <c r="AN2685" s="15"/>
      <c r="AO2685" s="15"/>
      <c r="AP2685" s="15"/>
      <c r="AQ2685" s="15"/>
      <c r="AR2685" s="15"/>
      <c r="AS2685" s="15"/>
      <c r="AT2685" s="15"/>
      <c r="AU2685" s="15"/>
      <c r="AV2685" s="15"/>
      <c r="AW2685" s="15"/>
    </row>
    <row r="2686" spans="3:49" x14ac:dyDescent="0.2">
      <c r="C2686" s="15"/>
      <c r="D2686" s="15"/>
      <c r="E2686" s="15"/>
      <c r="F2686" s="15"/>
      <c r="G2686" s="15"/>
      <c r="H2686" s="15"/>
      <c r="I2686" s="15"/>
      <c r="J2686" s="15"/>
      <c r="K2686" s="15"/>
      <c r="L2686" s="28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5"/>
      <c r="AG2686" s="15"/>
      <c r="AH2686" s="15"/>
      <c r="AI2686" s="15"/>
      <c r="AJ2686" s="15"/>
      <c r="AK2686" s="15"/>
      <c r="AL2686" s="15"/>
      <c r="AM2686" s="15"/>
      <c r="AN2686" s="15"/>
      <c r="AO2686" s="15"/>
      <c r="AP2686" s="15"/>
      <c r="AQ2686" s="15"/>
      <c r="AR2686" s="15"/>
      <c r="AS2686" s="15"/>
      <c r="AT2686" s="15"/>
      <c r="AU2686" s="15"/>
      <c r="AV2686" s="15"/>
      <c r="AW2686" s="15"/>
    </row>
    <row r="2687" spans="3:49" x14ac:dyDescent="0.2">
      <c r="C2687" s="15"/>
      <c r="D2687" s="15"/>
      <c r="E2687" s="15"/>
      <c r="F2687" s="15"/>
      <c r="G2687" s="15"/>
      <c r="H2687" s="15"/>
      <c r="I2687" s="15"/>
      <c r="J2687" s="15"/>
      <c r="K2687" s="15"/>
      <c r="L2687" s="28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5"/>
      <c r="AG2687" s="15"/>
      <c r="AH2687" s="15"/>
      <c r="AI2687" s="15"/>
      <c r="AJ2687" s="15"/>
      <c r="AK2687" s="15"/>
      <c r="AL2687" s="15"/>
      <c r="AM2687" s="15"/>
      <c r="AN2687" s="15"/>
      <c r="AO2687" s="15"/>
      <c r="AP2687" s="15"/>
      <c r="AQ2687" s="15"/>
      <c r="AR2687" s="15"/>
      <c r="AS2687" s="15"/>
      <c r="AT2687" s="15"/>
      <c r="AU2687" s="15"/>
      <c r="AV2687" s="15"/>
      <c r="AW2687" s="15"/>
    </row>
    <row r="2688" spans="3:49" x14ac:dyDescent="0.2">
      <c r="C2688" s="15"/>
      <c r="D2688" s="15"/>
      <c r="E2688" s="15"/>
      <c r="F2688" s="15"/>
      <c r="G2688" s="15"/>
      <c r="H2688" s="15"/>
      <c r="I2688" s="15"/>
      <c r="J2688" s="15"/>
      <c r="K2688" s="15"/>
      <c r="L2688" s="28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5"/>
      <c r="AG2688" s="15"/>
      <c r="AH2688" s="15"/>
      <c r="AI2688" s="15"/>
      <c r="AJ2688" s="15"/>
      <c r="AK2688" s="15"/>
      <c r="AL2688" s="15"/>
      <c r="AM2688" s="15"/>
      <c r="AN2688" s="15"/>
      <c r="AO2688" s="15"/>
      <c r="AP2688" s="15"/>
      <c r="AQ2688" s="15"/>
      <c r="AR2688" s="15"/>
      <c r="AS2688" s="15"/>
      <c r="AT2688" s="15"/>
      <c r="AU2688" s="15"/>
      <c r="AV2688" s="15"/>
      <c r="AW2688" s="15"/>
    </row>
    <row r="2689" spans="3:49" x14ac:dyDescent="0.2">
      <c r="C2689" s="15"/>
      <c r="D2689" s="15"/>
      <c r="E2689" s="15"/>
      <c r="F2689" s="15"/>
      <c r="G2689" s="15"/>
      <c r="H2689" s="15"/>
      <c r="I2689" s="15"/>
      <c r="J2689" s="15"/>
      <c r="K2689" s="15"/>
      <c r="L2689" s="28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5"/>
      <c r="AG2689" s="15"/>
      <c r="AH2689" s="15"/>
      <c r="AI2689" s="15"/>
      <c r="AJ2689" s="15"/>
      <c r="AK2689" s="15"/>
      <c r="AL2689" s="15"/>
      <c r="AM2689" s="15"/>
      <c r="AN2689" s="15"/>
      <c r="AO2689" s="15"/>
      <c r="AP2689" s="15"/>
      <c r="AQ2689" s="15"/>
      <c r="AR2689" s="15"/>
      <c r="AS2689" s="15"/>
      <c r="AT2689" s="15"/>
      <c r="AU2689" s="15"/>
      <c r="AV2689" s="15"/>
      <c r="AW2689" s="15"/>
    </row>
    <row r="2690" spans="3:49" x14ac:dyDescent="0.2">
      <c r="C2690" s="15"/>
      <c r="D2690" s="15"/>
      <c r="E2690" s="15"/>
      <c r="F2690" s="15"/>
      <c r="G2690" s="15"/>
      <c r="H2690" s="15"/>
      <c r="I2690" s="15"/>
      <c r="J2690" s="15"/>
      <c r="K2690" s="15"/>
      <c r="L2690" s="28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5"/>
      <c r="AG2690" s="15"/>
      <c r="AH2690" s="15"/>
      <c r="AI2690" s="15"/>
      <c r="AJ2690" s="15"/>
      <c r="AK2690" s="15"/>
      <c r="AL2690" s="15"/>
      <c r="AM2690" s="15"/>
      <c r="AN2690" s="15"/>
      <c r="AO2690" s="15"/>
      <c r="AP2690" s="15"/>
      <c r="AQ2690" s="15"/>
      <c r="AR2690" s="15"/>
      <c r="AS2690" s="15"/>
      <c r="AT2690" s="15"/>
      <c r="AU2690" s="15"/>
      <c r="AV2690" s="15"/>
      <c r="AW2690" s="15"/>
    </row>
    <row r="2691" spans="3:49" x14ac:dyDescent="0.2">
      <c r="C2691" s="15"/>
      <c r="D2691" s="15"/>
      <c r="E2691" s="15"/>
      <c r="F2691" s="15"/>
      <c r="G2691" s="15"/>
      <c r="H2691" s="15"/>
      <c r="I2691" s="15"/>
      <c r="J2691" s="15"/>
      <c r="K2691" s="15"/>
      <c r="L2691" s="28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5"/>
      <c r="AG2691" s="15"/>
      <c r="AH2691" s="15"/>
      <c r="AI2691" s="15"/>
      <c r="AJ2691" s="15"/>
      <c r="AK2691" s="15"/>
      <c r="AL2691" s="15"/>
      <c r="AM2691" s="15"/>
      <c r="AN2691" s="15"/>
      <c r="AO2691" s="15"/>
      <c r="AP2691" s="15"/>
      <c r="AQ2691" s="15"/>
      <c r="AR2691" s="15"/>
      <c r="AS2691" s="15"/>
      <c r="AT2691" s="15"/>
      <c r="AU2691" s="15"/>
      <c r="AV2691" s="15"/>
      <c r="AW2691" s="15"/>
    </row>
    <row r="2692" spans="3:49" x14ac:dyDescent="0.2">
      <c r="C2692" s="15"/>
      <c r="D2692" s="15"/>
      <c r="E2692" s="15"/>
      <c r="F2692" s="15"/>
      <c r="G2692" s="15"/>
      <c r="H2692" s="15"/>
      <c r="I2692" s="15"/>
      <c r="J2692" s="15"/>
      <c r="K2692" s="15"/>
      <c r="L2692" s="28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5"/>
      <c r="AG2692" s="15"/>
      <c r="AH2692" s="15"/>
      <c r="AI2692" s="15"/>
      <c r="AJ2692" s="15"/>
      <c r="AK2692" s="15"/>
      <c r="AL2692" s="15"/>
      <c r="AM2692" s="15"/>
      <c r="AN2692" s="15"/>
      <c r="AO2692" s="15"/>
      <c r="AP2692" s="15"/>
      <c r="AQ2692" s="15"/>
      <c r="AR2692" s="15"/>
      <c r="AS2692" s="15"/>
      <c r="AT2692" s="15"/>
      <c r="AU2692" s="15"/>
      <c r="AV2692" s="15"/>
      <c r="AW2692" s="15"/>
    </row>
    <row r="2693" spans="3:49" x14ac:dyDescent="0.2">
      <c r="C2693" s="15"/>
      <c r="D2693" s="15"/>
      <c r="E2693" s="15"/>
      <c r="F2693" s="15"/>
      <c r="G2693" s="15"/>
      <c r="H2693" s="15"/>
      <c r="I2693" s="15"/>
      <c r="J2693" s="15"/>
      <c r="K2693" s="15"/>
      <c r="L2693" s="28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5"/>
      <c r="AG2693" s="15"/>
      <c r="AH2693" s="15"/>
      <c r="AI2693" s="15"/>
      <c r="AJ2693" s="15"/>
      <c r="AK2693" s="15"/>
      <c r="AL2693" s="15"/>
      <c r="AM2693" s="15"/>
      <c r="AN2693" s="15"/>
      <c r="AO2693" s="15"/>
      <c r="AP2693" s="15"/>
      <c r="AQ2693" s="15"/>
      <c r="AR2693" s="15"/>
      <c r="AS2693" s="15"/>
      <c r="AT2693" s="15"/>
      <c r="AU2693" s="15"/>
      <c r="AV2693" s="15"/>
      <c r="AW2693" s="15"/>
    </row>
    <row r="2694" spans="3:49" x14ac:dyDescent="0.2">
      <c r="C2694" s="15"/>
      <c r="D2694" s="15"/>
      <c r="E2694" s="15"/>
      <c r="F2694" s="15"/>
      <c r="G2694" s="15"/>
      <c r="H2694" s="15"/>
      <c r="I2694" s="15"/>
      <c r="J2694" s="15"/>
      <c r="K2694" s="15"/>
      <c r="L2694" s="28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5"/>
      <c r="AG2694" s="15"/>
      <c r="AH2694" s="15"/>
      <c r="AI2694" s="15"/>
      <c r="AJ2694" s="15"/>
      <c r="AK2694" s="15"/>
      <c r="AL2694" s="15"/>
      <c r="AM2694" s="15"/>
      <c r="AN2694" s="15"/>
      <c r="AO2694" s="15"/>
      <c r="AP2694" s="15"/>
      <c r="AQ2694" s="15"/>
      <c r="AR2694" s="15"/>
      <c r="AS2694" s="15"/>
      <c r="AT2694" s="15"/>
      <c r="AU2694" s="15"/>
      <c r="AV2694" s="15"/>
      <c r="AW2694" s="15"/>
    </row>
    <row r="2695" spans="3:49" x14ac:dyDescent="0.2">
      <c r="C2695" s="15"/>
      <c r="D2695" s="15"/>
      <c r="E2695" s="15"/>
      <c r="F2695" s="15"/>
      <c r="G2695" s="15"/>
      <c r="H2695" s="15"/>
      <c r="I2695" s="15"/>
      <c r="J2695" s="15"/>
      <c r="K2695" s="15"/>
      <c r="L2695" s="28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5"/>
      <c r="AG2695" s="15"/>
      <c r="AH2695" s="15"/>
      <c r="AI2695" s="15"/>
      <c r="AJ2695" s="15"/>
      <c r="AK2695" s="15"/>
      <c r="AL2695" s="15"/>
      <c r="AM2695" s="15"/>
      <c r="AN2695" s="15"/>
      <c r="AO2695" s="15"/>
      <c r="AP2695" s="15"/>
      <c r="AQ2695" s="15"/>
      <c r="AR2695" s="15"/>
      <c r="AS2695" s="15"/>
      <c r="AT2695" s="15"/>
      <c r="AU2695" s="15"/>
      <c r="AV2695" s="15"/>
      <c r="AW2695" s="15"/>
    </row>
    <row r="2696" spans="3:49" x14ac:dyDescent="0.2">
      <c r="C2696" s="15"/>
      <c r="D2696" s="15"/>
      <c r="E2696" s="15"/>
      <c r="F2696" s="15"/>
      <c r="G2696" s="15"/>
      <c r="H2696" s="15"/>
      <c r="I2696" s="15"/>
      <c r="J2696" s="15"/>
      <c r="K2696" s="15"/>
      <c r="L2696" s="28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5"/>
      <c r="AG2696" s="15"/>
      <c r="AH2696" s="15"/>
      <c r="AI2696" s="15"/>
      <c r="AJ2696" s="15"/>
      <c r="AK2696" s="15"/>
      <c r="AL2696" s="15"/>
      <c r="AM2696" s="15"/>
      <c r="AN2696" s="15"/>
      <c r="AO2696" s="15"/>
      <c r="AP2696" s="15"/>
      <c r="AQ2696" s="15"/>
      <c r="AR2696" s="15"/>
      <c r="AS2696" s="15"/>
      <c r="AT2696" s="15"/>
      <c r="AU2696" s="15"/>
      <c r="AV2696" s="15"/>
      <c r="AW2696" s="15"/>
    </row>
    <row r="2697" spans="3:49" x14ac:dyDescent="0.2">
      <c r="C2697" s="15"/>
      <c r="D2697" s="15"/>
      <c r="E2697" s="15"/>
      <c r="F2697" s="15"/>
      <c r="G2697" s="15"/>
      <c r="H2697" s="15"/>
      <c r="I2697" s="15"/>
      <c r="J2697" s="15"/>
      <c r="K2697" s="15"/>
      <c r="L2697" s="28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5"/>
      <c r="AG2697" s="15"/>
      <c r="AH2697" s="15"/>
      <c r="AI2697" s="15"/>
      <c r="AJ2697" s="15"/>
      <c r="AK2697" s="15"/>
      <c r="AL2697" s="15"/>
      <c r="AM2697" s="15"/>
      <c r="AN2697" s="15"/>
      <c r="AO2697" s="15"/>
      <c r="AP2697" s="15"/>
      <c r="AQ2697" s="15"/>
      <c r="AR2697" s="15"/>
      <c r="AS2697" s="15"/>
      <c r="AT2697" s="15"/>
      <c r="AU2697" s="15"/>
      <c r="AV2697" s="15"/>
      <c r="AW2697" s="15"/>
    </row>
    <row r="2698" spans="3:49" x14ac:dyDescent="0.2">
      <c r="C2698" s="15"/>
      <c r="D2698" s="15"/>
      <c r="E2698" s="15"/>
      <c r="F2698" s="15"/>
      <c r="G2698" s="15"/>
      <c r="H2698" s="15"/>
      <c r="I2698" s="15"/>
      <c r="J2698" s="15"/>
      <c r="K2698" s="15"/>
      <c r="L2698" s="28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5"/>
      <c r="AG2698" s="15"/>
      <c r="AH2698" s="15"/>
      <c r="AI2698" s="15"/>
      <c r="AJ2698" s="15"/>
      <c r="AK2698" s="15"/>
      <c r="AL2698" s="15"/>
      <c r="AM2698" s="15"/>
      <c r="AN2698" s="15"/>
      <c r="AO2698" s="15"/>
      <c r="AP2698" s="15"/>
      <c r="AQ2698" s="15"/>
      <c r="AR2698" s="15"/>
      <c r="AS2698" s="15"/>
      <c r="AT2698" s="15"/>
      <c r="AU2698" s="15"/>
      <c r="AV2698" s="15"/>
      <c r="AW2698" s="15"/>
    </row>
    <row r="2699" spans="3:49" x14ac:dyDescent="0.2">
      <c r="C2699" s="15"/>
      <c r="D2699" s="15"/>
      <c r="E2699" s="15"/>
      <c r="F2699" s="15"/>
      <c r="G2699" s="15"/>
      <c r="H2699" s="15"/>
      <c r="I2699" s="15"/>
      <c r="J2699" s="15"/>
      <c r="K2699" s="15"/>
      <c r="L2699" s="28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5"/>
      <c r="AG2699" s="15"/>
      <c r="AH2699" s="15"/>
      <c r="AI2699" s="15"/>
      <c r="AJ2699" s="15"/>
      <c r="AK2699" s="15"/>
      <c r="AL2699" s="15"/>
      <c r="AM2699" s="15"/>
      <c r="AN2699" s="15"/>
      <c r="AO2699" s="15"/>
      <c r="AP2699" s="15"/>
      <c r="AQ2699" s="15"/>
      <c r="AR2699" s="15"/>
      <c r="AS2699" s="15"/>
      <c r="AT2699" s="15"/>
      <c r="AU2699" s="15"/>
      <c r="AV2699" s="15"/>
      <c r="AW2699" s="15"/>
    </row>
    <row r="2700" spans="3:49" x14ac:dyDescent="0.2">
      <c r="C2700" s="15"/>
      <c r="D2700" s="15"/>
      <c r="E2700" s="15"/>
      <c r="F2700" s="15"/>
      <c r="G2700" s="15"/>
      <c r="H2700" s="15"/>
      <c r="I2700" s="15"/>
      <c r="J2700" s="15"/>
      <c r="K2700" s="15"/>
      <c r="L2700" s="28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5"/>
      <c r="AG2700" s="15"/>
      <c r="AH2700" s="15"/>
      <c r="AI2700" s="15"/>
      <c r="AJ2700" s="15"/>
      <c r="AK2700" s="15"/>
      <c r="AL2700" s="15"/>
      <c r="AM2700" s="15"/>
      <c r="AN2700" s="15"/>
      <c r="AO2700" s="15"/>
      <c r="AP2700" s="15"/>
      <c r="AQ2700" s="15"/>
      <c r="AR2700" s="15"/>
      <c r="AS2700" s="15"/>
      <c r="AT2700" s="15"/>
      <c r="AU2700" s="15"/>
      <c r="AV2700" s="15"/>
      <c r="AW2700" s="15"/>
    </row>
    <row r="2701" spans="3:49" x14ac:dyDescent="0.2">
      <c r="C2701" s="15"/>
      <c r="D2701" s="15"/>
      <c r="E2701" s="15"/>
      <c r="F2701" s="15"/>
      <c r="G2701" s="15"/>
      <c r="H2701" s="15"/>
      <c r="I2701" s="15"/>
      <c r="J2701" s="15"/>
      <c r="K2701" s="15"/>
      <c r="L2701" s="28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5"/>
      <c r="AG2701" s="15"/>
      <c r="AH2701" s="15"/>
      <c r="AI2701" s="15"/>
      <c r="AJ2701" s="15"/>
      <c r="AK2701" s="15"/>
      <c r="AL2701" s="15"/>
      <c r="AM2701" s="15"/>
      <c r="AN2701" s="15"/>
      <c r="AO2701" s="15"/>
      <c r="AP2701" s="15"/>
      <c r="AQ2701" s="15"/>
      <c r="AR2701" s="15"/>
      <c r="AS2701" s="15"/>
      <c r="AT2701" s="15"/>
      <c r="AU2701" s="15"/>
      <c r="AV2701" s="15"/>
      <c r="AW2701" s="15"/>
    </row>
    <row r="2702" spans="3:49" x14ac:dyDescent="0.2">
      <c r="C2702" s="15"/>
      <c r="D2702" s="15"/>
      <c r="E2702" s="15"/>
      <c r="F2702" s="15"/>
      <c r="G2702" s="15"/>
      <c r="H2702" s="15"/>
      <c r="I2702" s="15"/>
      <c r="J2702" s="15"/>
      <c r="K2702" s="15"/>
      <c r="L2702" s="28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5"/>
      <c r="AG2702" s="15"/>
      <c r="AH2702" s="15"/>
      <c r="AI2702" s="15"/>
      <c r="AJ2702" s="15"/>
      <c r="AK2702" s="15"/>
      <c r="AL2702" s="15"/>
      <c r="AM2702" s="15"/>
      <c r="AN2702" s="15"/>
      <c r="AO2702" s="15"/>
      <c r="AP2702" s="15"/>
      <c r="AQ2702" s="15"/>
      <c r="AR2702" s="15"/>
      <c r="AS2702" s="15"/>
      <c r="AT2702" s="15"/>
      <c r="AU2702" s="15"/>
      <c r="AV2702" s="15"/>
      <c r="AW2702" s="15"/>
    </row>
    <row r="2703" spans="3:49" x14ac:dyDescent="0.2">
      <c r="C2703" s="15"/>
      <c r="D2703" s="15"/>
      <c r="E2703" s="15"/>
      <c r="F2703" s="15"/>
      <c r="G2703" s="15"/>
      <c r="H2703" s="15"/>
      <c r="I2703" s="15"/>
      <c r="J2703" s="15"/>
      <c r="K2703" s="15"/>
      <c r="L2703" s="28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5"/>
      <c r="AG2703" s="15"/>
      <c r="AH2703" s="15"/>
      <c r="AI2703" s="15"/>
      <c r="AJ2703" s="15"/>
      <c r="AK2703" s="15"/>
      <c r="AL2703" s="15"/>
      <c r="AM2703" s="15"/>
      <c r="AN2703" s="15"/>
      <c r="AO2703" s="15"/>
      <c r="AP2703" s="15"/>
      <c r="AQ2703" s="15"/>
      <c r="AR2703" s="15"/>
      <c r="AS2703" s="15"/>
      <c r="AT2703" s="15"/>
      <c r="AU2703" s="15"/>
      <c r="AV2703" s="15"/>
      <c r="AW2703" s="15"/>
    </row>
    <row r="2704" spans="3:49" x14ac:dyDescent="0.2">
      <c r="C2704" s="15"/>
      <c r="D2704" s="15"/>
      <c r="E2704" s="15"/>
      <c r="F2704" s="15"/>
      <c r="G2704" s="15"/>
      <c r="H2704" s="15"/>
      <c r="I2704" s="15"/>
      <c r="J2704" s="15"/>
      <c r="K2704" s="15"/>
      <c r="L2704" s="28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5"/>
      <c r="AG2704" s="15"/>
      <c r="AH2704" s="15"/>
      <c r="AI2704" s="15"/>
      <c r="AJ2704" s="15"/>
      <c r="AK2704" s="15"/>
      <c r="AL2704" s="15"/>
      <c r="AM2704" s="15"/>
      <c r="AN2704" s="15"/>
      <c r="AO2704" s="15"/>
      <c r="AP2704" s="15"/>
      <c r="AQ2704" s="15"/>
      <c r="AR2704" s="15"/>
      <c r="AS2704" s="15"/>
      <c r="AT2704" s="15"/>
      <c r="AU2704" s="15"/>
      <c r="AV2704" s="15"/>
      <c r="AW2704" s="15"/>
    </row>
    <row r="2705" spans="3:49" x14ac:dyDescent="0.2">
      <c r="C2705" s="15"/>
      <c r="D2705" s="15"/>
      <c r="E2705" s="15"/>
      <c r="F2705" s="15"/>
      <c r="G2705" s="15"/>
      <c r="H2705" s="15"/>
      <c r="I2705" s="15"/>
      <c r="J2705" s="15"/>
      <c r="K2705" s="15"/>
      <c r="L2705" s="28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5"/>
      <c r="AG2705" s="15"/>
      <c r="AH2705" s="15"/>
      <c r="AI2705" s="15"/>
      <c r="AJ2705" s="15"/>
      <c r="AK2705" s="15"/>
      <c r="AL2705" s="15"/>
      <c r="AM2705" s="15"/>
      <c r="AN2705" s="15"/>
      <c r="AO2705" s="15"/>
      <c r="AP2705" s="15"/>
      <c r="AQ2705" s="15"/>
      <c r="AR2705" s="15"/>
      <c r="AS2705" s="15"/>
      <c r="AT2705" s="15"/>
      <c r="AU2705" s="15"/>
      <c r="AV2705" s="15"/>
      <c r="AW2705" s="15"/>
    </row>
    <row r="2706" spans="3:49" x14ac:dyDescent="0.2">
      <c r="C2706" s="15"/>
      <c r="D2706" s="15"/>
      <c r="E2706" s="15"/>
      <c r="F2706" s="15"/>
      <c r="G2706" s="15"/>
      <c r="H2706" s="15"/>
      <c r="I2706" s="15"/>
      <c r="J2706" s="15"/>
      <c r="K2706" s="15"/>
      <c r="L2706" s="28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5"/>
      <c r="AG2706" s="15"/>
      <c r="AH2706" s="15"/>
      <c r="AI2706" s="15"/>
      <c r="AJ2706" s="15"/>
      <c r="AK2706" s="15"/>
      <c r="AL2706" s="15"/>
      <c r="AM2706" s="15"/>
      <c r="AN2706" s="15"/>
      <c r="AO2706" s="15"/>
      <c r="AP2706" s="15"/>
      <c r="AQ2706" s="15"/>
      <c r="AR2706" s="15"/>
      <c r="AS2706" s="15"/>
      <c r="AT2706" s="15"/>
      <c r="AU2706" s="15"/>
      <c r="AV2706" s="15"/>
      <c r="AW2706" s="15"/>
    </row>
    <row r="2707" spans="3:49" x14ac:dyDescent="0.2">
      <c r="C2707" s="15"/>
      <c r="D2707" s="15"/>
      <c r="E2707" s="15"/>
      <c r="F2707" s="15"/>
      <c r="G2707" s="15"/>
      <c r="H2707" s="15"/>
      <c r="I2707" s="15"/>
      <c r="J2707" s="15"/>
      <c r="K2707" s="15"/>
      <c r="L2707" s="28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5"/>
      <c r="AG2707" s="15"/>
      <c r="AH2707" s="15"/>
      <c r="AI2707" s="15"/>
      <c r="AJ2707" s="15"/>
      <c r="AK2707" s="15"/>
      <c r="AL2707" s="15"/>
      <c r="AM2707" s="15"/>
      <c r="AN2707" s="15"/>
      <c r="AO2707" s="15"/>
      <c r="AP2707" s="15"/>
      <c r="AQ2707" s="15"/>
      <c r="AR2707" s="15"/>
      <c r="AS2707" s="15"/>
      <c r="AT2707" s="15"/>
      <c r="AU2707" s="15"/>
      <c r="AV2707" s="15"/>
      <c r="AW2707" s="15"/>
    </row>
    <row r="2708" spans="3:49" x14ac:dyDescent="0.2">
      <c r="C2708" s="15"/>
      <c r="D2708" s="15"/>
      <c r="E2708" s="15"/>
      <c r="F2708" s="15"/>
      <c r="G2708" s="15"/>
      <c r="H2708" s="15"/>
      <c r="I2708" s="15"/>
      <c r="J2708" s="15"/>
      <c r="K2708" s="15"/>
      <c r="L2708" s="28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5"/>
      <c r="AG2708" s="15"/>
      <c r="AH2708" s="15"/>
      <c r="AI2708" s="15"/>
      <c r="AJ2708" s="15"/>
      <c r="AK2708" s="15"/>
      <c r="AL2708" s="15"/>
      <c r="AM2708" s="15"/>
      <c r="AN2708" s="15"/>
      <c r="AO2708" s="15"/>
      <c r="AP2708" s="15"/>
      <c r="AQ2708" s="15"/>
      <c r="AR2708" s="15"/>
      <c r="AS2708" s="15"/>
      <c r="AT2708" s="15"/>
      <c r="AU2708" s="15"/>
      <c r="AV2708" s="15"/>
      <c r="AW2708" s="15"/>
    </row>
    <row r="2709" spans="3:49" x14ac:dyDescent="0.2">
      <c r="C2709" s="15"/>
      <c r="D2709" s="15"/>
      <c r="E2709" s="15"/>
      <c r="F2709" s="15"/>
      <c r="G2709" s="15"/>
      <c r="H2709" s="15"/>
      <c r="I2709" s="15"/>
      <c r="J2709" s="15"/>
      <c r="K2709" s="15"/>
      <c r="L2709" s="28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5"/>
      <c r="AG2709" s="15"/>
      <c r="AH2709" s="15"/>
      <c r="AI2709" s="15"/>
      <c r="AJ2709" s="15"/>
      <c r="AK2709" s="15"/>
      <c r="AL2709" s="15"/>
      <c r="AM2709" s="15"/>
      <c r="AN2709" s="15"/>
      <c r="AO2709" s="15"/>
      <c r="AP2709" s="15"/>
      <c r="AQ2709" s="15"/>
      <c r="AR2709" s="15"/>
      <c r="AS2709" s="15"/>
      <c r="AT2709" s="15"/>
      <c r="AU2709" s="15"/>
      <c r="AV2709" s="15"/>
      <c r="AW2709" s="15"/>
    </row>
    <row r="2710" spans="3:49" x14ac:dyDescent="0.2">
      <c r="C2710" s="15"/>
      <c r="D2710" s="15"/>
      <c r="E2710" s="15"/>
      <c r="F2710" s="15"/>
      <c r="G2710" s="15"/>
      <c r="H2710" s="15"/>
      <c r="I2710" s="15"/>
      <c r="J2710" s="15"/>
      <c r="K2710" s="15"/>
      <c r="L2710" s="28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5"/>
      <c r="AG2710" s="15"/>
      <c r="AH2710" s="15"/>
      <c r="AI2710" s="15"/>
      <c r="AJ2710" s="15"/>
      <c r="AK2710" s="15"/>
      <c r="AL2710" s="15"/>
      <c r="AM2710" s="15"/>
      <c r="AN2710" s="15"/>
      <c r="AO2710" s="15"/>
      <c r="AP2710" s="15"/>
      <c r="AQ2710" s="15"/>
      <c r="AR2710" s="15"/>
      <c r="AS2710" s="15"/>
      <c r="AT2710" s="15"/>
      <c r="AU2710" s="15"/>
      <c r="AV2710" s="15"/>
      <c r="AW2710" s="15"/>
    </row>
    <row r="2711" spans="3:49" x14ac:dyDescent="0.2">
      <c r="C2711" s="15"/>
      <c r="D2711" s="15"/>
      <c r="E2711" s="15"/>
      <c r="F2711" s="15"/>
      <c r="G2711" s="15"/>
      <c r="H2711" s="15"/>
      <c r="I2711" s="15"/>
      <c r="J2711" s="15"/>
      <c r="K2711" s="15"/>
      <c r="L2711" s="28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5"/>
      <c r="AG2711" s="15"/>
      <c r="AH2711" s="15"/>
      <c r="AI2711" s="15"/>
      <c r="AJ2711" s="15"/>
      <c r="AK2711" s="15"/>
      <c r="AL2711" s="15"/>
      <c r="AM2711" s="15"/>
      <c r="AN2711" s="15"/>
      <c r="AO2711" s="15"/>
      <c r="AP2711" s="15"/>
      <c r="AQ2711" s="15"/>
      <c r="AR2711" s="15"/>
      <c r="AS2711" s="15"/>
      <c r="AT2711" s="15"/>
      <c r="AU2711" s="15"/>
      <c r="AV2711" s="15"/>
      <c r="AW2711" s="15"/>
    </row>
    <row r="2712" spans="3:49" x14ac:dyDescent="0.2">
      <c r="C2712" s="15"/>
      <c r="D2712" s="15"/>
      <c r="E2712" s="15"/>
      <c r="F2712" s="15"/>
      <c r="G2712" s="15"/>
      <c r="H2712" s="15"/>
      <c r="I2712" s="15"/>
      <c r="J2712" s="15"/>
      <c r="K2712" s="15"/>
      <c r="L2712" s="28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5"/>
      <c r="AG2712" s="15"/>
      <c r="AH2712" s="15"/>
      <c r="AI2712" s="15"/>
      <c r="AJ2712" s="15"/>
      <c r="AK2712" s="15"/>
      <c r="AL2712" s="15"/>
      <c r="AM2712" s="15"/>
      <c r="AN2712" s="15"/>
      <c r="AO2712" s="15"/>
      <c r="AP2712" s="15"/>
      <c r="AQ2712" s="15"/>
      <c r="AR2712" s="15"/>
      <c r="AS2712" s="15"/>
      <c r="AT2712" s="15"/>
      <c r="AU2712" s="15"/>
      <c r="AV2712" s="15"/>
      <c r="AW2712" s="15"/>
    </row>
    <row r="2713" spans="3:49" x14ac:dyDescent="0.2">
      <c r="C2713" s="15"/>
      <c r="D2713" s="15"/>
      <c r="E2713" s="15"/>
      <c r="F2713" s="15"/>
      <c r="G2713" s="15"/>
      <c r="H2713" s="15"/>
      <c r="I2713" s="15"/>
      <c r="J2713" s="15"/>
      <c r="K2713" s="15"/>
      <c r="L2713" s="28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5"/>
      <c r="AG2713" s="15"/>
      <c r="AH2713" s="15"/>
      <c r="AI2713" s="15"/>
      <c r="AJ2713" s="15"/>
      <c r="AK2713" s="15"/>
      <c r="AL2713" s="15"/>
      <c r="AM2713" s="15"/>
      <c r="AN2713" s="15"/>
      <c r="AO2713" s="15"/>
      <c r="AP2713" s="15"/>
      <c r="AQ2713" s="15"/>
      <c r="AR2713" s="15"/>
      <c r="AS2713" s="15"/>
      <c r="AT2713" s="15"/>
      <c r="AU2713" s="15"/>
      <c r="AV2713" s="15"/>
      <c r="AW2713" s="15"/>
    </row>
    <row r="2714" spans="3:49" x14ac:dyDescent="0.2">
      <c r="C2714" s="15"/>
      <c r="D2714" s="15"/>
      <c r="E2714" s="15"/>
      <c r="F2714" s="15"/>
      <c r="G2714" s="15"/>
      <c r="H2714" s="15"/>
      <c r="I2714" s="15"/>
      <c r="J2714" s="15"/>
      <c r="K2714" s="15"/>
      <c r="L2714" s="28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5"/>
      <c r="AG2714" s="15"/>
      <c r="AH2714" s="15"/>
      <c r="AI2714" s="15"/>
      <c r="AJ2714" s="15"/>
      <c r="AK2714" s="15"/>
      <c r="AL2714" s="15"/>
      <c r="AM2714" s="15"/>
      <c r="AN2714" s="15"/>
      <c r="AO2714" s="15"/>
      <c r="AP2714" s="15"/>
      <c r="AQ2714" s="15"/>
      <c r="AR2714" s="15"/>
      <c r="AS2714" s="15"/>
      <c r="AT2714" s="15"/>
      <c r="AU2714" s="15"/>
      <c r="AV2714" s="15"/>
      <c r="AW2714" s="15"/>
    </row>
    <row r="2715" spans="3:49" x14ac:dyDescent="0.2">
      <c r="C2715" s="15"/>
      <c r="D2715" s="15"/>
      <c r="E2715" s="15"/>
      <c r="F2715" s="15"/>
      <c r="G2715" s="15"/>
      <c r="H2715" s="15"/>
      <c r="I2715" s="15"/>
      <c r="J2715" s="15"/>
      <c r="K2715" s="15"/>
      <c r="L2715" s="28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5"/>
      <c r="AG2715" s="15"/>
      <c r="AH2715" s="15"/>
      <c r="AI2715" s="15"/>
      <c r="AJ2715" s="15"/>
      <c r="AK2715" s="15"/>
      <c r="AL2715" s="15"/>
      <c r="AM2715" s="15"/>
      <c r="AN2715" s="15"/>
      <c r="AO2715" s="15"/>
      <c r="AP2715" s="15"/>
      <c r="AQ2715" s="15"/>
      <c r="AR2715" s="15"/>
      <c r="AS2715" s="15"/>
      <c r="AT2715" s="15"/>
      <c r="AU2715" s="15"/>
      <c r="AV2715" s="15"/>
      <c r="AW2715" s="15"/>
    </row>
    <row r="2716" spans="3:49" x14ac:dyDescent="0.2">
      <c r="C2716" s="15"/>
      <c r="D2716" s="15"/>
      <c r="E2716" s="15"/>
      <c r="F2716" s="15"/>
      <c r="G2716" s="15"/>
      <c r="H2716" s="15"/>
      <c r="I2716" s="15"/>
      <c r="J2716" s="15"/>
      <c r="K2716" s="15"/>
      <c r="L2716" s="28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5"/>
      <c r="AG2716" s="15"/>
      <c r="AH2716" s="15"/>
      <c r="AI2716" s="15"/>
      <c r="AJ2716" s="15"/>
      <c r="AK2716" s="15"/>
      <c r="AL2716" s="15"/>
      <c r="AM2716" s="15"/>
      <c r="AN2716" s="15"/>
      <c r="AO2716" s="15"/>
      <c r="AP2716" s="15"/>
      <c r="AQ2716" s="15"/>
      <c r="AR2716" s="15"/>
      <c r="AS2716" s="15"/>
      <c r="AT2716" s="15"/>
      <c r="AU2716" s="15"/>
      <c r="AV2716" s="15"/>
      <c r="AW2716" s="15"/>
    </row>
    <row r="2717" spans="3:49" x14ac:dyDescent="0.2">
      <c r="C2717" s="15"/>
      <c r="D2717" s="15"/>
      <c r="E2717" s="15"/>
      <c r="F2717" s="15"/>
      <c r="G2717" s="15"/>
      <c r="H2717" s="15"/>
      <c r="I2717" s="15"/>
      <c r="J2717" s="15"/>
      <c r="K2717" s="15"/>
      <c r="L2717" s="28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5"/>
      <c r="AG2717" s="15"/>
      <c r="AH2717" s="15"/>
      <c r="AI2717" s="15"/>
      <c r="AJ2717" s="15"/>
      <c r="AK2717" s="15"/>
      <c r="AL2717" s="15"/>
      <c r="AM2717" s="15"/>
      <c r="AN2717" s="15"/>
      <c r="AO2717" s="15"/>
      <c r="AP2717" s="15"/>
      <c r="AQ2717" s="15"/>
      <c r="AR2717" s="15"/>
      <c r="AS2717" s="15"/>
      <c r="AT2717" s="15"/>
      <c r="AU2717" s="15"/>
      <c r="AV2717" s="15"/>
      <c r="AW2717" s="15"/>
    </row>
    <row r="2718" spans="3:49" x14ac:dyDescent="0.2">
      <c r="C2718" s="15"/>
      <c r="D2718" s="15"/>
      <c r="E2718" s="15"/>
      <c r="F2718" s="15"/>
      <c r="G2718" s="15"/>
      <c r="H2718" s="15"/>
      <c r="I2718" s="15"/>
      <c r="J2718" s="15"/>
      <c r="K2718" s="15"/>
      <c r="L2718" s="28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5"/>
      <c r="AG2718" s="15"/>
      <c r="AH2718" s="15"/>
      <c r="AI2718" s="15"/>
      <c r="AJ2718" s="15"/>
      <c r="AK2718" s="15"/>
      <c r="AL2718" s="15"/>
      <c r="AM2718" s="15"/>
      <c r="AN2718" s="15"/>
      <c r="AO2718" s="15"/>
      <c r="AP2718" s="15"/>
      <c r="AQ2718" s="15"/>
      <c r="AR2718" s="15"/>
      <c r="AS2718" s="15"/>
      <c r="AT2718" s="15"/>
      <c r="AU2718" s="15"/>
      <c r="AV2718" s="15"/>
      <c r="AW2718" s="15"/>
    </row>
    <row r="2719" spans="3:49" x14ac:dyDescent="0.2">
      <c r="C2719" s="15"/>
      <c r="D2719" s="15"/>
      <c r="E2719" s="15"/>
      <c r="F2719" s="15"/>
      <c r="G2719" s="15"/>
      <c r="H2719" s="15"/>
      <c r="I2719" s="15"/>
      <c r="J2719" s="15"/>
      <c r="K2719" s="15"/>
      <c r="L2719" s="28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5"/>
      <c r="AG2719" s="15"/>
      <c r="AH2719" s="15"/>
      <c r="AI2719" s="15"/>
      <c r="AJ2719" s="15"/>
      <c r="AK2719" s="15"/>
      <c r="AL2719" s="15"/>
      <c r="AM2719" s="15"/>
      <c r="AN2719" s="15"/>
      <c r="AO2719" s="15"/>
      <c r="AP2719" s="15"/>
      <c r="AQ2719" s="15"/>
      <c r="AR2719" s="15"/>
      <c r="AS2719" s="15"/>
      <c r="AT2719" s="15"/>
      <c r="AU2719" s="15"/>
      <c r="AV2719" s="15"/>
      <c r="AW2719" s="15"/>
    </row>
    <row r="2720" spans="3:49" x14ac:dyDescent="0.2">
      <c r="C2720" s="15"/>
      <c r="D2720" s="15"/>
      <c r="E2720" s="15"/>
      <c r="F2720" s="15"/>
      <c r="G2720" s="15"/>
      <c r="H2720" s="15"/>
      <c r="I2720" s="15"/>
      <c r="J2720" s="15"/>
      <c r="K2720" s="15"/>
      <c r="L2720" s="28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5"/>
      <c r="AG2720" s="15"/>
      <c r="AH2720" s="15"/>
      <c r="AI2720" s="15"/>
      <c r="AJ2720" s="15"/>
      <c r="AK2720" s="15"/>
      <c r="AL2720" s="15"/>
      <c r="AM2720" s="15"/>
      <c r="AN2720" s="15"/>
      <c r="AO2720" s="15"/>
      <c r="AP2720" s="15"/>
      <c r="AQ2720" s="15"/>
      <c r="AR2720" s="15"/>
      <c r="AS2720" s="15"/>
      <c r="AT2720" s="15"/>
      <c r="AU2720" s="15"/>
      <c r="AV2720" s="15"/>
      <c r="AW2720" s="15"/>
    </row>
    <row r="2721" spans="3:49" x14ac:dyDescent="0.2">
      <c r="C2721" s="15"/>
      <c r="D2721" s="15"/>
      <c r="E2721" s="15"/>
      <c r="F2721" s="15"/>
      <c r="G2721" s="15"/>
      <c r="H2721" s="15"/>
      <c r="I2721" s="15"/>
      <c r="J2721" s="15"/>
      <c r="K2721" s="15"/>
      <c r="L2721" s="28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5"/>
      <c r="AG2721" s="15"/>
      <c r="AH2721" s="15"/>
      <c r="AI2721" s="15"/>
      <c r="AJ2721" s="15"/>
      <c r="AK2721" s="15"/>
      <c r="AL2721" s="15"/>
      <c r="AM2721" s="15"/>
      <c r="AN2721" s="15"/>
      <c r="AO2721" s="15"/>
      <c r="AP2721" s="15"/>
      <c r="AQ2721" s="15"/>
      <c r="AR2721" s="15"/>
      <c r="AS2721" s="15"/>
      <c r="AT2721" s="15"/>
      <c r="AU2721" s="15"/>
      <c r="AV2721" s="15"/>
      <c r="AW2721" s="15"/>
    </row>
    <row r="2722" spans="3:49" x14ac:dyDescent="0.2">
      <c r="C2722" s="15"/>
      <c r="D2722" s="15"/>
      <c r="E2722" s="15"/>
      <c r="F2722" s="15"/>
      <c r="G2722" s="15"/>
      <c r="H2722" s="15"/>
      <c r="I2722" s="15"/>
      <c r="J2722" s="15"/>
      <c r="K2722" s="15"/>
      <c r="L2722" s="28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5"/>
      <c r="AG2722" s="15"/>
      <c r="AH2722" s="15"/>
      <c r="AI2722" s="15"/>
      <c r="AJ2722" s="15"/>
      <c r="AK2722" s="15"/>
      <c r="AL2722" s="15"/>
      <c r="AM2722" s="15"/>
      <c r="AN2722" s="15"/>
      <c r="AO2722" s="15"/>
      <c r="AP2722" s="15"/>
      <c r="AQ2722" s="15"/>
      <c r="AR2722" s="15"/>
      <c r="AS2722" s="15"/>
      <c r="AT2722" s="15"/>
      <c r="AU2722" s="15"/>
      <c r="AV2722" s="15"/>
      <c r="AW2722" s="15"/>
    </row>
    <row r="2723" spans="3:49" x14ac:dyDescent="0.2">
      <c r="C2723" s="15"/>
      <c r="D2723" s="15"/>
      <c r="E2723" s="15"/>
      <c r="F2723" s="15"/>
      <c r="G2723" s="15"/>
      <c r="H2723" s="15"/>
      <c r="I2723" s="15"/>
      <c r="J2723" s="15"/>
      <c r="K2723" s="15"/>
      <c r="L2723" s="28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5"/>
      <c r="AG2723" s="15"/>
      <c r="AH2723" s="15"/>
      <c r="AI2723" s="15"/>
      <c r="AJ2723" s="15"/>
      <c r="AK2723" s="15"/>
      <c r="AL2723" s="15"/>
      <c r="AM2723" s="15"/>
      <c r="AN2723" s="15"/>
      <c r="AO2723" s="15"/>
      <c r="AP2723" s="15"/>
      <c r="AQ2723" s="15"/>
      <c r="AR2723" s="15"/>
      <c r="AS2723" s="15"/>
      <c r="AT2723" s="15"/>
      <c r="AU2723" s="15"/>
      <c r="AV2723" s="15"/>
      <c r="AW2723" s="15"/>
    </row>
    <row r="2724" spans="3:49" x14ac:dyDescent="0.2">
      <c r="C2724" s="15"/>
      <c r="D2724" s="15"/>
      <c r="E2724" s="15"/>
      <c r="F2724" s="15"/>
      <c r="G2724" s="15"/>
      <c r="H2724" s="15"/>
      <c r="I2724" s="15"/>
      <c r="J2724" s="15"/>
      <c r="K2724" s="15"/>
      <c r="L2724" s="28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5"/>
      <c r="AG2724" s="15"/>
      <c r="AH2724" s="15"/>
      <c r="AI2724" s="15"/>
      <c r="AJ2724" s="15"/>
      <c r="AK2724" s="15"/>
      <c r="AL2724" s="15"/>
      <c r="AM2724" s="15"/>
      <c r="AN2724" s="15"/>
      <c r="AO2724" s="15"/>
      <c r="AP2724" s="15"/>
      <c r="AQ2724" s="15"/>
      <c r="AR2724" s="15"/>
      <c r="AS2724" s="15"/>
      <c r="AT2724" s="15"/>
      <c r="AU2724" s="15"/>
      <c r="AV2724" s="15"/>
      <c r="AW2724" s="15"/>
    </row>
    <row r="2725" spans="3:49" x14ac:dyDescent="0.2">
      <c r="C2725" s="15"/>
      <c r="D2725" s="15"/>
      <c r="E2725" s="15"/>
      <c r="F2725" s="15"/>
      <c r="G2725" s="15"/>
      <c r="H2725" s="15"/>
      <c r="I2725" s="15"/>
      <c r="J2725" s="15"/>
      <c r="K2725" s="15"/>
      <c r="L2725" s="28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5"/>
      <c r="AG2725" s="15"/>
      <c r="AH2725" s="15"/>
      <c r="AI2725" s="15"/>
      <c r="AJ2725" s="15"/>
      <c r="AK2725" s="15"/>
      <c r="AL2725" s="15"/>
      <c r="AM2725" s="15"/>
      <c r="AN2725" s="15"/>
      <c r="AO2725" s="15"/>
      <c r="AP2725" s="15"/>
      <c r="AQ2725" s="15"/>
      <c r="AR2725" s="15"/>
      <c r="AS2725" s="15"/>
      <c r="AT2725" s="15"/>
      <c r="AU2725" s="15"/>
      <c r="AV2725" s="15"/>
      <c r="AW2725" s="15"/>
    </row>
    <row r="2726" spans="3:49" x14ac:dyDescent="0.2">
      <c r="C2726" s="15"/>
      <c r="D2726" s="15"/>
      <c r="E2726" s="15"/>
      <c r="F2726" s="15"/>
      <c r="G2726" s="15"/>
      <c r="H2726" s="15"/>
      <c r="I2726" s="15"/>
      <c r="J2726" s="15"/>
      <c r="K2726" s="15"/>
      <c r="L2726" s="28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5"/>
      <c r="AG2726" s="15"/>
      <c r="AH2726" s="15"/>
      <c r="AI2726" s="15"/>
      <c r="AJ2726" s="15"/>
      <c r="AK2726" s="15"/>
      <c r="AL2726" s="15"/>
      <c r="AM2726" s="15"/>
      <c r="AN2726" s="15"/>
      <c r="AO2726" s="15"/>
      <c r="AP2726" s="15"/>
      <c r="AQ2726" s="15"/>
      <c r="AR2726" s="15"/>
      <c r="AS2726" s="15"/>
      <c r="AT2726" s="15"/>
      <c r="AU2726" s="15"/>
      <c r="AV2726" s="15"/>
      <c r="AW2726" s="15"/>
    </row>
    <row r="2727" spans="3:49" x14ac:dyDescent="0.2">
      <c r="C2727" s="15"/>
      <c r="D2727" s="15"/>
      <c r="E2727" s="15"/>
      <c r="F2727" s="15"/>
      <c r="G2727" s="15"/>
      <c r="H2727" s="15"/>
      <c r="I2727" s="15"/>
      <c r="J2727" s="15"/>
      <c r="K2727" s="15"/>
      <c r="L2727" s="28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5"/>
      <c r="AG2727" s="15"/>
      <c r="AH2727" s="15"/>
      <c r="AI2727" s="15"/>
      <c r="AJ2727" s="15"/>
      <c r="AK2727" s="15"/>
      <c r="AL2727" s="15"/>
      <c r="AM2727" s="15"/>
      <c r="AN2727" s="15"/>
      <c r="AO2727" s="15"/>
      <c r="AP2727" s="15"/>
      <c r="AQ2727" s="15"/>
      <c r="AR2727" s="15"/>
      <c r="AS2727" s="15"/>
      <c r="AT2727" s="15"/>
      <c r="AU2727" s="15"/>
      <c r="AV2727" s="15"/>
      <c r="AW2727" s="15"/>
    </row>
    <row r="2728" spans="3:49" x14ac:dyDescent="0.2">
      <c r="C2728" s="15"/>
      <c r="D2728" s="15"/>
      <c r="E2728" s="15"/>
      <c r="F2728" s="15"/>
      <c r="G2728" s="15"/>
      <c r="H2728" s="15"/>
      <c r="I2728" s="15"/>
      <c r="J2728" s="15"/>
      <c r="K2728" s="15"/>
      <c r="L2728" s="28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5"/>
      <c r="AG2728" s="15"/>
      <c r="AH2728" s="15"/>
      <c r="AI2728" s="15"/>
      <c r="AJ2728" s="15"/>
      <c r="AK2728" s="15"/>
      <c r="AL2728" s="15"/>
      <c r="AM2728" s="15"/>
      <c r="AN2728" s="15"/>
      <c r="AO2728" s="15"/>
      <c r="AP2728" s="15"/>
      <c r="AQ2728" s="15"/>
      <c r="AR2728" s="15"/>
      <c r="AS2728" s="15"/>
      <c r="AT2728" s="15"/>
      <c r="AU2728" s="15"/>
      <c r="AV2728" s="15"/>
      <c r="AW2728" s="15"/>
    </row>
    <row r="2729" spans="3:49" x14ac:dyDescent="0.2">
      <c r="C2729" s="15"/>
      <c r="D2729" s="15"/>
      <c r="E2729" s="15"/>
      <c r="F2729" s="15"/>
      <c r="G2729" s="15"/>
      <c r="H2729" s="15"/>
      <c r="I2729" s="15"/>
      <c r="J2729" s="15"/>
      <c r="K2729" s="15"/>
      <c r="L2729" s="28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5"/>
      <c r="AG2729" s="15"/>
      <c r="AH2729" s="15"/>
      <c r="AI2729" s="15"/>
      <c r="AJ2729" s="15"/>
      <c r="AK2729" s="15"/>
      <c r="AL2729" s="15"/>
      <c r="AM2729" s="15"/>
      <c r="AN2729" s="15"/>
      <c r="AO2729" s="15"/>
      <c r="AP2729" s="15"/>
      <c r="AQ2729" s="15"/>
      <c r="AR2729" s="15"/>
      <c r="AS2729" s="15"/>
      <c r="AT2729" s="15"/>
      <c r="AU2729" s="15"/>
      <c r="AV2729" s="15"/>
      <c r="AW2729" s="15"/>
    </row>
    <row r="2730" spans="3:49" x14ac:dyDescent="0.2">
      <c r="C2730" s="15"/>
      <c r="D2730" s="15"/>
      <c r="E2730" s="15"/>
      <c r="F2730" s="15"/>
      <c r="G2730" s="15"/>
      <c r="H2730" s="15"/>
      <c r="I2730" s="15"/>
      <c r="J2730" s="15"/>
      <c r="K2730" s="15"/>
      <c r="L2730" s="28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5"/>
      <c r="AG2730" s="15"/>
      <c r="AH2730" s="15"/>
      <c r="AI2730" s="15"/>
      <c r="AJ2730" s="15"/>
      <c r="AK2730" s="15"/>
      <c r="AL2730" s="15"/>
      <c r="AM2730" s="15"/>
      <c r="AN2730" s="15"/>
      <c r="AO2730" s="15"/>
      <c r="AP2730" s="15"/>
      <c r="AQ2730" s="15"/>
      <c r="AR2730" s="15"/>
      <c r="AS2730" s="15"/>
      <c r="AT2730" s="15"/>
      <c r="AU2730" s="15"/>
      <c r="AV2730" s="15"/>
      <c r="AW2730" s="15"/>
    </row>
    <row r="2731" spans="3:49" x14ac:dyDescent="0.2">
      <c r="C2731" s="15"/>
      <c r="D2731" s="15"/>
      <c r="E2731" s="15"/>
      <c r="F2731" s="15"/>
      <c r="G2731" s="15"/>
      <c r="H2731" s="15"/>
      <c r="I2731" s="15"/>
      <c r="J2731" s="15"/>
      <c r="K2731" s="15"/>
      <c r="L2731" s="28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5"/>
      <c r="AG2731" s="15"/>
      <c r="AH2731" s="15"/>
      <c r="AI2731" s="15"/>
      <c r="AJ2731" s="15"/>
      <c r="AK2731" s="15"/>
      <c r="AL2731" s="15"/>
      <c r="AM2731" s="15"/>
      <c r="AN2731" s="15"/>
      <c r="AO2731" s="15"/>
      <c r="AP2731" s="15"/>
      <c r="AQ2731" s="15"/>
      <c r="AR2731" s="15"/>
      <c r="AS2731" s="15"/>
      <c r="AT2731" s="15"/>
      <c r="AU2731" s="15"/>
      <c r="AV2731" s="15"/>
      <c r="AW2731" s="15"/>
    </row>
    <row r="2732" spans="3:49" x14ac:dyDescent="0.2">
      <c r="C2732" s="15"/>
      <c r="D2732" s="15"/>
      <c r="E2732" s="15"/>
      <c r="F2732" s="15"/>
      <c r="G2732" s="15"/>
      <c r="H2732" s="15"/>
      <c r="I2732" s="15"/>
      <c r="J2732" s="15"/>
      <c r="K2732" s="15"/>
      <c r="L2732" s="28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5"/>
      <c r="AG2732" s="15"/>
      <c r="AH2732" s="15"/>
      <c r="AI2732" s="15"/>
      <c r="AJ2732" s="15"/>
      <c r="AK2732" s="15"/>
      <c r="AL2732" s="15"/>
      <c r="AM2732" s="15"/>
      <c r="AN2732" s="15"/>
      <c r="AO2732" s="15"/>
      <c r="AP2732" s="15"/>
      <c r="AQ2732" s="15"/>
      <c r="AR2732" s="15"/>
      <c r="AS2732" s="15"/>
      <c r="AT2732" s="15"/>
      <c r="AU2732" s="15"/>
      <c r="AV2732" s="15"/>
      <c r="AW2732" s="15"/>
    </row>
    <row r="2733" spans="3:49" x14ac:dyDescent="0.2">
      <c r="C2733" s="15"/>
      <c r="D2733" s="15"/>
      <c r="E2733" s="15"/>
      <c r="F2733" s="15"/>
      <c r="G2733" s="15"/>
      <c r="H2733" s="15"/>
      <c r="I2733" s="15"/>
      <c r="J2733" s="15"/>
      <c r="K2733" s="15"/>
      <c r="L2733" s="28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5"/>
      <c r="AG2733" s="15"/>
      <c r="AH2733" s="15"/>
      <c r="AI2733" s="15"/>
      <c r="AJ2733" s="15"/>
      <c r="AK2733" s="15"/>
      <c r="AL2733" s="15"/>
      <c r="AM2733" s="15"/>
      <c r="AN2733" s="15"/>
      <c r="AO2733" s="15"/>
      <c r="AP2733" s="15"/>
      <c r="AQ2733" s="15"/>
      <c r="AR2733" s="15"/>
      <c r="AS2733" s="15"/>
      <c r="AT2733" s="15"/>
      <c r="AU2733" s="15"/>
      <c r="AV2733" s="15"/>
      <c r="AW2733" s="15"/>
    </row>
    <row r="2734" spans="3:49" x14ac:dyDescent="0.2">
      <c r="C2734" s="15"/>
      <c r="D2734" s="15"/>
      <c r="E2734" s="15"/>
      <c r="F2734" s="15"/>
      <c r="G2734" s="15"/>
      <c r="H2734" s="15"/>
      <c r="I2734" s="15"/>
      <c r="J2734" s="15"/>
      <c r="K2734" s="15"/>
      <c r="L2734" s="28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5"/>
      <c r="AG2734" s="15"/>
      <c r="AH2734" s="15"/>
      <c r="AI2734" s="15"/>
      <c r="AJ2734" s="15"/>
      <c r="AK2734" s="15"/>
      <c r="AL2734" s="15"/>
      <c r="AM2734" s="15"/>
      <c r="AN2734" s="15"/>
      <c r="AO2734" s="15"/>
      <c r="AP2734" s="15"/>
      <c r="AQ2734" s="15"/>
      <c r="AR2734" s="15"/>
      <c r="AS2734" s="15"/>
      <c r="AT2734" s="15"/>
      <c r="AU2734" s="15"/>
      <c r="AV2734" s="15"/>
      <c r="AW2734" s="15"/>
    </row>
    <row r="2735" spans="3:49" x14ac:dyDescent="0.2">
      <c r="C2735" s="15"/>
      <c r="D2735" s="15"/>
      <c r="E2735" s="15"/>
      <c r="F2735" s="15"/>
      <c r="G2735" s="15"/>
      <c r="H2735" s="15"/>
      <c r="I2735" s="15"/>
      <c r="J2735" s="15"/>
      <c r="K2735" s="15"/>
      <c r="L2735" s="28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5"/>
      <c r="AG2735" s="15"/>
      <c r="AH2735" s="15"/>
      <c r="AI2735" s="15"/>
      <c r="AJ2735" s="15"/>
      <c r="AK2735" s="15"/>
      <c r="AL2735" s="15"/>
      <c r="AM2735" s="15"/>
      <c r="AN2735" s="15"/>
      <c r="AO2735" s="15"/>
      <c r="AP2735" s="15"/>
      <c r="AQ2735" s="15"/>
      <c r="AR2735" s="15"/>
      <c r="AS2735" s="15"/>
      <c r="AT2735" s="15"/>
      <c r="AU2735" s="15"/>
      <c r="AV2735" s="15"/>
      <c r="AW2735" s="15"/>
    </row>
    <row r="2736" spans="3:49" x14ac:dyDescent="0.2">
      <c r="C2736" s="15"/>
      <c r="D2736" s="15"/>
      <c r="E2736" s="15"/>
      <c r="F2736" s="15"/>
      <c r="G2736" s="15"/>
      <c r="H2736" s="15"/>
      <c r="I2736" s="15"/>
      <c r="J2736" s="15"/>
      <c r="K2736" s="15"/>
      <c r="L2736" s="28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5"/>
      <c r="AG2736" s="15"/>
      <c r="AH2736" s="15"/>
      <c r="AI2736" s="15"/>
      <c r="AJ2736" s="15"/>
      <c r="AK2736" s="15"/>
      <c r="AL2736" s="15"/>
      <c r="AM2736" s="15"/>
      <c r="AN2736" s="15"/>
      <c r="AO2736" s="15"/>
      <c r="AP2736" s="15"/>
      <c r="AQ2736" s="15"/>
      <c r="AR2736" s="15"/>
      <c r="AS2736" s="15"/>
      <c r="AT2736" s="15"/>
      <c r="AU2736" s="15"/>
      <c r="AV2736" s="15"/>
      <c r="AW2736" s="15"/>
    </row>
    <row r="2737" spans="3:49" x14ac:dyDescent="0.2">
      <c r="C2737" s="15"/>
      <c r="D2737" s="15"/>
      <c r="E2737" s="15"/>
      <c r="F2737" s="15"/>
      <c r="G2737" s="15"/>
      <c r="H2737" s="15"/>
      <c r="I2737" s="15"/>
      <c r="J2737" s="15"/>
      <c r="K2737" s="15"/>
      <c r="L2737" s="28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5"/>
      <c r="AG2737" s="15"/>
      <c r="AH2737" s="15"/>
      <c r="AI2737" s="15"/>
      <c r="AJ2737" s="15"/>
      <c r="AK2737" s="15"/>
      <c r="AL2737" s="15"/>
      <c r="AM2737" s="15"/>
      <c r="AN2737" s="15"/>
      <c r="AO2737" s="15"/>
      <c r="AP2737" s="15"/>
      <c r="AQ2737" s="15"/>
      <c r="AR2737" s="15"/>
      <c r="AS2737" s="15"/>
      <c r="AT2737" s="15"/>
      <c r="AU2737" s="15"/>
      <c r="AV2737" s="15"/>
      <c r="AW2737" s="15"/>
    </row>
    <row r="2738" spans="3:49" x14ac:dyDescent="0.2">
      <c r="C2738" s="15"/>
      <c r="D2738" s="15"/>
      <c r="E2738" s="15"/>
      <c r="F2738" s="15"/>
      <c r="G2738" s="15"/>
      <c r="H2738" s="15"/>
      <c r="I2738" s="15"/>
      <c r="J2738" s="15"/>
      <c r="K2738" s="15"/>
      <c r="L2738" s="28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5"/>
      <c r="AG2738" s="15"/>
      <c r="AH2738" s="15"/>
      <c r="AI2738" s="15"/>
      <c r="AJ2738" s="15"/>
      <c r="AK2738" s="15"/>
      <c r="AL2738" s="15"/>
      <c r="AM2738" s="15"/>
      <c r="AN2738" s="15"/>
      <c r="AO2738" s="15"/>
      <c r="AP2738" s="15"/>
      <c r="AQ2738" s="15"/>
      <c r="AR2738" s="15"/>
      <c r="AS2738" s="15"/>
      <c r="AT2738" s="15"/>
      <c r="AU2738" s="15"/>
      <c r="AV2738" s="15"/>
      <c r="AW2738" s="15"/>
    </row>
    <row r="2739" spans="3:49" x14ac:dyDescent="0.2">
      <c r="C2739" s="15"/>
      <c r="D2739" s="15"/>
      <c r="E2739" s="15"/>
      <c r="F2739" s="15"/>
      <c r="G2739" s="15"/>
      <c r="H2739" s="15"/>
      <c r="I2739" s="15"/>
      <c r="J2739" s="15"/>
      <c r="K2739" s="15"/>
      <c r="L2739" s="28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5"/>
      <c r="AG2739" s="15"/>
      <c r="AH2739" s="15"/>
      <c r="AI2739" s="15"/>
      <c r="AJ2739" s="15"/>
      <c r="AK2739" s="15"/>
      <c r="AL2739" s="15"/>
      <c r="AM2739" s="15"/>
      <c r="AN2739" s="15"/>
      <c r="AO2739" s="15"/>
      <c r="AP2739" s="15"/>
      <c r="AQ2739" s="15"/>
      <c r="AR2739" s="15"/>
      <c r="AS2739" s="15"/>
      <c r="AT2739" s="15"/>
      <c r="AU2739" s="15"/>
      <c r="AV2739" s="15"/>
      <c r="AW2739" s="15"/>
    </row>
    <row r="2740" spans="3:49" x14ac:dyDescent="0.2">
      <c r="C2740" s="15"/>
      <c r="D2740" s="15"/>
      <c r="E2740" s="15"/>
      <c r="F2740" s="15"/>
      <c r="G2740" s="15"/>
      <c r="H2740" s="15"/>
      <c r="I2740" s="15"/>
      <c r="J2740" s="15"/>
      <c r="K2740" s="15"/>
      <c r="L2740" s="28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5"/>
      <c r="AG2740" s="15"/>
      <c r="AH2740" s="15"/>
      <c r="AI2740" s="15"/>
      <c r="AJ2740" s="15"/>
      <c r="AK2740" s="15"/>
      <c r="AL2740" s="15"/>
      <c r="AM2740" s="15"/>
      <c r="AN2740" s="15"/>
      <c r="AO2740" s="15"/>
      <c r="AP2740" s="15"/>
      <c r="AQ2740" s="15"/>
      <c r="AR2740" s="15"/>
      <c r="AS2740" s="15"/>
      <c r="AT2740" s="15"/>
      <c r="AU2740" s="15"/>
      <c r="AV2740" s="15"/>
      <c r="AW2740" s="15"/>
    </row>
    <row r="2741" spans="3:49" x14ac:dyDescent="0.2">
      <c r="C2741" s="15"/>
      <c r="D2741" s="15"/>
      <c r="E2741" s="15"/>
      <c r="F2741" s="15"/>
      <c r="G2741" s="15"/>
      <c r="H2741" s="15"/>
      <c r="I2741" s="15"/>
      <c r="J2741" s="15"/>
      <c r="K2741" s="15"/>
      <c r="L2741" s="28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5"/>
      <c r="AG2741" s="15"/>
      <c r="AH2741" s="15"/>
      <c r="AI2741" s="15"/>
      <c r="AJ2741" s="15"/>
      <c r="AK2741" s="15"/>
      <c r="AL2741" s="15"/>
      <c r="AM2741" s="15"/>
      <c r="AN2741" s="15"/>
      <c r="AO2741" s="15"/>
      <c r="AP2741" s="15"/>
      <c r="AQ2741" s="15"/>
      <c r="AR2741" s="15"/>
      <c r="AS2741" s="15"/>
      <c r="AT2741" s="15"/>
      <c r="AU2741" s="15"/>
      <c r="AV2741" s="15"/>
      <c r="AW2741" s="15"/>
    </row>
    <row r="2742" spans="3:49" x14ac:dyDescent="0.2">
      <c r="C2742" s="15"/>
      <c r="D2742" s="15"/>
      <c r="E2742" s="15"/>
      <c r="F2742" s="15"/>
      <c r="G2742" s="15"/>
      <c r="H2742" s="15"/>
      <c r="I2742" s="15"/>
      <c r="J2742" s="15"/>
      <c r="K2742" s="15"/>
      <c r="L2742" s="28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5"/>
      <c r="AG2742" s="15"/>
      <c r="AH2742" s="15"/>
      <c r="AI2742" s="15"/>
      <c r="AJ2742" s="15"/>
      <c r="AK2742" s="15"/>
      <c r="AL2742" s="15"/>
      <c r="AM2742" s="15"/>
      <c r="AN2742" s="15"/>
      <c r="AO2742" s="15"/>
      <c r="AP2742" s="15"/>
      <c r="AQ2742" s="15"/>
      <c r="AR2742" s="15"/>
      <c r="AS2742" s="15"/>
      <c r="AT2742" s="15"/>
      <c r="AU2742" s="15"/>
      <c r="AV2742" s="15"/>
      <c r="AW2742" s="15"/>
    </row>
    <row r="2743" spans="3:49" x14ac:dyDescent="0.2">
      <c r="C2743" s="15"/>
      <c r="D2743" s="15"/>
      <c r="E2743" s="15"/>
      <c r="F2743" s="15"/>
      <c r="G2743" s="15"/>
      <c r="H2743" s="15"/>
      <c r="I2743" s="15"/>
      <c r="J2743" s="15"/>
      <c r="K2743" s="15"/>
      <c r="L2743" s="28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5"/>
      <c r="AG2743" s="15"/>
      <c r="AH2743" s="15"/>
      <c r="AI2743" s="15"/>
      <c r="AJ2743" s="15"/>
      <c r="AK2743" s="15"/>
      <c r="AL2743" s="15"/>
      <c r="AM2743" s="15"/>
      <c r="AN2743" s="15"/>
      <c r="AO2743" s="15"/>
      <c r="AP2743" s="15"/>
      <c r="AQ2743" s="15"/>
      <c r="AR2743" s="15"/>
      <c r="AS2743" s="15"/>
      <c r="AT2743" s="15"/>
      <c r="AU2743" s="15"/>
      <c r="AV2743" s="15"/>
      <c r="AW2743" s="15"/>
    </row>
    <row r="2744" spans="3:49" x14ac:dyDescent="0.2">
      <c r="C2744" s="15"/>
      <c r="D2744" s="15"/>
      <c r="E2744" s="15"/>
      <c r="F2744" s="15"/>
      <c r="G2744" s="15"/>
      <c r="H2744" s="15"/>
      <c r="I2744" s="15"/>
      <c r="J2744" s="15"/>
      <c r="K2744" s="15"/>
      <c r="L2744" s="28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5"/>
      <c r="AG2744" s="15"/>
      <c r="AH2744" s="15"/>
      <c r="AI2744" s="15"/>
      <c r="AJ2744" s="15"/>
      <c r="AK2744" s="15"/>
      <c r="AL2744" s="15"/>
      <c r="AM2744" s="15"/>
      <c r="AN2744" s="15"/>
      <c r="AO2744" s="15"/>
      <c r="AP2744" s="15"/>
      <c r="AQ2744" s="15"/>
      <c r="AR2744" s="15"/>
      <c r="AS2744" s="15"/>
      <c r="AT2744" s="15"/>
      <c r="AU2744" s="15"/>
      <c r="AV2744" s="15"/>
      <c r="AW2744" s="15"/>
    </row>
    <row r="2745" spans="3:49" x14ac:dyDescent="0.2">
      <c r="C2745" s="15"/>
      <c r="D2745" s="15"/>
      <c r="E2745" s="15"/>
      <c r="F2745" s="15"/>
      <c r="G2745" s="15"/>
      <c r="H2745" s="15"/>
      <c r="I2745" s="15"/>
      <c r="J2745" s="15"/>
      <c r="K2745" s="15"/>
      <c r="L2745" s="28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5"/>
      <c r="AG2745" s="15"/>
      <c r="AH2745" s="15"/>
      <c r="AI2745" s="15"/>
      <c r="AJ2745" s="15"/>
      <c r="AK2745" s="15"/>
      <c r="AL2745" s="15"/>
      <c r="AM2745" s="15"/>
      <c r="AN2745" s="15"/>
      <c r="AO2745" s="15"/>
      <c r="AP2745" s="15"/>
      <c r="AQ2745" s="15"/>
      <c r="AR2745" s="15"/>
      <c r="AS2745" s="15"/>
      <c r="AT2745" s="15"/>
      <c r="AU2745" s="15"/>
      <c r="AV2745" s="15"/>
      <c r="AW2745" s="15"/>
    </row>
    <row r="2746" spans="3:49" x14ac:dyDescent="0.2">
      <c r="C2746" s="15"/>
      <c r="D2746" s="15"/>
      <c r="E2746" s="15"/>
      <c r="F2746" s="15"/>
      <c r="G2746" s="15"/>
      <c r="H2746" s="15"/>
      <c r="I2746" s="15"/>
      <c r="J2746" s="15"/>
      <c r="K2746" s="15"/>
      <c r="L2746" s="28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5"/>
      <c r="AG2746" s="15"/>
      <c r="AH2746" s="15"/>
      <c r="AI2746" s="15"/>
      <c r="AJ2746" s="15"/>
      <c r="AK2746" s="15"/>
      <c r="AL2746" s="15"/>
      <c r="AM2746" s="15"/>
      <c r="AN2746" s="15"/>
      <c r="AO2746" s="15"/>
      <c r="AP2746" s="15"/>
      <c r="AQ2746" s="15"/>
      <c r="AR2746" s="15"/>
      <c r="AS2746" s="15"/>
      <c r="AT2746" s="15"/>
      <c r="AU2746" s="15"/>
      <c r="AV2746" s="15"/>
      <c r="AW2746" s="15"/>
    </row>
    <row r="2747" spans="3:49" x14ac:dyDescent="0.2">
      <c r="C2747" s="15"/>
      <c r="D2747" s="15"/>
      <c r="E2747" s="15"/>
      <c r="F2747" s="15"/>
      <c r="G2747" s="15"/>
      <c r="H2747" s="15"/>
      <c r="I2747" s="15"/>
      <c r="J2747" s="15"/>
      <c r="K2747" s="15"/>
      <c r="L2747" s="28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5"/>
      <c r="AG2747" s="15"/>
      <c r="AH2747" s="15"/>
      <c r="AI2747" s="15"/>
      <c r="AJ2747" s="15"/>
      <c r="AK2747" s="15"/>
      <c r="AL2747" s="15"/>
      <c r="AM2747" s="15"/>
      <c r="AN2747" s="15"/>
      <c r="AO2747" s="15"/>
      <c r="AP2747" s="15"/>
      <c r="AQ2747" s="15"/>
      <c r="AR2747" s="15"/>
      <c r="AS2747" s="15"/>
      <c r="AT2747" s="15"/>
      <c r="AU2747" s="15"/>
      <c r="AV2747" s="15"/>
      <c r="AW2747" s="15"/>
    </row>
    <row r="2748" spans="3:49" x14ac:dyDescent="0.2">
      <c r="C2748" s="15"/>
      <c r="D2748" s="15"/>
      <c r="E2748" s="15"/>
      <c r="F2748" s="15"/>
      <c r="G2748" s="15"/>
      <c r="H2748" s="15"/>
      <c r="I2748" s="15"/>
      <c r="J2748" s="15"/>
      <c r="K2748" s="15"/>
      <c r="L2748" s="28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5"/>
      <c r="AG2748" s="15"/>
      <c r="AH2748" s="15"/>
      <c r="AI2748" s="15"/>
      <c r="AJ2748" s="15"/>
      <c r="AK2748" s="15"/>
      <c r="AL2748" s="15"/>
      <c r="AM2748" s="15"/>
      <c r="AN2748" s="15"/>
      <c r="AO2748" s="15"/>
      <c r="AP2748" s="15"/>
      <c r="AQ2748" s="15"/>
      <c r="AR2748" s="15"/>
      <c r="AS2748" s="15"/>
      <c r="AT2748" s="15"/>
      <c r="AU2748" s="15"/>
      <c r="AV2748" s="15"/>
      <c r="AW2748" s="15"/>
    </row>
    <row r="2749" spans="3:49" x14ac:dyDescent="0.2">
      <c r="C2749" s="15"/>
      <c r="D2749" s="15"/>
      <c r="E2749" s="15"/>
      <c r="F2749" s="15"/>
      <c r="G2749" s="15"/>
      <c r="H2749" s="15"/>
      <c r="I2749" s="15"/>
      <c r="J2749" s="15"/>
      <c r="K2749" s="15"/>
      <c r="L2749" s="28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5"/>
      <c r="AG2749" s="15"/>
      <c r="AH2749" s="15"/>
      <c r="AI2749" s="15"/>
      <c r="AJ2749" s="15"/>
      <c r="AK2749" s="15"/>
      <c r="AL2749" s="15"/>
      <c r="AM2749" s="15"/>
      <c r="AN2749" s="15"/>
      <c r="AO2749" s="15"/>
      <c r="AP2749" s="15"/>
      <c r="AQ2749" s="15"/>
      <c r="AR2749" s="15"/>
      <c r="AS2749" s="15"/>
      <c r="AT2749" s="15"/>
      <c r="AU2749" s="15"/>
      <c r="AV2749" s="15"/>
      <c r="AW2749" s="15"/>
    </row>
    <row r="2750" spans="3:49" x14ac:dyDescent="0.2">
      <c r="C2750" s="15"/>
      <c r="D2750" s="15"/>
      <c r="E2750" s="15"/>
      <c r="F2750" s="15"/>
      <c r="G2750" s="15"/>
      <c r="H2750" s="15"/>
      <c r="I2750" s="15"/>
      <c r="J2750" s="15"/>
      <c r="K2750" s="15"/>
      <c r="L2750" s="28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5"/>
      <c r="AG2750" s="15"/>
      <c r="AH2750" s="15"/>
      <c r="AI2750" s="15"/>
      <c r="AJ2750" s="15"/>
      <c r="AK2750" s="15"/>
      <c r="AL2750" s="15"/>
      <c r="AM2750" s="15"/>
      <c r="AN2750" s="15"/>
      <c r="AO2750" s="15"/>
      <c r="AP2750" s="15"/>
      <c r="AQ2750" s="15"/>
      <c r="AR2750" s="15"/>
      <c r="AS2750" s="15"/>
      <c r="AT2750" s="15"/>
      <c r="AU2750" s="15"/>
      <c r="AV2750" s="15"/>
      <c r="AW2750" s="15"/>
    </row>
    <row r="2751" spans="3:49" x14ac:dyDescent="0.2">
      <c r="C2751" s="15"/>
      <c r="D2751" s="15"/>
      <c r="E2751" s="15"/>
      <c r="F2751" s="15"/>
      <c r="G2751" s="15"/>
      <c r="H2751" s="15"/>
      <c r="I2751" s="15"/>
      <c r="J2751" s="15"/>
      <c r="K2751" s="15"/>
      <c r="L2751" s="28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5"/>
      <c r="AG2751" s="15"/>
      <c r="AH2751" s="15"/>
      <c r="AI2751" s="15"/>
      <c r="AJ2751" s="15"/>
      <c r="AK2751" s="15"/>
      <c r="AL2751" s="15"/>
      <c r="AM2751" s="15"/>
      <c r="AN2751" s="15"/>
      <c r="AO2751" s="15"/>
      <c r="AP2751" s="15"/>
      <c r="AQ2751" s="15"/>
      <c r="AR2751" s="15"/>
      <c r="AS2751" s="15"/>
      <c r="AT2751" s="15"/>
      <c r="AU2751" s="15"/>
      <c r="AV2751" s="15"/>
      <c r="AW2751" s="15"/>
    </row>
    <row r="2752" spans="3:49" x14ac:dyDescent="0.2">
      <c r="C2752" s="15"/>
      <c r="D2752" s="15"/>
      <c r="E2752" s="15"/>
      <c r="F2752" s="15"/>
      <c r="G2752" s="15"/>
      <c r="H2752" s="15"/>
      <c r="I2752" s="15"/>
      <c r="J2752" s="15"/>
      <c r="K2752" s="15"/>
      <c r="L2752" s="28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5"/>
      <c r="AG2752" s="15"/>
      <c r="AH2752" s="15"/>
      <c r="AI2752" s="15"/>
      <c r="AJ2752" s="15"/>
      <c r="AK2752" s="15"/>
      <c r="AL2752" s="15"/>
      <c r="AM2752" s="15"/>
      <c r="AN2752" s="15"/>
      <c r="AO2752" s="15"/>
      <c r="AP2752" s="15"/>
      <c r="AQ2752" s="15"/>
      <c r="AR2752" s="15"/>
      <c r="AS2752" s="15"/>
      <c r="AT2752" s="15"/>
      <c r="AU2752" s="15"/>
      <c r="AV2752" s="15"/>
      <c r="AW2752" s="15"/>
    </row>
    <row r="2753" spans="3:49" x14ac:dyDescent="0.2">
      <c r="C2753" s="15"/>
      <c r="D2753" s="15"/>
      <c r="E2753" s="15"/>
      <c r="F2753" s="15"/>
      <c r="G2753" s="15"/>
      <c r="H2753" s="15"/>
      <c r="I2753" s="15"/>
      <c r="J2753" s="15"/>
      <c r="K2753" s="15"/>
      <c r="L2753" s="28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5"/>
      <c r="AG2753" s="15"/>
      <c r="AH2753" s="15"/>
      <c r="AI2753" s="15"/>
      <c r="AJ2753" s="15"/>
      <c r="AK2753" s="15"/>
      <c r="AL2753" s="15"/>
      <c r="AM2753" s="15"/>
      <c r="AN2753" s="15"/>
      <c r="AO2753" s="15"/>
      <c r="AP2753" s="15"/>
      <c r="AQ2753" s="15"/>
      <c r="AR2753" s="15"/>
      <c r="AS2753" s="15"/>
      <c r="AT2753" s="15"/>
      <c r="AU2753" s="15"/>
      <c r="AV2753" s="15"/>
      <c r="AW2753" s="15"/>
    </row>
    <row r="2754" spans="3:49" x14ac:dyDescent="0.2">
      <c r="C2754" s="15"/>
      <c r="D2754" s="15"/>
      <c r="E2754" s="15"/>
      <c r="F2754" s="15"/>
      <c r="G2754" s="15"/>
      <c r="H2754" s="15"/>
      <c r="I2754" s="15"/>
      <c r="J2754" s="15"/>
      <c r="K2754" s="15"/>
      <c r="L2754" s="28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5"/>
      <c r="AG2754" s="15"/>
      <c r="AH2754" s="15"/>
      <c r="AI2754" s="15"/>
      <c r="AJ2754" s="15"/>
      <c r="AK2754" s="15"/>
      <c r="AL2754" s="15"/>
      <c r="AM2754" s="15"/>
      <c r="AN2754" s="15"/>
      <c r="AO2754" s="15"/>
      <c r="AP2754" s="15"/>
      <c r="AQ2754" s="15"/>
      <c r="AR2754" s="15"/>
      <c r="AS2754" s="15"/>
      <c r="AT2754" s="15"/>
      <c r="AU2754" s="15"/>
      <c r="AV2754" s="15"/>
      <c r="AW2754" s="15"/>
    </row>
    <row r="2755" spans="3:49" x14ac:dyDescent="0.2">
      <c r="C2755" s="15"/>
      <c r="D2755" s="15"/>
      <c r="E2755" s="15"/>
      <c r="F2755" s="15"/>
      <c r="G2755" s="15"/>
      <c r="H2755" s="15"/>
      <c r="I2755" s="15"/>
      <c r="J2755" s="15"/>
      <c r="K2755" s="15"/>
      <c r="L2755" s="28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5"/>
      <c r="AG2755" s="15"/>
      <c r="AH2755" s="15"/>
      <c r="AI2755" s="15"/>
      <c r="AJ2755" s="15"/>
      <c r="AK2755" s="15"/>
      <c r="AL2755" s="15"/>
      <c r="AM2755" s="15"/>
      <c r="AN2755" s="15"/>
      <c r="AO2755" s="15"/>
      <c r="AP2755" s="15"/>
      <c r="AQ2755" s="15"/>
      <c r="AR2755" s="15"/>
      <c r="AS2755" s="15"/>
      <c r="AT2755" s="15"/>
      <c r="AU2755" s="15"/>
      <c r="AV2755" s="15"/>
      <c r="AW2755" s="15"/>
    </row>
    <row r="2756" spans="3:49" x14ac:dyDescent="0.2">
      <c r="C2756" s="15"/>
      <c r="D2756" s="15"/>
      <c r="E2756" s="15"/>
      <c r="F2756" s="15"/>
      <c r="G2756" s="15"/>
      <c r="H2756" s="15"/>
      <c r="I2756" s="15"/>
      <c r="J2756" s="15"/>
      <c r="K2756" s="15"/>
      <c r="L2756" s="28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5"/>
      <c r="AG2756" s="15"/>
      <c r="AH2756" s="15"/>
      <c r="AI2756" s="15"/>
      <c r="AJ2756" s="15"/>
      <c r="AK2756" s="15"/>
      <c r="AL2756" s="15"/>
      <c r="AM2756" s="15"/>
      <c r="AN2756" s="15"/>
      <c r="AO2756" s="15"/>
      <c r="AP2756" s="15"/>
      <c r="AQ2756" s="15"/>
      <c r="AR2756" s="15"/>
      <c r="AS2756" s="15"/>
      <c r="AT2756" s="15"/>
      <c r="AU2756" s="15"/>
      <c r="AV2756" s="15"/>
      <c r="AW2756" s="15"/>
    </row>
    <row r="2757" spans="3:49" x14ac:dyDescent="0.2">
      <c r="C2757" s="15"/>
      <c r="D2757" s="15"/>
      <c r="E2757" s="15"/>
      <c r="F2757" s="15"/>
      <c r="G2757" s="15"/>
      <c r="H2757" s="15"/>
      <c r="I2757" s="15"/>
      <c r="J2757" s="15"/>
      <c r="K2757" s="15"/>
      <c r="L2757" s="28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5"/>
      <c r="AG2757" s="15"/>
      <c r="AH2757" s="15"/>
      <c r="AI2757" s="15"/>
      <c r="AJ2757" s="15"/>
      <c r="AK2757" s="15"/>
      <c r="AL2757" s="15"/>
      <c r="AM2757" s="15"/>
      <c r="AN2757" s="15"/>
      <c r="AO2757" s="15"/>
      <c r="AP2757" s="15"/>
      <c r="AQ2757" s="15"/>
      <c r="AR2757" s="15"/>
      <c r="AS2757" s="15"/>
      <c r="AT2757" s="15"/>
      <c r="AU2757" s="15"/>
      <c r="AV2757" s="15"/>
      <c r="AW2757" s="15"/>
    </row>
    <row r="2758" spans="3:49" x14ac:dyDescent="0.2">
      <c r="C2758" s="15"/>
      <c r="D2758" s="15"/>
      <c r="E2758" s="15"/>
      <c r="F2758" s="15"/>
      <c r="G2758" s="15"/>
      <c r="H2758" s="15"/>
      <c r="I2758" s="15"/>
      <c r="J2758" s="15"/>
      <c r="K2758" s="15"/>
      <c r="L2758" s="28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5"/>
      <c r="AG2758" s="15"/>
      <c r="AH2758" s="15"/>
      <c r="AI2758" s="15"/>
      <c r="AJ2758" s="15"/>
      <c r="AK2758" s="15"/>
      <c r="AL2758" s="15"/>
      <c r="AM2758" s="15"/>
      <c r="AN2758" s="15"/>
      <c r="AO2758" s="15"/>
      <c r="AP2758" s="15"/>
      <c r="AQ2758" s="15"/>
      <c r="AR2758" s="15"/>
      <c r="AS2758" s="15"/>
      <c r="AT2758" s="15"/>
      <c r="AU2758" s="15"/>
      <c r="AV2758" s="15"/>
      <c r="AW2758" s="15"/>
    </row>
    <row r="2759" spans="3:49" x14ac:dyDescent="0.2">
      <c r="C2759" s="15"/>
      <c r="D2759" s="15"/>
      <c r="E2759" s="15"/>
      <c r="F2759" s="15"/>
      <c r="G2759" s="15"/>
      <c r="H2759" s="15"/>
      <c r="I2759" s="15"/>
      <c r="J2759" s="15"/>
      <c r="K2759" s="15"/>
      <c r="L2759" s="28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5"/>
      <c r="AG2759" s="15"/>
      <c r="AH2759" s="15"/>
      <c r="AI2759" s="15"/>
      <c r="AJ2759" s="15"/>
      <c r="AK2759" s="15"/>
      <c r="AL2759" s="15"/>
      <c r="AM2759" s="15"/>
      <c r="AN2759" s="15"/>
      <c r="AO2759" s="15"/>
      <c r="AP2759" s="15"/>
      <c r="AQ2759" s="15"/>
      <c r="AR2759" s="15"/>
      <c r="AS2759" s="15"/>
      <c r="AT2759" s="15"/>
      <c r="AU2759" s="15"/>
      <c r="AV2759" s="15"/>
      <c r="AW2759" s="15"/>
    </row>
    <row r="2760" spans="3:49" x14ac:dyDescent="0.2">
      <c r="C2760" s="15"/>
      <c r="D2760" s="15"/>
      <c r="E2760" s="15"/>
      <c r="F2760" s="15"/>
      <c r="G2760" s="15"/>
      <c r="H2760" s="15"/>
      <c r="I2760" s="15"/>
      <c r="J2760" s="15"/>
      <c r="K2760" s="15"/>
      <c r="L2760" s="28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5"/>
      <c r="AG2760" s="15"/>
      <c r="AH2760" s="15"/>
      <c r="AI2760" s="15"/>
      <c r="AJ2760" s="15"/>
      <c r="AK2760" s="15"/>
      <c r="AL2760" s="15"/>
      <c r="AM2760" s="15"/>
      <c r="AN2760" s="15"/>
      <c r="AO2760" s="15"/>
      <c r="AP2760" s="15"/>
      <c r="AQ2760" s="15"/>
      <c r="AR2760" s="15"/>
      <c r="AS2760" s="15"/>
      <c r="AT2760" s="15"/>
      <c r="AU2760" s="15"/>
      <c r="AV2760" s="15"/>
      <c r="AW2760" s="15"/>
    </row>
    <row r="2761" spans="3:49" x14ac:dyDescent="0.2">
      <c r="C2761" s="15"/>
      <c r="D2761" s="15"/>
      <c r="E2761" s="15"/>
      <c r="F2761" s="15"/>
      <c r="G2761" s="15"/>
      <c r="H2761" s="15"/>
      <c r="I2761" s="15"/>
      <c r="J2761" s="15"/>
      <c r="K2761" s="15"/>
      <c r="L2761" s="28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5"/>
      <c r="AG2761" s="15"/>
      <c r="AH2761" s="15"/>
      <c r="AI2761" s="15"/>
      <c r="AJ2761" s="15"/>
      <c r="AK2761" s="15"/>
      <c r="AL2761" s="15"/>
      <c r="AM2761" s="15"/>
      <c r="AN2761" s="15"/>
      <c r="AO2761" s="15"/>
      <c r="AP2761" s="15"/>
      <c r="AQ2761" s="15"/>
      <c r="AR2761" s="15"/>
      <c r="AS2761" s="15"/>
      <c r="AT2761" s="15"/>
      <c r="AU2761" s="15"/>
      <c r="AV2761" s="15"/>
      <c r="AW2761" s="15"/>
    </row>
    <row r="2762" spans="3:49" x14ac:dyDescent="0.2">
      <c r="C2762" s="15"/>
      <c r="D2762" s="15"/>
      <c r="E2762" s="15"/>
      <c r="F2762" s="15"/>
      <c r="G2762" s="15"/>
      <c r="H2762" s="15"/>
      <c r="I2762" s="15"/>
      <c r="J2762" s="15"/>
      <c r="K2762" s="15"/>
      <c r="L2762" s="28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5"/>
      <c r="AG2762" s="15"/>
      <c r="AH2762" s="15"/>
      <c r="AI2762" s="15"/>
      <c r="AJ2762" s="15"/>
      <c r="AK2762" s="15"/>
      <c r="AL2762" s="15"/>
      <c r="AM2762" s="15"/>
      <c r="AN2762" s="15"/>
      <c r="AO2762" s="15"/>
      <c r="AP2762" s="15"/>
      <c r="AQ2762" s="15"/>
      <c r="AR2762" s="15"/>
      <c r="AS2762" s="15"/>
      <c r="AT2762" s="15"/>
      <c r="AU2762" s="15"/>
      <c r="AV2762" s="15"/>
      <c r="AW2762" s="15"/>
    </row>
    <row r="2763" spans="3:49" x14ac:dyDescent="0.2">
      <c r="C2763" s="15"/>
      <c r="D2763" s="15"/>
      <c r="E2763" s="15"/>
      <c r="F2763" s="15"/>
      <c r="G2763" s="15"/>
      <c r="H2763" s="15"/>
      <c r="I2763" s="15"/>
      <c r="J2763" s="15"/>
      <c r="K2763" s="15"/>
      <c r="L2763" s="28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5"/>
      <c r="AG2763" s="15"/>
      <c r="AH2763" s="15"/>
      <c r="AI2763" s="15"/>
      <c r="AJ2763" s="15"/>
      <c r="AK2763" s="15"/>
      <c r="AL2763" s="15"/>
      <c r="AM2763" s="15"/>
      <c r="AN2763" s="15"/>
      <c r="AO2763" s="15"/>
      <c r="AP2763" s="15"/>
      <c r="AQ2763" s="15"/>
      <c r="AR2763" s="15"/>
      <c r="AS2763" s="15"/>
      <c r="AT2763" s="15"/>
      <c r="AU2763" s="15"/>
      <c r="AV2763" s="15"/>
      <c r="AW2763" s="15"/>
    </row>
    <row r="2764" spans="3:49" x14ac:dyDescent="0.2">
      <c r="C2764" s="15"/>
      <c r="D2764" s="15"/>
      <c r="E2764" s="15"/>
      <c r="F2764" s="15"/>
      <c r="G2764" s="15"/>
      <c r="H2764" s="15"/>
      <c r="I2764" s="15"/>
      <c r="J2764" s="15"/>
      <c r="K2764" s="15"/>
      <c r="L2764" s="28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5"/>
      <c r="AG2764" s="15"/>
      <c r="AH2764" s="15"/>
      <c r="AI2764" s="15"/>
      <c r="AJ2764" s="15"/>
      <c r="AK2764" s="15"/>
      <c r="AL2764" s="15"/>
      <c r="AM2764" s="15"/>
      <c r="AN2764" s="15"/>
      <c r="AO2764" s="15"/>
      <c r="AP2764" s="15"/>
      <c r="AQ2764" s="15"/>
      <c r="AR2764" s="15"/>
      <c r="AS2764" s="15"/>
      <c r="AT2764" s="15"/>
      <c r="AU2764" s="15"/>
      <c r="AV2764" s="15"/>
      <c r="AW2764" s="15"/>
    </row>
    <row r="2765" spans="3:49" x14ac:dyDescent="0.2">
      <c r="C2765" s="15"/>
      <c r="D2765" s="15"/>
      <c r="E2765" s="15"/>
      <c r="F2765" s="15"/>
      <c r="G2765" s="15"/>
      <c r="H2765" s="15"/>
      <c r="I2765" s="15"/>
      <c r="J2765" s="15"/>
      <c r="K2765" s="15"/>
      <c r="L2765" s="28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5"/>
      <c r="AG2765" s="15"/>
      <c r="AH2765" s="15"/>
      <c r="AI2765" s="15"/>
      <c r="AJ2765" s="15"/>
      <c r="AK2765" s="15"/>
      <c r="AL2765" s="15"/>
      <c r="AM2765" s="15"/>
      <c r="AN2765" s="15"/>
      <c r="AO2765" s="15"/>
      <c r="AP2765" s="15"/>
      <c r="AQ2765" s="15"/>
      <c r="AR2765" s="15"/>
      <c r="AS2765" s="15"/>
      <c r="AT2765" s="15"/>
      <c r="AU2765" s="15"/>
      <c r="AV2765" s="15"/>
      <c r="AW2765" s="15"/>
    </row>
    <row r="2766" spans="3:49" x14ac:dyDescent="0.2">
      <c r="C2766" s="15"/>
      <c r="D2766" s="15"/>
      <c r="E2766" s="15"/>
      <c r="F2766" s="15"/>
      <c r="G2766" s="15"/>
      <c r="H2766" s="15"/>
      <c r="I2766" s="15"/>
      <c r="J2766" s="15"/>
      <c r="K2766" s="15"/>
      <c r="L2766" s="28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5"/>
      <c r="AG2766" s="15"/>
      <c r="AH2766" s="15"/>
      <c r="AI2766" s="15"/>
      <c r="AJ2766" s="15"/>
      <c r="AK2766" s="15"/>
      <c r="AL2766" s="15"/>
      <c r="AM2766" s="15"/>
      <c r="AN2766" s="15"/>
      <c r="AO2766" s="15"/>
      <c r="AP2766" s="15"/>
      <c r="AQ2766" s="15"/>
      <c r="AR2766" s="15"/>
      <c r="AS2766" s="15"/>
      <c r="AT2766" s="15"/>
      <c r="AU2766" s="15"/>
      <c r="AV2766" s="15"/>
      <c r="AW2766" s="15"/>
    </row>
    <row r="2767" spans="3:49" x14ac:dyDescent="0.2">
      <c r="C2767" s="15"/>
      <c r="D2767" s="15"/>
      <c r="E2767" s="15"/>
      <c r="F2767" s="15"/>
      <c r="G2767" s="15"/>
      <c r="H2767" s="15"/>
      <c r="I2767" s="15"/>
      <c r="J2767" s="15"/>
      <c r="K2767" s="15"/>
      <c r="L2767" s="28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5"/>
      <c r="AG2767" s="15"/>
      <c r="AH2767" s="15"/>
      <c r="AI2767" s="15"/>
      <c r="AJ2767" s="15"/>
      <c r="AK2767" s="15"/>
      <c r="AL2767" s="15"/>
      <c r="AM2767" s="15"/>
      <c r="AN2767" s="15"/>
      <c r="AO2767" s="15"/>
      <c r="AP2767" s="15"/>
      <c r="AQ2767" s="15"/>
      <c r="AR2767" s="15"/>
      <c r="AS2767" s="15"/>
      <c r="AT2767" s="15"/>
      <c r="AU2767" s="15"/>
      <c r="AV2767" s="15"/>
      <c r="AW2767" s="15"/>
    </row>
    <row r="2768" spans="3:49" x14ac:dyDescent="0.2">
      <c r="C2768" s="15"/>
      <c r="D2768" s="15"/>
      <c r="E2768" s="15"/>
      <c r="F2768" s="15"/>
      <c r="G2768" s="15"/>
      <c r="H2768" s="15"/>
      <c r="I2768" s="15"/>
      <c r="J2768" s="15"/>
      <c r="K2768" s="15"/>
      <c r="L2768" s="28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5"/>
      <c r="AG2768" s="15"/>
      <c r="AH2768" s="15"/>
      <c r="AI2768" s="15"/>
      <c r="AJ2768" s="15"/>
      <c r="AK2768" s="15"/>
      <c r="AL2768" s="15"/>
      <c r="AM2768" s="15"/>
      <c r="AN2768" s="15"/>
      <c r="AO2768" s="15"/>
      <c r="AP2768" s="15"/>
      <c r="AQ2768" s="15"/>
      <c r="AR2768" s="15"/>
      <c r="AS2768" s="15"/>
      <c r="AT2768" s="15"/>
      <c r="AU2768" s="15"/>
      <c r="AV2768" s="15"/>
      <c r="AW2768" s="15"/>
    </row>
    <row r="2769" spans="3:49" x14ac:dyDescent="0.2">
      <c r="C2769" s="15"/>
      <c r="D2769" s="15"/>
      <c r="E2769" s="15"/>
      <c r="F2769" s="15"/>
      <c r="G2769" s="15"/>
      <c r="H2769" s="15"/>
      <c r="I2769" s="15"/>
      <c r="J2769" s="15"/>
      <c r="K2769" s="15"/>
      <c r="L2769" s="28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5"/>
      <c r="AG2769" s="15"/>
      <c r="AH2769" s="15"/>
      <c r="AI2769" s="15"/>
      <c r="AJ2769" s="15"/>
      <c r="AK2769" s="15"/>
      <c r="AL2769" s="15"/>
      <c r="AM2769" s="15"/>
      <c r="AN2769" s="15"/>
      <c r="AO2769" s="15"/>
      <c r="AP2769" s="15"/>
      <c r="AQ2769" s="15"/>
      <c r="AR2769" s="15"/>
      <c r="AS2769" s="15"/>
      <c r="AT2769" s="15"/>
      <c r="AU2769" s="15"/>
      <c r="AV2769" s="15"/>
      <c r="AW2769" s="15"/>
    </row>
    <row r="2770" spans="3:49" x14ac:dyDescent="0.2">
      <c r="C2770" s="15"/>
      <c r="D2770" s="15"/>
      <c r="E2770" s="15"/>
      <c r="F2770" s="15"/>
      <c r="G2770" s="15"/>
      <c r="H2770" s="15"/>
      <c r="I2770" s="15"/>
      <c r="J2770" s="15"/>
      <c r="K2770" s="15"/>
      <c r="L2770" s="28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5"/>
      <c r="AG2770" s="15"/>
      <c r="AH2770" s="15"/>
      <c r="AI2770" s="15"/>
      <c r="AJ2770" s="15"/>
      <c r="AK2770" s="15"/>
      <c r="AL2770" s="15"/>
      <c r="AM2770" s="15"/>
      <c r="AN2770" s="15"/>
      <c r="AO2770" s="15"/>
      <c r="AP2770" s="15"/>
      <c r="AQ2770" s="15"/>
      <c r="AR2770" s="15"/>
      <c r="AS2770" s="15"/>
      <c r="AT2770" s="15"/>
      <c r="AU2770" s="15"/>
      <c r="AV2770" s="15"/>
      <c r="AW2770" s="15"/>
    </row>
    <row r="2771" spans="3:49" x14ac:dyDescent="0.2">
      <c r="C2771" s="15"/>
      <c r="D2771" s="15"/>
      <c r="E2771" s="15"/>
      <c r="F2771" s="15"/>
      <c r="G2771" s="15"/>
      <c r="H2771" s="15"/>
      <c r="I2771" s="15"/>
      <c r="J2771" s="15"/>
      <c r="K2771" s="15"/>
      <c r="L2771" s="28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5"/>
      <c r="AG2771" s="15"/>
      <c r="AH2771" s="15"/>
      <c r="AI2771" s="15"/>
      <c r="AJ2771" s="15"/>
      <c r="AK2771" s="15"/>
      <c r="AL2771" s="15"/>
      <c r="AM2771" s="15"/>
      <c r="AN2771" s="15"/>
      <c r="AO2771" s="15"/>
      <c r="AP2771" s="15"/>
      <c r="AQ2771" s="15"/>
      <c r="AR2771" s="15"/>
      <c r="AS2771" s="15"/>
      <c r="AT2771" s="15"/>
      <c r="AU2771" s="15"/>
      <c r="AV2771" s="15"/>
      <c r="AW2771" s="15"/>
    </row>
    <row r="2772" spans="3:49" x14ac:dyDescent="0.2">
      <c r="C2772" s="15"/>
      <c r="D2772" s="15"/>
      <c r="E2772" s="15"/>
      <c r="F2772" s="15"/>
      <c r="G2772" s="15"/>
      <c r="H2772" s="15"/>
      <c r="I2772" s="15"/>
      <c r="J2772" s="15"/>
      <c r="K2772" s="15"/>
      <c r="L2772" s="28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5"/>
      <c r="AG2772" s="15"/>
      <c r="AH2772" s="15"/>
      <c r="AI2772" s="15"/>
      <c r="AJ2772" s="15"/>
      <c r="AK2772" s="15"/>
      <c r="AL2772" s="15"/>
      <c r="AM2772" s="15"/>
      <c r="AN2772" s="15"/>
      <c r="AO2772" s="15"/>
      <c r="AP2772" s="15"/>
      <c r="AQ2772" s="15"/>
      <c r="AR2772" s="15"/>
      <c r="AS2772" s="15"/>
      <c r="AT2772" s="15"/>
      <c r="AU2772" s="15"/>
      <c r="AV2772" s="15"/>
      <c r="AW2772" s="15"/>
    </row>
    <row r="2773" spans="3:49" x14ac:dyDescent="0.2">
      <c r="C2773" s="15"/>
      <c r="D2773" s="15"/>
      <c r="E2773" s="15"/>
      <c r="F2773" s="15"/>
      <c r="G2773" s="15"/>
      <c r="H2773" s="15"/>
      <c r="I2773" s="15"/>
      <c r="J2773" s="15"/>
      <c r="K2773" s="15"/>
      <c r="L2773" s="28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5"/>
      <c r="AG2773" s="15"/>
      <c r="AH2773" s="15"/>
      <c r="AI2773" s="15"/>
      <c r="AJ2773" s="15"/>
      <c r="AK2773" s="15"/>
      <c r="AL2773" s="15"/>
      <c r="AM2773" s="15"/>
      <c r="AN2773" s="15"/>
      <c r="AO2773" s="15"/>
      <c r="AP2773" s="15"/>
      <c r="AQ2773" s="15"/>
      <c r="AR2773" s="15"/>
      <c r="AS2773" s="15"/>
      <c r="AT2773" s="15"/>
      <c r="AU2773" s="15"/>
      <c r="AV2773" s="15"/>
      <c r="AW2773" s="15"/>
    </row>
    <row r="2774" spans="3:49" x14ac:dyDescent="0.2">
      <c r="C2774" s="15"/>
      <c r="D2774" s="15"/>
      <c r="E2774" s="15"/>
      <c r="F2774" s="15"/>
      <c r="G2774" s="15"/>
      <c r="H2774" s="15"/>
      <c r="I2774" s="15"/>
      <c r="J2774" s="15"/>
      <c r="K2774" s="15"/>
      <c r="L2774" s="28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5"/>
      <c r="AG2774" s="15"/>
      <c r="AH2774" s="15"/>
      <c r="AI2774" s="15"/>
      <c r="AJ2774" s="15"/>
      <c r="AK2774" s="15"/>
      <c r="AL2774" s="15"/>
      <c r="AM2774" s="15"/>
      <c r="AN2774" s="15"/>
      <c r="AO2774" s="15"/>
      <c r="AP2774" s="15"/>
      <c r="AQ2774" s="15"/>
      <c r="AR2774" s="15"/>
      <c r="AS2774" s="15"/>
      <c r="AT2774" s="15"/>
      <c r="AU2774" s="15"/>
      <c r="AV2774" s="15"/>
      <c r="AW2774" s="15"/>
    </row>
    <row r="2775" spans="3:49" x14ac:dyDescent="0.2">
      <c r="C2775" s="15"/>
      <c r="D2775" s="15"/>
      <c r="E2775" s="15"/>
      <c r="F2775" s="15"/>
      <c r="G2775" s="15"/>
      <c r="H2775" s="15"/>
      <c r="I2775" s="15"/>
      <c r="J2775" s="15"/>
      <c r="K2775" s="15"/>
      <c r="L2775" s="28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5"/>
      <c r="AG2775" s="15"/>
      <c r="AH2775" s="15"/>
      <c r="AI2775" s="15"/>
      <c r="AJ2775" s="15"/>
      <c r="AK2775" s="15"/>
      <c r="AL2775" s="15"/>
      <c r="AM2775" s="15"/>
      <c r="AN2775" s="15"/>
      <c r="AO2775" s="15"/>
      <c r="AP2775" s="15"/>
      <c r="AQ2775" s="15"/>
      <c r="AR2775" s="15"/>
      <c r="AS2775" s="15"/>
      <c r="AT2775" s="15"/>
      <c r="AU2775" s="15"/>
      <c r="AV2775" s="15"/>
      <c r="AW2775" s="15"/>
    </row>
    <row r="2776" spans="3:49" x14ac:dyDescent="0.2">
      <c r="C2776" s="15"/>
      <c r="D2776" s="15"/>
      <c r="E2776" s="15"/>
      <c r="F2776" s="15"/>
      <c r="G2776" s="15"/>
      <c r="H2776" s="15"/>
      <c r="I2776" s="15"/>
      <c r="J2776" s="15"/>
      <c r="K2776" s="15"/>
      <c r="L2776" s="28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5"/>
      <c r="AG2776" s="15"/>
      <c r="AH2776" s="15"/>
      <c r="AI2776" s="15"/>
      <c r="AJ2776" s="15"/>
      <c r="AK2776" s="15"/>
      <c r="AL2776" s="15"/>
      <c r="AM2776" s="15"/>
      <c r="AN2776" s="15"/>
      <c r="AO2776" s="15"/>
      <c r="AP2776" s="15"/>
      <c r="AQ2776" s="15"/>
      <c r="AR2776" s="15"/>
      <c r="AS2776" s="15"/>
      <c r="AT2776" s="15"/>
      <c r="AU2776" s="15"/>
      <c r="AV2776" s="15"/>
      <c r="AW2776" s="15"/>
    </row>
    <row r="2777" spans="3:49" x14ac:dyDescent="0.2">
      <c r="C2777" s="15"/>
      <c r="D2777" s="15"/>
      <c r="E2777" s="15"/>
      <c r="F2777" s="15"/>
      <c r="G2777" s="15"/>
      <c r="H2777" s="15"/>
      <c r="I2777" s="15"/>
      <c r="J2777" s="15"/>
      <c r="K2777" s="15"/>
      <c r="L2777" s="28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5"/>
      <c r="AG2777" s="15"/>
      <c r="AH2777" s="15"/>
      <c r="AI2777" s="15"/>
      <c r="AJ2777" s="15"/>
      <c r="AK2777" s="15"/>
      <c r="AL2777" s="15"/>
      <c r="AM2777" s="15"/>
      <c r="AN2777" s="15"/>
      <c r="AO2777" s="15"/>
      <c r="AP2777" s="15"/>
      <c r="AQ2777" s="15"/>
      <c r="AR2777" s="15"/>
      <c r="AS2777" s="15"/>
      <c r="AT2777" s="15"/>
      <c r="AU2777" s="15"/>
      <c r="AV2777" s="15"/>
      <c r="AW2777" s="15"/>
    </row>
    <row r="2778" spans="3:49" x14ac:dyDescent="0.2">
      <c r="C2778" s="15"/>
      <c r="D2778" s="15"/>
      <c r="E2778" s="15"/>
      <c r="F2778" s="15"/>
      <c r="G2778" s="15"/>
      <c r="H2778" s="15"/>
      <c r="I2778" s="15"/>
      <c r="J2778" s="15"/>
      <c r="K2778" s="15"/>
      <c r="L2778" s="28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5"/>
      <c r="AG2778" s="15"/>
      <c r="AH2778" s="15"/>
      <c r="AI2778" s="15"/>
      <c r="AJ2778" s="15"/>
      <c r="AK2778" s="15"/>
      <c r="AL2778" s="15"/>
      <c r="AM2778" s="15"/>
      <c r="AN2778" s="15"/>
      <c r="AO2778" s="15"/>
      <c r="AP2778" s="15"/>
      <c r="AQ2778" s="15"/>
      <c r="AR2778" s="15"/>
      <c r="AS2778" s="15"/>
      <c r="AT2778" s="15"/>
      <c r="AU2778" s="15"/>
      <c r="AV2778" s="15"/>
      <c r="AW2778" s="15"/>
    </row>
    <row r="2779" spans="3:49" x14ac:dyDescent="0.2">
      <c r="C2779" s="15"/>
      <c r="D2779" s="15"/>
      <c r="E2779" s="15"/>
      <c r="F2779" s="15"/>
      <c r="G2779" s="15"/>
      <c r="H2779" s="15"/>
      <c r="I2779" s="15"/>
      <c r="J2779" s="15"/>
      <c r="K2779" s="15"/>
      <c r="L2779" s="28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5"/>
      <c r="AG2779" s="15"/>
      <c r="AH2779" s="15"/>
      <c r="AI2779" s="15"/>
      <c r="AJ2779" s="15"/>
      <c r="AK2779" s="15"/>
      <c r="AL2779" s="15"/>
      <c r="AM2779" s="15"/>
      <c r="AN2779" s="15"/>
      <c r="AO2779" s="15"/>
      <c r="AP2779" s="15"/>
      <c r="AQ2779" s="15"/>
      <c r="AR2779" s="15"/>
      <c r="AS2779" s="15"/>
      <c r="AT2779" s="15"/>
      <c r="AU2779" s="15"/>
      <c r="AV2779" s="15"/>
      <c r="AW2779" s="15"/>
    </row>
    <row r="2780" spans="3:49" x14ac:dyDescent="0.2">
      <c r="C2780" s="15"/>
      <c r="D2780" s="15"/>
      <c r="E2780" s="15"/>
      <c r="F2780" s="15"/>
      <c r="G2780" s="15"/>
      <c r="H2780" s="15"/>
      <c r="I2780" s="15"/>
      <c r="J2780" s="15"/>
      <c r="K2780" s="15"/>
      <c r="L2780" s="28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5"/>
      <c r="AG2780" s="15"/>
      <c r="AH2780" s="15"/>
      <c r="AI2780" s="15"/>
      <c r="AJ2780" s="15"/>
      <c r="AK2780" s="15"/>
      <c r="AL2780" s="15"/>
      <c r="AM2780" s="15"/>
      <c r="AN2780" s="15"/>
      <c r="AO2780" s="15"/>
      <c r="AP2780" s="15"/>
      <c r="AQ2780" s="15"/>
      <c r="AR2780" s="15"/>
      <c r="AS2780" s="15"/>
      <c r="AT2780" s="15"/>
      <c r="AU2780" s="15"/>
      <c r="AV2780" s="15"/>
      <c r="AW2780" s="15"/>
    </row>
    <row r="2781" spans="3:49" x14ac:dyDescent="0.2">
      <c r="C2781" s="15"/>
      <c r="D2781" s="15"/>
      <c r="E2781" s="15"/>
      <c r="F2781" s="15"/>
      <c r="G2781" s="15"/>
      <c r="H2781" s="15"/>
      <c r="I2781" s="15"/>
      <c r="J2781" s="15"/>
      <c r="K2781" s="15"/>
      <c r="L2781" s="28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5"/>
      <c r="AG2781" s="15"/>
      <c r="AH2781" s="15"/>
      <c r="AI2781" s="15"/>
      <c r="AJ2781" s="15"/>
      <c r="AK2781" s="15"/>
      <c r="AL2781" s="15"/>
      <c r="AM2781" s="15"/>
      <c r="AN2781" s="15"/>
      <c r="AO2781" s="15"/>
      <c r="AP2781" s="15"/>
      <c r="AQ2781" s="15"/>
      <c r="AR2781" s="15"/>
      <c r="AS2781" s="15"/>
      <c r="AT2781" s="15"/>
      <c r="AU2781" s="15"/>
      <c r="AV2781" s="15"/>
      <c r="AW2781" s="15"/>
    </row>
    <row r="2782" spans="3:49" x14ac:dyDescent="0.2">
      <c r="C2782" s="15"/>
      <c r="D2782" s="15"/>
      <c r="E2782" s="15"/>
      <c r="F2782" s="15"/>
      <c r="G2782" s="15"/>
      <c r="H2782" s="15"/>
      <c r="I2782" s="15"/>
      <c r="J2782" s="15"/>
      <c r="K2782" s="15"/>
      <c r="L2782" s="28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5"/>
      <c r="AG2782" s="15"/>
      <c r="AH2782" s="15"/>
      <c r="AI2782" s="15"/>
      <c r="AJ2782" s="15"/>
      <c r="AK2782" s="15"/>
      <c r="AL2782" s="15"/>
      <c r="AM2782" s="15"/>
      <c r="AN2782" s="15"/>
      <c r="AO2782" s="15"/>
      <c r="AP2782" s="15"/>
      <c r="AQ2782" s="15"/>
      <c r="AR2782" s="15"/>
      <c r="AS2782" s="15"/>
      <c r="AT2782" s="15"/>
      <c r="AU2782" s="15"/>
      <c r="AV2782" s="15"/>
      <c r="AW2782" s="15"/>
    </row>
    <row r="2783" spans="3:49" x14ac:dyDescent="0.2">
      <c r="C2783" s="15"/>
      <c r="D2783" s="15"/>
      <c r="E2783" s="15"/>
      <c r="F2783" s="15"/>
      <c r="G2783" s="15"/>
      <c r="H2783" s="15"/>
      <c r="I2783" s="15"/>
      <c r="J2783" s="15"/>
      <c r="K2783" s="15"/>
      <c r="L2783" s="28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5"/>
      <c r="AG2783" s="15"/>
      <c r="AH2783" s="15"/>
      <c r="AI2783" s="15"/>
      <c r="AJ2783" s="15"/>
      <c r="AK2783" s="15"/>
      <c r="AL2783" s="15"/>
      <c r="AM2783" s="15"/>
      <c r="AN2783" s="15"/>
      <c r="AO2783" s="15"/>
      <c r="AP2783" s="15"/>
      <c r="AQ2783" s="15"/>
      <c r="AR2783" s="15"/>
      <c r="AS2783" s="15"/>
      <c r="AT2783" s="15"/>
      <c r="AU2783" s="15"/>
      <c r="AV2783" s="15"/>
      <c r="AW2783" s="15"/>
    </row>
    <row r="2784" spans="3:49" x14ac:dyDescent="0.2">
      <c r="C2784" s="15"/>
      <c r="D2784" s="15"/>
      <c r="E2784" s="15"/>
      <c r="F2784" s="15"/>
      <c r="G2784" s="15"/>
      <c r="H2784" s="15"/>
      <c r="I2784" s="15"/>
      <c r="J2784" s="15"/>
      <c r="K2784" s="15"/>
      <c r="L2784" s="28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5"/>
      <c r="AG2784" s="15"/>
      <c r="AH2784" s="15"/>
      <c r="AI2784" s="15"/>
      <c r="AJ2784" s="15"/>
      <c r="AK2784" s="15"/>
      <c r="AL2784" s="15"/>
      <c r="AM2784" s="15"/>
      <c r="AN2784" s="15"/>
      <c r="AO2784" s="15"/>
      <c r="AP2784" s="15"/>
      <c r="AQ2784" s="15"/>
      <c r="AR2784" s="15"/>
      <c r="AS2784" s="15"/>
      <c r="AT2784" s="15"/>
      <c r="AU2784" s="15"/>
      <c r="AV2784" s="15"/>
      <c r="AW2784" s="15"/>
    </row>
    <row r="2785" spans="3:49" x14ac:dyDescent="0.2">
      <c r="C2785" s="15"/>
      <c r="D2785" s="15"/>
      <c r="E2785" s="15"/>
      <c r="F2785" s="15"/>
      <c r="G2785" s="15"/>
      <c r="H2785" s="15"/>
      <c r="I2785" s="15"/>
      <c r="J2785" s="15"/>
      <c r="K2785" s="15"/>
      <c r="L2785" s="28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5"/>
      <c r="AG2785" s="15"/>
      <c r="AH2785" s="15"/>
      <c r="AI2785" s="15"/>
      <c r="AJ2785" s="15"/>
      <c r="AK2785" s="15"/>
      <c r="AL2785" s="15"/>
      <c r="AM2785" s="15"/>
      <c r="AN2785" s="15"/>
      <c r="AO2785" s="15"/>
      <c r="AP2785" s="15"/>
      <c r="AQ2785" s="15"/>
      <c r="AR2785" s="15"/>
      <c r="AS2785" s="15"/>
      <c r="AT2785" s="15"/>
      <c r="AU2785" s="15"/>
      <c r="AV2785" s="15"/>
      <c r="AW2785" s="15"/>
    </row>
    <row r="2786" spans="3:49" x14ac:dyDescent="0.2">
      <c r="C2786" s="15"/>
      <c r="D2786" s="15"/>
      <c r="E2786" s="15"/>
      <c r="F2786" s="15"/>
      <c r="G2786" s="15"/>
      <c r="H2786" s="15"/>
      <c r="I2786" s="15"/>
      <c r="J2786" s="15"/>
      <c r="K2786" s="15"/>
      <c r="L2786" s="28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5"/>
      <c r="AG2786" s="15"/>
      <c r="AH2786" s="15"/>
      <c r="AI2786" s="15"/>
      <c r="AJ2786" s="15"/>
      <c r="AK2786" s="15"/>
      <c r="AL2786" s="15"/>
      <c r="AM2786" s="15"/>
      <c r="AN2786" s="15"/>
      <c r="AO2786" s="15"/>
      <c r="AP2786" s="15"/>
      <c r="AQ2786" s="15"/>
      <c r="AR2786" s="15"/>
      <c r="AS2786" s="15"/>
      <c r="AT2786" s="15"/>
      <c r="AU2786" s="15"/>
      <c r="AV2786" s="15"/>
      <c r="AW2786" s="15"/>
    </row>
    <row r="2787" spans="3:49" x14ac:dyDescent="0.2">
      <c r="C2787" s="15"/>
      <c r="D2787" s="15"/>
      <c r="E2787" s="15"/>
      <c r="F2787" s="15"/>
      <c r="G2787" s="15"/>
      <c r="H2787" s="15"/>
      <c r="I2787" s="15"/>
      <c r="J2787" s="15"/>
      <c r="K2787" s="15"/>
      <c r="L2787" s="28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5"/>
      <c r="AG2787" s="15"/>
      <c r="AH2787" s="15"/>
      <c r="AI2787" s="15"/>
      <c r="AJ2787" s="15"/>
      <c r="AK2787" s="15"/>
      <c r="AL2787" s="15"/>
      <c r="AM2787" s="15"/>
      <c r="AN2787" s="15"/>
      <c r="AO2787" s="15"/>
      <c r="AP2787" s="15"/>
      <c r="AQ2787" s="15"/>
      <c r="AR2787" s="15"/>
      <c r="AS2787" s="15"/>
      <c r="AT2787" s="15"/>
      <c r="AU2787" s="15"/>
      <c r="AV2787" s="15"/>
      <c r="AW2787" s="15"/>
    </row>
    <row r="2788" spans="3:49" x14ac:dyDescent="0.2">
      <c r="C2788" s="15"/>
      <c r="D2788" s="15"/>
      <c r="E2788" s="15"/>
      <c r="F2788" s="15"/>
      <c r="G2788" s="15"/>
      <c r="H2788" s="15"/>
      <c r="I2788" s="15"/>
      <c r="J2788" s="15"/>
      <c r="K2788" s="15"/>
      <c r="L2788" s="28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5"/>
      <c r="AG2788" s="15"/>
      <c r="AH2788" s="15"/>
      <c r="AI2788" s="15"/>
      <c r="AJ2788" s="15"/>
      <c r="AK2788" s="15"/>
      <c r="AL2788" s="15"/>
      <c r="AM2788" s="15"/>
      <c r="AN2788" s="15"/>
      <c r="AO2788" s="15"/>
      <c r="AP2788" s="15"/>
      <c r="AQ2788" s="15"/>
      <c r="AR2788" s="15"/>
      <c r="AS2788" s="15"/>
      <c r="AT2788" s="15"/>
      <c r="AU2788" s="15"/>
      <c r="AV2788" s="15"/>
      <c r="AW2788" s="15"/>
    </row>
    <row r="2789" spans="3:49" x14ac:dyDescent="0.2">
      <c r="C2789" s="15"/>
      <c r="D2789" s="15"/>
      <c r="E2789" s="15"/>
      <c r="F2789" s="15"/>
      <c r="G2789" s="15"/>
      <c r="H2789" s="15"/>
      <c r="I2789" s="15"/>
      <c r="J2789" s="15"/>
      <c r="K2789" s="15"/>
      <c r="L2789" s="28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5"/>
      <c r="AG2789" s="15"/>
      <c r="AH2789" s="15"/>
      <c r="AI2789" s="15"/>
      <c r="AJ2789" s="15"/>
      <c r="AK2789" s="15"/>
      <c r="AL2789" s="15"/>
      <c r="AM2789" s="15"/>
      <c r="AN2789" s="15"/>
      <c r="AO2789" s="15"/>
      <c r="AP2789" s="15"/>
      <c r="AQ2789" s="15"/>
      <c r="AR2789" s="15"/>
      <c r="AS2789" s="15"/>
      <c r="AT2789" s="15"/>
      <c r="AU2789" s="15"/>
      <c r="AV2789" s="15"/>
      <c r="AW2789" s="15"/>
    </row>
    <row r="2790" spans="3:49" x14ac:dyDescent="0.2">
      <c r="C2790" s="15"/>
      <c r="D2790" s="15"/>
      <c r="E2790" s="15"/>
      <c r="F2790" s="15"/>
      <c r="G2790" s="15"/>
      <c r="H2790" s="15"/>
      <c r="I2790" s="15"/>
      <c r="J2790" s="15"/>
      <c r="K2790" s="15"/>
      <c r="L2790" s="28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5"/>
      <c r="AG2790" s="15"/>
      <c r="AH2790" s="15"/>
      <c r="AI2790" s="15"/>
      <c r="AJ2790" s="15"/>
      <c r="AK2790" s="15"/>
      <c r="AL2790" s="15"/>
      <c r="AM2790" s="15"/>
      <c r="AN2790" s="15"/>
      <c r="AO2790" s="15"/>
      <c r="AP2790" s="15"/>
      <c r="AQ2790" s="15"/>
      <c r="AR2790" s="15"/>
      <c r="AS2790" s="15"/>
      <c r="AT2790" s="15"/>
      <c r="AU2790" s="15"/>
      <c r="AV2790" s="15"/>
      <c r="AW2790" s="15"/>
    </row>
    <row r="2791" spans="3:49" x14ac:dyDescent="0.2">
      <c r="C2791" s="15"/>
      <c r="D2791" s="15"/>
      <c r="E2791" s="15"/>
      <c r="F2791" s="15"/>
      <c r="G2791" s="15"/>
      <c r="H2791" s="15"/>
      <c r="I2791" s="15"/>
      <c r="J2791" s="15"/>
      <c r="K2791" s="15"/>
      <c r="L2791" s="28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5"/>
      <c r="AG2791" s="15"/>
      <c r="AH2791" s="15"/>
      <c r="AI2791" s="15"/>
      <c r="AJ2791" s="15"/>
      <c r="AK2791" s="15"/>
      <c r="AL2791" s="15"/>
      <c r="AM2791" s="15"/>
      <c r="AN2791" s="15"/>
      <c r="AO2791" s="15"/>
      <c r="AP2791" s="15"/>
      <c r="AQ2791" s="15"/>
      <c r="AR2791" s="15"/>
      <c r="AS2791" s="15"/>
      <c r="AT2791" s="15"/>
      <c r="AU2791" s="15"/>
      <c r="AV2791" s="15"/>
      <c r="AW2791" s="15"/>
    </row>
    <row r="2792" spans="3:49" x14ac:dyDescent="0.2">
      <c r="C2792" s="15"/>
      <c r="D2792" s="15"/>
      <c r="E2792" s="15"/>
      <c r="F2792" s="15"/>
      <c r="G2792" s="15"/>
      <c r="H2792" s="15"/>
      <c r="I2792" s="15"/>
      <c r="J2792" s="15"/>
      <c r="K2792" s="15"/>
      <c r="L2792" s="28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5"/>
      <c r="AG2792" s="15"/>
      <c r="AH2792" s="15"/>
      <c r="AI2792" s="15"/>
      <c r="AJ2792" s="15"/>
      <c r="AK2792" s="15"/>
      <c r="AL2792" s="15"/>
      <c r="AM2792" s="15"/>
      <c r="AN2792" s="15"/>
      <c r="AO2792" s="15"/>
      <c r="AP2792" s="15"/>
      <c r="AQ2792" s="15"/>
      <c r="AR2792" s="15"/>
      <c r="AS2792" s="15"/>
      <c r="AT2792" s="15"/>
      <c r="AU2792" s="15"/>
      <c r="AV2792" s="15"/>
      <c r="AW2792" s="15"/>
    </row>
    <row r="2793" spans="3:49" x14ac:dyDescent="0.2">
      <c r="C2793" s="15"/>
      <c r="D2793" s="15"/>
      <c r="E2793" s="15"/>
      <c r="F2793" s="15"/>
      <c r="G2793" s="15"/>
      <c r="H2793" s="15"/>
      <c r="I2793" s="15"/>
      <c r="J2793" s="15"/>
      <c r="K2793" s="15"/>
      <c r="L2793" s="28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5"/>
      <c r="AG2793" s="15"/>
      <c r="AH2793" s="15"/>
      <c r="AI2793" s="15"/>
      <c r="AJ2793" s="15"/>
      <c r="AK2793" s="15"/>
      <c r="AL2793" s="15"/>
      <c r="AM2793" s="15"/>
      <c r="AN2793" s="15"/>
      <c r="AO2793" s="15"/>
      <c r="AP2793" s="15"/>
      <c r="AQ2793" s="15"/>
      <c r="AR2793" s="15"/>
      <c r="AS2793" s="15"/>
      <c r="AT2793" s="15"/>
      <c r="AU2793" s="15"/>
      <c r="AV2793" s="15"/>
      <c r="AW2793" s="15"/>
    </row>
    <row r="2794" spans="3:49" x14ac:dyDescent="0.2">
      <c r="C2794" s="15"/>
      <c r="D2794" s="15"/>
      <c r="E2794" s="15"/>
      <c r="F2794" s="15"/>
      <c r="G2794" s="15"/>
      <c r="H2794" s="15"/>
      <c r="I2794" s="15"/>
      <c r="J2794" s="15"/>
      <c r="K2794" s="15"/>
      <c r="L2794" s="28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5"/>
      <c r="AG2794" s="15"/>
      <c r="AH2794" s="15"/>
      <c r="AI2794" s="15"/>
      <c r="AJ2794" s="15"/>
      <c r="AK2794" s="15"/>
      <c r="AL2794" s="15"/>
      <c r="AM2794" s="15"/>
      <c r="AN2794" s="15"/>
      <c r="AO2794" s="15"/>
      <c r="AP2794" s="15"/>
      <c r="AQ2794" s="15"/>
      <c r="AR2794" s="15"/>
      <c r="AS2794" s="15"/>
      <c r="AT2794" s="15"/>
      <c r="AU2794" s="15"/>
      <c r="AV2794" s="15"/>
      <c r="AW2794" s="15"/>
    </row>
    <row r="2795" spans="3:49" x14ac:dyDescent="0.2">
      <c r="C2795" s="15"/>
      <c r="D2795" s="15"/>
      <c r="E2795" s="15"/>
      <c r="F2795" s="15"/>
      <c r="G2795" s="15"/>
      <c r="H2795" s="15"/>
      <c r="I2795" s="15"/>
      <c r="J2795" s="15"/>
      <c r="K2795" s="15"/>
      <c r="L2795" s="28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5"/>
      <c r="AG2795" s="15"/>
      <c r="AH2795" s="15"/>
      <c r="AI2795" s="15"/>
      <c r="AJ2795" s="15"/>
      <c r="AK2795" s="15"/>
      <c r="AL2795" s="15"/>
      <c r="AM2795" s="15"/>
      <c r="AN2795" s="15"/>
      <c r="AO2795" s="15"/>
      <c r="AP2795" s="15"/>
      <c r="AQ2795" s="15"/>
      <c r="AR2795" s="15"/>
      <c r="AS2795" s="15"/>
      <c r="AT2795" s="15"/>
      <c r="AU2795" s="15"/>
      <c r="AV2795" s="15"/>
      <c r="AW2795" s="15"/>
    </row>
    <row r="2796" spans="3:49" x14ac:dyDescent="0.2">
      <c r="C2796" s="15"/>
      <c r="D2796" s="15"/>
      <c r="E2796" s="15"/>
      <c r="F2796" s="15"/>
      <c r="G2796" s="15"/>
      <c r="H2796" s="15"/>
      <c r="I2796" s="15"/>
      <c r="J2796" s="15"/>
      <c r="K2796" s="15"/>
      <c r="L2796" s="28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5"/>
      <c r="AG2796" s="15"/>
      <c r="AH2796" s="15"/>
      <c r="AI2796" s="15"/>
      <c r="AJ2796" s="15"/>
      <c r="AK2796" s="15"/>
      <c r="AL2796" s="15"/>
      <c r="AM2796" s="15"/>
      <c r="AN2796" s="15"/>
      <c r="AO2796" s="15"/>
      <c r="AP2796" s="15"/>
      <c r="AQ2796" s="15"/>
      <c r="AR2796" s="15"/>
      <c r="AS2796" s="15"/>
      <c r="AT2796" s="15"/>
      <c r="AU2796" s="15"/>
      <c r="AV2796" s="15"/>
      <c r="AW2796" s="15"/>
    </row>
    <row r="2797" spans="3:49" x14ac:dyDescent="0.2">
      <c r="C2797" s="15"/>
      <c r="D2797" s="15"/>
      <c r="E2797" s="15"/>
      <c r="F2797" s="15"/>
      <c r="G2797" s="15"/>
      <c r="H2797" s="15"/>
      <c r="I2797" s="15"/>
      <c r="J2797" s="15"/>
      <c r="K2797" s="15"/>
      <c r="L2797" s="28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5"/>
      <c r="AG2797" s="15"/>
      <c r="AH2797" s="15"/>
      <c r="AI2797" s="15"/>
      <c r="AJ2797" s="15"/>
      <c r="AK2797" s="15"/>
      <c r="AL2797" s="15"/>
      <c r="AM2797" s="15"/>
      <c r="AN2797" s="15"/>
      <c r="AO2797" s="15"/>
      <c r="AP2797" s="15"/>
      <c r="AQ2797" s="15"/>
      <c r="AR2797" s="15"/>
      <c r="AS2797" s="15"/>
      <c r="AT2797" s="15"/>
      <c r="AU2797" s="15"/>
      <c r="AV2797" s="15"/>
      <c r="AW2797" s="15"/>
    </row>
    <row r="2798" spans="3:49" x14ac:dyDescent="0.2">
      <c r="C2798" s="15"/>
      <c r="D2798" s="15"/>
      <c r="E2798" s="15"/>
      <c r="F2798" s="15"/>
      <c r="G2798" s="15"/>
      <c r="H2798" s="15"/>
      <c r="I2798" s="15"/>
      <c r="J2798" s="15"/>
      <c r="K2798" s="15"/>
      <c r="L2798" s="28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5"/>
      <c r="AG2798" s="15"/>
      <c r="AH2798" s="15"/>
      <c r="AI2798" s="15"/>
      <c r="AJ2798" s="15"/>
      <c r="AK2798" s="15"/>
      <c r="AL2798" s="15"/>
      <c r="AM2798" s="15"/>
      <c r="AN2798" s="15"/>
      <c r="AO2798" s="15"/>
      <c r="AP2798" s="15"/>
      <c r="AQ2798" s="15"/>
      <c r="AR2798" s="15"/>
      <c r="AS2798" s="15"/>
      <c r="AT2798" s="15"/>
      <c r="AU2798" s="15"/>
      <c r="AV2798" s="15"/>
      <c r="AW2798" s="15"/>
    </row>
    <row r="2799" spans="3:49" x14ac:dyDescent="0.2">
      <c r="C2799" s="15"/>
      <c r="D2799" s="15"/>
      <c r="E2799" s="15"/>
      <c r="F2799" s="15"/>
      <c r="G2799" s="15"/>
      <c r="H2799" s="15"/>
      <c r="I2799" s="15"/>
      <c r="J2799" s="15"/>
      <c r="K2799" s="15"/>
      <c r="L2799" s="28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5"/>
      <c r="AG2799" s="15"/>
      <c r="AH2799" s="15"/>
      <c r="AI2799" s="15"/>
      <c r="AJ2799" s="15"/>
      <c r="AK2799" s="15"/>
      <c r="AL2799" s="15"/>
      <c r="AM2799" s="15"/>
      <c r="AN2799" s="15"/>
      <c r="AO2799" s="15"/>
      <c r="AP2799" s="15"/>
      <c r="AQ2799" s="15"/>
      <c r="AR2799" s="15"/>
      <c r="AS2799" s="15"/>
      <c r="AT2799" s="15"/>
      <c r="AU2799" s="15"/>
      <c r="AV2799" s="15"/>
      <c r="AW2799" s="15"/>
    </row>
    <row r="2800" spans="3:49" x14ac:dyDescent="0.2">
      <c r="C2800" s="15"/>
      <c r="D2800" s="15"/>
      <c r="E2800" s="15"/>
      <c r="F2800" s="15"/>
      <c r="G2800" s="15"/>
      <c r="H2800" s="15"/>
      <c r="I2800" s="15"/>
      <c r="J2800" s="15"/>
      <c r="K2800" s="15"/>
      <c r="L2800" s="28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5"/>
      <c r="AG2800" s="15"/>
      <c r="AH2800" s="15"/>
      <c r="AI2800" s="15"/>
      <c r="AJ2800" s="15"/>
      <c r="AK2800" s="15"/>
      <c r="AL2800" s="15"/>
      <c r="AM2800" s="15"/>
      <c r="AN2800" s="15"/>
      <c r="AO2800" s="15"/>
      <c r="AP2800" s="15"/>
      <c r="AQ2800" s="15"/>
      <c r="AR2800" s="15"/>
      <c r="AS2800" s="15"/>
      <c r="AT2800" s="15"/>
      <c r="AU2800" s="15"/>
      <c r="AV2800" s="15"/>
      <c r="AW2800" s="15"/>
    </row>
    <row r="2801" spans="3:49" x14ac:dyDescent="0.2">
      <c r="C2801" s="15"/>
      <c r="D2801" s="15"/>
      <c r="E2801" s="15"/>
      <c r="F2801" s="15"/>
      <c r="G2801" s="15"/>
      <c r="H2801" s="15"/>
      <c r="I2801" s="15"/>
      <c r="J2801" s="15"/>
      <c r="K2801" s="15"/>
      <c r="L2801" s="28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5"/>
      <c r="AG2801" s="15"/>
      <c r="AH2801" s="15"/>
      <c r="AI2801" s="15"/>
      <c r="AJ2801" s="15"/>
      <c r="AK2801" s="15"/>
      <c r="AL2801" s="15"/>
      <c r="AM2801" s="15"/>
      <c r="AN2801" s="15"/>
      <c r="AO2801" s="15"/>
      <c r="AP2801" s="15"/>
      <c r="AQ2801" s="15"/>
      <c r="AR2801" s="15"/>
      <c r="AS2801" s="15"/>
      <c r="AT2801" s="15"/>
      <c r="AU2801" s="15"/>
      <c r="AV2801" s="15"/>
      <c r="AW2801" s="15"/>
    </row>
    <row r="2802" spans="3:49" x14ac:dyDescent="0.2">
      <c r="C2802" s="15"/>
      <c r="D2802" s="15"/>
      <c r="E2802" s="15"/>
      <c r="F2802" s="15"/>
      <c r="G2802" s="15"/>
      <c r="H2802" s="15"/>
      <c r="I2802" s="15"/>
      <c r="J2802" s="15"/>
      <c r="K2802" s="15"/>
      <c r="L2802" s="28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5"/>
      <c r="AG2802" s="15"/>
      <c r="AH2802" s="15"/>
      <c r="AI2802" s="15"/>
      <c r="AJ2802" s="15"/>
      <c r="AK2802" s="15"/>
      <c r="AL2802" s="15"/>
      <c r="AM2802" s="15"/>
      <c r="AN2802" s="15"/>
      <c r="AO2802" s="15"/>
      <c r="AP2802" s="15"/>
      <c r="AQ2802" s="15"/>
      <c r="AR2802" s="15"/>
      <c r="AS2802" s="15"/>
      <c r="AT2802" s="15"/>
      <c r="AU2802" s="15"/>
      <c r="AV2802" s="15"/>
      <c r="AW2802" s="15"/>
    </row>
    <row r="2803" spans="3:49" x14ac:dyDescent="0.2">
      <c r="C2803" s="15"/>
      <c r="D2803" s="15"/>
      <c r="E2803" s="15"/>
      <c r="F2803" s="15"/>
      <c r="G2803" s="15"/>
      <c r="H2803" s="15"/>
      <c r="I2803" s="15"/>
      <c r="J2803" s="15"/>
      <c r="K2803" s="15"/>
      <c r="L2803" s="28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5"/>
      <c r="AG2803" s="15"/>
      <c r="AH2803" s="15"/>
      <c r="AI2803" s="15"/>
      <c r="AJ2803" s="15"/>
      <c r="AK2803" s="15"/>
      <c r="AL2803" s="15"/>
      <c r="AM2803" s="15"/>
      <c r="AN2803" s="15"/>
      <c r="AO2803" s="15"/>
      <c r="AP2803" s="15"/>
      <c r="AQ2803" s="15"/>
      <c r="AR2803" s="15"/>
      <c r="AS2803" s="15"/>
      <c r="AT2803" s="15"/>
      <c r="AU2803" s="15"/>
      <c r="AV2803" s="15"/>
      <c r="AW2803" s="15"/>
    </row>
    <row r="2804" spans="3:49" x14ac:dyDescent="0.2">
      <c r="C2804" s="15"/>
      <c r="D2804" s="15"/>
      <c r="E2804" s="15"/>
      <c r="F2804" s="15"/>
      <c r="G2804" s="15"/>
      <c r="H2804" s="15"/>
      <c r="I2804" s="15"/>
      <c r="J2804" s="15"/>
      <c r="K2804" s="15"/>
      <c r="L2804" s="28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5"/>
      <c r="AG2804" s="15"/>
      <c r="AH2804" s="15"/>
      <c r="AI2804" s="15"/>
      <c r="AJ2804" s="15"/>
      <c r="AK2804" s="15"/>
      <c r="AL2804" s="15"/>
      <c r="AM2804" s="15"/>
      <c r="AN2804" s="15"/>
      <c r="AO2804" s="15"/>
      <c r="AP2804" s="15"/>
      <c r="AQ2804" s="15"/>
      <c r="AR2804" s="15"/>
      <c r="AS2804" s="15"/>
      <c r="AT2804" s="15"/>
      <c r="AU2804" s="15"/>
      <c r="AV2804" s="15"/>
      <c r="AW2804" s="15"/>
    </row>
    <row r="2805" spans="3:49" x14ac:dyDescent="0.2">
      <c r="C2805" s="15"/>
      <c r="D2805" s="15"/>
      <c r="E2805" s="15"/>
      <c r="F2805" s="15"/>
      <c r="G2805" s="15"/>
      <c r="H2805" s="15"/>
      <c r="I2805" s="15"/>
      <c r="J2805" s="15"/>
      <c r="K2805" s="15"/>
      <c r="L2805" s="28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5"/>
      <c r="AG2805" s="15"/>
      <c r="AH2805" s="15"/>
      <c r="AI2805" s="15"/>
      <c r="AJ2805" s="15"/>
      <c r="AK2805" s="15"/>
      <c r="AL2805" s="15"/>
      <c r="AM2805" s="15"/>
      <c r="AN2805" s="15"/>
      <c r="AO2805" s="15"/>
      <c r="AP2805" s="15"/>
      <c r="AQ2805" s="15"/>
      <c r="AR2805" s="15"/>
      <c r="AS2805" s="15"/>
      <c r="AT2805" s="15"/>
      <c r="AU2805" s="15"/>
      <c r="AV2805" s="15"/>
      <c r="AW2805" s="15"/>
    </row>
    <row r="2806" spans="3:49" x14ac:dyDescent="0.2">
      <c r="C2806" s="15"/>
      <c r="D2806" s="15"/>
      <c r="E2806" s="15"/>
      <c r="F2806" s="15"/>
      <c r="G2806" s="15"/>
      <c r="H2806" s="15"/>
      <c r="I2806" s="15"/>
      <c r="J2806" s="15"/>
      <c r="K2806" s="15"/>
      <c r="L2806" s="28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5"/>
      <c r="AG2806" s="15"/>
      <c r="AH2806" s="15"/>
      <c r="AI2806" s="15"/>
      <c r="AJ2806" s="15"/>
      <c r="AK2806" s="15"/>
      <c r="AL2806" s="15"/>
      <c r="AM2806" s="15"/>
      <c r="AN2806" s="15"/>
      <c r="AO2806" s="15"/>
      <c r="AP2806" s="15"/>
      <c r="AQ2806" s="15"/>
      <c r="AR2806" s="15"/>
      <c r="AS2806" s="15"/>
      <c r="AT2806" s="15"/>
      <c r="AU2806" s="15"/>
      <c r="AV2806" s="15"/>
      <c r="AW2806" s="15"/>
    </row>
    <row r="2807" spans="3:49" x14ac:dyDescent="0.2">
      <c r="C2807" s="15"/>
      <c r="D2807" s="15"/>
      <c r="E2807" s="15"/>
      <c r="F2807" s="15"/>
      <c r="G2807" s="15"/>
      <c r="H2807" s="15"/>
      <c r="I2807" s="15"/>
      <c r="J2807" s="15"/>
      <c r="K2807" s="15"/>
      <c r="L2807" s="28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5"/>
      <c r="AG2807" s="15"/>
      <c r="AH2807" s="15"/>
      <c r="AI2807" s="15"/>
      <c r="AJ2807" s="15"/>
      <c r="AK2807" s="15"/>
      <c r="AL2807" s="15"/>
      <c r="AM2807" s="15"/>
      <c r="AN2807" s="15"/>
      <c r="AO2807" s="15"/>
      <c r="AP2807" s="15"/>
      <c r="AQ2807" s="15"/>
      <c r="AR2807" s="15"/>
      <c r="AS2807" s="15"/>
      <c r="AT2807" s="15"/>
      <c r="AU2807" s="15"/>
      <c r="AV2807" s="15"/>
      <c r="AW2807" s="15"/>
    </row>
    <row r="2808" spans="3:49" x14ac:dyDescent="0.2">
      <c r="C2808" s="15"/>
      <c r="D2808" s="15"/>
      <c r="E2808" s="15"/>
      <c r="F2808" s="15"/>
      <c r="G2808" s="15"/>
      <c r="H2808" s="15"/>
      <c r="I2808" s="15"/>
      <c r="J2808" s="15"/>
      <c r="K2808" s="15"/>
      <c r="L2808" s="28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5"/>
      <c r="AG2808" s="15"/>
      <c r="AH2808" s="15"/>
      <c r="AI2808" s="15"/>
      <c r="AJ2808" s="15"/>
      <c r="AK2808" s="15"/>
      <c r="AL2808" s="15"/>
      <c r="AM2808" s="15"/>
      <c r="AN2808" s="15"/>
      <c r="AO2808" s="15"/>
      <c r="AP2808" s="15"/>
      <c r="AQ2808" s="15"/>
      <c r="AR2808" s="15"/>
      <c r="AS2808" s="15"/>
      <c r="AT2808" s="15"/>
      <c r="AU2808" s="15"/>
      <c r="AV2808" s="15"/>
      <c r="AW2808" s="15"/>
    </row>
    <row r="2809" spans="3:49" x14ac:dyDescent="0.2">
      <c r="C2809" s="15"/>
      <c r="D2809" s="15"/>
      <c r="E2809" s="15"/>
      <c r="F2809" s="15"/>
      <c r="G2809" s="15"/>
      <c r="H2809" s="15"/>
      <c r="I2809" s="15"/>
      <c r="J2809" s="15"/>
      <c r="K2809" s="15"/>
      <c r="L2809" s="28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5"/>
      <c r="AG2809" s="15"/>
      <c r="AH2809" s="15"/>
      <c r="AI2809" s="15"/>
      <c r="AJ2809" s="15"/>
      <c r="AK2809" s="15"/>
      <c r="AL2809" s="15"/>
      <c r="AM2809" s="15"/>
      <c r="AN2809" s="15"/>
      <c r="AO2809" s="15"/>
      <c r="AP2809" s="15"/>
      <c r="AQ2809" s="15"/>
      <c r="AR2809" s="15"/>
      <c r="AS2809" s="15"/>
      <c r="AT2809" s="15"/>
      <c r="AU2809" s="15"/>
      <c r="AV2809" s="15"/>
      <c r="AW2809" s="15"/>
    </row>
    <row r="2810" spans="3:49" x14ac:dyDescent="0.2">
      <c r="C2810" s="15"/>
      <c r="D2810" s="15"/>
      <c r="E2810" s="15"/>
      <c r="F2810" s="15"/>
      <c r="G2810" s="15"/>
      <c r="H2810" s="15"/>
      <c r="I2810" s="15"/>
      <c r="J2810" s="15"/>
      <c r="K2810" s="15"/>
      <c r="L2810" s="28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5"/>
      <c r="AG2810" s="15"/>
      <c r="AH2810" s="15"/>
      <c r="AI2810" s="15"/>
      <c r="AJ2810" s="15"/>
      <c r="AK2810" s="15"/>
      <c r="AL2810" s="15"/>
      <c r="AM2810" s="15"/>
      <c r="AN2810" s="15"/>
      <c r="AO2810" s="15"/>
      <c r="AP2810" s="15"/>
      <c r="AQ2810" s="15"/>
      <c r="AR2810" s="15"/>
      <c r="AS2810" s="15"/>
      <c r="AT2810" s="15"/>
      <c r="AU2810" s="15"/>
      <c r="AV2810" s="15"/>
      <c r="AW2810" s="15"/>
    </row>
    <row r="2811" spans="3:49" x14ac:dyDescent="0.2">
      <c r="C2811" s="15"/>
      <c r="D2811" s="15"/>
      <c r="E2811" s="15"/>
      <c r="F2811" s="15"/>
      <c r="G2811" s="15"/>
      <c r="H2811" s="15"/>
      <c r="I2811" s="15"/>
      <c r="J2811" s="15"/>
      <c r="K2811" s="15"/>
      <c r="L2811" s="28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5"/>
      <c r="AG2811" s="15"/>
      <c r="AH2811" s="15"/>
      <c r="AI2811" s="15"/>
      <c r="AJ2811" s="15"/>
      <c r="AK2811" s="15"/>
      <c r="AL2811" s="15"/>
      <c r="AM2811" s="15"/>
      <c r="AN2811" s="15"/>
      <c r="AO2811" s="15"/>
      <c r="AP2811" s="15"/>
      <c r="AQ2811" s="15"/>
      <c r="AR2811" s="15"/>
      <c r="AS2811" s="15"/>
      <c r="AT2811" s="15"/>
      <c r="AU2811" s="15"/>
      <c r="AV2811" s="15"/>
      <c r="AW2811" s="15"/>
    </row>
    <row r="2812" spans="3:49" x14ac:dyDescent="0.2">
      <c r="C2812" s="15"/>
      <c r="D2812" s="15"/>
      <c r="E2812" s="15"/>
      <c r="F2812" s="15"/>
      <c r="G2812" s="15"/>
      <c r="H2812" s="15"/>
      <c r="I2812" s="15"/>
      <c r="J2812" s="15"/>
      <c r="K2812" s="15"/>
      <c r="L2812" s="28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5"/>
      <c r="AG2812" s="15"/>
      <c r="AH2812" s="15"/>
      <c r="AI2812" s="15"/>
      <c r="AJ2812" s="15"/>
      <c r="AK2812" s="15"/>
      <c r="AL2812" s="15"/>
      <c r="AM2812" s="15"/>
      <c r="AN2812" s="15"/>
      <c r="AO2812" s="15"/>
      <c r="AP2812" s="15"/>
      <c r="AQ2812" s="15"/>
      <c r="AR2812" s="15"/>
      <c r="AS2812" s="15"/>
      <c r="AT2812" s="15"/>
      <c r="AU2812" s="15"/>
      <c r="AV2812" s="15"/>
      <c r="AW2812" s="15"/>
    </row>
    <row r="2813" spans="3:49" x14ac:dyDescent="0.2">
      <c r="C2813" s="15"/>
      <c r="D2813" s="15"/>
      <c r="E2813" s="15"/>
      <c r="F2813" s="15"/>
      <c r="G2813" s="15"/>
      <c r="H2813" s="15"/>
      <c r="I2813" s="15"/>
      <c r="J2813" s="15"/>
      <c r="K2813" s="15"/>
      <c r="L2813" s="28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5"/>
      <c r="AG2813" s="15"/>
      <c r="AH2813" s="15"/>
      <c r="AI2813" s="15"/>
      <c r="AJ2813" s="15"/>
      <c r="AK2813" s="15"/>
      <c r="AL2813" s="15"/>
      <c r="AM2813" s="15"/>
      <c r="AN2813" s="15"/>
      <c r="AO2813" s="15"/>
      <c r="AP2813" s="15"/>
      <c r="AQ2813" s="15"/>
      <c r="AR2813" s="15"/>
      <c r="AS2813" s="15"/>
      <c r="AT2813" s="15"/>
      <c r="AU2813" s="15"/>
      <c r="AV2813" s="15"/>
      <c r="AW2813" s="15"/>
    </row>
    <row r="2814" spans="3:49" x14ac:dyDescent="0.2">
      <c r="C2814" s="15"/>
      <c r="D2814" s="15"/>
      <c r="E2814" s="15"/>
      <c r="F2814" s="15"/>
      <c r="G2814" s="15"/>
      <c r="H2814" s="15"/>
      <c r="I2814" s="15"/>
      <c r="J2814" s="15"/>
      <c r="K2814" s="15"/>
      <c r="L2814" s="28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5"/>
      <c r="AG2814" s="15"/>
      <c r="AH2814" s="15"/>
      <c r="AI2814" s="15"/>
      <c r="AJ2814" s="15"/>
      <c r="AK2814" s="15"/>
      <c r="AL2814" s="15"/>
      <c r="AM2814" s="15"/>
      <c r="AN2814" s="15"/>
      <c r="AO2814" s="15"/>
      <c r="AP2814" s="15"/>
      <c r="AQ2814" s="15"/>
      <c r="AR2814" s="15"/>
      <c r="AS2814" s="15"/>
      <c r="AT2814" s="15"/>
      <c r="AU2814" s="15"/>
      <c r="AV2814" s="15"/>
      <c r="AW2814" s="15"/>
    </row>
    <row r="2815" spans="3:49" x14ac:dyDescent="0.2">
      <c r="C2815" s="15"/>
      <c r="D2815" s="15"/>
      <c r="E2815" s="15"/>
      <c r="F2815" s="15"/>
      <c r="G2815" s="15"/>
      <c r="H2815" s="15"/>
      <c r="I2815" s="15"/>
      <c r="J2815" s="15"/>
      <c r="K2815" s="15"/>
      <c r="L2815" s="28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5"/>
      <c r="AG2815" s="15"/>
      <c r="AH2815" s="15"/>
      <c r="AI2815" s="15"/>
      <c r="AJ2815" s="15"/>
      <c r="AK2815" s="15"/>
      <c r="AL2815" s="15"/>
      <c r="AM2815" s="15"/>
      <c r="AN2815" s="15"/>
      <c r="AO2815" s="15"/>
      <c r="AP2815" s="15"/>
      <c r="AQ2815" s="15"/>
      <c r="AR2815" s="15"/>
      <c r="AS2815" s="15"/>
      <c r="AT2815" s="15"/>
      <c r="AU2815" s="15"/>
      <c r="AV2815" s="15"/>
      <c r="AW2815" s="15"/>
    </row>
    <row r="2816" spans="3:49" x14ac:dyDescent="0.2">
      <c r="C2816" s="15"/>
      <c r="D2816" s="15"/>
      <c r="E2816" s="15"/>
      <c r="F2816" s="15"/>
      <c r="G2816" s="15"/>
      <c r="H2816" s="15"/>
      <c r="I2816" s="15"/>
      <c r="J2816" s="15"/>
      <c r="K2816" s="15"/>
      <c r="L2816" s="28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5"/>
      <c r="AG2816" s="15"/>
      <c r="AH2816" s="15"/>
      <c r="AI2816" s="15"/>
      <c r="AJ2816" s="15"/>
      <c r="AK2816" s="15"/>
      <c r="AL2816" s="15"/>
      <c r="AM2816" s="15"/>
      <c r="AN2816" s="15"/>
      <c r="AO2816" s="15"/>
      <c r="AP2816" s="15"/>
      <c r="AQ2816" s="15"/>
      <c r="AR2816" s="15"/>
      <c r="AS2816" s="15"/>
      <c r="AT2816" s="15"/>
      <c r="AU2816" s="15"/>
      <c r="AV2816" s="15"/>
      <c r="AW2816" s="15"/>
    </row>
    <row r="2817" spans="3:49" x14ac:dyDescent="0.2">
      <c r="C2817" s="15"/>
      <c r="D2817" s="15"/>
      <c r="E2817" s="15"/>
      <c r="F2817" s="15"/>
      <c r="G2817" s="15"/>
      <c r="H2817" s="15"/>
      <c r="I2817" s="15"/>
      <c r="J2817" s="15"/>
      <c r="K2817" s="15"/>
      <c r="L2817" s="28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5"/>
      <c r="AG2817" s="15"/>
      <c r="AH2817" s="15"/>
      <c r="AI2817" s="15"/>
      <c r="AJ2817" s="15"/>
      <c r="AK2817" s="15"/>
      <c r="AL2817" s="15"/>
      <c r="AM2817" s="15"/>
      <c r="AN2817" s="15"/>
      <c r="AO2817" s="15"/>
      <c r="AP2817" s="15"/>
      <c r="AQ2817" s="15"/>
      <c r="AR2817" s="15"/>
      <c r="AS2817" s="15"/>
      <c r="AT2817" s="15"/>
      <c r="AU2817" s="15"/>
      <c r="AV2817" s="15"/>
      <c r="AW2817" s="15"/>
    </row>
    <row r="2818" spans="3:49" x14ac:dyDescent="0.2">
      <c r="C2818" s="15"/>
      <c r="D2818" s="15"/>
      <c r="E2818" s="15"/>
      <c r="F2818" s="15"/>
      <c r="G2818" s="15"/>
      <c r="H2818" s="15"/>
      <c r="I2818" s="15"/>
      <c r="J2818" s="15"/>
      <c r="K2818" s="15"/>
      <c r="L2818" s="28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5"/>
      <c r="AG2818" s="15"/>
      <c r="AH2818" s="15"/>
      <c r="AI2818" s="15"/>
      <c r="AJ2818" s="15"/>
      <c r="AK2818" s="15"/>
      <c r="AL2818" s="15"/>
      <c r="AM2818" s="15"/>
      <c r="AN2818" s="15"/>
      <c r="AO2818" s="15"/>
      <c r="AP2818" s="15"/>
      <c r="AQ2818" s="15"/>
      <c r="AR2818" s="15"/>
      <c r="AS2818" s="15"/>
      <c r="AT2818" s="15"/>
      <c r="AU2818" s="15"/>
      <c r="AV2818" s="15"/>
      <c r="AW2818" s="15"/>
    </row>
    <row r="2819" spans="3:49" x14ac:dyDescent="0.2">
      <c r="C2819" s="15"/>
      <c r="D2819" s="15"/>
      <c r="E2819" s="15"/>
      <c r="F2819" s="15"/>
      <c r="G2819" s="15"/>
      <c r="H2819" s="15"/>
      <c r="I2819" s="15"/>
      <c r="J2819" s="15"/>
      <c r="K2819" s="15"/>
      <c r="L2819" s="28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5"/>
      <c r="AG2819" s="15"/>
      <c r="AH2819" s="15"/>
      <c r="AI2819" s="15"/>
      <c r="AJ2819" s="15"/>
      <c r="AK2819" s="15"/>
      <c r="AL2819" s="15"/>
      <c r="AM2819" s="15"/>
      <c r="AN2819" s="15"/>
      <c r="AO2819" s="15"/>
      <c r="AP2819" s="15"/>
      <c r="AQ2819" s="15"/>
      <c r="AR2819" s="15"/>
      <c r="AS2819" s="15"/>
      <c r="AT2819" s="15"/>
      <c r="AU2819" s="15"/>
      <c r="AV2819" s="15"/>
      <c r="AW2819" s="15"/>
    </row>
    <row r="2820" spans="3:49" x14ac:dyDescent="0.2">
      <c r="C2820" s="15"/>
      <c r="D2820" s="15"/>
      <c r="E2820" s="15"/>
      <c r="F2820" s="15"/>
      <c r="G2820" s="15"/>
      <c r="H2820" s="15"/>
      <c r="I2820" s="15"/>
      <c r="J2820" s="15"/>
      <c r="K2820" s="15"/>
      <c r="L2820" s="28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5"/>
      <c r="AG2820" s="15"/>
      <c r="AH2820" s="15"/>
      <c r="AI2820" s="15"/>
      <c r="AJ2820" s="15"/>
      <c r="AK2820" s="15"/>
      <c r="AL2820" s="15"/>
      <c r="AM2820" s="15"/>
      <c r="AN2820" s="15"/>
      <c r="AO2820" s="15"/>
      <c r="AP2820" s="15"/>
      <c r="AQ2820" s="15"/>
      <c r="AR2820" s="15"/>
      <c r="AS2820" s="15"/>
      <c r="AT2820" s="15"/>
      <c r="AU2820" s="15"/>
      <c r="AV2820" s="15"/>
      <c r="AW2820" s="15"/>
    </row>
    <row r="2821" spans="3:49" x14ac:dyDescent="0.2">
      <c r="C2821" s="15"/>
      <c r="D2821" s="15"/>
      <c r="E2821" s="15"/>
      <c r="F2821" s="15"/>
      <c r="G2821" s="15"/>
      <c r="H2821" s="15"/>
      <c r="I2821" s="15"/>
      <c r="J2821" s="15"/>
      <c r="K2821" s="15"/>
      <c r="L2821" s="28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5"/>
      <c r="AG2821" s="15"/>
      <c r="AH2821" s="15"/>
      <c r="AI2821" s="15"/>
      <c r="AJ2821" s="15"/>
      <c r="AK2821" s="15"/>
      <c r="AL2821" s="15"/>
      <c r="AM2821" s="15"/>
      <c r="AN2821" s="15"/>
      <c r="AO2821" s="15"/>
      <c r="AP2821" s="15"/>
      <c r="AQ2821" s="15"/>
      <c r="AR2821" s="15"/>
      <c r="AS2821" s="15"/>
      <c r="AT2821" s="15"/>
      <c r="AU2821" s="15"/>
      <c r="AV2821" s="15"/>
      <c r="AW2821" s="15"/>
    </row>
    <row r="2822" spans="3:49" x14ac:dyDescent="0.2">
      <c r="C2822" s="15"/>
      <c r="D2822" s="15"/>
      <c r="E2822" s="15"/>
      <c r="F2822" s="15"/>
      <c r="G2822" s="15"/>
      <c r="H2822" s="15"/>
      <c r="I2822" s="15"/>
      <c r="J2822" s="15"/>
      <c r="K2822" s="15"/>
      <c r="L2822" s="28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5"/>
      <c r="AG2822" s="15"/>
      <c r="AH2822" s="15"/>
      <c r="AI2822" s="15"/>
      <c r="AJ2822" s="15"/>
      <c r="AK2822" s="15"/>
      <c r="AL2822" s="15"/>
      <c r="AM2822" s="15"/>
      <c r="AN2822" s="15"/>
      <c r="AO2822" s="15"/>
      <c r="AP2822" s="15"/>
      <c r="AQ2822" s="15"/>
      <c r="AR2822" s="15"/>
      <c r="AS2822" s="15"/>
      <c r="AT2822" s="15"/>
      <c r="AU2822" s="15"/>
      <c r="AV2822" s="15"/>
      <c r="AW2822" s="15"/>
    </row>
    <row r="2823" spans="3:49" x14ac:dyDescent="0.2">
      <c r="C2823" s="15"/>
      <c r="D2823" s="15"/>
      <c r="E2823" s="15"/>
      <c r="F2823" s="15"/>
      <c r="G2823" s="15"/>
      <c r="H2823" s="15"/>
      <c r="I2823" s="15"/>
      <c r="J2823" s="15"/>
      <c r="K2823" s="15"/>
      <c r="L2823" s="28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5"/>
      <c r="AG2823" s="15"/>
      <c r="AH2823" s="15"/>
      <c r="AI2823" s="15"/>
      <c r="AJ2823" s="15"/>
      <c r="AK2823" s="15"/>
      <c r="AL2823" s="15"/>
      <c r="AM2823" s="15"/>
      <c r="AN2823" s="15"/>
      <c r="AO2823" s="15"/>
      <c r="AP2823" s="15"/>
      <c r="AQ2823" s="15"/>
      <c r="AR2823" s="15"/>
      <c r="AS2823" s="15"/>
      <c r="AT2823" s="15"/>
      <c r="AU2823" s="15"/>
      <c r="AV2823" s="15"/>
      <c r="AW2823" s="15"/>
    </row>
    <row r="2824" spans="3:49" x14ac:dyDescent="0.2">
      <c r="C2824" s="15"/>
      <c r="D2824" s="15"/>
      <c r="E2824" s="15"/>
      <c r="F2824" s="15"/>
      <c r="G2824" s="15"/>
      <c r="H2824" s="15"/>
      <c r="I2824" s="15"/>
      <c r="J2824" s="15"/>
      <c r="K2824" s="15"/>
      <c r="L2824" s="28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5"/>
      <c r="AG2824" s="15"/>
      <c r="AH2824" s="15"/>
      <c r="AI2824" s="15"/>
      <c r="AJ2824" s="15"/>
      <c r="AK2824" s="15"/>
      <c r="AL2824" s="15"/>
      <c r="AM2824" s="15"/>
      <c r="AN2824" s="15"/>
      <c r="AO2824" s="15"/>
      <c r="AP2824" s="15"/>
      <c r="AQ2824" s="15"/>
      <c r="AR2824" s="15"/>
      <c r="AS2824" s="15"/>
      <c r="AT2824" s="15"/>
      <c r="AU2824" s="15"/>
      <c r="AV2824" s="15"/>
      <c r="AW2824" s="15"/>
    </row>
    <row r="2825" spans="3:49" x14ac:dyDescent="0.2">
      <c r="C2825" s="15"/>
      <c r="D2825" s="15"/>
      <c r="E2825" s="15"/>
      <c r="F2825" s="15"/>
      <c r="G2825" s="15"/>
      <c r="H2825" s="15"/>
      <c r="I2825" s="15"/>
      <c r="J2825" s="15"/>
      <c r="K2825" s="15"/>
      <c r="L2825" s="28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5"/>
      <c r="AG2825" s="15"/>
      <c r="AH2825" s="15"/>
      <c r="AI2825" s="15"/>
      <c r="AJ2825" s="15"/>
      <c r="AK2825" s="15"/>
      <c r="AL2825" s="15"/>
      <c r="AM2825" s="15"/>
      <c r="AN2825" s="15"/>
      <c r="AO2825" s="15"/>
      <c r="AP2825" s="15"/>
      <c r="AQ2825" s="15"/>
      <c r="AR2825" s="15"/>
      <c r="AS2825" s="15"/>
      <c r="AT2825" s="15"/>
      <c r="AU2825" s="15"/>
      <c r="AV2825" s="15"/>
      <c r="AW2825" s="15"/>
    </row>
    <row r="2826" spans="3:49" x14ac:dyDescent="0.2">
      <c r="C2826" s="15"/>
      <c r="D2826" s="15"/>
      <c r="E2826" s="15"/>
      <c r="F2826" s="15"/>
      <c r="G2826" s="15"/>
      <c r="H2826" s="15"/>
      <c r="I2826" s="15"/>
      <c r="J2826" s="15"/>
      <c r="K2826" s="15"/>
      <c r="L2826" s="28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5"/>
      <c r="AG2826" s="15"/>
      <c r="AH2826" s="15"/>
      <c r="AI2826" s="15"/>
      <c r="AJ2826" s="15"/>
      <c r="AK2826" s="15"/>
      <c r="AL2826" s="15"/>
      <c r="AM2826" s="15"/>
      <c r="AN2826" s="15"/>
      <c r="AO2826" s="15"/>
      <c r="AP2826" s="15"/>
      <c r="AQ2826" s="15"/>
      <c r="AR2826" s="15"/>
      <c r="AS2826" s="15"/>
      <c r="AT2826" s="15"/>
      <c r="AU2826" s="15"/>
      <c r="AV2826" s="15"/>
      <c r="AW2826" s="15"/>
    </row>
    <row r="2827" spans="3:49" x14ac:dyDescent="0.2">
      <c r="C2827" s="15"/>
      <c r="D2827" s="15"/>
      <c r="E2827" s="15"/>
      <c r="F2827" s="15"/>
      <c r="G2827" s="15"/>
      <c r="H2827" s="15"/>
      <c r="I2827" s="15"/>
      <c r="J2827" s="15"/>
      <c r="K2827" s="15"/>
      <c r="L2827" s="28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5"/>
      <c r="AG2827" s="15"/>
      <c r="AH2827" s="15"/>
      <c r="AI2827" s="15"/>
      <c r="AJ2827" s="15"/>
      <c r="AK2827" s="15"/>
      <c r="AL2827" s="15"/>
      <c r="AM2827" s="15"/>
      <c r="AN2827" s="15"/>
      <c r="AO2827" s="15"/>
      <c r="AP2827" s="15"/>
      <c r="AQ2827" s="15"/>
      <c r="AR2827" s="15"/>
      <c r="AS2827" s="15"/>
      <c r="AT2827" s="15"/>
      <c r="AU2827" s="15"/>
      <c r="AV2827" s="15"/>
      <c r="AW2827" s="15"/>
    </row>
    <row r="2828" spans="3:49" x14ac:dyDescent="0.2">
      <c r="C2828" s="15"/>
      <c r="D2828" s="15"/>
      <c r="E2828" s="15"/>
      <c r="F2828" s="15"/>
      <c r="G2828" s="15"/>
      <c r="H2828" s="15"/>
      <c r="I2828" s="15"/>
      <c r="J2828" s="15"/>
      <c r="K2828" s="15"/>
      <c r="L2828" s="28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5"/>
      <c r="AG2828" s="15"/>
      <c r="AH2828" s="15"/>
      <c r="AI2828" s="15"/>
      <c r="AJ2828" s="15"/>
      <c r="AK2828" s="15"/>
      <c r="AL2828" s="15"/>
      <c r="AM2828" s="15"/>
      <c r="AN2828" s="15"/>
      <c r="AO2828" s="15"/>
      <c r="AP2828" s="15"/>
      <c r="AQ2828" s="15"/>
      <c r="AR2828" s="15"/>
      <c r="AS2828" s="15"/>
      <c r="AT2828" s="15"/>
      <c r="AU2828" s="15"/>
      <c r="AV2828" s="15"/>
      <c r="AW2828" s="15"/>
    </row>
    <row r="2829" spans="3:49" x14ac:dyDescent="0.2">
      <c r="C2829" s="15"/>
      <c r="D2829" s="15"/>
      <c r="E2829" s="15"/>
      <c r="F2829" s="15"/>
      <c r="G2829" s="15"/>
      <c r="H2829" s="15"/>
      <c r="I2829" s="15"/>
      <c r="J2829" s="15"/>
      <c r="K2829" s="15"/>
      <c r="L2829" s="28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5"/>
      <c r="AG2829" s="15"/>
      <c r="AH2829" s="15"/>
      <c r="AI2829" s="15"/>
      <c r="AJ2829" s="15"/>
      <c r="AK2829" s="15"/>
      <c r="AL2829" s="15"/>
      <c r="AM2829" s="15"/>
      <c r="AN2829" s="15"/>
      <c r="AO2829" s="15"/>
      <c r="AP2829" s="15"/>
      <c r="AQ2829" s="15"/>
      <c r="AR2829" s="15"/>
      <c r="AS2829" s="15"/>
      <c r="AT2829" s="15"/>
      <c r="AU2829" s="15"/>
      <c r="AV2829" s="15"/>
      <c r="AW2829" s="15"/>
    </row>
    <row r="2830" spans="3:49" x14ac:dyDescent="0.2">
      <c r="C2830" s="15"/>
      <c r="D2830" s="15"/>
      <c r="E2830" s="15"/>
      <c r="F2830" s="15"/>
      <c r="G2830" s="15"/>
      <c r="H2830" s="15"/>
      <c r="I2830" s="15"/>
      <c r="J2830" s="15"/>
      <c r="K2830" s="15"/>
      <c r="L2830" s="28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5"/>
      <c r="AG2830" s="15"/>
      <c r="AH2830" s="15"/>
      <c r="AI2830" s="15"/>
      <c r="AJ2830" s="15"/>
      <c r="AK2830" s="15"/>
      <c r="AL2830" s="15"/>
      <c r="AM2830" s="15"/>
      <c r="AN2830" s="15"/>
      <c r="AO2830" s="15"/>
      <c r="AP2830" s="15"/>
      <c r="AQ2830" s="15"/>
      <c r="AR2830" s="15"/>
      <c r="AS2830" s="15"/>
      <c r="AT2830" s="15"/>
      <c r="AU2830" s="15"/>
      <c r="AV2830" s="15"/>
      <c r="AW2830" s="15"/>
    </row>
    <row r="2831" spans="3:49" x14ac:dyDescent="0.2">
      <c r="C2831" s="15"/>
      <c r="D2831" s="15"/>
      <c r="E2831" s="15"/>
      <c r="F2831" s="15"/>
      <c r="G2831" s="15"/>
      <c r="H2831" s="15"/>
      <c r="I2831" s="15"/>
      <c r="J2831" s="15"/>
      <c r="K2831" s="15"/>
      <c r="L2831" s="28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5"/>
      <c r="AG2831" s="15"/>
      <c r="AH2831" s="15"/>
      <c r="AI2831" s="15"/>
      <c r="AJ2831" s="15"/>
      <c r="AK2831" s="15"/>
      <c r="AL2831" s="15"/>
      <c r="AM2831" s="15"/>
      <c r="AN2831" s="15"/>
      <c r="AO2831" s="15"/>
      <c r="AP2831" s="15"/>
      <c r="AQ2831" s="15"/>
      <c r="AR2831" s="15"/>
      <c r="AS2831" s="15"/>
      <c r="AT2831" s="15"/>
      <c r="AU2831" s="15"/>
      <c r="AV2831" s="15"/>
      <c r="AW2831" s="15"/>
    </row>
    <row r="2832" spans="3:49" x14ac:dyDescent="0.2">
      <c r="C2832" s="15"/>
      <c r="D2832" s="15"/>
      <c r="E2832" s="15"/>
      <c r="F2832" s="15"/>
      <c r="G2832" s="15"/>
      <c r="H2832" s="15"/>
      <c r="I2832" s="15"/>
      <c r="J2832" s="15"/>
      <c r="K2832" s="15"/>
      <c r="L2832" s="28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5"/>
      <c r="AG2832" s="15"/>
      <c r="AH2832" s="15"/>
      <c r="AI2832" s="15"/>
      <c r="AJ2832" s="15"/>
      <c r="AK2832" s="15"/>
      <c r="AL2832" s="15"/>
      <c r="AM2832" s="15"/>
      <c r="AN2832" s="15"/>
      <c r="AO2832" s="15"/>
      <c r="AP2832" s="15"/>
      <c r="AQ2832" s="15"/>
      <c r="AR2832" s="15"/>
      <c r="AS2832" s="15"/>
      <c r="AT2832" s="15"/>
      <c r="AU2832" s="15"/>
      <c r="AV2832" s="15"/>
      <c r="AW2832" s="15"/>
    </row>
    <row r="2833" spans="3:49" x14ac:dyDescent="0.2">
      <c r="C2833" s="15"/>
      <c r="D2833" s="15"/>
      <c r="E2833" s="15"/>
      <c r="F2833" s="15"/>
      <c r="G2833" s="15"/>
      <c r="H2833" s="15"/>
      <c r="I2833" s="15"/>
      <c r="J2833" s="15"/>
      <c r="K2833" s="15"/>
      <c r="L2833" s="28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5"/>
      <c r="AG2833" s="15"/>
      <c r="AH2833" s="15"/>
      <c r="AI2833" s="15"/>
      <c r="AJ2833" s="15"/>
      <c r="AK2833" s="15"/>
      <c r="AL2833" s="15"/>
      <c r="AM2833" s="15"/>
      <c r="AN2833" s="15"/>
      <c r="AO2833" s="15"/>
      <c r="AP2833" s="15"/>
      <c r="AQ2833" s="15"/>
      <c r="AR2833" s="15"/>
      <c r="AS2833" s="15"/>
      <c r="AT2833" s="15"/>
      <c r="AU2833" s="15"/>
      <c r="AV2833" s="15"/>
      <c r="AW2833" s="15"/>
    </row>
    <row r="2834" spans="3:49" x14ac:dyDescent="0.2">
      <c r="C2834" s="15"/>
      <c r="D2834" s="15"/>
      <c r="E2834" s="15"/>
      <c r="F2834" s="15"/>
      <c r="G2834" s="15"/>
      <c r="H2834" s="15"/>
      <c r="I2834" s="15"/>
      <c r="J2834" s="15"/>
      <c r="K2834" s="15"/>
      <c r="L2834" s="28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5"/>
      <c r="AG2834" s="15"/>
      <c r="AH2834" s="15"/>
      <c r="AI2834" s="15"/>
      <c r="AJ2834" s="15"/>
      <c r="AK2834" s="15"/>
      <c r="AL2834" s="15"/>
      <c r="AM2834" s="15"/>
      <c r="AN2834" s="15"/>
      <c r="AO2834" s="15"/>
      <c r="AP2834" s="15"/>
      <c r="AQ2834" s="15"/>
      <c r="AR2834" s="15"/>
      <c r="AS2834" s="15"/>
      <c r="AT2834" s="15"/>
      <c r="AU2834" s="15"/>
      <c r="AV2834" s="15"/>
      <c r="AW2834" s="15"/>
    </row>
    <row r="2835" spans="3:49" x14ac:dyDescent="0.2">
      <c r="C2835" s="15"/>
      <c r="D2835" s="15"/>
      <c r="E2835" s="15"/>
      <c r="F2835" s="15"/>
      <c r="G2835" s="15"/>
      <c r="H2835" s="15"/>
      <c r="I2835" s="15"/>
      <c r="J2835" s="15"/>
      <c r="K2835" s="15"/>
      <c r="L2835" s="28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5"/>
      <c r="AG2835" s="15"/>
      <c r="AH2835" s="15"/>
      <c r="AI2835" s="15"/>
      <c r="AJ2835" s="15"/>
      <c r="AK2835" s="15"/>
      <c r="AL2835" s="15"/>
      <c r="AM2835" s="15"/>
      <c r="AN2835" s="15"/>
      <c r="AO2835" s="15"/>
      <c r="AP2835" s="15"/>
      <c r="AQ2835" s="15"/>
      <c r="AR2835" s="15"/>
      <c r="AS2835" s="15"/>
      <c r="AT2835" s="15"/>
      <c r="AU2835" s="15"/>
      <c r="AV2835" s="15"/>
      <c r="AW2835" s="15"/>
    </row>
    <row r="2836" spans="3:49" x14ac:dyDescent="0.2">
      <c r="C2836" s="15"/>
      <c r="D2836" s="15"/>
      <c r="E2836" s="15"/>
      <c r="F2836" s="15"/>
      <c r="G2836" s="15"/>
      <c r="H2836" s="15"/>
      <c r="I2836" s="15"/>
      <c r="J2836" s="15"/>
      <c r="K2836" s="15"/>
      <c r="L2836" s="28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5"/>
      <c r="AG2836" s="15"/>
      <c r="AH2836" s="15"/>
      <c r="AI2836" s="15"/>
      <c r="AJ2836" s="15"/>
      <c r="AK2836" s="15"/>
      <c r="AL2836" s="15"/>
      <c r="AM2836" s="15"/>
      <c r="AN2836" s="15"/>
      <c r="AO2836" s="15"/>
      <c r="AP2836" s="15"/>
      <c r="AQ2836" s="15"/>
      <c r="AR2836" s="15"/>
      <c r="AS2836" s="15"/>
      <c r="AT2836" s="15"/>
      <c r="AU2836" s="15"/>
      <c r="AV2836" s="15"/>
      <c r="AW2836" s="15"/>
    </row>
    <row r="2837" spans="3:49" x14ac:dyDescent="0.2">
      <c r="C2837" s="15"/>
      <c r="D2837" s="15"/>
      <c r="E2837" s="15"/>
      <c r="F2837" s="15"/>
      <c r="G2837" s="15"/>
      <c r="H2837" s="15"/>
      <c r="I2837" s="15"/>
      <c r="J2837" s="15"/>
      <c r="K2837" s="15"/>
      <c r="L2837" s="28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5"/>
      <c r="AG2837" s="15"/>
      <c r="AH2837" s="15"/>
      <c r="AI2837" s="15"/>
      <c r="AJ2837" s="15"/>
      <c r="AK2837" s="15"/>
      <c r="AL2837" s="15"/>
      <c r="AM2837" s="15"/>
      <c r="AN2837" s="15"/>
      <c r="AO2837" s="15"/>
      <c r="AP2837" s="15"/>
      <c r="AQ2837" s="15"/>
      <c r="AR2837" s="15"/>
      <c r="AS2837" s="15"/>
      <c r="AT2837" s="15"/>
      <c r="AU2837" s="15"/>
      <c r="AV2837" s="15"/>
      <c r="AW2837" s="15"/>
    </row>
    <row r="2838" spans="3:49" x14ac:dyDescent="0.2">
      <c r="C2838" s="15"/>
      <c r="D2838" s="15"/>
      <c r="E2838" s="15"/>
      <c r="F2838" s="15"/>
      <c r="G2838" s="15"/>
      <c r="H2838" s="15"/>
      <c r="I2838" s="15"/>
      <c r="J2838" s="15"/>
      <c r="K2838" s="15"/>
      <c r="L2838" s="28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5"/>
      <c r="AG2838" s="15"/>
      <c r="AH2838" s="15"/>
      <c r="AI2838" s="15"/>
      <c r="AJ2838" s="15"/>
      <c r="AK2838" s="15"/>
      <c r="AL2838" s="15"/>
      <c r="AM2838" s="15"/>
      <c r="AN2838" s="15"/>
      <c r="AO2838" s="15"/>
      <c r="AP2838" s="15"/>
      <c r="AQ2838" s="15"/>
      <c r="AR2838" s="15"/>
      <c r="AS2838" s="15"/>
      <c r="AT2838" s="15"/>
      <c r="AU2838" s="15"/>
      <c r="AV2838" s="15"/>
      <c r="AW2838" s="15"/>
    </row>
    <row r="2839" spans="3:49" x14ac:dyDescent="0.2">
      <c r="C2839" s="15"/>
      <c r="D2839" s="15"/>
      <c r="E2839" s="15"/>
      <c r="F2839" s="15"/>
      <c r="G2839" s="15"/>
      <c r="H2839" s="15"/>
      <c r="I2839" s="15"/>
      <c r="J2839" s="15"/>
      <c r="K2839" s="15"/>
      <c r="L2839" s="28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5"/>
      <c r="AG2839" s="15"/>
      <c r="AH2839" s="15"/>
      <c r="AI2839" s="15"/>
      <c r="AJ2839" s="15"/>
      <c r="AK2839" s="15"/>
      <c r="AL2839" s="15"/>
      <c r="AM2839" s="15"/>
      <c r="AN2839" s="15"/>
      <c r="AO2839" s="15"/>
      <c r="AP2839" s="15"/>
      <c r="AQ2839" s="15"/>
      <c r="AR2839" s="15"/>
      <c r="AS2839" s="15"/>
      <c r="AT2839" s="15"/>
      <c r="AU2839" s="15"/>
      <c r="AV2839" s="15"/>
      <c r="AW2839" s="15"/>
    </row>
    <row r="2840" spans="3:49" x14ac:dyDescent="0.2">
      <c r="C2840" s="15"/>
      <c r="D2840" s="15"/>
      <c r="E2840" s="15"/>
      <c r="F2840" s="15"/>
      <c r="G2840" s="15"/>
      <c r="H2840" s="15"/>
      <c r="I2840" s="15"/>
      <c r="J2840" s="15"/>
      <c r="K2840" s="15"/>
      <c r="L2840" s="28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5"/>
      <c r="AG2840" s="15"/>
      <c r="AH2840" s="15"/>
      <c r="AI2840" s="15"/>
      <c r="AJ2840" s="15"/>
      <c r="AK2840" s="15"/>
      <c r="AL2840" s="15"/>
      <c r="AM2840" s="15"/>
      <c r="AN2840" s="15"/>
      <c r="AO2840" s="15"/>
      <c r="AP2840" s="15"/>
      <c r="AQ2840" s="15"/>
      <c r="AR2840" s="15"/>
      <c r="AS2840" s="15"/>
      <c r="AT2840" s="15"/>
      <c r="AU2840" s="15"/>
      <c r="AV2840" s="15"/>
      <c r="AW2840" s="15"/>
    </row>
    <row r="2841" spans="3:49" x14ac:dyDescent="0.2">
      <c r="C2841" s="15"/>
      <c r="D2841" s="15"/>
      <c r="E2841" s="15"/>
      <c r="F2841" s="15"/>
      <c r="G2841" s="15"/>
      <c r="H2841" s="15"/>
      <c r="I2841" s="15"/>
      <c r="J2841" s="15"/>
      <c r="K2841" s="15"/>
      <c r="L2841" s="28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5"/>
      <c r="AG2841" s="15"/>
      <c r="AH2841" s="15"/>
      <c r="AI2841" s="15"/>
      <c r="AJ2841" s="15"/>
      <c r="AK2841" s="15"/>
      <c r="AL2841" s="15"/>
      <c r="AM2841" s="15"/>
      <c r="AN2841" s="15"/>
      <c r="AO2841" s="15"/>
      <c r="AP2841" s="15"/>
      <c r="AQ2841" s="15"/>
      <c r="AR2841" s="15"/>
      <c r="AS2841" s="15"/>
      <c r="AT2841" s="15"/>
      <c r="AU2841" s="15"/>
      <c r="AV2841" s="15"/>
      <c r="AW2841" s="15"/>
    </row>
    <row r="2842" spans="3:49" x14ac:dyDescent="0.2">
      <c r="C2842" s="15"/>
      <c r="D2842" s="15"/>
      <c r="E2842" s="15"/>
      <c r="F2842" s="15"/>
      <c r="G2842" s="15"/>
      <c r="H2842" s="15"/>
      <c r="I2842" s="15"/>
      <c r="J2842" s="15"/>
      <c r="K2842" s="15"/>
      <c r="L2842" s="28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5"/>
      <c r="AG2842" s="15"/>
      <c r="AH2842" s="15"/>
      <c r="AI2842" s="15"/>
      <c r="AJ2842" s="15"/>
      <c r="AK2842" s="15"/>
      <c r="AL2842" s="15"/>
      <c r="AM2842" s="15"/>
      <c r="AN2842" s="15"/>
      <c r="AO2842" s="15"/>
      <c r="AP2842" s="15"/>
      <c r="AQ2842" s="15"/>
      <c r="AR2842" s="15"/>
      <c r="AS2842" s="15"/>
      <c r="AT2842" s="15"/>
      <c r="AU2842" s="15"/>
      <c r="AV2842" s="15"/>
      <c r="AW2842" s="15"/>
    </row>
    <row r="2843" spans="3:49" x14ac:dyDescent="0.2">
      <c r="C2843" s="15"/>
      <c r="D2843" s="15"/>
      <c r="E2843" s="15"/>
      <c r="F2843" s="15"/>
      <c r="G2843" s="15"/>
      <c r="H2843" s="15"/>
      <c r="I2843" s="15"/>
      <c r="J2843" s="15"/>
      <c r="K2843" s="15"/>
      <c r="L2843" s="28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5"/>
      <c r="AG2843" s="15"/>
      <c r="AH2843" s="15"/>
      <c r="AI2843" s="15"/>
      <c r="AJ2843" s="15"/>
      <c r="AK2843" s="15"/>
      <c r="AL2843" s="15"/>
      <c r="AM2843" s="15"/>
      <c r="AN2843" s="15"/>
      <c r="AO2843" s="15"/>
      <c r="AP2843" s="15"/>
      <c r="AQ2843" s="15"/>
      <c r="AR2843" s="15"/>
      <c r="AS2843" s="15"/>
      <c r="AT2843" s="15"/>
      <c r="AU2843" s="15"/>
      <c r="AV2843" s="15"/>
      <c r="AW2843" s="15"/>
    </row>
    <row r="2844" spans="3:49" x14ac:dyDescent="0.2">
      <c r="C2844" s="15"/>
      <c r="D2844" s="15"/>
      <c r="E2844" s="15"/>
      <c r="F2844" s="15"/>
      <c r="G2844" s="15"/>
      <c r="H2844" s="15"/>
      <c r="I2844" s="15"/>
      <c r="J2844" s="15"/>
      <c r="K2844" s="15"/>
      <c r="L2844" s="28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5"/>
      <c r="AG2844" s="15"/>
      <c r="AH2844" s="15"/>
      <c r="AI2844" s="15"/>
      <c r="AJ2844" s="15"/>
      <c r="AK2844" s="15"/>
      <c r="AL2844" s="15"/>
      <c r="AM2844" s="15"/>
      <c r="AN2844" s="15"/>
      <c r="AO2844" s="15"/>
      <c r="AP2844" s="15"/>
      <c r="AQ2844" s="15"/>
      <c r="AR2844" s="15"/>
      <c r="AS2844" s="15"/>
      <c r="AT2844" s="15"/>
      <c r="AU2844" s="15"/>
      <c r="AV2844" s="15"/>
      <c r="AW2844" s="15"/>
    </row>
    <row r="2845" spans="3:49" x14ac:dyDescent="0.2">
      <c r="C2845" s="15"/>
      <c r="D2845" s="15"/>
      <c r="E2845" s="15"/>
      <c r="F2845" s="15"/>
      <c r="G2845" s="15"/>
      <c r="H2845" s="15"/>
      <c r="I2845" s="15"/>
      <c r="J2845" s="15"/>
      <c r="K2845" s="15"/>
      <c r="L2845" s="28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5"/>
      <c r="AG2845" s="15"/>
      <c r="AH2845" s="15"/>
      <c r="AI2845" s="15"/>
      <c r="AJ2845" s="15"/>
      <c r="AK2845" s="15"/>
      <c r="AL2845" s="15"/>
      <c r="AM2845" s="15"/>
      <c r="AN2845" s="15"/>
      <c r="AO2845" s="15"/>
      <c r="AP2845" s="15"/>
      <c r="AQ2845" s="15"/>
      <c r="AR2845" s="15"/>
      <c r="AS2845" s="15"/>
      <c r="AT2845" s="15"/>
      <c r="AU2845" s="15"/>
      <c r="AV2845" s="15"/>
      <c r="AW2845" s="15"/>
    </row>
    <row r="2846" spans="3:49" x14ac:dyDescent="0.2">
      <c r="C2846" s="15"/>
      <c r="D2846" s="15"/>
      <c r="E2846" s="15"/>
      <c r="F2846" s="15"/>
      <c r="G2846" s="15"/>
      <c r="H2846" s="15"/>
      <c r="I2846" s="15"/>
      <c r="J2846" s="15"/>
      <c r="K2846" s="15"/>
      <c r="L2846" s="28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5"/>
      <c r="AG2846" s="15"/>
      <c r="AH2846" s="15"/>
      <c r="AI2846" s="15"/>
      <c r="AJ2846" s="15"/>
      <c r="AK2846" s="15"/>
      <c r="AL2846" s="15"/>
      <c r="AM2846" s="15"/>
      <c r="AN2846" s="15"/>
      <c r="AO2846" s="15"/>
      <c r="AP2846" s="15"/>
      <c r="AQ2846" s="15"/>
      <c r="AR2846" s="15"/>
      <c r="AS2846" s="15"/>
      <c r="AT2846" s="15"/>
      <c r="AU2846" s="15"/>
      <c r="AV2846" s="15"/>
      <c r="AW2846" s="15"/>
    </row>
    <row r="2847" spans="3:49" x14ac:dyDescent="0.2">
      <c r="C2847" s="15"/>
      <c r="D2847" s="15"/>
      <c r="E2847" s="15"/>
      <c r="F2847" s="15"/>
      <c r="G2847" s="15"/>
      <c r="H2847" s="15"/>
      <c r="I2847" s="15"/>
      <c r="J2847" s="15"/>
      <c r="K2847" s="15"/>
      <c r="L2847" s="28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5"/>
      <c r="AG2847" s="15"/>
      <c r="AH2847" s="15"/>
      <c r="AI2847" s="15"/>
      <c r="AJ2847" s="15"/>
      <c r="AK2847" s="15"/>
      <c r="AL2847" s="15"/>
      <c r="AM2847" s="15"/>
      <c r="AN2847" s="15"/>
      <c r="AO2847" s="15"/>
      <c r="AP2847" s="15"/>
      <c r="AQ2847" s="15"/>
      <c r="AR2847" s="15"/>
      <c r="AS2847" s="15"/>
      <c r="AT2847" s="15"/>
      <c r="AU2847" s="15"/>
      <c r="AV2847" s="15"/>
      <c r="AW2847" s="15"/>
    </row>
    <row r="2848" spans="3:49" x14ac:dyDescent="0.2">
      <c r="C2848" s="15"/>
      <c r="D2848" s="15"/>
      <c r="E2848" s="15"/>
      <c r="F2848" s="15"/>
      <c r="G2848" s="15"/>
      <c r="H2848" s="15"/>
      <c r="I2848" s="15"/>
      <c r="J2848" s="15"/>
      <c r="K2848" s="15"/>
      <c r="L2848" s="28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5"/>
      <c r="AG2848" s="15"/>
      <c r="AH2848" s="15"/>
      <c r="AI2848" s="15"/>
      <c r="AJ2848" s="15"/>
      <c r="AK2848" s="15"/>
      <c r="AL2848" s="15"/>
      <c r="AM2848" s="15"/>
      <c r="AN2848" s="15"/>
      <c r="AO2848" s="15"/>
      <c r="AP2848" s="15"/>
      <c r="AQ2848" s="15"/>
      <c r="AR2848" s="15"/>
      <c r="AS2848" s="15"/>
      <c r="AT2848" s="15"/>
      <c r="AU2848" s="15"/>
      <c r="AV2848" s="15"/>
      <c r="AW2848" s="15"/>
    </row>
    <row r="2849" spans="3:49" x14ac:dyDescent="0.2">
      <c r="C2849" s="15"/>
      <c r="D2849" s="15"/>
      <c r="E2849" s="15"/>
      <c r="F2849" s="15"/>
      <c r="G2849" s="15"/>
      <c r="H2849" s="15"/>
      <c r="I2849" s="15"/>
      <c r="J2849" s="15"/>
      <c r="K2849" s="15"/>
      <c r="L2849" s="28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5"/>
      <c r="AG2849" s="15"/>
      <c r="AH2849" s="15"/>
      <c r="AI2849" s="15"/>
      <c r="AJ2849" s="15"/>
      <c r="AK2849" s="15"/>
      <c r="AL2849" s="15"/>
      <c r="AM2849" s="15"/>
      <c r="AN2849" s="15"/>
      <c r="AO2849" s="15"/>
      <c r="AP2849" s="15"/>
      <c r="AQ2849" s="15"/>
      <c r="AR2849" s="15"/>
      <c r="AS2849" s="15"/>
      <c r="AT2849" s="15"/>
      <c r="AU2849" s="15"/>
      <c r="AV2849" s="15"/>
      <c r="AW2849" s="15"/>
    </row>
    <row r="2850" spans="3:49" x14ac:dyDescent="0.2">
      <c r="C2850" s="15"/>
      <c r="D2850" s="15"/>
      <c r="E2850" s="15"/>
      <c r="F2850" s="15"/>
      <c r="G2850" s="15"/>
      <c r="H2850" s="15"/>
      <c r="I2850" s="15"/>
      <c r="J2850" s="15"/>
      <c r="K2850" s="15"/>
      <c r="L2850" s="28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5"/>
      <c r="AG2850" s="15"/>
      <c r="AH2850" s="15"/>
      <c r="AI2850" s="15"/>
      <c r="AJ2850" s="15"/>
      <c r="AK2850" s="15"/>
      <c r="AL2850" s="15"/>
      <c r="AM2850" s="15"/>
      <c r="AN2850" s="15"/>
      <c r="AO2850" s="15"/>
      <c r="AP2850" s="15"/>
      <c r="AQ2850" s="15"/>
      <c r="AR2850" s="15"/>
      <c r="AS2850" s="15"/>
      <c r="AT2850" s="15"/>
      <c r="AU2850" s="15"/>
      <c r="AV2850" s="15"/>
      <c r="AW2850" s="15"/>
    </row>
    <row r="2851" spans="3:49" x14ac:dyDescent="0.2">
      <c r="C2851" s="15"/>
      <c r="D2851" s="15"/>
      <c r="E2851" s="15"/>
      <c r="F2851" s="15"/>
      <c r="G2851" s="15"/>
      <c r="H2851" s="15"/>
      <c r="I2851" s="15"/>
      <c r="J2851" s="15"/>
      <c r="K2851" s="15"/>
      <c r="L2851" s="28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5"/>
      <c r="AG2851" s="15"/>
      <c r="AH2851" s="15"/>
      <c r="AI2851" s="15"/>
      <c r="AJ2851" s="15"/>
      <c r="AK2851" s="15"/>
      <c r="AL2851" s="15"/>
      <c r="AM2851" s="15"/>
      <c r="AN2851" s="15"/>
      <c r="AO2851" s="15"/>
      <c r="AP2851" s="15"/>
      <c r="AQ2851" s="15"/>
      <c r="AR2851" s="15"/>
      <c r="AS2851" s="15"/>
      <c r="AT2851" s="15"/>
      <c r="AU2851" s="15"/>
      <c r="AV2851" s="15"/>
      <c r="AW2851" s="15"/>
    </row>
    <row r="2852" spans="3:49" x14ac:dyDescent="0.2">
      <c r="C2852" s="15"/>
      <c r="D2852" s="15"/>
      <c r="E2852" s="15"/>
      <c r="F2852" s="15"/>
      <c r="G2852" s="15"/>
      <c r="H2852" s="15"/>
      <c r="I2852" s="15"/>
      <c r="J2852" s="15"/>
      <c r="K2852" s="15"/>
      <c r="L2852" s="28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5"/>
      <c r="AG2852" s="15"/>
      <c r="AH2852" s="15"/>
      <c r="AI2852" s="15"/>
      <c r="AJ2852" s="15"/>
      <c r="AK2852" s="15"/>
      <c r="AL2852" s="15"/>
      <c r="AM2852" s="15"/>
      <c r="AN2852" s="15"/>
      <c r="AO2852" s="15"/>
      <c r="AP2852" s="15"/>
      <c r="AQ2852" s="15"/>
      <c r="AR2852" s="15"/>
      <c r="AS2852" s="15"/>
      <c r="AT2852" s="15"/>
      <c r="AU2852" s="15"/>
      <c r="AV2852" s="15"/>
      <c r="AW2852" s="15"/>
    </row>
    <row r="2853" spans="3:49" x14ac:dyDescent="0.2">
      <c r="C2853" s="15"/>
      <c r="D2853" s="15"/>
      <c r="E2853" s="15"/>
      <c r="F2853" s="15"/>
      <c r="G2853" s="15"/>
      <c r="H2853" s="15"/>
      <c r="I2853" s="15"/>
      <c r="J2853" s="15"/>
      <c r="K2853" s="15"/>
      <c r="L2853" s="28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5"/>
      <c r="AG2853" s="15"/>
      <c r="AH2853" s="15"/>
      <c r="AI2853" s="15"/>
      <c r="AJ2853" s="15"/>
      <c r="AK2853" s="15"/>
      <c r="AL2853" s="15"/>
      <c r="AM2853" s="15"/>
      <c r="AN2853" s="15"/>
      <c r="AO2853" s="15"/>
      <c r="AP2853" s="15"/>
      <c r="AQ2853" s="15"/>
      <c r="AR2853" s="15"/>
      <c r="AS2853" s="15"/>
      <c r="AT2853" s="15"/>
      <c r="AU2853" s="15"/>
      <c r="AV2853" s="15"/>
      <c r="AW2853" s="15"/>
    </row>
    <row r="2854" spans="3:49" x14ac:dyDescent="0.2">
      <c r="C2854" s="15"/>
      <c r="D2854" s="15"/>
      <c r="E2854" s="15"/>
      <c r="F2854" s="15"/>
      <c r="G2854" s="15"/>
      <c r="H2854" s="15"/>
      <c r="I2854" s="15"/>
      <c r="J2854" s="15"/>
      <c r="K2854" s="15"/>
      <c r="L2854" s="28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5"/>
      <c r="AG2854" s="15"/>
      <c r="AH2854" s="15"/>
      <c r="AI2854" s="15"/>
      <c r="AJ2854" s="15"/>
      <c r="AK2854" s="15"/>
      <c r="AL2854" s="15"/>
      <c r="AM2854" s="15"/>
      <c r="AN2854" s="15"/>
      <c r="AO2854" s="15"/>
      <c r="AP2854" s="15"/>
      <c r="AQ2854" s="15"/>
      <c r="AR2854" s="15"/>
      <c r="AS2854" s="15"/>
      <c r="AT2854" s="15"/>
      <c r="AU2854" s="15"/>
      <c r="AV2854" s="15"/>
      <c r="AW2854" s="15"/>
    </row>
    <row r="2855" spans="3:49" x14ac:dyDescent="0.2">
      <c r="C2855" s="15"/>
      <c r="D2855" s="15"/>
      <c r="E2855" s="15"/>
      <c r="F2855" s="15"/>
      <c r="G2855" s="15"/>
      <c r="H2855" s="15"/>
      <c r="I2855" s="15"/>
      <c r="J2855" s="15"/>
      <c r="K2855" s="15"/>
      <c r="L2855" s="28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5"/>
      <c r="AG2855" s="15"/>
      <c r="AH2855" s="15"/>
      <c r="AI2855" s="15"/>
      <c r="AJ2855" s="15"/>
      <c r="AK2855" s="15"/>
      <c r="AL2855" s="15"/>
      <c r="AM2855" s="15"/>
      <c r="AN2855" s="15"/>
      <c r="AO2855" s="15"/>
      <c r="AP2855" s="15"/>
      <c r="AQ2855" s="15"/>
      <c r="AR2855" s="15"/>
      <c r="AS2855" s="15"/>
      <c r="AT2855" s="15"/>
      <c r="AU2855" s="15"/>
      <c r="AV2855" s="15"/>
      <c r="AW2855" s="15"/>
    </row>
    <row r="2856" spans="3:49" x14ac:dyDescent="0.2">
      <c r="C2856" s="15"/>
      <c r="D2856" s="15"/>
      <c r="E2856" s="15"/>
      <c r="F2856" s="15"/>
      <c r="G2856" s="15"/>
      <c r="H2856" s="15"/>
      <c r="I2856" s="15"/>
      <c r="J2856" s="15"/>
      <c r="K2856" s="15"/>
      <c r="L2856" s="28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5"/>
      <c r="AG2856" s="15"/>
      <c r="AH2856" s="15"/>
      <c r="AI2856" s="15"/>
      <c r="AJ2856" s="15"/>
      <c r="AK2856" s="15"/>
      <c r="AL2856" s="15"/>
      <c r="AM2856" s="15"/>
      <c r="AN2856" s="15"/>
      <c r="AO2856" s="15"/>
      <c r="AP2856" s="15"/>
      <c r="AQ2856" s="15"/>
      <c r="AR2856" s="15"/>
      <c r="AS2856" s="15"/>
      <c r="AT2856" s="15"/>
      <c r="AU2856" s="15"/>
      <c r="AV2856" s="15"/>
      <c r="AW2856" s="15"/>
    </row>
    <row r="2857" spans="3:49" x14ac:dyDescent="0.2">
      <c r="C2857" s="15"/>
      <c r="D2857" s="15"/>
      <c r="E2857" s="15"/>
      <c r="F2857" s="15"/>
      <c r="G2857" s="15"/>
      <c r="H2857" s="15"/>
      <c r="I2857" s="15"/>
      <c r="J2857" s="15"/>
      <c r="K2857" s="15"/>
      <c r="L2857" s="28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5"/>
      <c r="AG2857" s="15"/>
      <c r="AH2857" s="15"/>
      <c r="AI2857" s="15"/>
      <c r="AJ2857" s="15"/>
      <c r="AK2857" s="15"/>
      <c r="AL2857" s="15"/>
      <c r="AM2857" s="15"/>
      <c r="AN2857" s="15"/>
      <c r="AO2857" s="15"/>
      <c r="AP2857" s="15"/>
      <c r="AQ2857" s="15"/>
      <c r="AR2857" s="15"/>
      <c r="AS2857" s="15"/>
      <c r="AT2857" s="15"/>
      <c r="AU2857" s="15"/>
      <c r="AV2857" s="15"/>
      <c r="AW2857" s="15"/>
    </row>
    <row r="2858" spans="3:49" x14ac:dyDescent="0.2">
      <c r="C2858" s="15"/>
      <c r="D2858" s="15"/>
      <c r="E2858" s="15"/>
      <c r="F2858" s="15"/>
      <c r="G2858" s="15"/>
      <c r="H2858" s="15"/>
      <c r="I2858" s="15"/>
      <c r="J2858" s="15"/>
      <c r="K2858" s="15"/>
      <c r="L2858" s="28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5"/>
      <c r="AG2858" s="15"/>
      <c r="AH2858" s="15"/>
      <c r="AI2858" s="15"/>
      <c r="AJ2858" s="15"/>
      <c r="AK2858" s="15"/>
      <c r="AL2858" s="15"/>
      <c r="AM2858" s="15"/>
      <c r="AN2858" s="15"/>
      <c r="AO2858" s="15"/>
      <c r="AP2858" s="15"/>
      <c r="AQ2858" s="15"/>
      <c r="AR2858" s="15"/>
      <c r="AS2858" s="15"/>
      <c r="AT2858" s="15"/>
      <c r="AU2858" s="15"/>
      <c r="AV2858" s="15"/>
      <c r="AW2858" s="15"/>
    </row>
    <row r="2859" spans="3:49" x14ac:dyDescent="0.2">
      <c r="C2859" s="15"/>
      <c r="D2859" s="15"/>
      <c r="E2859" s="15"/>
      <c r="F2859" s="15"/>
      <c r="G2859" s="15"/>
      <c r="H2859" s="15"/>
      <c r="I2859" s="15"/>
      <c r="J2859" s="15"/>
      <c r="K2859" s="15"/>
      <c r="L2859" s="28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5"/>
      <c r="AG2859" s="15"/>
      <c r="AH2859" s="15"/>
      <c r="AI2859" s="15"/>
      <c r="AJ2859" s="15"/>
      <c r="AK2859" s="15"/>
      <c r="AL2859" s="15"/>
      <c r="AM2859" s="15"/>
      <c r="AN2859" s="15"/>
      <c r="AO2859" s="15"/>
      <c r="AP2859" s="15"/>
      <c r="AQ2859" s="15"/>
      <c r="AR2859" s="15"/>
      <c r="AS2859" s="15"/>
      <c r="AT2859" s="15"/>
      <c r="AU2859" s="15"/>
      <c r="AV2859" s="15"/>
      <c r="AW2859" s="15"/>
    </row>
    <row r="2860" spans="3:49" x14ac:dyDescent="0.2">
      <c r="C2860" s="15"/>
      <c r="D2860" s="15"/>
      <c r="E2860" s="15"/>
      <c r="F2860" s="15"/>
      <c r="G2860" s="15"/>
      <c r="H2860" s="15"/>
      <c r="I2860" s="15"/>
      <c r="J2860" s="15"/>
      <c r="K2860" s="15"/>
      <c r="L2860" s="28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5"/>
      <c r="AG2860" s="15"/>
      <c r="AH2860" s="15"/>
      <c r="AI2860" s="15"/>
      <c r="AJ2860" s="15"/>
      <c r="AK2860" s="15"/>
      <c r="AL2860" s="15"/>
      <c r="AM2860" s="15"/>
      <c r="AN2860" s="15"/>
      <c r="AO2860" s="15"/>
      <c r="AP2860" s="15"/>
      <c r="AQ2860" s="15"/>
      <c r="AR2860" s="15"/>
      <c r="AS2860" s="15"/>
      <c r="AT2860" s="15"/>
      <c r="AU2860" s="15"/>
      <c r="AV2860" s="15"/>
      <c r="AW2860" s="15"/>
    </row>
    <row r="2861" spans="3:49" x14ac:dyDescent="0.2">
      <c r="C2861" s="15"/>
      <c r="D2861" s="15"/>
      <c r="E2861" s="15"/>
      <c r="F2861" s="15"/>
      <c r="G2861" s="15"/>
      <c r="H2861" s="15"/>
      <c r="I2861" s="15"/>
      <c r="J2861" s="15"/>
      <c r="K2861" s="15"/>
      <c r="L2861" s="28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5"/>
      <c r="AG2861" s="15"/>
      <c r="AH2861" s="15"/>
      <c r="AI2861" s="15"/>
      <c r="AJ2861" s="15"/>
      <c r="AK2861" s="15"/>
      <c r="AL2861" s="15"/>
      <c r="AM2861" s="15"/>
      <c r="AN2861" s="15"/>
      <c r="AO2861" s="15"/>
      <c r="AP2861" s="15"/>
      <c r="AQ2861" s="15"/>
      <c r="AR2861" s="15"/>
      <c r="AS2861" s="15"/>
      <c r="AT2861" s="15"/>
      <c r="AU2861" s="15"/>
      <c r="AV2861" s="15"/>
      <c r="AW2861" s="15"/>
    </row>
    <row r="2862" spans="3:49" x14ac:dyDescent="0.2">
      <c r="C2862" s="15"/>
      <c r="D2862" s="15"/>
      <c r="E2862" s="15"/>
      <c r="F2862" s="15"/>
      <c r="G2862" s="15"/>
      <c r="H2862" s="15"/>
      <c r="I2862" s="15"/>
      <c r="J2862" s="15"/>
      <c r="K2862" s="15"/>
      <c r="L2862" s="28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5"/>
      <c r="AG2862" s="15"/>
      <c r="AH2862" s="15"/>
      <c r="AI2862" s="15"/>
      <c r="AJ2862" s="15"/>
      <c r="AK2862" s="15"/>
      <c r="AL2862" s="15"/>
      <c r="AM2862" s="15"/>
      <c r="AN2862" s="15"/>
      <c r="AO2862" s="15"/>
      <c r="AP2862" s="15"/>
      <c r="AQ2862" s="15"/>
      <c r="AR2862" s="15"/>
      <c r="AS2862" s="15"/>
      <c r="AT2862" s="15"/>
      <c r="AU2862" s="15"/>
      <c r="AV2862" s="15"/>
      <c r="AW2862" s="15"/>
    </row>
    <row r="2863" spans="3:49" x14ac:dyDescent="0.2">
      <c r="C2863" s="15"/>
      <c r="D2863" s="15"/>
      <c r="E2863" s="15"/>
      <c r="F2863" s="15"/>
      <c r="G2863" s="15"/>
      <c r="H2863" s="15"/>
      <c r="I2863" s="15"/>
      <c r="J2863" s="15"/>
      <c r="K2863" s="15"/>
      <c r="L2863" s="28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5"/>
      <c r="AG2863" s="15"/>
      <c r="AH2863" s="15"/>
      <c r="AI2863" s="15"/>
      <c r="AJ2863" s="15"/>
      <c r="AK2863" s="15"/>
      <c r="AL2863" s="15"/>
      <c r="AM2863" s="15"/>
      <c r="AN2863" s="15"/>
      <c r="AO2863" s="15"/>
      <c r="AP2863" s="15"/>
      <c r="AQ2863" s="15"/>
      <c r="AR2863" s="15"/>
      <c r="AS2863" s="15"/>
      <c r="AT2863" s="15"/>
      <c r="AU2863" s="15"/>
      <c r="AV2863" s="15"/>
      <c r="AW2863" s="15"/>
    </row>
    <row r="2864" spans="3:49" x14ac:dyDescent="0.2">
      <c r="C2864" s="15"/>
      <c r="D2864" s="15"/>
      <c r="E2864" s="15"/>
      <c r="F2864" s="15"/>
      <c r="G2864" s="15"/>
      <c r="H2864" s="15"/>
      <c r="I2864" s="15"/>
      <c r="J2864" s="15"/>
      <c r="K2864" s="15"/>
      <c r="L2864" s="28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5"/>
      <c r="AG2864" s="15"/>
      <c r="AH2864" s="15"/>
      <c r="AI2864" s="15"/>
      <c r="AJ2864" s="15"/>
      <c r="AK2864" s="15"/>
      <c r="AL2864" s="15"/>
      <c r="AM2864" s="15"/>
      <c r="AN2864" s="15"/>
      <c r="AO2864" s="15"/>
      <c r="AP2864" s="15"/>
      <c r="AQ2864" s="15"/>
      <c r="AR2864" s="15"/>
      <c r="AS2864" s="15"/>
      <c r="AT2864" s="15"/>
      <c r="AU2864" s="15"/>
      <c r="AV2864" s="15"/>
      <c r="AW2864" s="15"/>
    </row>
    <row r="2865" spans="3:49" x14ac:dyDescent="0.2">
      <c r="C2865" s="15"/>
      <c r="D2865" s="15"/>
      <c r="E2865" s="15"/>
      <c r="F2865" s="15"/>
      <c r="G2865" s="15"/>
      <c r="H2865" s="15"/>
      <c r="I2865" s="15"/>
      <c r="J2865" s="15"/>
      <c r="K2865" s="15"/>
      <c r="L2865" s="28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5"/>
      <c r="AG2865" s="15"/>
      <c r="AH2865" s="15"/>
      <c r="AI2865" s="15"/>
      <c r="AJ2865" s="15"/>
      <c r="AK2865" s="15"/>
      <c r="AL2865" s="15"/>
      <c r="AM2865" s="15"/>
      <c r="AN2865" s="15"/>
      <c r="AO2865" s="15"/>
      <c r="AP2865" s="15"/>
      <c r="AQ2865" s="15"/>
      <c r="AR2865" s="15"/>
      <c r="AS2865" s="15"/>
      <c r="AT2865" s="15"/>
      <c r="AU2865" s="15"/>
      <c r="AV2865" s="15"/>
      <c r="AW2865" s="15"/>
    </row>
    <row r="2866" spans="3:49" x14ac:dyDescent="0.2">
      <c r="C2866" s="15"/>
      <c r="D2866" s="15"/>
      <c r="E2866" s="15"/>
      <c r="F2866" s="15"/>
      <c r="G2866" s="15"/>
      <c r="H2866" s="15"/>
      <c r="I2866" s="15"/>
      <c r="J2866" s="15"/>
      <c r="K2866" s="15"/>
      <c r="L2866" s="28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5"/>
      <c r="AG2866" s="15"/>
      <c r="AH2866" s="15"/>
      <c r="AI2866" s="15"/>
      <c r="AJ2866" s="15"/>
      <c r="AK2866" s="15"/>
      <c r="AL2866" s="15"/>
      <c r="AM2866" s="15"/>
      <c r="AN2866" s="15"/>
      <c r="AO2866" s="15"/>
      <c r="AP2866" s="15"/>
      <c r="AQ2866" s="15"/>
      <c r="AR2866" s="15"/>
      <c r="AS2866" s="15"/>
      <c r="AT2866" s="15"/>
      <c r="AU2866" s="15"/>
      <c r="AV2866" s="15"/>
      <c r="AW2866" s="15"/>
    </row>
    <row r="2867" spans="3:49" x14ac:dyDescent="0.2">
      <c r="C2867" s="15"/>
      <c r="D2867" s="15"/>
      <c r="E2867" s="15"/>
      <c r="F2867" s="15"/>
      <c r="G2867" s="15"/>
      <c r="H2867" s="15"/>
      <c r="I2867" s="15"/>
      <c r="J2867" s="15"/>
      <c r="K2867" s="15"/>
      <c r="L2867" s="28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5"/>
      <c r="AG2867" s="15"/>
      <c r="AH2867" s="15"/>
      <c r="AI2867" s="15"/>
      <c r="AJ2867" s="15"/>
      <c r="AK2867" s="15"/>
      <c r="AL2867" s="15"/>
      <c r="AM2867" s="15"/>
      <c r="AN2867" s="15"/>
      <c r="AO2867" s="15"/>
      <c r="AP2867" s="15"/>
      <c r="AQ2867" s="15"/>
      <c r="AR2867" s="15"/>
      <c r="AS2867" s="15"/>
      <c r="AT2867" s="15"/>
      <c r="AU2867" s="15"/>
      <c r="AV2867" s="15"/>
      <c r="AW2867" s="15"/>
    </row>
    <row r="2868" spans="3:49" x14ac:dyDescent="0.2">
      <c r="C2868" s="15"/>
      <c r="D2868" s="15"/>
      <c r="E2868" s="15"/>
      <c r="F2868" s="15"/>
      <c r="G2868" s="15"/>
      <c r="H2868" s="15"/>
      <c r="I2868" s="15"/>
      <c r="J2868" s="15"/>
      <c r="K2868" s="15"/>
      <c r="L2868" s="28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5"/>
      <c r="AG2868" s="15"/>
      <c r="AH2868" s="15"/>
      <c r="AI2868" s="15"/>
      <c r="AJ2868" s="15"/>
      <c r="AK2868" s="15"/>
      <c r="AL2868" s="15"/>
      <c r="AM2868" s="15"/>
      <c r="AN2868" s="15"/>
      <c r="AO2868" s="15"/>
      <c r="AP2868" s="15"/>
      <c r="AQ2868" s="15"/>
      <c r="AR2868" s="15"/>
      <c r="AS2868" s="15"/>
      <c r="AT2868" s="15"/>
      <c r="AU2868" s="15"/>
      <c r="AV2868" s="15"/>
      <c r="AW2868" s="15"/>
    </row>
    <row r="2869" spans="3:49" x14ac:dyDescent="0.2">
      <c r="C2869" s="15"/>
      <c r="D2869" s="15"/>
      <c r="E2869" s="15"/>
      <c r="F2869" s="15"/>
      <c r="G2869" s="15"/>
      <c r="H2869" s="15"/>
      <c r="I2869" s="15"/>
      <c r="J2869" s="15"/>
      <c r="K2869" s="15"/>
      <c r="L2869" s="28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5"/>
      <c r="AG2869" s="15"/>
      <c r="AH2869" s="15"/>
      <c r="AI2869" s="15"/>
      <c r="AJ2869" s="15"/>
      <c r="AK2869" s="15"/>
      <c r="AL2869" s="15"/>
      <c r="AM2869" s="15"/>
      <c r="AN2869" s="15"/>
      <c r="AO2869" s="15"/>
      <c r="AP2869" s="15"/>
      <c r="AQ2869" s="15"/>
      <c r="AR2869" s="15"/>
      <c r="AS2869" s="15"/>
      <c r="AT2869" s="15"/>
      <c r="AU2869" s="15"/>
      <c r="AV2869" s="15"/>
      <c r="AW2869" s="15"/>
    </row>
    <row r="2870" spans="3:49" x14ac:dyDescent="0.2">
      <c r="C2870" s="15"/>
      <c r="D2870" s="15"/>
      <c r="E2870" s="15"/>
      <c r="F2870" s="15"/>
      <c r="G2870" s="15"/>
      <c r="H2870" s="15"/>
      <c r="I2870" s="15"/>
      <c r="J2870" s="15"/>
      <c r="K2870" s="15"/>
      <c r="L2870" s="28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5"/>
      <c r="AG2870" s="15"/>
      <c r="AH2870" s="15"/>
      <c r="AI2870" s="15"/>
      <c r="AJ2870" s="15"/>
      <c r="AK2870" s="15"/>
      <c r="AL2870" s="15"/>
      <c r="AM2870" s="15"/>
      <c r="AN2870" s="15"/>
      <c r="AO2870" s="15"/>
      <c r="AP2870" s="15"/>
      <c r="AQ2870" s="15"/>
      <c r="AR2870" s="15"/>
      <c r="AS2870" s="15"/>
      <c r="AT2870" s="15"/>
      <c r="AU2870" s="15"/>
      <c r="AV2870" s="15"/>
      <c r="AW2870" s="15"/>
    </row>
    <row r="2871" spans="3:49" x14ac:dyDescent="0.2">
      <c r="C2871" s="15"/>
      <c r="D2871" s="15"/>
      <c r="E2871" s="15"/>
      <c r="F2871" s="15"/>
      <c r="G2871" s="15"/>
      <c r="H2871" s="15"/>
      <c r="I2871" s="15"/>
      <c r="J2871" s="15"/>
      <c r="K2871" s="15"/>
      <c r="L2871" s="28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5"/>
      <c r="AG2871" s="15"/>
      <c r="AH2871" s="15"/>
      <c r="AI2871" s="15"/>
      <c r="AJ2871" s="15"/>
      <c r="AK2871" s="15"/>
      <c r="AL2871" s="15"/>
      <c r="AM2871" s="15"/>
      <c r="AN2871" s="15"/>
      <c r="AO2871" s="15"/>
      <c r="AP2871" s="15"/>
      <c r="AQ2871" s="15"/>
      <c r="AR2871" s="15"/>
      <c r="AS2871" s="15"/>
      <c r="AT2871" s="15"/>
      <c r="AU2871" s="15"/>
      <c r="AV2871" s="15"/>
      <c r="AW2871" s="15"/>
    </row>
    <row r="2872" spans="3:49" x14ac:dyDescent="0.2">
      <c r="C2872" s="15"/>
      <c r="D2872" s="15"/>
      <c r="E2872" s="15"/>
      <c r="F2872" s="15"/>
      <c r="G2872" s="15"/>
      <c r="H2872" s="15"/>
      <c r="I2872" s="15"/>
      <c r="J2872" s="15"/>
      <c r="K2872" s="15"/>
      <c r="L2872" s="28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5"/>
      <c r="AG2872" s="15"/>
      <c r="AH2872" s="15"/>
      <c r="AI2872" s="15"/>
      <c r="AJ2872" s="15"/>
      <c r="AK2872" s="15"/>
      <c r="AL2872" s="15"/>
      <c r="AM2872" s="15"/>
      <c r="AN2872" s="15"/>
      <c r="AO2872" s="15"/>
      <c r="AP2872" s="15"/>
      <c r="AQ2872" s="15"/>
      <c r="AR2872" s="15"/>
      <c r="AS2872" s="15"/>
      <c r="AT2872" s="15"/>
      <c r="AU2872" s="15"/>
      <c r="AV2872" s="15"/>
      <c r="AW2872" s="15"/>
    </row>
    <row r="2873" spans="3:49" x14ac:dyDescent="0.2">
      <c r="C2873" s="15"/>
      <c r="D2873" s="15"/>
      <c r="E2873" s="15"/>
      <c r="F2873" s="15"/>
      <c r="G2873" s="15"/>
      <c r="H2873" s="15"/>
      <c r="I2873" s="15"/>
      <c r="J2873" s="15"/>
      <c r="K2873" s="15"/>
      <c r="L2873" s="28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5"/>
      <c r="AG2873" s="15"/>
      <c r="AH2873" s="15"/>
      <c r="AI2873" s="15"/>
      <c r="AJ2873" s="15"/>
      <c r="AK2873" s="15"/>
      <c r="AL2873" s="15"/>
      <c r="AM2873" s="15"/>
      <c r="AN2873" s="15"/>
      <c r="AO2873" s="15"/>
      <c r="AP2873" s="15"/>
      <c r="AQ2873" s="15"/>
      <c r="AR2873" s="15"/>
      <c r="AS2873" s="15"/>
      <c r="AT2873" s="15"/>
      <c r="AU2873" s="15"/>
      <c r="AV2873" s="15"/>
      <c r="AW2873" s="15"/>
    </row>
    <row r="2874" spans="3:49" x14ac:dyDescent="0.2">
      <c r="C2874" s="15"/>
      <c r="D2874" s="15"/>
      <c r="E2874" s="15"/>
      <c r="F2874" s="15"/>
      <c r="G2874" s="15"/>
      <c r="H2874" s="15"/>
      <c r="I2874" s="15"/>
      <c r="J2874" s="15"/>
      <c r="K2874" s="15"/>
      <c r="L2874" s="28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5"/>
      <c r="AG2874" s="15"/>
      <c r="AH2874" s="15"/>
      <c r="AI2874" s="15"/>
      <c r="AJ2874" s="15"/>
      <c r="AK2874" s="15"/>
      <c r="AL2874" s="15"/>
      <c r="AM2874" s="15"/>
      <c r="AN2874" s="15"/>
      <c r="AO2874" s="15"/>
      <c r="AP2874" s="15"/>
      <c r="AQ2874" s="15"/>
      <c r="AR2874" s="15"/>
      <c r="AS2874" s="15"/>
      <c r="AT2874" s="15"/>
      <c r="AU2874" s="15"/>
      <c r="AV2874" s="15"/>
      <c r="AW2874" s="15"/>
    </row>
    <row r="2875" spans="3:49" x14ac:dyDescent="0.2">
      <c r="C2875" s="15"/>
      <c r="D2875" s="15"/>
      <c r="E2875" s="15"/>
      <c r="F2875" s="15"/>
      <c r="G2875" s="15"/>
      <c r="H2875" s="15"/>
      <c r="I2875" s="15"/>
      <c r="J2875" s="15"/>
      <c r="K2875" s="15"/>
      <c r="L2875" s="28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5"/>
      <c r="AG2875" s="15"/>
      <c r="AH2875" s="15"/>
      <c r="AI2875" s="15"/>
      <c r="AJ2875" s="15"/>
      <c r="AK2875" s="15"/>
      <c r="AL2875" s="15"/>
      <c r="AM2875" s="15"/>
      <c r="AN2875" s="15"/>
      <c r="AO2875" s="15"/>
      <c r="AP2875" s="15"/>
      <c r="AQ2875" s="15"/>
      <c r="AR2875" s="15"/>
      <c r="AS2875" s="15"/>
      <c r="AT2875" s="15"/>
      <c r="AU2875" s="15"/>
      <c r="AV2875" s="15"/>
      <c r="AW2875" s="15"/>
    </row>
    <row r="2876" spans="3:49" x14ac:dyDescent="0.2">
      <c r="C2876" s="15"/>
      <c r="D2876" s="15"/>
      <c r="E2876" s="15"/>
      <c r="F2876" s="15"/>
      <c r="G2876" s="15"/>
      <c r="H2876" s="15"/>
      <c r="I2876" s="15"/>
      <c r="J2876" s="15"/>
      <c r="K2876" s="15"/>
      <c r="L2876" s="28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5"/>
      <c r="AG2876" s="15"/>
      <c r="AH2876" s="15"/>
      <c r="AI2876" s="15"/>
      <c r="AJ2876" s="15"/>
      <c r="AK2876" s="15"/>
      <c r="AL2876" s="15"/>
      <c r="AM2876" s="15"/>
      <c r="AN2876" s="15"/>
      <c r="AO2876" s="15"/>
      <c r="AP2876" s="15"/>
      <c r="AQ2876" s="15"/>
      <c r="AR2876" s="15"/>
      <c r="AS2876" s="15"/>
      <c r="AT2876" s="15"/>
      <c r="AU2876" s="15"/>
      <c r="AV2876" s="15"/>
      <c r="AW2876" s="15"/>
    </row>
    <row r="2877" spans="3:49" x14ac:dyDescent="0.2">
      <c r="C2877" s="15"/>
      <c r="D2877" s="15"/>
      <c r="E2877" s="15"/>
      <c r="F2877" s="15"/>
      <c r="G2877" s="15"/>
      <c r="H2877" s="15"/>
      <c r="I2877" s="15"/>
      <c r="J2877" s="15"/>
      <c r="K2877" s="15"/>
      <c r="L2877" s="28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5"/>
      <c r="AG2877" s="15"/>
      <c r="AH2877" s="15"/>
      <c r="AI2877" s="15"/>
      <c r="AJ2877" s="15"/>
      <c r="AK2877" s="15"/>
      <c r="AL2877" s="15"/>
      <c r="AM2877" s="15"/>
      <c r="AN2877" s="15"/>
      <c r="AO2877" s="15"/>
      <c r="AP2877" s="15"/>
      <c r="AQ2877" s="15"/>
      <c r="AR2877" s="15"/>
      <c r="AS2877" s="15"/>
      <c r="AT2877" s="15"/>
      <c r="AU2877" s="15"/>
      <c r="AV2877" s="15"/>
      <c r="AW2877" s="15"/>
    </row>
    <row r="2878" spans="3:49" x14ac:dyDescent="0.2">
      <c r="C2878" s="15"/>
      <c r="D2878" s="15"/>
      <c r="E2878" s="15"/>
      <c r="F2878" s="15"/>
      <c r="G2878" s="15"/>
      <c r="H2878" s="15"/>
      <c r="I2878" s="15"/>
      <c r="J2878" s="15"/>
      <c r="K2878" s="15"/>
      <c r="L2878" s="28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5"/>
      <c r="AG2878" s="15"/>
      <c r="AH2878" s="15"/>
      <c r="AI2878" s="15"/>
      <c r="AJ2878" s="15"/>
      <c r="AK2878" s="15"/>
      <c r="AL2878" s="15"/>
      <c r="AM2878" s="15"/>
      <c r="AN2878" s="15"/>
      <c r="AO2878" s="15"/>
      <c r="AP2878" s="15"/>
      <c r="AQ2878" s="15"/>
      <c r="AR2878" s="15"/>
      <c r="AS2878" s="15"/>
      <c r="AT2878" s="15"/>
      <c r="AU2878" s="15"/>
      <c r="AV2878" s="15"/>
      <c r="AW2878" s="15"/>
    </row>
    <row r="2879" spans="3:49" x14ac:dyDescent="0.2">
      <c r="C2879" s="15"/>
      <c r="D2879" s="15"/>
      <c r="E2879" s="15"/>
      <c r="F2879" s="15"/>
      <c r="G2879" s="15"/>
      <c r="H2879" s="15"/>
      <c r="I2879" s="15"/>
      <c r="J2879" s="15"/>
      <c r="K2879" s="15"/>
      <c r="L2879" s="28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5"/>
      <c r="AG2879" s="15"/>
      <c r="AH2879" s="15"/>
      <c r="AI2879" s="15"/>
      <c r="AJ2879" s="15"/>
      <c r="AK2879" s="15"/>
      <c r="AL2879" s="15"/>
      <c r="AM2879" s="15"/>
      <c r="AN2879" s="15"/>
      <c r="AO2879" s="15"/>
      <c r="AP2879" s="15"/>
      <c r="AQ2879" s="15"/>
      <c r="AR2879" s="15"/>
      <c r="AS2879" s="15"/>
      <c r="AT2879" s="15"/>
      <c r="AU2879" s="15"/>
      <c r="AV2879" s="15"/>
      <c r="AW2879" s="15"/>
    </row>
    <row r="2880" spans="3:49" x14ac:dyDescent="0.2">
      <c r="C2880" s="15"/>
      <c r="D2880" s="15"/>
      <c r="E2880" s="15"/>
      <c r="F2880" s="15"/>
      <c r="G2880" s="15"/>
      <c r="H2880" s="15"/>
      <c r="I2880" s="15"/>
      <c r="J2880" s="15"/>
      <c r="K2880" s="15"/>
      <c r="L2880" s="28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5"/>
      <c r="AG2880" s="15"/>
      <c r="AH2880" s="15"/>
      <c r="AI2880" s="15"/>
      <c r="AJ2880" s="15"/>
      <c r="AK2880" s="15"/>
      <c r="AL2880" s="15"/>
      <c r="AM2880" s="15"/>
      <c r="AN2880" s="15"/>
      <c r="AO2880" s="15"/>
      <c r="AP2880" s="15"/>
      <c r="AQ2880" s="15"/>
      <c r="AR2880" s="15"/>
      <c r="AS2880" s="15"/>
      <c r="AT2880" s="15"/>
      <c r="AU2880" s="15"/>
      <c r="AV2880" s="15"/>
      <c r="AW2880" s="15"/>
    </row>
    <row r="2881" spans="3:49" x14ac:dyDescent="0.2">
      <c r="C2881" s="15"/>
      <c r="D2881" s="15"/>
      <c r="E2881" s="15"/>
      <c r="F2881" s="15"/>
      <c r="G2881" s="15"/>
      <c r="H2881" s="15"/>
      <c r="I2881" s="15"/>
      <c r="J2881" s="15"/>
      <c r="K2881" s="15"/>
      <c r="L2881" s="28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5"/>
      <c r="AG2881" s="15"/>
      <c r="AH2881" s="15"/>
      <c r="AI2881" s="15"/>
      <c r="AJ2881" s="15"/>
      <c r="AK2881" s="15"/>
      <c r="AL2881" s="15"/>
      <c r="AM2881" s="15"/>
      <c r="AN2881" s="15"/>
      <c r="AO2881" s="15"/>
      <c r="AP2881" s="15"/>
      <c r="AQ2881" s="15"/>
      <c r="AR2881" s="15"/>
      <c r="AS2881" s="15"/>
      <c r="AT2881" s="15"/>
      <c r="AU2881" s="15"/>
      <c r="AV2881" s="15"/>
      <c r="AW2881" s="15"/>
    </row>
    <row r="2882" spans="3:49" x14ac:dyDescent="0.2">
      <c r="C2882" s="15"/>
      <c r="D2882" s="15"/>
      <c r="E2882" s="15"/>
      <c r="F2882" s="15"/>
      <c r="G2882" s="15"/>
      <c r="H2882" s="15"/>
      <c r="I2882" s="15"/>
      <c r="J2882" s="15"/>
      <c r="K2882" s="15"/>
      <c r="L2882" s="28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5"/>
      <c r="AG2882" s="15"/>
      <c r="AH2882" s="15"/>
      <c r="AI2882" s="15"/>
      <c r="AJ2882" s="15"/>
      <c r="AK2882" s="15"/>
      <c r="AL2882" s="15"/>
      <c r="AM2882" s="15"/>
      <c r="AN2882" s="15"/>
      <c r="AO2882" s="15"/>
      <c r="AP2882" s="15"/>
      <c r="AQ2882" s="15"/>
      <c r="AR2882" s="15"/>
      <c r="AS2882" s="15"/>
      <c r="AT2882" s="15"/>
      <c r="AU2882" s="15"/>
      <c r="AV2882" s="15"/>
      <c r="AW2882" s="15"/>
    </row>
    <row r="2883" spans="3:49" x14ac:dyDescent="0.2">
      <c r="C2883" s="15"/>
      <c r="D2883" s="15"/>
      <c r="E2883" s="15"/>
      <c r="F2883" s="15"/>
      <c r="G2883" s="15"/>
      <c r="H2883" s="15"/>
      <c r="I2883" s="15"/>
      <c r="J2883" s="15"/>
      <c r="K2883" s="15"/>
      <c r="L2883" s="28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5"/>
      <c r="AG2883" s="15"/>
      <c r="AH2883" s="15"/>
      <c r="AI2883" s="15"/>
      <c r="AJ2883" s="15"/>
      <c r="AK2883" s="15"/>
      <c r="AL2883" s="15"/>
      <c r="AM2883" s="15"/>
      <c r="AN2883" s="15"/>
      <c r="AO2883" s="15"/>
      <c r="AP2883" s="15"/>
      <c r="AQ2883" s="15"/>
      <c r="AR2883" s="15"/>
      <c r="AS2883" s="15"/>
      <c r="AT2883" s="15"/>
      <c r="AU2883" s="15"/>
      <c r="AV2883" s="15"/>
      <c r="AW2883" s="15"/>
    </row>
    <row r="2884" spans="3:49" x14ac:dyDescent="0.2">
      <c r="C2884" s="15"/>
      <c r="D2884" s="15"/>
      <c r="E2884" s="15"/>
      <c r="F2884" s="15"/>
      <c r="G2884" s="15"/>
      <c r="H2884" s="15"/>
      <c r="I2884" s="15"/>
      <c r="J2884" s="15"/>
      <c r="K2884" s="15"/>
      <c r="L2884" s="28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5"/>
      <c r="AG2884" s="15"/>
      <c r="AH2884" s="15"/>
      <c r="AI2884" s="15"/>
      <c r="AJ2884" s="15"/>
      <c r="AK2884" s="15"/>
      <c r="AL2884" s="15"/>
      <c r="AM2884" s="15"/>
      <c r="AN2884" s="15"/>
      <c r="AO2884" s="15"/>
      <c r="AP2884" s="15"/>
      <c r="AQ2884" s="15"/>
      <c r="AR2884" s="15"/>
      <c r="AS2884" s="15"/>
      <c r="AT2884" s="15"/>
      <c r="AU2884" s="15"/>
      <c r="AV2884" s="15"/>
      <c r="AW2884" s="15"/>
    </row>
    <row r="2885" spans="3:49" x14ac:dyDescent="0.2">
      <c r="C2885" s="15"/>
      <c r="D2885" s="15"/>
      <c r="E2885" s="15"/>
      <c r="F2885" s="15"/>
      <c r="G2885" s="15"/>
      <c r="H2885" s="15"/>
      <c r="I2885" s="15"/>
      <c r="J2885" s="15"/>
      <c r="K2885" s="15"/>
      <c r="L2885" s="28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5"/>
      <c r="AG2885" s="15"/>
      <c r="AH2885" s="15"/>
      <c r="AI2885" s="15"/>
      <c r="AJ2885" s="15"/>
      <c r="AK2885" s="15"/>
      <c r="AL2885" s="15"/>
      <c r="AM2885" s="15"/>
      <c r="AN2885" s="15"/>
      <c r="AO2885" s="15"/>
      <c r="AP2885" s="15"/>
      <c r="AQ2885" s="15"/>
      <c r="AR2885" s="15"/>
      <c r="AS2885" s="15"/>
      <c r="AT2885" s="15"/>
      <c r="AU2885" s="15"/>
      <c r="AV2885" s="15"/>
      <c r="AW2885" s="15"/>
    </row>
    <row r="2886" spans="3:49" x14ac:dyDescent="0.2">
      <c r="C2886" s="15"/>
      <c r="D2886" s="15"/>
      <c r="E2886" s="15"/>
      <c r="F2886" s="15"/>
      <c r="G2886" s="15"/>
      <c r="H2886" s="15"/>
      <c r="I2886" s="15"/>
      <c r="J2886" s="15"/>
      <c r="K2886" s="15"/>
      <c r="L2886" s="28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5"/>
      <c r="AG2886" s="15"/>
      <c r="AH2886" s="15"/>
      <c r="AI2886" s="15"/>
      <c r="AJ2886" s="15"/>
      <c r="AK2886" s="15"/>
      <c r="AL2886" s="15"/>
      <c r="AM2886" s="15"/>
      <c r="AN2886" s="15"/>
      <c r="AO2886" s="15"/>
      <c r="AP2886" s="15"/>
      <c r="AQ2886" s="15"/>
      <c r="AR2886" s="15"/>
      <c r="AS2886" s="15"/>
      <c r="AT2886" s="15"/>
      <c r="AU2886" s="15"/>
      <c r="AV2886" s="15"/>
      <c r="AW2886" s="15"/>
    </row>
    <row r="2887" spans="3:49" x14ac:dyDescent="0.2">
      <c r="C2887" s="15"/>
      <c r="D2887" s="15"/>
      <c r="E2887" s="15"/>
      <c r="F2887" s="15"/>
      <c r="G2887" s="15"/>
      <c r="H2887" s="15"/>
      <c r="I2887" s="15"/>
      <c r="J2887" s="15"/>
      <c r="K2887" s="15"/>
      <c r="L2887" s="28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5"/>
      <c r="AG2887" s="15"/>
      <c r="AH2887" s="15"/>
      <c r="AI2887" s="15"/>
      <c r="AJ2887" s="15"/>
      <c r="AK2887" s="15"/>
      <c r="AL2887" s="15"/>
      <c r="AM2887" s="15"/>
      <c r="AN2887" s="15"/>
      <c r="AO2887" s="15"/>
      <c r="AP2887" s="15"/>
      <c r="AQ2887" s="15"/>
      <c r="AR2887" s="15"/>
      <c r="AS2887" s="15"/>
      <c r="AT2887" s="15"/>
      <c r="AU2887" s="15"/>
      <c r="AV2887" s="15"/>
      <c r="AW2887" s="15"/>
    </row>
    <row r="2888" spans="3:49" x14ac:dyDescent="0.2">
      <c r="C2888" s="15"/>
      <c r="D2888" s="15"/>
      <c r="E2888" s="15"/>
      <c r="F2888" s="15"/>
      <c r="G2888" s="15"/>
      <c r="H2888" s="15"/>
      <c r="I2888" s="15"/>
      <c r="J2888" s="15"/>
      <c r="K2888" s="15"/>
      <c r="L2888" s="28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5"/>
      <c r="AG2888" s="15"/>
      <c r="AH2888" s="15"/>
      <c r="AI2888" s="15"/>
      <c r="AJ2888" s="15"/>
      <c r="AK2888" s="15"/>
      <c r="AL2888" s="15"/>
      <c r="AM2888" s="15"/>
      <c r="AN2888" s="15"/>
      <c r="AO2888" s="15"/>
      <c r="AP2888" s="15"/>
      <c r="AQ2888" s="15"/>
      <c r="AR2888" s="15"/>
      <c r="AS2888" s="15"/>
      <c r="AT2888" s="15"/>
      <c r="AU2888" s="15"/>
      <c r="AV2888" s="15"/>
      <c r="AW2888" s="15"/>
    </row>
    <row r="2889" spans="3:49" x14ac:dyDescent="0.2">
      <c r="C2889" s="15"/>
      <c r="D2889" s="15"/>
      <c r="E2889" s="15"/>
      <c r="F2889" s="15"/>
      <c r="G2889" s="15"/>
      <c r="H2889" s="15"/>
      <c r="I2889" s="15"/>
      <c r="J2889" s="15"/>
      <c r="K2889" s="15"/>
      <c r="L2889" s="28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5"/>
      <c r="AG2889" s="15"/>
      <c r="AH2889" s="15"/>
      <c r="AI2889" s="15"/>
      <c r="AJ2889" s="15"/>
      <c r="AK2889" s="15"/>
      <c r="AL2889" s="15"/>
      <c r="AM2889" s="15"/>
      <c r="AN2889" s="15"/>
      <c r="AO2889" s="15"/>
      <c r="AP2889" s="15"/>
      <c r="AQ2889" s="15"/>
      <c r="AR2889" s="15"/>
      <c r="AS2889" s="15"/>
      <c r="AT2889" s="15"/>
      <c r="AU2889" s="15"/>
      <c r="AV2889" s="15"/>
      <c r="AW2889" s="15"/>
    </row>
    <row r="2890" spans="3:49" x14ac:dyDescent="0.2">
      <c r="C2890" s="15"/>
      <c r="D2890" s="15"/>
      <c r="E2890" s="15"/>
      <c r="F2890" s="15"/>
      <c r="G2890" s="15"/>
      <c r="H2890" s="15"/>
      <c r="I2890" s="15"/>
      <c r="J2890" s="15"/>
      <c r="K2890" s="15"/>
      <c r="L2890" s="28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5"/>
      <c r="AG2890" s="15"/>
      <c r="AH2890" s="15"/>
      <c r="AI2890" s="15"/>
      <c r="AJ2890" s="15"/>
      <c r="AK2890" s="15"/>
      <c r="AL2890" s="15"/>
      <c r="AM2890" s="15"/>
      <c r="AN2890" s="15"/>
      <c r="AO2890" s="15"/>
      <c r="AP2890" s="15"/>
      <c r="AQ2890" s="15"/>
      <c r="AR2890" s="15"/>
      <c r="AS2890" s="15"/>
      <c r="AT2890" s="15"/>
      <c r="AU2890" s="15"/>
      <c r="AV2890" s="15"/>
      <c r="AW2890" s="15"/>
    </row>
    <row r="2891" spans="3:49" x14ac:dyDescent="0.2">
      <c r="C2891" s="15"/>
      <c r="D2891" s="15"/>
      <c r="E2891" s="15"/>
      <c r="F2891" s="15"/>
      <c r="G2891" s="15"/>
      <c r="H2891" s="15"/>
      <c r="I2891" s="15"/>
      <c r="J2891" s="15"/>
      <c r="K2891" s="15"/>
      <c r="L2891" s="28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5"/>
      <c r="AG2891" s="15"/>
      <c r="AH2891" s="15"/>
      <c r="AI2891" s="15"/>
      <c r="AJ2891" s="15"/>
      <c r="AK2891" s="15"/>
      <c r="AL2891" s="15"/>
      <c r="AM2891" s="15"/>
      <c r="AN2891" s="15"/>
      <c r="AO2891" s="15"/>
      <c r="AP2891" s="15"/>
      <c r="AQ2891" s="15"/>
      <c r="AR2891" s="15"/>
      <c r="AS2891" s="15"/>
      <c r="AT2891" s="15"/>
      <c r="AU2891" s="15"/>
      <c r="AV2891" s="15"/>
      <c r="AW2891" s="15"/>
    </row>
    <row r="2892" spans="3:49" x14ac:dyDescent="0.2">
      <c r="C2892" s="15"/>
      <c r="D2892" s="15"/>
      <c r="E2892" s="15"/>
      <c r="F2892" s="15"/>
      <c r="G2892" s="15"/>
      <c r="H2892" s="15"/>
      <c r="I2892" s="15"/>
      <c r="J2892" s="15"/>
      <c r="K2892" s="15"/>
      <c r="L2892" s="28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5"/>
      <c r="AG2892" s="15"/>
      <c r="AH2892" s="15"/>
      <c r="AI2892" s="15"/>
      <c r="AJ2892" s="15"/>
      <c r="AK2892" s="15"/>
      <c r="AL2892" s="15"/>
      <c r="AM2892" s="15"/>
      <c r="AN2892" s="15"/>
      <c r="AO2892" s="15"/>
      <c r="AP2892" s="15"/>
      <c r="AQ2892" s="15"/>
      <c r="AR2892" s="15"/>
      <c r="AS2892" s="15"/>
      <c r="AT2892" s="15"/>
      <c r="AU2892" s="15"/>
      <c r="AV2892" s="15"/>
      <c r="AW2892" s="15"/>
    </row>
    <row r="2893" spans="3:49" x14ac:dyDescent="0.2">
      <c r="C2893" s="15"/>
      <c r="D2893" s="15"/>
      <c r="E2893" s="15"/>
      <c r="F2893" s="15"/>
      <c r="G2893" s="15"/>
      <c r="H2893" s="15"/>
      <c r="I2893" s="15"/>
      <c r="J2893" s="15"/>
      <c r="K2893" s="15"/>
      <c r="L2893" s="28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5"/>
      <c r="AG2893" s="15"/>
      <c r="AH2893" s="15"/>
      <c r="AI2893" s="15"/>
      <c r="AJ2893" s="15"/>
      <c r="AK2893" s="15"/>
      <c r="AL2893" s="15"/>
      <c r="AM2893" s="15"/>
      <c r="AN2893" s="15"/>
      <c r="AO2893" s="15"/>
      <c r="AP2893" s="15"/>
      <c r="AQ2893" s="15"/>
      <c r="AR2893" s="15"/>
      <c r="AS2893" s="15"/>
      <c r="AT2893" s="15"/>
      <c r="AU2893" s="15"/>
      <c r="AV2893" s="15"/>
      <c r="AW2893" s="15"/>
    </row>
    <row r="2894" spans="3:49" x14ac:dyDescent="0.2">
      <c r="C2894" s="15"/>
      <c r="D2894" s="15"/>
      <c r="E2894" s="15"/>
      <c r="F2894" s="15"/>
      <c r="G2894" s="15"/>
      <c r="H2894" s="15"/>
      <c r="I2894" s="15"/>
      <c r="J2894" s="15"/>
      <c r="K2894" s="15"/>
      <c r="L2894" s="28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5"/>
      <c r="AG2894" s="15"/>
      <c r="AH2894" s="15"/>
      <c r="AI2894" s="15"/>
      <c r="AJ2894" s="15"/>
      <c r="AK2894" s="15"/>
      <c r="AL2894" s="15"/>
      <c r="AM2894" s="15"/>
      <c r="AN2894" s="15"/>
      <c r="AO2894" s="15"/>
      <c r="AP2894" s="15"/>
      <c r="AQ2894" s="15"/>
      <c r="AR2894" s="15"/>
      <c r="AS2894" s="15"/>
      <c r="AT2894" s="15"/>
      <c r="AU2894" s="15"/>
      <c r="AV2894" s="15"/>
      <c r="AW2894" s="15"/>
    </row>
    <row r="2895" spans="3:49" x14ac:dyDescent="0.2">
      <c r="C2895" s="15"/>
      <c r="D2895" s="15"/>
      <c r="E2895" s="15"/>
      <c r="F2895" s="15"/>
      <c r="G2895" s="15"/>
      <c r="H2895" s="15"/>
      <c r="I2895" s="15"/>
      <c r="J2895" s="15"/>
      <c r="K2895" s="15"/>
      <c r="L2895" s="28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5"/>
      <c r="AG2895" s="15"/>
      <c r="AH2895" s="15"/>
      <c r="AI2895" s="15"/>
      <c r="AJ2895" s="15"/>
      <c r="AK2895" s="15"/>
      <c r="AL2895" s="15"/>
      <c r="AM2895" s="15"/>
      <c r="AN2895" s="15"/>
      <c r="AO2895" s="15"/>
      <c r="AP2895" s="15"/>
      <c r="AQ2895" s="15"/>
      <c r="AR2895" s="15"/>
      <c r="AS2895" s="15"/>
      <c r="AT2895" s="15"/>
      <c r="AU2895" s="15"/>
      <c r="AV2895" s="15"/>
      <c r="AW2895" s="15"/>
    </row>
    <row r="2896" spans="3:49" x14ac:dyDescent="0.2">
      <c r="C2896" s="15"/>
      <c r="D2896" s="15"/>
      <c r="E2896" s="15"/>
      <c r="F2896" s="15"/>
      <c r="G2896" s="15"/>
      <c r="H2896" s="15"/>
      <c r="I2896" s="15"/>
      <c r="J2896" s="15"/>
      <c r="K2896" s="15"/>
      <c r="L2896" s="28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5"/>
      <c r="AG2896" s="15"/>
      <c r="AH2896" s="15"/>
      <c r="AI2896" s="15"/>
      <c r="AJ2896" s="15"/>
      <c r="AK2896" s="15"/>
      <c r="AL2896" s="15"/>
      <c r="AM2896" s="15"/>
      <c r="AN2896" s="15"/>
      <c r="AO2896" s="15"/>
      <c r="AP2896" s="15"/>
      <c r="AQ2896" s="15"/>
      <c r="AR2896" s="15"/>
      <c r="AS2896" s="15"/>
      <c r="AT2896" s="15"/>
      <c r="AU2896" s="15"/>
      <c r="AV2896" s="15"/>
      <c r="AW2896" s="15"/>
    </row>
    <row r="2897" spans="3:49" x14ac:dyDescent="0.2">
      <c r="C2897" s="15"/>
      <c r="D2897" s="15"/>
      <c r="E2897" s="15"/>
      <c r="F2897" s="15"/>
      <c r="G2897" s="15"/>
      <c r="H2897" s="15"/>
      <c r="I2897" s="15"/>
      <c r="J2897" s="15"/>
      <c r="K2897" s="15"/>
      <c r="L2897" s="28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5"/>
      <c r="AG2897" s="15"/>
      <c r="AH2897" s="15"/>
      <c r="AI2897" s="15"/>
      <c r="AJ2897" s="15"/>
      <c r="AK2897" s="15"/>
      <c r="AL2897" s="15"/>
      <c r="AM2897" s="15"/>
      <c r="AN2897" s="15"/>
      <c r="AO2897" s="15"/>
      <c r="AP2897" s="15"/>
      <c r="AQ2897" s="15"/>
      <c r="AR2897" s="15"/>
      <c r="AS2897" s="15"/>
      <c r="AT2897" s="15"/>
      <c r="AU2897" s="15"/>
      <c r="AV2897" s="15"/>
      <c r="AW2897" s="15"/>
    </row>
    <row r="2898" spans="3:49" x14ac:dyDescent="0.2">
      <c r="C2898" s="15"/>
      <c r="D2898" s="15"/>
      <c r="E2898" s="15"/>
      <c r="F2898" s="15"/>
      <c r="G2898" s="15"/>
      <c r="H2898" s="15"/>
      <c r="I2898" s="15"/>
      <c r="J2898" s="15"/>
      <c r="K2898" s="15"/>
      <c r="L2898" s="28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5"/>
      <c r="AG2898" s="15"/>
      <c r="AH2898" s="15"/>
      <c r="AI2898" s="15"/>
      <c r="AJ2898" s="15"/>
      <c r="AK2898" s="15"/>
      <c r="AL2898" s="15"/>
      <c r="AM2898" s="15"/>
      <c r="AN2898" s="15"/>
      <c r="AO2898" s="15"/>
      <c r="AP2898" s="15"/>
      <c r="AQ2898" s="15"/>
      <c r="AR2898" s="15"/>
      <c r="AS2898" s="15"/>
      <c r="AT2898" s="15"/>
      <c r="AU2898" s="15"/>
      <c r="AV2898" s="15"/>
      <c r="AW2898" s="15"/>
    </row>
    <row r="2899" spans="3:49" x14ac:dyDescent="0.2">
      <c r="C2899" s="15"/>
      <c r="D2899" s="15"/>
      <c r="E2899" s="15"/>
      <c r="F2899" s="15"/>
      <c r="G2899" s="15"/>
      <c r="H2899" s="15"/>
      <c r="I2899" s="15"/>
      <c r="J2899" s="15"/>
      <c r="K2899" s="15"/>
      <c r="L2899" s="28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5"/>
      <c r="AG2899" s="15"/>
      <c r="AH2899" s="15"/>
      <c r="AI2899" s="15"/>
      <c r="AJ2899" s="15"/>
      <c r="AK2899" s="15"/>
      <c r="AL2899" s="15"/>
      <c r="AM2899" s="15"/>
      <c r="AN2899" s="15"/>
      <c r="AO2899" s="15"/>
      <c r="AP2899" s="15"/>
      <c r="AQ2899" s="15"/>
      <c r="AR2899" s="15"/>
      <c r="AS2899" s="15"/>
      <c r="AT2899" s="15"/>
      <c r="AU2899" s="15"/>
      <c r="AV2899" s="15"/>
      <c r="AW2899" s="15"/>
    </row>
    <row r="2900" spans="3:49" x14ac:dyDescent="0.2">
      <c r="C2900" s="15"/>
      <c r="D2900" s="15"/>
      <c r="E2900" s="15"/>
      <c r="F2900" s="15"/>
      <c r="G2900" s="15"/>
      <c r="H2900" s="15"/>
      <c r="I2900" s="15"/>
      <c r="J2900" s="15"/>
      <c r="K2900" s="15"/>
      <c r="L2900" s="28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5"/>
      <c r="AG2900" s="15"/>
      <c r="AH2900" s="15"/>
      <c r="AI2900" s="15"/>
      <c r="AJ2900" s="15"/>
      <c r="AK2900" s="15"/>
      <c r="AL2900" s="15"/>
      <c r="AM2900" s="15"/>
      <c r="AN2900" s="15"/>
      <c r="AO2900" s="15"/>
      <c r="AP2900" s="15"/>
      <c r="AQ2900" s="15"/>
      <c r="AR2900" s="15"/>
      <c r="AS2900" s="15"/>
      <c r="AT2900" s="15"/>
      <c r="AU2900" s="15"/>
      <c r="AV2900" s="15"/>
      <c r="AW2900" s="15"/>
    </row>
    <row r="2901" spans="3:49" x14ac:dyDescent="0.2">
      <c r="C2901" s="15"/>
      <c r="D2901" s="15"/>
      <c r="E2901" s="15"/>
      <c r="F2901" s="15"/>
      <c r="G2901" s="15"/>
      <c r="H2901" s="15"/>
      <c r="I2901" s="15"/>
      <c r="J2901" s="15"/>
      <c r="K2901" s="15"/>
      <c r="L2901" s="28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5"/>
      <c r="AG2901" s="15"/>
      <c r="AH2901" s="15"/>
      <c r="AI2901" s="15"/>
      <c r="AJ2901" s="15"/>
      <c r="AK2901" s="15"/>
      <c r="AL2901" s="15"/>
      <c r="AM2901" s="15"/>
      <c r="AN2901" s="15"/>
      <c r="AO2901" s="15"/>
      <c r="AP2901" s="15"/>
      <c r="AQ2901" s="15"/>
      <c r="AR2901" s="15"/>
      <c r="AS2901" s="15"/>
      <c r="AT2901" s="15"/>
      <c r="AU2901" s="15"/>
      <c r="AV2901" s="15"/>
      <c r="AW2901" s="15"/>
    </row>
    <row r="2902" spans="3:49" x14ac:dyDescent="0.2">
      <c r="C2902" s="15"/>
      <c r="D2902" s="15"/>
      <c r="E2902" s="15"/>
      <c r="F2902" s="15"/>
      <c r="G2902" s="15"/>
      <c r="H2902" s="15"/>
      <c r="I2902" s="15"/>
      <c r="J2902" s="15"/>
      <c r="K2902" s="15"/>
      <c r="L2902" s="28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5"/>
      <c r="AG2902" s="15"/>
      <c r="AH2902" s="15"/>
      <c r="AI2902" s="15"/>
      <c r="AJ2902" s="15"/>
      <c r="AK2902" s="15"/>
      <c r="AL2902" s="15"/>
      <c r="AM2902" s="15"/>
      <c r="AN2902" s="15"/>
      <c r="AO2902" s="15"/>
      <c r="AP2902" s="15"/>
      <c r="AQ2902" s="15"/>
      <c r="AR2902" s="15"/>
      <c r="AS2902" s="15"/>
      <c r="AT2902" s="15"/>
      <c r="AU2902" s="15"/>
      <c r="AV2902" s="15"/>
      <c r="AW2902" s="15"/>
    </row>
    <row r="2903" spans="3:49" x14ac:dyDescent="0.2">
      <c r="C2903" s="15"/>
      <c r="D2903" s="15"/>
      <c r="E2903" s="15"/>
      <c r="F2903" s="15"/>
      <c r="G2903" s="15"/>
      <c r="H2903" s="15"/>
      <c r="I2903" s="15"/>
      <c r="J2903" s="15"/>
      <c r="K2903" s="15"/>
      <c r="L2903" s="28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5"/>
      <c r="AG2903" s="15"/>
      <c r="AH2903" s="15"/>
      <c r="AI2903" s="15"/>
      <c r="AJ2903" s="15"/>
      <c r="AK2903" s="15"/>
      <c r="AL2903" s="15"/>
      <c r="AM2903" s="15"/>
      <c r="AN2903" s="15"/>
      <c r="AO2903" s="15"/>
      <c r="AP2903" s="15"/>
      <c r="AQ2903" s="15"/>
      <c r="AR2903" s="15"/>
      <c r="AS2903" s="15"/>
      <c r="AT2903" s="15"/>
      <c r="AU2903" s="15"/>
      <c r="AV2903" s="15"/>
      <c r="AW2903" s="15"/>
    </row>
    <row r="2904" spans="3:49" x14ac:dyDescent="0.2">
      <c r="C2904" s="15"/>
      <c r="D2904" s="15"/>
      <c r="E2904" s="15"/>
      <c r="F2904" s="15"/>
      <c r="G2904" s="15"/>
      <c r="H2904" s="15"/>
      <c r="I2904" s="15"/>
      <c r="J2904" s="15"/>
      <c r="K2904" s="15"/>
      <c r="L2904" s="28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5"/>
      <c r="AG2904" s="15"/>
      <c r="AH2904" s="15"/>
      <c r="AI2904" s="15"/>
      <c r="AJ2904" s="15"/>
      <c r="AK2904" s="15"/>
      <c r="AL2904" s="15"/>
      <c r="AM2904" s="15"/>
      <c r="AN2904" s="15"/>
      <c r="AO2904" s="15"/>
      <c r="AP2904" s="15"/>
      <c r="AQ2904" s="15"/>
      <c r="AR2904" s="15"/>
      <c r="AS2904" s="15"/>
      <c r="AT2904" s="15"/>
      <c r="AU2904" s="15"/>
      <c r="AV2904" s="15"/>
      <c r="AW2904" s="15"/>
    </row>
    <row r="2905" spans="3:49" x14ac:dyDescent="0.2">
      <c r="C2905" s="15"/>
      <c r="D2905" s="15"/>
      <c r="E2905" s="15"/>
      <c r="F2905" s="15"/>
      <c r="G2905" s="15"/>
      <c r="H2905" s="15"/>
      <c r="I2905" s="15"/>
      <c r="J2905" s="15"/>
      <c r="K2905" s="15"/>
      <c r="L2905" s="28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5"/>
      <c r="AG2905" s="15"/>
      <c r="AH2905" s="15"/>
      <c r="AI2905" s="15"/>
      <c r="AJ2905" s="15"/>
      <c r="AK2905" s="15"/>
      <c r="AL2905" s="15"/>
      <c r="AM2905" s="15"/>
      <c r="AN2905" s="15"/>
      <c r="AO2905" s="15"/>
      <c r="AP2905" s="15"/>
      <c r="AQ2905" s="15"/>
      <c r="AR2905" s="15"/>
      <c r="AS2905" s="15"/>
      <c r="AT2905" s="15"/>
      <c r="AU2905" s="15"/>
      <c r="AV2905" s="15"/>
      <c r="AW2905" s="15"/>
    </row>
    <row r="2906" spans="3:49" x14ac:dyDescent="0.2">
      <c r="C2906" s="15"/>
      <c r="D2906" s="15"/>
      <c r="E2906" s="15"/>
      <c r="F2906" s="15"/>
      <c r="G2906" s="15"/>
      <c r="H2906" s="15"/>
      <c r="I2906" s="15"/>
      <c r="J2906" s="15"/>
      <c r="K2906" s="15"/>
      <c r="L2906" s="28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5"/>
      <c r="AG2906" s="15"/>
      <c r="AH2906" s="15"/>
      <c r="AI2906" s="15"/>
      <c r="AJ2906" s="15"/>
      <c r="AK2906" s="15"/>
      <c r="AL2906" s="15"/>
      <c r="AM2906" s="15"/>
      <c r="AN2906" s="15"/>
      <c r="AO2906" s="15"/>
      <c r="AP2906" s="15"/>
      <c r="AQ2906" s="15"/>
      <c r="AR2906" s="15"/>
      <c r="AS2906" s="15"/>
      <c r="AT2906" s="15"/>
      <c r="AU2906" s="15"/>
      <c r="AV2906" s="15"/>
      <c r="AW2906" s="15"/>
    </row>
    <row r="2907" spans="3:49" x14ac:dyDescent="0.2">
      <c r="C2907" s="15"/>
      <c r="D2907" s="15"/>
      <c r="E2907" s="15"/>
      <c r="F2907" s="15"/>
      <c r="G2907" s="15"/>
      <c r="H2907" s="15"/>
      <c r="I2907" s="15"/>
      <c r="J2907" s="15"/>
      <c r="K2907" s="15"/>
      <c r="L2907" s="28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5"/>
      <c r="AG2907" s="15"/>
      <c r="AH2907" s="15"/>
      <c r="AI2907" s="15"/>
      <c r="AJ2907" s="15"/>
      <c r="AK2907" s="15"/>
      <c r="AL2907" s="15"/>
      <c r="AM2907" s="15"/>
      <c r="AN2907" s="15"/>
      <c r="AO2907" s="15"/>
      <c r="AP2907" s="15"/>
      <c r="AQ2907" s="15"/>
      <c r="AR2907" s="15"/>
      <c r="AS2907" s="15"/>
      <c r="AT2907" s="15"/>
      <c r="AU2907" s="15"/>
      <c r="AV2907" s="15"/>
      <c r="AW2907" s="15"/>
    </row>
    <row r="2908" spans="3:49" x14ac:dyDescent="0.2">
      <c r="C2908" s="15"/>
      <c r="D2908" s="15"/>
      <c r="E2908" s="15"/>
      <c r="F2908" s="15"/>
      <c r="G2908" s="15"/>
      <c r="H2908" s="15"/>
      <c r="I2908" s="15"/>
      <c r="J2908" s="15"/>
      <c r="K2908" s="15"/>
      <c r="L2908" s="28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5"/>
      <c r="AG2908" s="15"/>
      <c r="AH2908" s="15"/>
      <c r="AI2908" s="15"/>
      <c r="AJ2908" s="15"/>
      <c r="AK2908" s="15"/>
      <c r="AL2908" s="15"/>
      <c r="AM2908" s="15"/>
      <c r="AN2908" s="15"/>
      <c r="AO2908" s="15"/>
      <c r="AP2908" s="15"/>
      <c r="AQ2908" s="15"/>
      <c r="AR2908" s="15"/>
      <c r="AS2908" s="15"/>
      <c r="AT2908" s="15"/>
      <c r="AU2908" s="15"/>
      <c r="AV2908" s="15"/>
      <c r="AW2908" s="15"/>
    </row>
    <row r="2909" spans="3:49" x14ac:dyDescent="0.2">
      <c r="C2909" s="15"/>
      <c r="D2909" s="15"/>
      <c r="E2909" s="15"/>
      <c r="F2909" s="15"/>
      <c r="G2909" s="15"/>
      <c r="H2909" s="15"/>
      <c r="I2909" s="15"/>
      <c r="J2909" s="15"/>
      <c r="K2909" s="15"/>
      <c r="L2909" s="28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5"/>
      <c r="AG2909" s="15"/>
      <c r="AH2909" s="15"/>
      <c r="AI2909" s="15"/>
      <c r="AJ2909" s="15"/>
      <c r="AK2909" s="15"/>
      <c r="AL2909" s="15"/>
      <c r="AM2909" s="15"/>
      <c r="AN2909" s="15"/>
      <c r="AO2909" s="15"/>
      <c r="AP2909" s="15"/>
      <c r="AQ2909" s="15"/>
      <c r="AR2909" s="15"/>
      <c r="AS2909" s="15"/>
      <c r="AT2909" s="15"/>
      <c r="AU2909" s="15"/>
      <c r="AV2909" s="15"/>
      <c r="AW2909" s="15"/>
    </row>
    <row r="2910" spans="3:49" x14ac:dyDescent="0.2">
      <c r="C2910" s="15"/>
      <c r="D2910" s="15"/>
      <c r="E2910" s="15"/>
      <c r="F2910" s="15"/>
      <c r="G2910" s="15"/>
      <c r="H2910" s="15"/>
      <c r="I2910" s="15"/>
      <c r="J2910" s="15"/>
      <c r="K2910" s="15"/>
      <c r="L2910" s="28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5"/>
      <c r="AG2910" s="15"/>
      <c r="AH2910" s="15"/>
      <c r="AI2910" s="15"/>
      <c r="AJ2910" s="15"/>
      <c r="AK2910" s="15"/>
      <c r="AL2910" s="15"/>
      <c r="AM2910" s="15"/>
      <c r="AN2910" s="15"/>
      <c r="AO2910" s="15"/>
      <c r="AP2910" s="15"/>
      <c r="AQ2910" s="15"/>
      <c r="AR2910" s="15"/>
      <c r="AS2910" s="15"/>
      <c r="AT2910" s="15"/>
      <c r="AU2910" s="15"/>
      <c r="AV2910" s="15"/>
      <c r="AW2910" s="15"/>
    </row>
    <row r="2911" spans="3:49" x14ac:dyDescent="0.2">
      <c r="C2911" s="15"/>
      <c r="D2911" s="15"/>
      <c r="E2911" s="15"/>
      <c r="F2911" s="15"/>
      <c r="G2911" s="15"/>
      <c r="H2911" s="15"/>
      <c r="I2911" s="15"/>
      <c r="J2911" s="15"/>
      <c r="K2911" s="15"/>
      <c r="L2911" s="28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5"/>
      <c r="AG2911" s="15"/>
      <c r="AH2911" s="15"/>
      <c r="AI2911" s="15"/>
      <c r="AJ2911" s="15"/>
      <c r="AK2911" s="15"/>
      <c r="AL2911" s="15"/>
      <c r="AM2911" s="15"/>
      <c r="AN2911" s="15"/>
      <c r="AO2911" s="15"/>
      <c r="AP2911" s="15"/>
      <c r="AQ2911" s="15"/>
      <c r="AR2911" s="15"/>
      <c r="AS2911" s="15"/>
      <c r="AT2911" s="15"/>
      <c r="AU2911" s="15"/>
      <c r="AV2911" s="15"/>
      <c r="AW2911" s="15"/>
    </row>
    <row r="2912" spans="3:49" x14ac:dyDescent="0.2">
      <c r="C2912" s="15"/>
      <c r="D2912" s="15"/>
      <c r="E2912" s="15"/>
      <c r="F2912" s="15"/>
      <c r="G2912" s="15"/>
      <c r="H2912" s="15"/>
      <c r="I2912" s="15"/>
      <c r="J2912" s="15"/>
      <c r="K2912" s="15"/>
      <c r="L2912" s="28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5"/>
      <c r="AG2912" s="15"/>
      <c r="AH2912" s="15"/>
      <c r="AI2912" s="15"/>
      <c r="AJ2912" s="15"/>
      <c r="AK2912" s="15"/>
      <c r="AL2912" s="15"/>
      <c r="AM2912" s="15"/>
      <c r="AN2912" s="15"/>
      <c r="AO2912" s="15"/>
      <c r="AP2912" s="15"/>
      <c r="AQ2912" s="15"/>
      <c r="AR2912" s="15"/>
      <c r="AS2912" s="15"/>
      <c r="AT2912" s="15"/>
      <c r="AU2912" s="15"/>
      <c r="AV2912" s="15"/>
      <c r="AW2912" s="15"/>
    </row>
    <row r="2913" spans="3:49" x14ac:dyDescent="0.2">
      <c r="C2913" s="15"/>
      <c r="D2913" s="15"/>
      <c r="E2913" s="15"/>
      <c r="F2913" s="15"/>
      <c r="G2913" s="15"/>
      <c r="H2913" s="15"/>
      <c r="I2913" s="15"/>
      <c r="J2913" s="15"/>
      <c r="K2913" s="15"/>
      <c r="L2913" s="28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5"/>
      <c r="AG2913" s="15"/>
      <c r="AH2913" s="15"/>
      <c r="AI2913" s="15"/>
      <c r="AJ2913" s="15"/>
      <c r="AK2913" s="15"/>
      <c r="AL2913" s="15"/>
      <c r="AM2913" s="15"/>
      <c r="AN2913" s="15"/>
      <c r="AO2913" s="15"/>
      <c r="AP2913" s="15"/>
      <c r="AQ2913" s="15"/>
      <c r="AR2913" s="15"/>
      <c r="AS2913" s="15"/>
      <c r="AT2913" s="15"/>
      <c r="AU2913" s="15"/>
      <c r="AV2913" s="15"/>
      <c r="AW2913" s="15"/>
    </row>
    <row r="2914" spans="3:49" x14ac:dyDescent="0.2">
      <c r="C2914" s="15"/>
      <c r="D2914" s="15"/>
      <c r="E2914" s="15"/>
      <c r="F2914" s="15"/>
      <c r="G2914" s="15"/>
      <c r="H2914" s="15"/>
      <c r="I2914" s="15"/>
      <c r="J2914" s="15"/>
      <c r="K2914" s="15"/>
      <c r="L2914" s="28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5"/>
      <c r="AG2914" s="15"/>
      <c r="AH2914" s="15"/>
      <c r="AI2914" s="15"/>
      <c r="AJ2914" s="15"/>
      <c r="AK2914" s="15"/>
      <c r="AL2914" s="15"/>
      <c r="AM2914" s="15"/>
      <c r="AN2914" s="15"/>
      <c r="AO2914" s="15"/>
      <c r="AP2914" s="15"/>
      <c r="AQ2914" s="15"/>
      <c r="AR2914" s="15"/>
      <c r="AS2914" s="15"/>
      <c r="AT2914" s="15"/>
      <c r="AU2914" s="15"/>
      <c r="AV2914" s="15"/>
      <c r="AW2914" s="15"/>
    </row>
    <row r="2915" spans="3:49" x14ac:dyDescent="0.2">
      <c r="C2915" s="15"/>
      <c r="D2915" s="15"/>
      <c r="E2915" s="15"/>
      <c r="F2915" s="15"/>
      <c r="G2915" s="15"/>
      <c r="H2915" s="15"/>
      <c r="I2915" s="15"/>
      <c r="J2915" s="15"/>
      <c r="K2915" s="15"/>
      <c r="L2915" s="28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5"/>
      <c r="AG2915" s="15"/>
      <c r="AH2915" s="15"/>
      <c r="AI2915" s="15"/>
      <c r="AJ2915" s="15"/>
      <c r="AK2915" s="15"/>
      <c r="AL2915" s="15"/>
      <c r="AM2915" s="15"/>
      <c r="AN2915" s="15"/>
      <c r="AO2915" s="15"/>
      <c r="AP2915" s="15"/>
      <c r="AQ2915" s="15"/>
      <c r="AR2915" s="15"/>
      <c r="AS2915" s="15"/>
      <c r="AT2915" s="15"/>
      <c r="AU2915" s="15"/>
      <c r="AV2915" s="15"/>
      <c r="AW2915" s="15"/>
    </row>
    <row r="2916" spans="3:49" x14ac:dyDescent="0.2">
      <c r="C2916" s="15"/>
      <c r="D2916" s="15"/>
      <c r="E2916" s="15"/>
      <c r="F2916" s="15"/>
      <c r="G2916" s="15"/>
      <c r="H2916" s="15"/>
      <c r="I2916" s="15"/>
      <c r="J2916" s="15"/>
      <c r="K2916" s="15"/>
      <c r="L2916" s="28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5"/>
      <c r="AG2916" s="15"/>
      <c r="AH2916" s="15"/>
      <c r="AI2916" s="15"/>
      <c r="AJ2916" s="15"/>
      <c r="AK2916" s="15"/>
      <c r="AL2916" s="15"/>
      <c r="AM2916" s="15"/>
      <c r="AN2916" s="15"/>
      <c r="AO2916" s="15"/>
      <c r="AP2916" s="15"/>
      <c r="AQ2916" s="15"/>
      <c r="AR2916" s="15"/>
      <c r="AS2916" s="15"/>
      <c r="AT2916" s="15"/>
      <c r="AU2916" s="15"/>
      <c r="AV2916" s="15"/>
      <c r="AW2916" s="15"/>
    </row>
    <row r="2917" spans="3:49" x14ac:dyDescent="0.2">
      <c r="C2917" s="15"/>
      <c r="D2917" s="15"/>
      <c r="E2917" s="15"/>
      <c r="F2917" s="15"/>
      <c r="G2917" s="15"/>
      <c r="H2917" s="15"/>
      <c r="I2917" s="15"/>
      <c r="J2917" s="15"/>
      <c r="K2917" s="15"/>
      <c r="L2917" s="28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5"/>
      <c r="AG2917" s="15"/>
      <c r="AH2917" s="15"/>
      <c r="AI2917" s="15"/>
      <c r="AJ2917" s="15"/>
      <c r="AK2917" s="15"/>
      <c r="AL2917" s="15"/>
      <c r="AM2917" s="15"/>
      <c r="AN2917" s="15"/>
      <c r="AO2917" s="15"/>
      <c r="AP2917" s="15"/>
      <c r="AQ2917" s="15"/>
      <c r="AR2917" s="15"/>
      <c r="AS2917" s="15"/>
      <c r="AT2917" s="15"/>
      <c r="AU2917" s="15"/>
      <c r="AV2917" s="15"/>
      <c r="AW2917" s="15"/>
    </row>
    <row r="2918" spans="3:49" x14ac:dyDescent="0.2">
      <c r="C2918" s="15"/>
      <c r="D2918" s="15"/>
      <c r="E2918" s="15"/>
      <c r="F2918" s="15"/>
      <c r="G2918" s="15"/>
      <c r="H2918" s="15"/>
      <c r="I2918" s="15"/>
      <c r="J2918" s="15"/>
      <c r="K2918" s="15"/>
      <c r="L2918" s="28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5"/>
      <c r="AG2918" s="15"/>
      <c r="AH2918" s="15"/>
      <c r="AI2918" s="15"/>
      <c r="AJ2918" s="15"/>
      <c r="AK2918" s="15"/>
      <c r="AL2918" s="15"/>
      <c r="AM2918" s="15"/>
      <c r="AN2918" s="15"/>
      <c r="AO2918" s="15"/>
      <c r="AP2918" s="15"/>
      <c r="AQ2918" s="15"/>
      <c r="AR2918" s="15"/>
      <c r="AS2918" s="15"/>
      <c r="AT2918" s="15"/>
      <c r="AU2918" s="15"/>
      <c r="AV2918" s="15"/>
      <c r="AW2918" s="15"/>
    </row>
    <row r="2919" spans="3:49" x14ac:dyDescent="0.2">
      <c r="C2919" s="15"/>
      <c r="D2919" s="15"/>
      <c r="E2919" s="15"/>
      <c r="F2919" s="15"/>
      <c r="G2919" s="15"/>
      <c r="H2919" s="15"/>
      <c r="I2919" s="15"/>
      <c r="J2919" s="15"/>
      <c r="K2919" s="15"/>
      <c r="L2919" s="28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5"/>
      <c r="AG2919" s="15"/>
      <c r="AH2919" s="15"/>
      <c r="AI2919" s="15"/>
      <c r="AJ2919" s="15"/>
      <c r="AK2919" s="15"/>
      <c r="AL2919" s="15"/>
      <c r="AM2919" s="15"/>
      <c r="AN2919" s="15"/>
      <c r="AO2919" s="15"/>
      <c r="AP2919" s="15"/>
      <c r="AQ2919" s="15"/>
      <c r="AR2919" s="15"/>
      <c r="AS2919" s="15"/>
      <c r="AT2919" s="15"/>
      <c r="AU2919" s="15"/>
      <c r="AV2919" s="15"/>
      <c r="AW2919" s="15"/>
    </row>
    <row r="2920" spans="3:49" x14ac:dyDescent="0.2">
      <c r="C2920" s="15"/>
      <c r="D2920" s="15"/>
      <c r="E2920" s="15"/>
      <c r="F2920" s="15"/>
      <c r="G2920" s="15"/>
      <c r="H2920" s="15"/>
      <c r="I2920" s="15"/>
      <c r="J2920" s="15"/>
      <c r="K2920" s="15"/>
      <c r="L2920" s="28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5"/>
      <c r="AG2920" s="15"/>
      <c r="AH2920" s="15"/>
      <c r="AI2920" s="15"/>
      <c r="AJ2920" s="15"/>
      <c r="AK2920" s="15"/>
      <c r="AL2920" s="15"/>
      <c r="AM2920" s="15"/>
      <c r="AN2920" s="15"/>
      <c r="AO2920" s="15"/>
      <c r="AP2920" s="15"/>
      <c r="AQ2920" s="15"/>
      <c r="AR2920" s="15"/>
      <c r="AS2920" s="15"/>
      <c r="AT2920" s="15"/>
      <c r="AU2920" s="15"/>
      <c r="AV2920" s="15"/>
      <c r="AW2920" s="15"/>
    </row>
    <row r="2921" spans="3:49" x14ac:dyDescent="0.2">
      <c r="C2921" s="15"/>
      <c r="D2921" s="15"/>
      <c r="E2921" s="15"/>
      <c r="F2921" s="15"/>
      <c r="G2921" s="15"/>
      <c r="H2921" s="15"/>
      <c r="I2921" s="15"/>
      <c r="J2921" s="15"/>
      <c r="K2921" s="15"/>
      <c r="L2921" s="28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5"/>
      <c r="AG2921" s="15"/>
      <c r="AH2921" s="15"/>
      <c r="AI2921" s="15"/>
      <c r="AJ2921" s="15"/>
      <c r="AK2921" s="15"/>
      <c r="AL2921" s="15"/>
      <c r="AM2921" s="15"/>
      <c r="AN2921" s="15"/>
      <c r="AO2921" s="15"/>
      <c r="AP2921" s="15"/>
      <c r="AQ2921" s="15"/>
      <c r="AR2921" s="15"/>
      <c r="AS2921" s="15"/>
      <c r="AT2921" s="15"/>
      <c r="AU2921" s="15"/>
      <c r="AV2921" s="15"/>
      <c r="AW2921" s="15"/>
    </row>
    <row r="2922" spans="3:49" x14ac:dyDescent="0.2">
      <c r="C2922" s="15"/>
      <c r="D2922" s="15"/>
      <c r="E2922" s="15"/>
      <c r="F2922" s="15"/>
      <c r="G2922" s="15"/>
      <c r="H2922" s="15"/>
      <c r="I2922" s="15"/>
      <c r="J2922" s="15"/>
      <c r="K2922" s="15"/>
      <c r="L2922" s="28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5"/>
      <c r="AG2922" s="15"/>
      <c r="AH2922" s="15"/>
      <c r="AI2922" s="15"/>
      <c r="AJ2922" s="15"/>
      <c r="AK2922" s="15"/>
      <c r="AL2922" s="15"/>
      <c r="AM2922" s="15"/>
      <c r="AN2922" s="15"/>
      <c r="AO2922" s="15"/>
      <c r="AP2922" s="15"/>
      <c r="AQ2922" s="15"/>
      <c r="AR2922" s="15"/>
      <c r="AS2922" s="15"/>
      <c r="AT2922" s="15"/>
      <c r="AU2922" s="15"/>
      <c r="AV2922" s="15"/>
      <c r="AW2922" s="15"/>
    </row>
    <row r="2923" spans="3:49" x14ac:dyDescent="0.2">
      <c r="C2923" s="15"/>
      <c r="D2923" s="15"/>
      <c r="E2923" s="15"/>
      <c r="F2923" s="15"/>
      <c r="G2923" s="15"/>
      <c r="H2923" s="15"/>
      <c r="I2923" s="15"/>
      <c r="J2923" s="15"/>
      <c r="K2923" s="15"/>
      <c r="L2923" s="28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5"/>
      <c r="AG2923" s="15"/>
      <c r="AH2923" s="15"/>
      <c r="AI2923" s="15"/>
      <c r="AJ2923" s="15"/>
      <c r="AK2923" s="15"/>
      <c r="AL2923" s="15"/>
      <c r="AM2923" s="15"/>
      <c r="AN2923" s="15"/>
      <c r="AO2923" s="15"/>
      <c r="AP2923" s="15"/>
      <c r="AQ2923" s="15"/>
      <c r="AR2923" s="15"/>
      <c r="AS2923" s="15"/>
      <c r="AT2923" s="15"/>
      <c r="AU2923" s="15"/>
      <c r="AV2923" s="15"/>
      <c r="AW2923" s="15"/>
    </row>
    <row r="2924" spans="3:49" x14ac:dyDescent="0.2">
      <c r="C2924" s="15"/>
      <c r="D2924" s="15"/>
      <c r="E2924" s="15"/>
      <c r="F2924" s="15"/>
      <c r="G2924" s="15"/>
      <c r="H2924" s="15"/>
      <c r="I2924" s="15"/>
      <c r="J2924" s="15"/>
      <c r="K2924" s="15"/>
      <c r="L2924" s="28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5"/>
      <c r="AG2924" s="15"/>
      <c r="AH2924" s="15"/>
      <c r="AI2924" s="15"/>
      <c r="AJ2924" s="15"/>
      <c r="AK2924" s="15"/>
      <c r="AL2924" s="15"/>
      <c r="AM2924" s="15"/>
      <c r="AN2924" s="15"/>
      <c r="AO2924" s="15"/>
      <c r="AP2924" s="15"/>
      <c r="AQ2924" s="15"/>
      <c r="AR2924" s="15"/>
      <c r="AS2924" s="15"/>
      <c r="AT2924" s="15"/>
      <c r="AU2924" s="15"/>
      <c r="AV2924" s="15"/>
      <c r="AW2924" s="15"/>
    </row>
    <row r="2925" spans="3:49" x14ac:dyDescent="0.2">
      <c r="C2925" s="15"/>
      <c r="D2925" s="15"/>
      <c r="E2925" s="15"/>
      <c r="F2925" s="15"/>
      <c r="G2925" s="15"/>
      <c r="H2925" s="15"/>
      <c r="I2925" s="15"/>
      <c r="J2925" s="15"/>
      <c r="K2925" s="15"/>
      <c r="L2925" s="28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5"/>
      <c r="AG2925" s="15"/>
      <c r="AH2925" s="15"/>
      <c r="AI2925" s="15"/>
      <c r="AJ2925" s="15"/>
      <c r="AK2925" s="15"/>
      <c r="AL2925" s="15"/>
      <c r="AM2925" s="15"/>
      <c r="AN2925" s="15"/>
      <c r="AO2925" s="15"/>
      <c r="AP2925" s="15"/>
      <c r="AQ2925" s="15"/>
      <c r="AR2925" s="15"/>
      <c r="AS2925" s="15"/>
      <c r="AT2925" s="15"/>
      <c r="AU2925" s="15"/>
      <c r="AV2925" s="15"/>
      <c r="AW2925" s="15"/>
    </row>
    <row r="2926" spans="3:49" x14ac:dyDescent="0.2">
      <c r="C2926" s="15"/>
      <c r="D2926" s="15"/>
      <c r="E2926" s="15"/>
      <c r="F2926" s="15"/>
      <c r="G2926" s="15"/>
      <c r="H2926" s="15"/>
      <c r="I2926" s="15"/>
      <c r="J2926" s="15"/>
      <c r="K2926" s="15"/>
      <c r="L2926" s="28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5"/>
      <c r="AG2926" s="15"/>
      <c r="AH2926" s="15"/>
      <c r="AI2926" s="15"/>
      <c r="AJ2926" s="15"/>
      <c r="AK2926" s="15"/>
      <c r="AL2926" s="15"/>
      <c r="AM2926" s="15"/>
      <c r="AN2926" s="15"/>
      <c r="AO2926" s="15"/>
      <c r="AP2926" s="15"/>
      <c r="AQ2926" s="15"/>
      <c r="AR2926" s="15"/>
      <c r="AS2926" s="15"/>
      <c r="AT2926" s="15"/>
      <c r="AU2926" s="15"/>
      <c r="AV2926" s="15"/>
      <c r="AW2926" s="15"/>
    </row>
    <row r="2927" spans="3:49" x14ac:dyDescent="0.2">
      <c r="C2927" s="15"/>
      <c r="D2927" s="15"/>
      <c r="E2927" s="15"/>
      <c r="F2927" s="15"/>
      <c r="G2927" s="15"/>
      <c r="H2927" s="15"/>
      <c r="I2927" s="15"/>
      <c r="J2927" s="15"/>
      <c r="K2927" s="15"/>
      <c r="L2927" s="28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5"/>
      <c r="AG2927" s="15"/>
      <c r="AH2927" s="15"/>
      <c r="AI2927" s="15"/>
      <c r="AJ2927" s="15"/>
      <c r="AK2927" s="15"/>
      <c r="AL2927" s="15"/>
      <c r="AM2927" s="15"/>
      <c r="AN2927" s="15"/>
      <c r="AO2927" s="15"/>
      <c r="AP2927" s="15"/>
      <c r="AQ2927" s="15"/>
      <c r="AR2927" s="15"/>
      <c r="AS2927" s="15"/>
      <c r="AT2927" s="15"/>
      <c r="AU2927" s="15"/>
      <c r="AV2927" s="15"/>
      <c r="AW2927" s="15"/>
    </row>
    <row r="2928" spans="3:49" x14ac:dyDescent="0.2">
      <c r="C2928" s="15"/>
      <c r="D2928" s="15"/>
      <c r="E2928" s="15"/>
      <c r="F2928" s="15"/>
      <c r="G2928" s="15"/>
      <c r="H2928" s="15"/>
      <c r="I2928" s="15"/>
      <c r="J2928" s="15"/>
      <c r="K2928" s="15"/>
      <c r="L2928" s="28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5"/>
      <c r="AG2928" s="15"/>
      <c r="AH2928" s="15"/>
      <c r="AI2928" s="15"/>
      <c r="AJ2928" s="15"/>
      <c r="AK2928" s="15"/>
      <c r="AL2928" s="15"/>
      <c r="AM2928" s="15"/>
      <c r="AN2928" s="15"/>
      <c r="AO2928" s="15"/>
      <c r="AP2928" s="15"/>
      <c r="AQ2928" s="15"/>
      <c r="AR2928" s="15"/>
      <c r="AS2928" s="15"/>
      <c r="AT2928" s="15"/>
      <c r="AU2928" s="15"/>
      <c r="AV2928" s="15"/>
      <c r="AW2928" s="15"/>
    </row>
    <row r="2929" spans="3:49" x14ac:dyDescent="0.2">
      <c r="C2929" s="15"/>
      <c r="D2929" s="15"/>
      <c r="E2929" s="15"/>
      <c r="F2929" s="15"/>
      <c r="G2929" s="15"/>
      <c r="H2929" s="15"/>
      <c r="I2929" s="15"/>
      <c r="J2929" s="15"/>
      <c r="K2929" s="15"/>
      <c r="L2929" s="28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5"/>
      <c r="AG2929" s="15"/>
      <c r="AH2929" s="15"/>
      <c r="AI2929" s="15"/>
      <c r="AJ2929" s="15"/>
      <c r="AK2929" s="15"/>
      <c r="AL2929" s="15"/>
      <c r="AM2929" s="15"/>
      <c r="AN2929" s="15"/>
      <c r="AO2929" s="15"/>
      <c r="AP2929" s="15"/>
      <c r="AQ2929" s="15"/>
      <c r="AR2929" s="15"/>
      <c r="AS2929" s="15"/>
      <c r="AT2929" s="15"/>
      <c r="AU2929" s="15"/>
      <c r="AV2929" s="15"/>
      <c r="AW2929" s="15"/>
    </row>
    <row r="2930" spans="3:49" x14ac:dyDescent="0.2">
      <c r="C2930" s="15"/>
      <c r="D2930" s="15"/>
      <c r="E2930" s="15"/>
      <c r="F2930" s="15"/>
      <c r="G2930" s="15"/>
      <c r="H2930" s="15"/>
      <c r="I2930" s="15"/>
      <c r="J2930" s="15"/>
      <c r="K2930" s="15"/>
      <c r="L2930" s="28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5"/>
      <c r="AG2930" s="15"/>
      <c r="AH2930" s="15"/>
      <c r="AI2930" s="15"/>
      <c r="AJ2930" s="15"/>
      <c r="AK2930" s="15"/>
      <c r="AL2930" s="15"/>
      <c r="AM2930" s="15"/>
      <c r="AN2930" s="15"/>
      <c r="AO2930" s="15"/>
      <c r="AP2930" s="15"/>
      <c r="AQ2930" s="15"/>
      <c r="AR2930" s="15"/>
      <c r="AS2930" s="15"/>
      <c r="AT2930" s="15"/>
      <c r="AU2930" s="15"/>
      <c r="AV2930" s="15"/>
      <c r="AW2930" s="15"/>
    </row>
    <row r="2931" spans="3:49" x14ac:dyDescent="0.2">
      <c r="C2931" s="15"/>
      <c r="D2931" s="15"/>
      <c r="E2931" s="15"/>
      <c r="F2931" s="15"/>
      <c r="G2931" s="15"/>
      <c r="H2931" s="15"/>
      <c r="I2931" s="15"/>
      <c r="J2931" s="15"/>
      <c r="K2931" s="15"/>
      <c r="L2931" s="28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5"/>
      <c r="AG2931" s="15"/>
      <c r="AH2931" s="15"/>
      <c r="AI2931" s="15"/>
      <c r="AJ2931" s="15"/>
      <c r="AK2931" s="15"/>
      <c r="AL2931" s="15"/>
      <c r="AM2931" s="15"/>
      <c r="AN2931" s="15"/>
      <c r="AO2931" s="15"/>
      <c r="AP2931" s="15"/>
      <c r="AQ2931" s="15"/>
      <c r="AR2931" s="15"/>
      <c r="AS2931" s="15"/>
      <c r="AT2931" s="15"/>
      <c r="AU2931" s="15"/>
      <c r="AV2931" s="15"/>
      <c r="AW2931" s="15"/>
    </row>
    <row r="2932" spans="3:49" x14ac:dyDescent="0.2">
      <c r="C2932" s="15"/>
      <c r="D2932" s="15"/>
      <c r="E2932" s="15"/>
      <c r="F2932" s="15"/>
      <c r="G2932" s="15"/>
      <c r="H2932" s="15"/>
      <c r="I2932" s="15"/>
      <c r="J2932" s="15"/>
      <c r="K2932" s="15"/>
      <c r="L2932" s="28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5"/>
      <c r="AG2932" s="15"/>
      <c r="AH2932" s="15"/>
      <c r="AI2932" s="15"/>
      <c r="AJ2932" s="15"/>
      <c r="AK2932" s="15"/>
      <c r="AL2932" s="15"/>
      <c r="AM2932" s="15"/>
      <c r="AN2932" s="15"/>
      <c r="AO2932" s="15"/>
      <c r="AP2932" s="15"/>
      <c r="AQ2932" s="15"/>
      <c r="AR2932" s="15"/>
      <c r="AS2932" s="15"/>
      <c r="AT2932" s="15"/>
      <c r="AU2932" s="15"/>
      <c r="AV2932" s="15"/>
      <c r="AW2932" s="15"/>
    </row>
    <row r="2933" spans="3:49" x14ac:dyDescent="0.2">
      <c r="C2933" s="15"/>
      <c r="D2933" s="15"/>
      <c r="E2933" s="15"/>
      <c r="F2933" s="15"/>
      <c r="G2933" s="15"/>
      <c r="H2933" s="15"/>
      <c r="I2933" s="15"/>
      <c r="J2933" s="15"/>
      <c r="K2933" s="15"/>
      <c r="L2933" s="28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5"/>
      <c r="AG2933" s="15"/>
      <c r="AH2933" s="15"/>
      <c r="AI2933" s="15"/>
      <c r="AJ2933" s="15"/>
      <c r="AK2933" s="15"/>
      <c r="AL2933" s="15"/>
      <c r="AM2933" s="15"/>
      <c r="AN2933" s="15"/>
      <c r="AO2933" s="15"/>
      <c r="AP2933" s="15"/>
      <c r="AQ2933" s="15"/>
      <c r="AR2933" s="15"/>
      <c r="AS2933" s="15"/>
      <c r="AT2933" s="15"/>
      <c r="AU2933" s="15"/>
      <c r="AV2933" s="15"/>
      <c r="AW2933" s="15"/>
    </row>
    <row r="2934" spans="3:49" x14ac:dyDescent="0.2">
      <c r="C2934" s="15"/>
      <c r="D2934" s="15"/>
      <c r="E2934" s="15"/>
      <c r="F2934" s="15"/>
      <c r="G2934" s="15"/>
      <c r="H2934" s="15"/>
      <c r="I2934" s="15"/>
      <c r="J2934" s="15"/>
      <c r="K2934" s="15"/>
      <c r="L2934" s="28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5"/>
      <c r="AG2934" s="15"/>
      <c r="AH2934" s="15"/>
      <c r="AI2934" s="15"/>
      <c r="AJ2934" s="15"/>
      <c r="AK2934" s="15"/>
      <c r="AL2934" s="15"/>
      <c r="AM2934" s="15"/>
      <c r="AN2934" s="15"/>
      <c r="AO2934" s="15"/>
      <c r="AP2934" s="15"/>
      <c r="AQ2934" s="15"/>
      <c r="AR2934" s="15"/>
      <c r="AS2934" s="15"/>
      <c r="AT2934" s="15"/>
      <c r="AU2934" s="15"/>
      <c r="AV2934" s="15"/>
      <c r="AW2934" s="15"/>
    </row>
    <row r="2935" spans="3:49" x14ac:dyDescent="0.2">
      <c r="C2935" s="15"/>
      <c r="D2935" s="15"/>
      <c r="E2935" s="15"/>
      <c r="F2935" s="15"/>
      <c r="G2935" s="15"/>
      <c r="H2935" s="15"/>
      <c r="I2935" s="15"/>
      <c r="J2935" s="15"/>
      <c r="K2935" s="15"/>
      <c r="L2935" s="28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5"/>
      <c r="AG2935" s="15"/>
      <c r="AH2935" s="15"/>
      <c r="AI2935" s="15"/>
      <c r="AJ2935" s="15"/>
      <c r="AK2935" s="15"/>
      <c r="AL2935" s="15"/>
      <c r="AM2935" s="15"/>
      <c r="AN2935" s="15"/>
      <c r="AO2935" s="15"/>
      <c r="AP2935" s="15"/>
      <c r="AQ2935" s="15"/>
      <c r="AR2935" s="15"/>
      <c r="AS2935" s="15"/>
      <c r="AT2935" s="15"/>
      <c r="AU2935" s="15"/>
      <c r="AV2935" s="15"/>
      <c r="AW2935" s="15"/>
    </row>
    <row r="2936" spans="3:49" x14ac:dyDescent="0.2">
      <c r="C2936" s="15"/>
      <c r="D2936" s="15"/>
      <c r="E2936" s="15"/>
      <c r="F2936" s="15"/>
      <c r="G2936" s="15"/>
      <c r="H2936" s="15"/>
      <c r="I2936" s="15"/>
      <c r="J2936" s="15"/>
      <c r="K2936" s="15"/>
      <c r="L2936" s="28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5"/>
      <c r="AG2936" s="15"/>
      <c r="AH2936" s="15"/>
      <c r="AI2936" s="15"/>
      <c r="AJ2936" s="15"/>
      <c r="AK2936" s="15"/>
      <c r="AL2936" s="15"/>
      <c r="AM2936" s="15"/>
      <c r="AN2936" s="15"/>
      <c r="AO2936" s="15"/>
      <c r="AP2936" s="15"/>
      <c r="AQ2936" s="15"/>
      <c r="AR2936" s="15"/>
      <c r="AS2936" s="15"/>
      <c r="AT2936" s="15"/>
      <c r="AU2936" s="15"/>
      <c r="AV2936" s="15"/>
      <c r="AW2936" s="15"/>
    </row>
    <row r="2937" spans="3:49" x14ac:dyDescent="0.2">
      <c r="C2937" s="15"/>
      <c r="D2937" s="15"/>
      <c r="E2937" s="15"/>
      <c r="F2937" s="15"/>
      <c r="G2937" s="15"/>
      <c r="H2937" s="15"/>
      <c r="I2937" s="15"/>
      <c r="J2937" s="15"/>
      <c r="K2937" s="15"/>
      <c r="L2937" s="28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5"/>
      <c r="AG2937" s="15"/>
      <c r="AH2937" s="15"/>
      <c r="AI2937" s="15"/>
      <c r="AJ2937" s="15"/>
      <c r="AK2937" s="15"/>
      <c r="AL2937" s="15"/>
      <c r="AM2937" s="15"/>
      <c r="AN2937" s="15"/>
      <c r="AO2937" s="15"/>
      <c r="AP2937" s="15"/>
      <c r="AQ2937" s="15"/>
      <c r="AR2937" s="15"/>
      <c r="AS2937" s="15"/>
      <c r="AT2937" s="15"/>
      <c r="AU2937" s="15"/>
      <c r="AV2937" s="15"/>
      <c r="AW2937" s="15"/>
    </row>
    <row r="2938" spans="3:49" x14ac:dyDescent="0.2">
      <c r="C2938" s="15"/>
      <c r="D2938" s="15"/>
      <c r="E2938" s="15"/>
      <c r="F2938" s="15"/>
      <c r="G2938" s="15"/>
      <c r="H2938" s="15"/>
      <c r="I2938" s="15"/>
      <c r="J2938" s="15"/>
      <c r="K2938" s="15"/>
      <c r="L2938" s="28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5"/>
      <c r="AG2938" s="15"/>
      <c r="AH2938" s="15"/>
      <c r="AI2938" s="15"/>
      <c r="AJ2938" s="15"/>
      <c r="AK2938" s="15"/>
      <c r="AL2938" s="15"/>
      <c r="AM2938" s="15"/>
      <c r="AN2938" s="15"/>
      <c r="AO2938" s="15"/>
      <c r="AP2938" s="15"/>
      <c r="AQ2938" s="15"/>
      <c r="AR2938" s="15"/>
      <c r="AS2938" s="15"/>
      <c r="AT2938" s="15"/>
      <c r="AU2938" s="15"/>
      <c r="AV2938" s="15"/>
      <c r="AW2938" s="15"/>
    </row>
    <row r="2939" spans="3:49" x14ac:dyDescent="0.2">
      <c r="C2939" s="15"/>
      <c r="D2939" s="15"/>
      <c r="E2939" s="15"/>
      <c r="F2939" s="15"/>
      <c r="G2939" s="15"/>
      <c r="H2939" s="15"/>
      <c r="I2939" s="15"/>
      <c r="J2939" s="15"/>
      <c r="K2939" s="15"/>
      <c r="L2939" s="28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5"/>
      <c r="AG2939" s="15"/>
      <c r="AH2939" s="15"/>
      <c r="AI2939" s="15"/>
      <c r="AJ2939" s="15"/>
      <c r="AK2939" s="15"/>
      <c r="AL2939" s="15"/>
      <c r="AM2939" s="15"/>
      <c r="AN2939" s="15"/>
      <c r="AO2939" s="15"/>
      <c r="AP2939" s="15"/>
      <c r="AQ2939" s="15"/>
      <c r="AR2939" s="15"/>
      <c r="AS2939" s="15"/>
      <c r="AT2939" s="15"/>
      <c r="AU2939" s="15"/>
      <c r="AV2939" s="15"/>
      <c r="AW2939" s="15"/>
    </row>
    <row r="2940" spans="3:49" x14ac:dyDescent="0.2">
      <c r="C2940" s="15"/>
      <c r="D2940" s="15"/>
      <c r="E2940" s="15"/>
      <c r="F2940" s="15"/>
      <c r="G2940" s="15"/>
      <c r="H2940" s="15"/>
      <c r="I2940" s="15"/>
      <c r="J2940" s="15"/>
      <c r="K2940" s="15"/>
      <c r="L2940" s="28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5"/>
      <c r="AG2940" s="15"/>
      <c r="AH2940" s="15"/>
      <c r="AI2940" s="15"/>
      <c r="AJ2940" s="15"/>
      <c r="AK2940" s="15"/>
      <c r="AL2940" s="15"/>
      <c r="AM2940" s="15"/>
      <c r="AN2940" s="15"/>
      <c r="AO2940" s="15"/>
      <c r="AP2940" s="15"/>
      <c r="AQ2940" s="15"/>
      <c r="AR2940" s="15"/>
      <c r="AS2940" s="15"/>
      <c r="AT2940" s="15"/>
      <c r="AU2940" s="15"/>
      <c r="AV2940" s="15"/>
      <c r="AW2940" s="15"/>
    </row>
    <row r="2941" spans="3:49" x14ac:dyDescent="0.2">
      <c r="C2941" s="15"/>
      <c r="D2941" s="15"/>
      <c r="E2941" s="15"/>
      <c r="F2941" s="15"/>
      <c r="G2941" s="15"/>
      <c r="H2941" s="15"/>
      <c r="I2941" s="15"/>
      <c r="J2941" s="15"/>
      <c r="K2941" s="15"/>
      <c r="L2941" s="28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5"/>
      <c r="AG2941" s="15"/>
      <c r="AH2941" s="15"/>
      <c r="AI2941" s="15"/>
      <c r="AJ2941" s="15"/>
      <c r="AK2941" s="15"/>
      <c r="AL2941" s="15"/>
      <c r="AM2941" s="15"/>
      <c r="AN2941" s="15"/>
      <c r="AO2941" s="15"/>
      <c r="AP2941" s="15"/>
      <c r="AQ2941" s="15"/>
      <c r="AR2941" s="15"/>
      <c r="AS2941" s="15"/>
      <c r="AT2941" s="15"/>
      <c r="AU2941" s="15"/>
      <c r="AV2941" s="15"/>
      <c r="AW2941" s="15"/>
    </row>
    <row r="2942" spans="3:49" x14ac:dyDescent="0.2">
      <c r="C2942" s="15"/>
      <c r="D2942" s="15"/>
      <c r="E2942" s="15"/>
      <c r="F2942" s="15"/>
      <c r="G2942" s="15"/>
      <c r="H2942" s="15"/>
      <c r="I2942" s="15"/>
      <c r="J2942" s="15"/>
      <c r="K2942" s="15"/>
      <c r="L2942" s="28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5"/>
      <c r="AG2942" s="15"/>
      <c r="AH2942" s="15"/>
      <c r="AI2942" s="15"/>
      <c r="AJ2942" s="15"/>
      <c r="AK2942" s="15"/>
      <c r="AL2942" s="15"/>
      <c r="AM2942" s="15"/>
      <c r="AN2942" s="15"/>
      <c r="AO2942" s="15"/>
      <c r="AP2942" s="15"/>
      <c r="AQ2942" s="15"/>
      <c r="AR2942" s="15"/>
      <c r="AS2942" s="15"/>
      <c r="AT2942" s="15"/>
      <c r="AU2942" s="15"/>
      <c r="AV2942" s="15"/>
      <c r="AW2942" s="15"/>
    </row>
    <row r="2943" spans="3:49" x14ac:dyDescent="0.2">
      <c r="C2943" s="15"/>
      <c r="D2943" s="15"/>
      <c r="E2943" s="15"/>
      <c r="F2943" s="15"/>
      <c r="G2943" s="15"/>
      <c r="H2943" s="15"/>
      <c r="I2943" s="15"/>
      <c r="J2943" s="15"/>
      <c r="K2943" s="15"/>
      <c r="L2943" s="28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5"/>
      <c r="AG2943" s="15"/>
      <c r="AH2943" s="15"/>
      <c r="AI2943" s="15"/>
      <c r="AJ2943" s="15"/>
      <c r="AK2943" s="15"/>
      <c r="AL2943" s="15"/>
      <c r="AM2943" s="15"/>
      <c r="AN2943" s="15"/>
      <c r="AO2943" s="15"/>
      <c r="AP2943" s="15"/>
      <c r="AQ2943" s="15"/>
      <c r="AR2943" s="15"/>
      <c r="AS2943" s="15"/>
      <c r="AT2943" s="15"/>
      <c r="AU2943" s="15"/>
      <c r="AV2943" s="15"/>
      <c r="AW2943" s="15"/>
    </row>
    <row r="2944" spans="3:49" x14ac:dyDescent="0.2">
      <c r="C2944" s="15"/>
      <c r="D2944" s="15"/>
      <c r="E2944" s="15"/>
      <c r="F2944" s="15"/>
      <c r="G2944" s="15"/>
      <c r="H2944" s="15"/>
      <c r="I2944" s="15"/>
      <c r="J2944" s="15"/>
      <c r="K2944" s="15"/>
      <c r="L2944" s="28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5"/>
      <c r="AG2944" s="15"/>
      <c r="AH2944" s="15"/>
      <c r="AI2944" s="15"/>
      <c r="AJ2944" s="15"/>
      <c r="AK2944" s="15"/>
      <c r="AL2944" s="15"/>
      <c r="AM2944" s="15"/>
      <c r="AN2944" s="15"/>
      <c r="AO2944" s="15"/>
      <c r="AP2944" s="15"/>
      <c r="AQ2944" s="15"/>
      <c r="AR2944" s="15"/>
      <c r="AS2944" s="15"/>
      <c r="AT2944" s="15"/>
      <c r="AU2944" s="15"/>
      <c r="AV2944" s="15"/>
      <c r="AW2944" s="15"/>
    </row>
    <row r="2945" spans="3:49" x14ac:dyDescent="0.2">
      <c r="C2945" s="15"/>
      <c r="D2945" s="15"/>
      <c r="E2945" s="15"/>
      <c r="F2945" s="15"/>
      <c r="G2945" s="15"/>
      <c r="H2945" s="15"/>
      <c r="I2945" s="15"/>
      <c r="J2945" s="15"/>
      <c r="K2945" s="15"/>
      <c r="L2945" s="28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5"/>
      <c r="AG2945" s="15"/>
      <c r="AH2945" s="15"/>
      <c r="AI2945" s="15"/>
      <c r="AJ2945" s="15"/>
      <c r="AK2945" s="15"/>
      <c r="AL2945" s="15"/>
      <c r="AM2945" s="15"/>
      <c r="AN2945" s="15"/>
      <c r="AO2945" s="15"/>
      <c r="AP2945" s="15"/>
      <c r="AQ2945" s="15"/>
      <c r="AR2945" s="15"/>
      <c r="AS2945" s="15"/>
      <c r="AT2945" s="15"/>
      <c r="AU2945" s="15"/>
      <c r="AV2945" s="15"/>
      <c r="AW2945" s="15"/>
    </row>
    <row r="2946" spans="3:49" x14ac:dyDescent="0.2">
      <c r="C2946" s="15"/>
      <c r="D2946" s="15"/>
      <c r="E2946" s="15"/>
      <c r="F2946" s="15"/>
      <c r="G2946" s="15"/>
      <c r="H2946" s="15"/>
      <c r="I2946" s="15"/>
      <c r="J2946" s="15"/>
      <c r="K2946" s="15"/>
      <c r="L2946" s="28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5"/>
      <c r="AG2946" s="15"/>
      <c r="AH2946" s="15"/>
      <c r="AI2946" s="15"/>
      <c r="AJ2946" s="15"/>
      <c r="AK2946" s="15"/>
      <c r="AL2946" s="15"/>
      <c r="AM2946" s="15"/>
      <c r="AN2946" s="15"/>
      <c r="AO2946" s="15"/>
      <c r="AP2946" s="15"/>
      <c r="AQ2946" s="15"/>
      <c r="AR2946" s="15"/>
      <c r="AS2946" s="15"/>
      <c r="AT2946" s="15"/>
      <c r="AU2946" s="15"/>
      <c r="AV2946" s="15"/>
      <c r="AW2946" s="15"/>
    </row>
    <row r="2947" spans="3:49" x14ac:dyDescent="0.2">
      <c r="C2947" s="15"/>
      <c r="D2947" s="15"/>
      <c r="E2947" s="15"/>
      <c r="F2947" s="15"/>
      <c r="G2947" s="15"/>
      <c r="H2947" s="15"/>
      <c r="I2947" s="15"/>
      <c r="J2947" s="15"/>
      <c r="K2947" s="15"/>
      <c r="L2947" s="28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5"/>
      <c r="AG2947" s="15"/>
      <c r="AH2947" s="15"/>
      <c r="AI2947" s="15"/>
      <c r="AJ2947" s="15"/>
      <c r="AK2947" s="15"/>
      <c r="AL2947" s="15"/>
      <c r="AM2947" s="15"/>
      <c r="AN2947" s="15"/>
      <c r="AO2947" s="15"/>
      <c r="AP2947" s="15"/>
      <c r="AQ2947" s="15"/>
      <c r="AR2947" s="15"/>
      <c r="AS2947" s="15"/>
      <c r="AT2947" s="15"/>
      <c r="AU2947" s="15"/>
      <c r="AV2947" s="15"/>
      <c r="AW2947" s="15"/>
    </row>
    <row r="2948" spans="3:49" x14ac:dyDescent="0.2">
      <c r="C2948" s="15"/>
      <c r="D2948" s="15"/>
      <c r="E2948" s="15"/>
      <c r="F2948" s="15"/>
      <c r="G2948" s="15"/>
      <c r="H2948" s="15"/>
      <c r="I2948" s="15"/>
      <c r="J2948" s="15"/>
      <c r="K2948" s="15"/>
      <c r="L2948" s="28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5"/>
      <c r="AG2948" s="15"/>
      <c r="AH2948" s="15"/>
      <c r="AI2948" s="15"/>
      <c r="AJ2948" s="15"/>
      <c r="AK2948" s="15"/>
      <c r="AL2948" s="15"/>
      <c r="AM2948" s="15"/>
      <c r="AN2948" s="15"/>
      <c r="AO2948" s="15"/>
      <c r="AP2948" s="15"/>
      <c r="AQ2948" s="15"/>
      <c r="AR2948" s="15"/>
      <c r="AS2948" s="15"/>
      <c r="AT2948" s="15"/>
      <c r="AU2948" s="15"/>
      <c r="AV2948" s="15"/>
      <c r="AW2948" s="15"/>
    </row>
    <row r="2949" spans="3:49" x14ac:dyDescent="0.2">
      <c r="C2949" s="15"/>
      <c r="D2949" s="15"/>
      <c r="E2949" s="15"/>
      <c r="F2949" s="15"/>
      <c r="G2949" s="15"/>
      <c r="H2949" s="15"/>
      <c r="I2949" s="15"/>
      <c r="J2949" s="15"/>
      <c r="K2949" s="15"/>
      <c r="L2949" s="28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5"/>
      <c r="AG2949" s="15"/>
      <c r="AH2949" s="15"/>
      <c r="AI2949" s="15"/>
      <c r="AJ2949" s="15"/>
      <c r="AK2949" s="15"/>
      <c r="AL2949" s="15"/>
      <c r="AM2949" s="15"/>
      <c r="AN2949" s="15"/>
      <c r="AO2949" s="15"/>
      <c r="AP2949" s="15"/>
      <c r="AQ2949" s="15"/>
      <c r="AR2949" s="15"/>
      <c r="AS2949" s="15"/>
      <c r="AT2949" s="15"/>
      <c r="AU2949" s="15"/>
      <c r="AV2949" s="15"/>
      <c r="AW2949" s="15"/>
    </row>
    <row r="2950" spans="3:49" x14ac:dyDescent="0.2">
      <c r="C2950" s="15"/>
      <c r="D2950" s="15"/>
      <c r="E2950" s="15"/>
      <c r="F2950" s="15"/>
      <c r="G2950" s="15"/>
      <c r="H2950" s="15"/>
      <c r="I2950" s="15"/>
      <c r="J2950" s="15"/>
      <c r="K2950" s="15"/>
      <c r="L2950" s="28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5"/>
      <c r="AG2950" s="15"/>
      <c r="AH2950" s="15"/>
      <c r="AI2950" s="15"/>
      <c r="AJ2950" s="15"/>
      <c r="AK2950" s="15"/>
      <c r="AL2950" s="15"/>
      <c r="AM2950" s="15"/>
      <c r="AN2950" s="15"/>
      <c r="AO2950" s="15"/>
      <c r="AP2950" s="15"/>
      <c r="AQ2950" s="15"/>
      <c r="AR2950" s="15"/>
      <c r="AS2950" s="15"/>
      <c r="AT2950" s="15"/>
      <c r="AU2950" s="15"/>
      <c r="AV2950" s="15"/>
      <c r="AW2950" s="15"/>
    </row>
    <row r="2951" spans="3:49" x14ac:dyDescent="0.2">
      <c r="C2951" s="15"/>
      <c r="D2951" s="15"/>
      <c r="E2951" s="15"/>
      <c r="F2951" s="15"/>
      <c r="G2951" s="15"/>
      <c r="H2951" s="15"/>
      <c r="I2951" s="15"/>
      <c r="J2951" s="15"/>
      <c r="K2951" s="15"/>
      <c r="L2951" s="28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5"/>
      <c r="AG2951" s="15"/>
      <c r="AH2951" s="15"/>
      <c r="AI2951" s="15"/>
      <c r="AJ2951" s="15"/>
      <c r="AK2951" s="15"/>
      <c r="AL2951" s="15"/>
      <c r="AM2951" s="15"/>
      <c r="AN2951" s="15"/>
      <c r="AO2951" s="15"/>
      <c r="AP2951" s="15"/>
      <c r="AQ2951" s="15"/>
      <c r="AR2951" s="15"/>
      <c r="AS2951" s="15"/>
      <c r="AT2951" s="15"/>
      <c r="AU2951" s="15"/>
      <c r="AV2951" s="15"/>
      <c r="AW2951" s="15"/>
    </row>
    <row r="2952" spans="3:49" x14ac:dyDescent="0.2">
      <c r="C2952" s="15"/>
      <c r="D2952" s="15"/>
      <c r="E2952" s="15"/>
      <c r="F2952" s="15"/>
      <c r="G2952" s="15"/>
      <c r="H2952" s="15"/>
      <c r="I2952" s="15"/>
      <c r="J2952" s="15"/>
      <c r="K2952" s="15"/>
      <c r="L2952" s="28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5"/>
      <c r="AG2952" s="15"/>
      <c r="AH2952" s="15"/>
      <c r="AI2952" s="15"/>
      <c r="AJ2952" s="15"/>
      <c r="AK2952" s="15"/>
      <c r="AL2952" s="15"/>
      <c r="AM2952" s="15"/>
      <c r="AN2952" s="15"/>
      <c r="AO2952" s="15"/>
      <c r="AP2952" s="15"/>
      <c r="AQ2952" s="15"/>
      <c r="AR2952" s="15"/>
      <c r="AS2952" s="15"/>
      <c r="AT2952" s="15"/>
      <c r="AU2952" s="15"/>
      <c r="AV2952" s="15"/>
      <c r="AW2952" s="15"/>
    </row>
    <row r="2953" spans="3:49" x14ac:dyDescent="0.2">
      <c r="C2953" s="15"/>
      <c r="D2953" s="15"/>
      <c r="E2953" s="15"/>
      <c r="F2953" s="15"/>
      <c r="G2953" s="15"/>
      <c r="H2953" s="15"/>
      <c r="I2953" s="15"/>
      <c r="J2953" s="15"/>
      <c r="K2953" s="15"/>
      <c r="L2953" s="28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5"/>
      <c r="AG2953" s="15"/>
      <c r="AH2953" s="15"/>
      <c r="AI2953" s="15"/>
      <c r="AJ2953" s="15"/>
      <c r="AK2953" s="15"/>
      <c r="AL2953" s="15"/>
      <c r="AM2953" s="15"/>
      <c r="AN2953" s="15"/>
      <c r="AO2953" s="15"/>
      <c r="AP2953" s="15"/>
      <c r="AQ2953" s="15"/>
      <c r="AR2953" s="15"/>
      <c r="AS2953" s="15"/>
      <c r="AT2953" s="15"/>
      <c r="AU2953" s="15"/>
      <c r="AV2953" s="15"/>
      <c r="AW2953" s="15"/>
    </row>
    <row r="2954" spans="3:49" x14ac:dyDescent="0.2">
      <c r="C2954" s="15"/>
      <c r="D2954" s="15"/>
      <c r="E2954" s="15"/>
      <c r="F2954" s="15"/>
      <c r="G2954" s="15"/>
      <c r="H2954" s="15"/>
      <c r="I2954" s="15"/>
      <c r="J2954" s="15"/>
      <c r="K2954" s="15"/>
      <c r="L2954" s="28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5"/>
      <c r="AG2954" s="15"/>
      <c r="AH2954" s="15"/>
      <c r="AI2954" s="15"/>
      <c r="AJ2954" s="15"/>
      <c r="AK2954" s="15"/>
      <c r="AL2954" s="15"/>
      <c r="AM2954" s="15"/>
      <c r="AN2954" s="15"/>
      <c r="AO2954" s="15"/>
      <c r="AP2954" s="15"/>
      <c r="AQ2954" s="15"/>
      <c r="AR2954" s="15"/>
      <c r="AS2954" s="15"/>
      <c r="AT2954" s="15"/>
      <c r="AU2954" s="15"/>
      <c r="AV2954" s="15"/>
      <c r="AW2954" s="15"/>
    </row>
    <row r="2955" spans="3:49" x14ac:dyDescent="0.2">
      <c r="C2955" s="15"/>
      <c r="D2955" s="15"/>
      <c r="E2955" s="15"/>
      <c r="F2955" s="15"/>
      <c r="G2955" s="15"/>
      <c r="H2955" s="15"/>
      <c r="I2955" s="15"/>
      <c r="J2955" s="15"/>
      <c r="K2955" s="15"/>
      <c r="L2955" s="28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5"/>
      <c r="AG2955" s="15"/>
      <c r="AH2955" s="15"/>
      <c r="AI2955" s="15"/>
      <c r="AJ2955" s="15"/>
      <c r="AK2955" s="15"/>
      <c r="AL2955" s="15"/>
      <c r="AM2955" s="15"/>
      <c r="AN2955" s="15"/>
      <c r="AO2955" s="15"/>
      <c r="AP2955" s="15"/>
      <c r="AQ2955" s="15"/>
      <c r="AR2955" s="15"/>
      <c r="AS2955" s="15"/>
      <c r="AT2955" s="15"/>
      <c r="AU2955" s="15"/>
      <c r="AV2955" s="15"/>
      <c r="AW2955" s="15"/>
    </row>
    <row r="2956" spans="3:49" x14ac:dyDescent="0.2">
      <c r="C2956" s="15"/>
      <c r="D2956" s="15"/>
      <c r="E2956" s="15"/>
      <c r="F2956" s="15"/>
      <c r="G2956" s="15"/>
      <c r="H2956" s="15"/>
      <c r="I2956" s="15"/>
      <c r="J2956" s="15"/>
      <c r="K2956" s="15"/>
      <c r="L2956" s="28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5"/>
      <c r="AG2956" s="15"/>
      <c r="AH2956" s="15"/>
      <c r="AI2956" s="15"/>
      <c r="AJ2956" s="15"/>
      <c r="AK2956" s="15"/>
      <c r="AL2956" s="15"/>
      <c r="AM2956" s="15"/>
      <c r="AN2956" s="15"/>
      <c r="AO2956" s="15"/>
      <c r="AP2956" s="15"/>
      <c r="AQ2956" s="15"/>
      <c r="AR2956" s="15"/>
      <c r="AS2956" s="15"/>
      <c r="AT2956" s="15"/>
      <c r="AU2956" s="15"/>
      <c r="AV2956" s="15"/>
      <c r="AW2956" s="15"/>
    </row>
    <row r="2957" spans="3:49" x14ac:dyDescent="0.2">
      <c r="C2957" s="15"/>
      <c r="D2957" s="15"/>
      <c r="E2957" s="15"/>
      <c r="F2957" s="15"/>
      <c r="G2957" s="15"/>
      <c r="H2957" s="15"/>
      <c r="I2957" s="15"/>
      <c r="J2957" s="15"/>
      <c r="K2957" s="15"/>
      <c r="L2957" s="28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5"/>
      <c r="AG2957" s="15"/>
      <c r="AH2957" s="15"/>
      <c r="AI2957" s="15"/>
      <c r="AJ2957" s="15"/>
      <c r="AK2957" s="15"/>
      <c r="AL2957" s="15"/>
      <c r="AM2957" s="15"/>
      <c r="AN2957" s="15"/>
      <c r="AO2957" s="15"/>
      <c r="AP2957" s="15"/>
      <c r="AQ2957" s="15"/>
      <c r="AR2957" s="15"/>
      <c r="AS2957" s="15"/>
      <c r="AT2957" s="15"/>
      <c r="AU2957" s="15"/>
      <c r="AV2957" s="15"/>
      <c r="AW2957" s="15"/>
    </row>
    <row r="2958" spans="3:49" x14ac:dyDescent="0.2">
      <c r="C2958" s="15"/>
      <c r="D2958" s="15"/>
      <c r="E2958" s="15"/>
      <c r="F2958" s="15"/>
      <c r="G2958" s="15"/>
      <c r="H2958" s="15"/>
      <c r="I2958" s="15"/>
      <c r="J2958" s="15"/>
      <c r="K2958" s="15"/>
      <c r="L2958" s="28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5"/>
      <c r="AG2958" s="15"/>
      <c r="AH2958" s="15"/>
      <c r="AI2958" s="15"/>
      <c r="AJ2958" s="15"/>
      <c r="AK2958" s="15"/>
      <c r="AL2958" s="15"/>
      <c r="AM2958" s="15"/>
      <c r="AN2958" s="15"/>
      <c r="AO2958" s="15"/>
      <c r="AP2958" s="15"/>
      <c r="AQ2958" s="15"/>
      <c r="AR2958" s="15"/>
      <c r="AS2958" s="15"/>
      <c r="AT2958" s="15"/>
      <c r="AU2958" s="15"/>
      <c r="AV2958" s="15"/>
      <c r="AW2958" s="15"/>
    </row>
    <row r="2959" spans="3:49" x14ac:dyDescent="0.2">
      <c r="C2959" s="15"/>
      <c r="D2959" s="15"/>
      <c r="E2959" s="15"/>
      <c r="F2959" s="15"/>
      <c r="G2959" s="15"/>
      <c r="H2959" s="15"/>
      <c r="I2959" s="15"/>
      <c r="J2959" s="15"/>
      <c r="K2959" s="15"/>
      <c r="L2959" s="28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5"/>
      <c r="AG2959" s="15"/>
      <c r="AH2959" s="15"/>
      <c r="AI2959" s="15"/>
      <c r="AJ2959" s="15"/>
      <c r="AK2959" s="15"/>
      <c r="AL2959" s="15"/>
      <c r="AM2959" s="15"/>
      <c r="AN2959" s="15"/>
      <c r="AO2959" s="15"/>
      <c r="AP2959" s="15"/>
      <c r="AQ2959" s="15"/>
      <c r="AR2959" s="15"/>
      <c r="AS2959" s="15"/>
      <c r="AT2959" s="15"/>
      <c r="AU2959" s="15"/>
      <c r="AV2959" s="15"/>
      <c r="AW2959" s="15"/>
    </row>
    <row r="2960" spans="3:49" x14ac:dyDescent="0.2">
      <c r="C2960" s="15"/>
      <c r="D2960" s="15"/>
      <c r="E2960" s="15"/>
      <c r="F2960" s="15"/>
      <c r="G2960" s="15"/>
      <c r="H2960" s="15"/>
      <c r="I2960" s="15"/>
      <c r="J2960" s="15"/>
      <c r="K2960" s="15"/>
      <c r="L2960" s="28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5"/>
      <c r="AG2960" s="15"/>
      <c r="AH2960" s="15"/>
      <c r="AI2960" s="15"/>
      <c r="AJ2960" s="15"/>
      <c r="AK2960" s="15"/>
      <c r="AL2960" s="15"/>
      <c r="AM2960" s="15"/>
      <c r="AN2960" s="15"/>
      <c r="AO2960" s="15"/>
      <c r="AP2960" s="15"/>
      <c r="AQ2960" s="15"/>
      <c r="AR2960" s="15"/>
      <c r="AS2960" s="15"/>
      <c r="AT2960" s="15"/>
      <c r="AU2960" s="15"/>
      <c r="AV2960" s="15"/>
      <c r="AW2960" s="15"/>
    </row>
    <row r="2961" spans="3:49" x14ac:dyDescent="0.2">
      <c r="C2961" s="15"/>
      <c r="D2961" s="15"/>
      <c r="E2961" s="15"/>
      <c r="F2961" s="15"/>
      <c r="G2961" s="15"/>
      <c r="H2961" s="15"/>
      <c r="I2961" s="15"/>
      <c r="J2961" s="15"/>
      <c r="K2961" s="15"/>
      <c r="L2961" s="28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5"/>
      <c r="AG2961" s="15"/>
      <c r="AH2961" s="15"/>
      <c r="AI2961" s="15"/>
      <c r="AJ2961" s="15"/>
      <c r="AK2961" s="15"/>
      <c r="AL2961" s="15"/>
      <c r="AM2961" s="15"/>
      <c r="AN2961" s="15"/>
      <c r="AO2961" s="15"/>
      <c r="AP2961" s="15"/>
      <c r="AQ2961" s="15"/>
      <c r="AR2961" s="15"/>
      <c r="AS2961" s="15"/>
      <c r="AT2961" s="15"/>
      <c r="AU2961" s="15"/>
      <c r="AV2961" s="15"/>
      <c r="AW2961" s="15"/>
    </row>
    <row r="2962" spans="3:49" x14ac:dyDescent="0.2">
      <c r="C2962" s="15"/>
      <c r="D2962" s="15"/>
      <c r="E2962" s="15"/>
      <c r="F2962" s="15"/>
      <c r="G2962" s="15"/>
      <c r="H2962" s="15"/>
      <c r="I2962" s="15"/>
      <c r="J2962" s="15"/>
      <c r="K2962" s="15"/>
      <c r="L2962" s="28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5"/>
      <c r="AG2962" s="15"/>
      <c r="AH2962" s="15"/>
      <c r="AI2962" s="15"/>
      <c r="AJ2962" s="15"/>
      <c r="AK2962" s="15"/>
      <c r="AL2962" s="15"/>
      <c r="AM2962" s="15"/>
      <c r="AN2962" s="15"/>
      <c r="AO2962" s="15"/>
      <c r="AP2962" s="15"/>
      <c r="AQ2962" s="15"/>
      <c r="AR2962" s="15"/>
      <c r="AS2962" s="15"/>
      <c r="AT2962" s="15"/>
      <c r="AU2962" s="15"/>
      <c r="AV2962" s="15"/>
      <c r="AW2962" s="15"/>
    </row>
    <row r="2963" spans="3:49" x14ac:dyDescent="0.2">
      <c r="C2963" s="15"/>
      <c r="D2963" s="15"/>
      <c r="E2963" s="15"/>
      <c r="F2963" s="15"/>
      <c r="G2963" s="15"/>
      <c r="H2963" s="15"/>
      <c r="I2963" s="15"/>
      <c r="J2963" s="15"/>
      <c r="K2963" s="15"/>
      <c r="L2963" s="28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5"/>
      <c r="AG2963" s="15"/>
      <c r="AH2963" s="15"/>
      <c r="AI2963" s="15"/>
      <c r="AJ2963" s="15"/>
      <c r="AK2963" s="15"/>
      <c r="AL2963" s="15"/>
      <c r="AM2963" s="15"/>
      <c r="AN2963" s="15"/>
      <c r="AO2963" s="15"/>
      <c r="AP2963" s="15"/>
      <c r="AQ2963" s="15"/>
      <c r="AR2963" s="15"/>
      <c r="AS2963" s="15"/>
      <c r="AT2963" s="15"/>
      <c r="AU2963" s="15"/>
      <c r="AV2963" s="15"/>
      <c r="AW2963" s="15"/>
    </row>
    <row r="2964" spans="3:49" x14ac:dyDescent="0.2">
      <c r="C2964" s="15"/>
      <c r="D2964" s="15"/>
      <c r="E2964" s="15"/>
      <c r="F2964" s="15"/>
      <c r="G2964" s="15"/>
      <c r="H2964" s="15"/>
      <c r="I2964" s="15"/>
      <c r="J2964" s="15"/>
      <c r="K2964" s="15"/>
      <c r="L2964" s="28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5"/>
      <c r="AG2964" s="15"/>
      <c r="AH2964" s="15"/>
      <c r="AI2964" s="15"/>
      <c r="AJ2964" s="15"/>
      <c r="AK2964" s="15"/>
      <c r="AL2964" s="15"/>
      <c r="AM2964" s="15"/>
      <c r="AN2964" s="15"/>
      <c r="AO2964" s="15"/>
      <c r="AP2964" s="15"/>
      <c r="AQ2964" s="15"/>
      <c r="AR2964" s="15"/>
      <c r="AS2964" s="15"/>
      <c r="AT2964" s="15"/>
      <c r="AU2964" s="15"/>
      <c r="AV2964" s="15"/>
      <c r="AW2964" s="15"/>
    </row>
    <row r="2965" spans="3:49" x14ac:dyDescent="0.2">
      <c r="C2965" s="15"/>
      <c r="D2965" s="15"/>
      <c r="E2965" s="15"/>
      <c r="F2965" s="15"/>
      <c r="G2965" s="15"/>
      <c r="H2965" s="15"/>
      <c r="I2965" s="15"/>
      <c r="J2965" s="15"/>
      <c r="K2965" s="15"/>
      <c r="L2965" s="28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5"/>
      <c r="AG2965" s="15"/>
      <c r="AH2965" s="15"/>
      <c r="AI2965" s="15"/>
      <c r="AJ2965" s="15"/>
      <c r="AK2965" s="15"/>
      <c r="AL2965" s="15"/>
      <c r="AM2965" s="15"/>
      <c r="AN2965" s="15"/>
      <c r="AO2965" s="15"/>
      <c r="AP2965" s="15"/>
      <c r="AQ2965" s="15"/>
      <c r="AR2965" s="15"/>
      <c r="AS2965" s="15"/>
      <c r="AT2965" s="15"/>
      <c r="AU2965" s="15"/>
      <c r="AV2965" s="15"/>
      <c r="AW2965" s="15"/>
    </row>
    <row r="2966" spans="3:49" x14ac:dyDescent="0.2">
      <c r="C2966" s="15"/>
      <c r="D2966" s="15"/>
      <c r="E2966" s="15"/>
      <c r="F2966" s="15"/>
      <c r="G2966" s="15"/>
      <c r="H2966" s="15"/>
      <c r="I2966" s="15"/>
      <c r="J2966" s="15"/>
      <c r="K2966" s="15"/>
      <c r="L2966" s="28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5"/>
      <c r="AG2966" s="15"/>
      <c r="AH2966" s="15"/>
      <c r="AI2966" s="15"/>
      <c r="AJ2966" s="15"/>
      <c r="AK2966" s="15"/>
      <c r="AL2966" s="15"/>
      <c r="AM2966" s="15"/>
      <c r="AN2966" s="15"/>
      <c r="AO2966" s="15"/>
      <c r="AP2966" s="15"/>
      <c r="AQ2966" s="15"/>
      <c r="AR2966" s="15"/>
      <c r="AS2966" s="15"/>
      <c r="AT2966" s="15"/>
      <c r="AU2966" s="15"/>
      <c r="AV2966" s="15"/>
      <c r="AW2966" s="15"/>
    </row>
    <row r="2967" spans="3:49" x14ac:dyDescent="0.2">
      <c r="C2967" s="15"/>
      <c r="D2967" s="15"/>
      <c r="E2967" s="15"/>
      <c r="F2967" s="15"/>
      <c r="G2967" s="15"/>
      <c r="H2967" s="15"/>
      <c r="I2967" s="15"/>
      <c r="J2967" s="15"/>
      <c r="K2967" s="15"/>
      <c r="L2967" s="28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5"/>
      <c r="AG2967" s="15"/>
      <c r="AH2967" s="15"/>
      <c r="AI2967" s="15"/>
      <c r="AJ2967" s="15"/>
      <c r="AK2967" s="15"/>
      <c r="AL2967" s="15"/>
      <c r="AM2967" s="15"/>
      <c r="AN2967" s="15"/>
      <c r="AO2967" s="15"/>
      <c r="AP2967" s="15"/>
      <c r="AQ2967" s="15"/>
      <c r="AR2967" s="15"/>
      <c r="AS2967" s="15"/>
      <c r="AT2967" s="15"/>
      <c r="AU2967" s="15"/>
      <c r="AV2967" s="15"/>
      <c r="AW2967" s="15"/>
    </row>
    <row r="2968" spans="3:49" x14ac:dyDescent="0.2">
      <c r="C2968" s="15"/>
      <c r="D2968" s="15"/>
      <c r="E2968" s="15"/>
      <c r="F2968" s="15"/>
      <c r="G2968" s="15"/>
      <c r="H2968" s="15"/>
      <c r="I2968" s="15"/>
      <c r="J2968" s="15"/>
      <c r="K2968" s="15"/>
      <c r="L2968" s="28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5"/>
      <c r="AG2968" s="15"/>
      <c r="AH2968" s="15"/>
      <c r="AI2968" s="15"/>
      <c r="AJ2968" s="15"/>
      <c r="AK2968" s="15"/>
      <c r="AL2968" s="15"/>
      <c r="AM2968" s="15"/>
      <c r="AN2968" s="15"/>
      <c r="AO2968" s="15"/>
      <c r="AP2968" s="15"/>
      <c r="AQ2968" s="15"/>
      <c r="AR2968" s="15"/>
      <c r="AS2968" s="15"/>
      <c r="AT2968" s="15"/>
      <c r="AU2968" s="15"/>
      <c r="AV2968" s="15"/>
      <c r="AW2968" s="15"/>
    </row>
    <row r="2969" spans="3:49" x14ac:dyDescent="0.2">
      <c r="C2969" s="15"/>
      <c r="D2969" s="15"/>
      <c r="E2969" s="15"/>
      <c r="F2969" s="15"/>
      <c r="G2969" s="15"/>
      <c r="H2969" s="15"/>
      <c r="I2969" s="15"/>
      <c r="J2969" s="15"/>
      <c r="K2969" s="15"/>
      <c r="L2969" s="28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5"/>
      <c r="AG2969" s="15"/>
      <c r="AH2969" s="15"/>
      <c r="AI2969" s="15"/>
      <c r="AJ2969" s="15"/>
      <c r="AK2969" s="15"/>
      <c r="AL2969" s="15"/>
      <c r="AM2969" s="15"/>
      <c r="AN2969" s="15"/>
      <c r="AO2969" s="15"/>
      <c r="AP2969" s="15"/>
      <c r="AQ2969" s="15"/>
      <c r="AR2969" s="15"/>
      <c r="AS2969" s="15"/>
      <c r="AT2969" s="15"/>
      <c r="AU2969" s="15"/>
      <c r="AV2969" s="15"/>
      <c r="AW2969" s="15"/>
    </row>
    <row r="2970" spans="3:49" x14ac:dyDescent="0.2">
      <c r="C2970" s="15"/>
      <c r="D2970" s="15"/>
      <c r="E2970" s="15"/>
      <c r="F2970" s="15"/>
      <c r="G2970" s="15"/>
      <c r="H2970" s="15"/>
      <c r="I2970" s="15"/>
      <c r="J2970" s="15"/>
      <c r="K2970" s="15"/>
      <c r="L2970" s="28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5"/>
      <c r="AG2970" s="15"/>
      <c r="AH2970" s="15"/>
      <c r="AI2970" s="15"/>
      <c r="AJ2970" s="15"/>
      <c r="AK2970" s="15"/>
      <c r="AL2970" s="15"/>
      <c r="AM2970" s="15"/>
      <c r="AN2970" s="15"/>
      <c r="AO2970" s="15"/>
      <c r="AP2970" s="15"/>
      <c r="AQ2970" s="15"/>
      <c r="AR2970" s="15"/>
      <c r="AS2970" s="15"/>
      <c r="AT2970" s="15"/>
      <c r="AU2970" s="15"/>
      <c r="AV2970" s="15"/>
      <c r="AW2970" s="15"/>
    </row>
    <row r="2971" spans="3:49" x14ac:dyDescent="0.2">
      <c r="C2971" s="15"/>
      <c r="D2971" s="15"/>
      <c r="E2971" s="15"/>
      <c r="F2971" s="15"/>
      <c r="G2971" s="15"/>
      <c r="H2971" s="15"/>
      <c r="I2971" s="15"/>
      <c r="J2971" s="15"/>
      <c r="K2971" s="15"/>
      <c r="L2971" s="28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5"/>
      <c r="AG2971" s="15"/>
      <c r="AH2971" s="15"/>
      <c r="AI2971" s="15"/>
      <c r="AJ2971" s="15"/>
      <c r="AK2971" s="15"/>
      <c r="AL2971" s="15"/>
      <c r="AM2971" s="15"/>
      <c r="AN2971" s="15"/>
      <c r="AO2971" s="15"/>
      <c r="AP2971" s="15"/>
      <c r="AQ2971" s="15"/>
      <c r="AR2971" s="15"/>
      <c r="AS2971" s="15"/>
      <c r="AT2971" s="15"/>
      <c r="AU2971" s="15"/>
      <c r="AV2971" s="15"/>
      <c r="AW2971" s="15"/>
    </row>
    <row r="2972" spans="3:49" x14ac:dyDescent="0.2">
      <c r="C2972" s="15"/>
      <c r="D2972" s="15"/>
      <c r="E2972" s="15"/>
      <c r="F2972" s="15"/>
      <c r="G2972" s="15"/>
      <c r="H2972" s="15"/>
      <c r="I2972" s="15"/>
      <c r="J2972" s="15"/>
      <c r="K2972" s="15"/>
      <c r="L2972" s="28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5"/>
      <c r="AG2972" s="15"/>
      <c r="AH2972" s="15"/>
      <c r="AI2972" s="15"/>
      <c r="AJ2972" s="15"/>
      <c r="AK2972" s="15"/>
      <c r="AL2972" s="15"/>
      <c r="AM2972" s="15"/>
      <c r="AN2972" s="15"/>
      <c r="AO2972" s="15"/>
      <c r="AP2972" s="15"/>
      <c r="AQ2972" s="15"/>
      <c r="AR2972" s="15"/>
      <c r="AS2972" s="15"/>
      <c r="AT2972" s="15"/>
      <c r="AU2972" s="15"/>
      <c r="AV2972" s="15"/>
      <c r="AW2972" s="15"/>
    </row>
    <row r="2973" spans="3:49" x14ac:dyDescent="0.2">
      <c r="C2973" s="15"/>
      <c r="D2973" s="15"/>
      <c r="E2973" s="15"/>
      <c r="F2973" s="15"/>
      <c r="G2973" s="15"/>
      <c r="H2973" s="15"/>
      <c r="I2973" s="15"/>
      <c r="J2973" s="15"/>
      <c r="K2973" s="15"/>
      <c r="L2973" s="28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5"/>
      <c r="AG2973" s="15"/>
      <c r="AH2973" s="15"/>
      <c r="AI2973" s="15"/>
      <c r="AJ2973" s="15"/>
      <c r="AK2973" s="15"/>
      <c r="AL2973" s="15"/>
      <c r="AM2973" s="15"/>
      <c r="AN2973" s="15"/>
      <c r="AO2973" s="15"/>
      <c r="AP2973" s="15"/>
      <c r="AQ2973" s="15"/>
      <c r="AR2973" s="15"/>
      <c r="AS2973" s="15"/>
      <c r="AT2973" s="15"/>
      <c r="AU2973" s="15"/>
      <c r="AV2973" s="15"/>
      <c r="AW2973" s="15"/>
    </row>
    <row r="2974" spans="3:49" x14ac:dyDescent="0.2">
      <c r="C2974" s="15"/>
      <c r="D2974" s="15"/>
      <c r="E2974" s="15"/>
      <c r="F2974" s="15"/>
      <c r="G2974" s="15"/>
      <c r="H2974" s="15"/>
      <c r="I2974" s="15"/>
      <c r="J2974" s="15"/>
      <c r="K2974" s="15"/>
      <c r="L2974" s="28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5"/>
      <c r="AG2974" s="15"/>
      <c r="AH2974" s="15"/>
      <c r="AI2974" s="15"/>
      <c r="AJ2974" s="15"/>
      <c r="AK2974" s="15"/>
      <c r="AL2974" s="15"/>
      <c r="AM2974" s="15"/>
      <c r="AN2974" s="15"/>
      <c r="AO2974" s="15"/>
      <c r="AP2974" s="15"/>
      <c r="AQ2974" s="15"/>
      <c r="AR2974" s="15"/>
      <c r="AS2974" s="15"/>
      <c r="AT2974" s="15"/>
      <c r="AU2974" s="15"/>
      <c r="AV2974" s="15"/>
      <c r="AW2974" s="15"/>
    </row>
    <row r="2975" spans="3:49" x14ac:dyDescent="0.2">
      <c r="C2975" s="15"/>
      <c r="D2975" s="15"/>
      <c r="E2975" s="15"/>
      <c r="F2975" s="15"/>
      <c r="G2975" s="15"/>
      <c r="H2975" s="15"/>
      <c r="I2975" s="15"/>
      <c r="J2975" s="15"/>
      <c r="K2975" s="15"/>
      <c r="L2975" s="28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5"/>
      <c r="AG2975" s="15"/>
      <c r="AH2975" s="15"/>
      <c r="AI2975" s="15"/>
      <c r="AJ2975" s="15"/>
      <c r="AK2975" s="15"/>
      <c r="AL2975" s="15"/>
      <c r="AM2975" s="15"/>
      <c r="AN2975" s="15"/>
      <c r="AO2975" s="15"/>
      <c r="AP2975" s="15"/>
      <c r="AQ2975" s="15"/>
      <c r="AR2975" s="15"/>
      <c r="AS2975" s="15"/>
      <c r="AT2975" s="15"/>
      <c r="AU2975" s="15"/>
      <c r="AV2975" s="15"/>
      <c r="AW2975" s="15"/>
    </row>
    <row r="2976" spans="3:49" x14ac:dyDescent="0.2">
      <c r="C2976" s="15"/>
      <c r="D2976" s="15"/>
      <c r="E2976" s="15"/>
      <c r="F2976" s="15"/>
      <c r="G2976" s="15"/>
      <c r="H2976" s="15"/>
      <c r="I2976" s="15"/>
      <c r="J2976" s="15"/>
      <c r="K2976" s="15"/>
      <c r="L2976" s="28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5"/>
      <c r="AG2976" s="15"/>
      <c r="AH2976" s="15"/>
      <c r="AI2976" s="15"/>
      <c r="AJ2976" s="15"/>
      <c r="AK2976" s="15"/>
      <c r="AL2976" s="15"/>
      <c r="AM2976" s="15"/>
      <c r="AN2976" s="15"/>
      <c r="AO2976" s="15"/>
      <c r="AP2976" s="15"/>
      <c r="AQ2976" s="15"/>
      <c r="AR2976" s="15"/>
      <c r="AS2976" s="15"/>
      <c r="AT2976" s="15"/>
      <c r="AU2976" s="15"/>
      <c r="AV2976" s="15"/>
      <c r="AW2976" s="15"/>
    </row>
    <row r="2977" spans="3:49" x14ac:dyDescent="0.2">
      <c r="C2977" s="15"/>
      <c r="D2977" s="15"/>
      <c r="E2977" s="15"/>
      <c r="F2977" s="15"/>
      <c r="G2977" s="15"/>
      <c r="H2977" s="15"/>
      <c r="I2977" s="15"/>
      <c r="J2977" s="15"/>
      <c r="K2977" s="15"/>
      <c r="L2977" s="28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5"/>
      <c r="AG2977" s="15"/>
      <c r="AH2977" s="15"/>
      <c r="AI2977" s="15"/>
      <c r="AJ2977" s="15"/>
      <c r="AK2977" s="15"/>
      <c r="AL2977" s="15"/>
      <c r="AM2977" s="15"/>
      <c r="AN2977" s="15"/>
      <c r="AO2977" s="15"/>
      <c r="AP2977" s="15"/>
      <c r="AQ2977" s="15"/>
      <c r="AR2977" s="15"/>
      <c r="AS2977" s="15"/>
      <c r="AT2977" s="15"/>
      <c r="AU2977" s="15"/>
      <c r="AV2977" s="15"/>
      <c r="AW2977" s="15"/>
    </row>
    <row r="2978" spans="3:49" x14ac:dyDescent="0.2">
      <c r="C2978" s="15"/>
      <c r="D2978" s="15"/>
      <c r="E2978" s="15"/>
      <c r="F2978" s="15"/>
      <c r="G2978" s="15"/>
      <c r="H2978" s="15"/>
      <c r="I2978" s="15"/>
      <c r="J2978" s="15"/>
      <c r="K2978" s="15"/>
      <c r="L2978" s="28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5"/>
      <c r="AG2978" s="15"/>
      <c r="AH2978" s="15"/>
      <c r="AI2978" s="15"/>
      <c r="AJ2978" s="15"/>
      <c r="AK2978" s="15"/>
      <c r="AL2978" s="15"/>
      <c r="AM2978" s="15"/>
      <c r="AN2978" s="15"/>
      <c r="AO2978" s="15"/>
      <c r="AP2978" s="15"/>
      <c r="AQ2978" s="15"/>
      <c r="AR2978" s="15"/>
      <c r="AS2978" s="15"/>
      <c r="AT2978" s="15"/>
      <c r="AU2978" s="15"/>
      <c r="AV2978" s="15"/>
      <c r="AW2978" s="15"/>
    </row>
    <row r="2979" spans="3:49" x14ac:dyDescent="0.2">
      <c r="C2979" s="15"/>
      <c r="D2979" s="15"/>
      <c r="E2979" s="15"/>
      <c r="F2979" s="15"/>
      <c r="G2979" s="15"/>
      <c r="H2979" s="15"/>
      <c r="I2979" s="15"/>
      <c r="J2979" s="15"/>
      <c r="K2979" s="15"/>
      <c r="L2979" s="28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5"/>
      <c r="AG2979" s="15"/>
      <c r="AH2979" s="15"/>
      <c r="AI2979" s="15"/>
      <c r="AJ2979" s="15"/>
      <c r="AK2979" s="15"/>
      <c r="AL2979" s="15"/>
      <c r="AM2979" s="15"/>
      <c r="AN2979" s="15"/>
      <c r="AO2979" s="15"/>
      <c r="AP2979" s="15"/>
      <c r="AQ2979" s="15"/>
      <c r="AR2979" s="15"/>
      <c r="AS2979" s="15"/>
      <c r="AT2979" s="15"/>
      <c r="AU2979" s="15"/>
      <c r="AV2979" s="15"/>
      <c r="AW2979" s="15"/>
    </row>
    <row r="2980" spans="3:49" x14ac:dyDescent="0.2">
      <c r="C2980" s="15"/>
      <c r="D2980" s="15"/>
      <c r="E2980" s="15"/>
      <c r="F2980" s="15"/>
      <c r="G2980" s="15"/>
      <c r="H2980" s="15"/>
      <c r="I2980" s="15"/>
      <c r="J2980" s="15"/>
      <c r="K2980" s="15"/>
      <c r="L2980" s="28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5"/>
      <c r="AG2980" s="15"/>
      <c r="AH2980" s="15"/>
      <c r="AI2980" s="15"/>
      <c r="AJ2980" s="15"/>
      <c r="AK2980" s="15"/>
      <c r="AL2980" s="15"/>
      <c r="AM2980" s="15"/>
      <c r="AN2980" s="15"/>
      <c r="AO2980" s="15"/>
      <c r="AP2980" s="15"/>
      <c r="AQ2980" s="15"/>
      <c r="AR2980" s="15"/>
      <c r="AS2980" s="15"/>
      <c r="AT2980" s="15"/>
      <c r="AU2980" s="15"/>
      <c r="AV2980" s="15"/>
      <c r="AW2980" s="15"/>
    </row>
    <row r="2981" spans="3:49" x14ac:dyDescent="0.2">
      <c r="C2981" s="15"/>
      <c r="D2981" s="15"/>
      <c r="E2981" s="15"/>
      <c r="F2981" s="15"/>
      <c r="G2981" s="15"/>
      <c r="H2981" s="15"/>
      <c r="I2981" s="15"/>
      <c r="J2981" s="15"/>
      <c r="K2981" s="15"/>
      <c r="L2981" s="28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5"/>
      <c r="AG2981" s="15"/>
      <c r="AH2981" s="15"/>
      <c r="AI2981" s="15"/>
      <c r="AJ2981" s="15"/>
      <c r="AK2981" s="15"/>
      <c r="AL2981" s="15"/>
      <c r="AM2981" s="15"/>
      <c r="AN2981" s="15"/>
      <c r="AO2981" s="15"/>
      <c r="AP2981" s="15"/>
      <c r="AQ2981" s="15"/>
      <c r="AR2981" s="15"/>
      <c r="AS2981" s="15"/>
      <c r="AT2981" s="15"/>
      <c r="AU2981" s="15"/>
      <c r="AV2981" s="15"/>
      <c r="AW2981" s="15"/>
    </row>
    <row r="2982" spans="3:49" x14ac:dyDescent="0.2">
      <c r="C2982" s="15"/>
      <c r="D2982" s="15"/>
      <c r="E2982" s="15"/>
      <c r="F2982" s="15"/>
      <c r="G2982" s="15"/>
      <c r="H2982" s="15"/>
      <c r="I2982" s="15"/>
      <c r="J2982" s="15"/>
      <c r="K2982" s="15"/>
      <c r="L2982" s="28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5"/>
      <c r="AG2982" s="15"/>
      <c r="AH2982" s="15"/>
      <c r="AI2982" s="15"/>
      <c r="AJ2982" s="15"/>
      <c r="AK2982" s="15"/>
      <c r="AL2982" s="15"/>
      <c r="AM2982" s="15"/>
      <c r="AN2982" s="15"/>
      <c r="AO2982" s="15"/>
      <c r="AP2982" s="15"/>
      <c r="AQ2982" s="15"/>
      <c r="AR2982" s="15"/>
      <c r="AS2982" s="15"/>
      <c r="AT2982" s="15"/>
      <c r="AU2982" s="15"/>
      <c r="AV2982" s="15"/>
      <c r="AW2982" s="15"/>
    </row>
    <row r="2983" spans="3:49" x14ac:dyDescent="0.2">
      <c r="C2983" s="15"/>
      <c r="D2983" s="15"/>
      <c r="E2983" s="15"/>
      <c r="F2983" s="15"/>
      <c r="G2983" s="15"/>
      <c r="H2983" s="15"/>
      <c r="I2983" s="15"/>
      <c r="J2983" s="15"/>
      <c r="K2983" s="15"/>
      <c r="L2983" s="28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5"/>
      <c r="AG2983" s="15"/>
      <c r="AH2983" s="15"/>
      <c r="AI2983" s="15"/>
      <c r="AJ2983" s="15"/>
      <c r="AK2983" s="15"/>
      <c r="AL2983" s="15"/>
      <c r="AM2983" s="15"/>
      <c r="AN2983" s="15"/>
      <c r="AO2983" s="15"/>
      <c r="AP2983" s="15"/>
      <c r="AQ2983" s="15"/>
      <c r="AR2983" s="15"/>
      <c r="AS2983" s="15"/>
      <c r="AT2983" s="15"/>
      <c r="AU2983" s="15"/>
      <c r="AV2983" s="15"/>
      <c r="AW2983" s="15"/>
    </row>
    <row r="2984" spans="3:49" x14ac:dyDescent="0.2">
      <c r="C2984" s="15"/>
      <c r="D2984" s="15"/>
      <c r="E2984" s="15"/>
      <c r="F2984" s="15"/>
      <c r="G2984" s="15"/>
      <c r="H2984" s="15"/>
      <c r="I2984" s="15"/>
      <c r="J2984" s="15"/>
      <c r="K2984" s="15"/>
      <c r="L2984" s="28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5"/>
      <c r="AG2984" s="15"/>
      <c r="AH2984" s="15"/>
      <c r="AI2984" s="15"/>
      <c r="AJ2984" s="15"/>
      <c r="AK2984" s="15"/>
      <c r="AL2984" s="15"/>
      <c r="AM2984" s="15"/>
      <c r="AN2984" s="15"/>
      <c r="AO2984" s="15"/>
      <c r="AP2984" s="15"/>
      <c r="AQ2984" s="15"/>
      <c r="AR2984" s="15"/>
      <c r="AS2984" s="15"/>
      <c r="AT2984" s="15"/>
      <c r="AU2984" s="15"/>
      <c r="AV2984" s="15"/>
      <c r="AW2984" s="15"/>
    </row>
    <row r="2985" spans="3:49" x14ac:dyDescent="0.2">
      <c r="C2985" s="15"/>
      <c r="D2985" s="15"/>
      <c r="E2985" s="15"/>
      <c r="F2985" s="15"/>
      <c r="G2985" s="15"/>
      <c r="H2985" s="15"/>
      <c r="I2985" s="15"/>
      <c r="J2985" s="15"/>
      <c r="K2985" s="15"/>
      <c r="L2985" s="28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5"/>
      <c r="AG2985" s="15"/>
      <c r="AH2985" s="15"/>
      <c r="AI2985" s="15"/>
      <c r="AJ2985" s="15"/>
      <c r="AK2985" s="15"/>
      <c r="AL2985" s="15"/>
      <c r="AM2985" s="15"/>
      <c r="AN2985" s="15"/>
      <c r="AO2985" s="15"/>
      <c r="AP2985" s="15"/>
      <c r="AQ2985" s="15"/>
      <c r="AR2985" s="15"/>
      <c r="AS2985" s="15"/>
      <c r="AT2985" s="15"/>
      <c r="AU2985" s="15"/>
      <c r="AV2985" s="15"/>
      <c r="AW2985" s="15"/>
    </row>
    <row r="2986" spans="3:49" x14ac:dyDescent="0.2">
      <c r="C2986" s="15"/>
      <c r="D2986" s="15"/>
      <c r="E2986" s="15"/>
      <c r="F2986" s="15"/>
      <c r="G2986" s="15"/>
      <c r="H2986" s="15"/>
      <c r="I2986" s="15"/>
      <c r="J2986" s="15"/>
      <c r="K2986" s="15"/>
      <c r="L2986" s="28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5"/>
      <c r="AG2986" s="15"/>
      <c r="AH2986" s="15"/>
      <c r="AI2986" s="15"/>
      <c r="AJ2986" s="15"/>
      <c r="AK2986" s="15"/>
      <c r="AL2986" s="15"/>
      <c r="AM2986" s="15"/>
      <c r="AN2986" s="15"/>
      <c r="AO2986" s="15"/>
      <c r="AP2986" s="15"/>
      <c r="AQ2986" s="15"/>
      <c r="AR2986" s="15"/>
      <c r="AS2986" s="15"/>
      <c r="AT2986" s="15"/>
      <c r="AU2986" s="15"/>
      <c r="AV2986" s="15"/>
      <c r="AW2986" s="15"/>
    </row>
    <row r="2987" spans="3:49" x14ac:dyDescent="0.2">
      <c r="C2987" s="15"/>
      <c r="D2987" s="15"/>
      <c r="E2987" s="15"/>
      <c r="F2987" s="15"/>
      <c r="G2987" s="15"/>
      <c r="H2987" s="15"/>
      <c r="I2987" s="15"/>
      <c r="J2987" s="15"/>
      <c r="K2987" s="15"/>
      <c r="L2987" s="28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5"/>
      <c r="AG2987" s="15"/>
      <c r="AH2987" s="15"/>
      <c r="AI2987" s="15"/>
      <c r="AJ2987" s="15"/>
      <c r="AK2987" s="15"/>
      <c r="AL2987" s="15"/>
      <c r="AM2987" s="15"/>
      <c r="AN2987" s="15"/>
      <c r="AO2987" s="15"/>
      <c r="AP2987" s="15"/>
      <c r="AQ2987" s="15"/>
      <c r="AR2987" s="15"/>
      <c r="AS2987" s="15"/>
      <c r="AT2987" s="15"/>
      <c r="AU2987" s="15"/>
      <c r="AV2987" s="15"/>
      <c r="AW2987" s="15"/>
    </row>
    <row r="2988" spans="3:49" x14ac:dyDescent="0.2">
      <c r="C2988" s="15"/>
      <c r="D2988" s="15"/>
      <c r="E2988" s="15"/>
      <c r="F2988" s="15"/>
      <c r="G2988" s="15"/>
      <c r="H2988" s="15"/>
      <c r="I2988" s="15"/>
      <c r="J2988" s="15"/>
      <c r="K2988" s="15"/>
      <c r="L2988" s="28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5"/>
      <c r="AG2988" s="15"/>
      <c r="AH2988" s="15"/>
      <c r="AI2988" s="15"/>
      <c r="AJ2988" s="15"/>
      <c r="AK2988" s="15"/>
      <c r="AL2988" s="15"/>
      <c r="AM2988" s="15"/>
      <c r="AN2988" s="15"/>
      <c r="AO2988" s="15"/>
      <c r="AP2988" s="15"/>
      <c r="AQ2988" s="15"/>
      <c r="AR2988" s="15"/>
      <c r="AS2988" s="15"/>
      <c r="AT2988" s="15"/>
      <c r="AU2988" s="15"/>
      <c r="AV2988" s="15"/>
      <c r="AW2988" s="15"/>
    </row>
    <row r="2989" spans="3:49" x14ac:dyDescent="0.2">
      <c r="C2989" s="15"/>
      <c r="D2989" s="15"/>
      <c r="E2989" s="15"/>
      <c r="F2989" s="15"/>
      <c r="G2989" s="15"/>
      <c r="H2989" s="15"/>
      <c r="I2989" s="15"/>
      <c r="J2989" s="15"/>
      <c r="K2989" s="15"/>
      <c r="L2989" s="28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5"/>
      <c r="AG2989" s="15"/>
      <c r="AH2989" s="15"/>
      <c r="AI2989" s="15"/>
      <c r="AJ2989" s="15"/>
      <c r="AK2989" s="15"/>
      <c r="AL2989" s="15"/>
      <c r="AM2989" s="15"/>
      <c r="AN2989" s="15"/>
      <c r="AO2989" s="15"/>
      <c r="AP2989" s="15"/>
      <c r="AQ2989" s="15"/>
      <c r="AR2989" s="15"/>
      <c r="AS2989" s="15"/>
      <c r="AT2989" s="15"/>
      <c r="AU2989" s="15"/>
      <c r="AV2989" s="15"/>
      <c r="AW2989" s="15"/>
    </row>
    <row r="2990" spans="3:49" x14ac:dyDescent="0.2">
      <c r="C2990" s="15"/>
      <c r="D2990" s="15"/>
      <c r="E2990" s="15"/>
      <c r="F2990" s="15"/>
      <c r="G2990" s="15"/>
      <c r="H2990" s="15"/>
      <c r="I2990" s="15"/>
      <c r="J2990" s="15"/>
      <c r="K2990" s="15"/>
      <c r="L2990" s="28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5"/>
      <c r="AG2990" s="15"/>
      <c r="AH2990" s="15"/>
      <c r="AI2990" s="15"/>
      <c r="AJ2990" s="15"/>
      <c r="AK2990" s="15"/>
      <c r="AL2990" s="15"/>
      <c r="AM2990" s="15"/>
      <c r="AN2990" s="15"/>
      <c r="AO2990" s="15"/>
      <c r="AP2990" s="15"/>
      <c r="AQ2990" s="15"/>
      <c r="AR2990" s="15"/>
      <c r="AS2990" s="15"/>
      <c r="AT2990" s="15"/>
      <c r="AU2990" s="15"/>
      <c r="AV2990" s="15"/>
      <c r="AW2990" s="15"/>
    </row>
    <row r="2991" spans="3:49" x14ac:dyDescent="0.2">
      <c r="C2991" s="15"/>
      <c r="D2991" s="15"/>
      <c r="E2991" s="15"/>
      <c r="F2991" s="15"/>
      <c r="G2991" s="15"/>
      <c r="H2991" s="15"/>
      <c r="I2991" s="15"/>
      <c r="J2991" s="15"/>
      <c r="K2991" s="15"/>
      <c r="L2991" s="28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5"/>
      <c r="AG2991" s="15"/>
      <c r="AH2991" s="15"/>
      <c r="AI2991" s="15"/>
      <c r="AJ2991" s="15"/>
      <c r="AK2991" s="15"/>
      <c r="AL2991" s="15"/>
      <c r="AM2991" s="15"/>
      <c r="AN2991" s="15"/>
      <c r="AO2991" s="15"/>
      <c r="AP2991" s="15"/>
      <c r="AQ2991" s="15"/>
      <c r="AR2991" s="15"/>
      <c r="AS2991" s="15"/>
      <c r="AT2991" s="15"/>
      <c r="AU2991" s="15"/>
      <c r="AV2991" s="15"/>
      <c r="AW2991" s="15"/>
    </row>
    <row r="2992" spans="3:49" x14ac:dyDescent="0.2">
      <c r="C2992" s="15"/>
      <c r="D2992" s="15"/>
      <c r="E2992" s="15"/>
      <c r="F2992" s="15"/>
      <c r="G2992" s="15"/>
      <c r="H2992" s="15"/>
      <c r="I2992" s="15"/>
      <c r="J2992" s="15"/>
      <c r="K2992" s="15"/>
      <c r="L2992" s="28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5"/>
      <c r="AG2992" s="15"/>
      <c r="AH2992" s="15"/>
      <c r="AI2992" s="15"/>
      <c r="AJ2992" s="15"/>
      <c r="AK2992" s="15"/>
      <c r="AL2992" s="15"/>
      <c r="AM2992" s="15"/>
      <c r="AN2992" s="15"/>
      <c r="AO2992" s="15"/>
      <c r="AP2992" s="15"/>
      <c r="AQ2992" s="15"/>
      <c r="AR2992" s="15"/>
      <c r="AS2992" s="15"/>
      <c r="AT2992" s="15"/>
      <c r="AU2992" s="15"/>
      <c r="AV2992" s="15"/>
      <c r="AW2992" s="15"/>
    </row>
    <row r="2993" spans="3:49" x14ac:dyDescent="0.2">
      <c r="C2993" s="15"/>
      <c r="D2993" s="15"/>
      <c r="E2993" s="15"/>
      <c r="F2993" s="15"/>
      <c r="G2993" s="15"/>
      <c r="H2993" s="15"/>
      <c r="I2993" s="15"/>
      <c r="J2993" s="15"/>
      <c r="K2993" s="15"/>
      <c r="L2993" s="28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5"/>
      <c r="AG2993" s="15"/>
      <c r="AH2993" s="15"/>
      <c r="AI2993" s="15"/>
      <c r="AJ2993" s="15"/>
      <c r="AK2993" s="15"/>
      <c r="AL2993" s="15"/>
      <c r="AM2993" s="15"/>
      <c r="AN2993" s="15"/>
      <c r="AO2993" s="15"/>
      <c r="AP2993" s="15"/>
      <c r="AQ2993" s="15"/>
      <c r="AR2993" s="15"/>
      <c r="AS2993" s="15"/>
      <c r="AT2993" s="15"/>
      <c r="AU2993" s="15"/>
      <c r="AV2993" s="15"/>
      <c r="AW2993" s="15"/>
    </row>
    <row r="2994" spans="3:49" x14ac:dyDescent="0.2">
      <c r="C2994" s="15"/>
      <c r="D2994" s="15"/>
      <c r="E2994" s="15"/>
      <c r="F2994" s="15"/>
      <c r="G2994" s="15"/>
      <c r="H2994" s="15"/>
      <c r="I2994" s="15"/>
      <c r="J2994" s="15"/>
      <c r="K2994" s="15"/>
      <c r="L2994" s="28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5"/>
      <c r="AG2994" s="15"/>
      <c r="AH2994" s="15"/>
      <c r="AI2994" s="15"/>
      <c r="AJ2994" s="15"/>
      <c r="AK2994" s="15"/>
      <c r="AL2994" s="15"/>
      <c r="AM2994" s="15"/>
      <c r="AN2994" s="15"/>
      <c r="AO2994" s="15"/>
      <c r="AP2994" s="15"/>
      <c r="AQ2994" s="15"/>
      <c r="AR2994" s="15"/>
      <c r="AS2994" s="15"/>
      <c r="AT2994" s="15"/>
      <c r="AU2994" s="15"/>
      <c r="AV2994" s="15"/>
      <c r="AW2994" s="15"/>
    </row>
    <row r="2995" spans="3:49" x14ac:dyDescent="0.2">
      <c r="C2995" s="15"/>
      <c r="D2995" s="15"/>
      <c r="E2995" s="15"/>
      <c r="F2995" s="15"/>
      <c r="G2995" s="15"/>
      <c r="H2995" s="15"/>
      <c r="I2995" s="15"/>
      <c r="J2995" s="15"/>
      <c r="K2995" s="15"/>
      <c r="L2995" s="28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5"/>
      <c r="AG2995" s="15"/>
      <c r="AH2995" s="15"/>
      <c r="AI2995" s="15"/>
      <c r="AJ2995" s="15"/>
      <c r="AK2995" s="15"/>
      <c r="AL2995" s="15"/>
      <c r="AM2995" s="15"/>
      <c r="AN2995" s="15"/>
      <c r="AO2995" s="15"/>
      <c r="AP2995" s="15"/>
      <c r="AQ2995" s="15"/>
      <c r="AR2995" s="15"/>
      <c r="AS2995" s="15"/>
      <c r="AT2995" s="15"/>
      <c r="AU2995" s="15"/>
      <c r="AV2995" s="15"/>
      <c r="AW2995" s="15"/>
    </row>
    <row r="2996" spans="3:49" x14ac:dyDescent="0.2">
      <c r="C2996" s="15"/>
      <c r="D2996" s="15"/>
      <c r="E2996" s="15"/>
      <c r="F2996" s="15"/>
      <c r="G2996" s="15"/>
      <c r="H2996" s="15"/>
      <c r="I2996" s="15"/>
      <c r="J2996" s="15"/>
      <c r="K2996" s="15"/>
      <c r="L2996" s="28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5"/>
      <c r="AG2996" s="15"/>
      <c r="AH2996" s="15"/>
      <c r="AI2996" s="15"/>
      <c r="AJ2996" s="15"/>
      <c r="AK2996" s="15"/>
      <c r="AL2996" s="15"/>
      <c r="AM2996" s="15"/>
      <c r="AN2996" s="15"/>
      <c r="AO2996" s="15"/>
      <c r="AP2996" s="15"/>
      <c r="AQ2996" s="15"/>
      <c r="AR2996" s="15"/>
      <c r="AS2996" s="15"/>
      <c r="AT2996" s="15"/>
      <c r="AU2996" s="15"/>
      <c r="AV2996" s="15"/>
      <c r="AW2996" s="15"/>
    </row>
    <row r="2997" spans="3:49" x14ac:dyDescent="0.2">
      <c r="C2997" s="15"/>
      <c r="D2997" s="15"/>
      <c r="E2997" s="15"/>
      <c r="F2997" s="15"/>
      <c r="G2997" s="15"/>
      <c r="H2997" s="15"/>
      <c r="I2997" s="15"/>
      <c r="J2997" s="15"/>
      <c r="K2997" s="15"/>
      <c r="L2997" s="28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5"/>
      <c r="AG2997" s="15"/>
      <c r="AH2997" s="15"/>
      <c r="AI2997" s="15"/>
      <c r="AJ2997" s="15"/>
      <c r="AK2997" s="15"/>
      <c r="AL2997" s="15"/>
      <c r="AM2997" s="15"/>
      <c r="AN2997" s="15"/>
      <c r="AO2997" s="15"/>
      <c r="AP2997" s="15"/>
      <c r="AQ2997" s="15"/>
      <c r="AR2997" s="15"/>
      <c r="AS2997" s="15"/>
      <c r="AT2997" s="15"/>
      <c r="AU2997" s="15"/>
      <c r="AV2997" s="15"/>
      <c r="AW2997" s="15"/>
    </row>
    <row r="2998" spans="3:49" x14ac:dyDescent="0.2">
      <c r="C2998" s="15"/>
      <c r="D2998" s="15"/>
      <c r="E2998" s="15"/>
      <c r="F2998" s="15"/>
      <c r="G2998" s="15"/>
      <c r="H2998" s="15"/>
      <c r="I2998" s="15"/>
      <c r="J2998" s="15"/>
      <c r="K2998" s="15"/>
      <c r="L2998" s="28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5"/>
      <c r="AG2998" s="15"/>
      <c r="AH2998" s="15"/>
      <c r="AI2998" s="15"/>
      <c r="AJ2998" s="15"/>
      <c r="AK2998" s="15"/>
      <c r="AL2998" s="15"/>
      <c r="AM2998" s="15"/>
      <c r="AN2998" s="15"/>
      <c r="AO2998" s="15"/>
      <c r="AP2998" s="15"/>
      <c r="AQ2998" s="15"/>
      <c r="AR2998" s="15"/>
      <c r="AS2998" s="15"/>
      <c r="AT2998" s="15"/>
      <c r="AU2998" s="15"/>
      <c r="AV2998" s="15"/>
      <c r="AW2998" s="15"/>
    </row>
    <row r="2999" spans="3:49" x14ac:dyDescent="0.2">
      <c r="C2999" s="15"/>
      <c r="D2999" s="15"/>
      <c r="E2999" s="15"/>
      <c r="F2999" s="15"/>
      <c r="G2999" s="15"/>
      <c r="H2999" s="15"/>
      <c r="I2999" s="15"/>
      <c r="J2999" s="15"/>
      <c r="K2999" s="15"/>
      <c r="L2999" s="28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5"/>
      <c r="AG2999" s="15"/>
      <c r="AH2999" s="15"/>
      <c r="AI2999" s="15"/>
      <c r="AJ2999" s="15"/>
      <c r="AK2999" s="15"/>
      <c r="AL2999" s="15"/>
      <c r="AM2999" s="15"/>
      <c r="AN2999" s="15"/>
      <c r="AO2999" s="15"/>
      <c r="AP2999" s="15"/>
      <c r="AQ2999" s="15"/>
      <c r="AR2999" s="15"/>
      <c r="AS2999" s="15"/>
      <c r="AT2999" s="15"/>
      <c r="AU2999" s="15"/>
      <c r="AV2999" s="15"/>
      <c r="AW2999" s="15"/>
    </row>
    <row r="3000" spans="3:49" x14ac:dyDescent="0.2">
      <c r="C3000" s="15"/>
      <c r="D3000" s="15"/>
      <c r="E3000" s="15"/>
      <c r="F3000" s="15"/>
      <c r="G3000" s="15"/>
      <c r="H3000" s="15"/>
      <c r="I3000" s="15"/>
      <c r="J3000" s="15"/>
      <c r="K3000" s="15"/>
      <c r="L3000" s="28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5"/>
      <c r="AG3000" s="15"/>
      <c r="AH3000" s="15"/>
      <c r="AI3000" s="15"/>
      <c r="AJ3000" s="15"/>
      <c r="AK3000" s="15"/>
      <c r="AL3000" s="15"/>
      <c r="AM3000" s="15"/>
      <c r="AN3000" s="15"/>
      <c r="AO3000" s="15"/>
      <c r="AP3000" s="15"/>
      <c r="AQ3000" s="15"/>
      <c r="AR3000" s="15"/>
      <c r="AS3000" s="15"/>
      <c r="AT3000" s="15"/>
      <c r="AU3000" s="15"/>
      <c r="AV3000" s="15"/>
      <c r="AW3000" s="15"/>
    </row>
    <row r="3001" spans="3:49" x14ac:dyDescent="0.2">
      <c r="C3001" s="15"/>
      <c r="D3001" s="15"/>
      <c r="E3001" s="15"/>
      <c r="F3001" s="15"/>
      <c r="G3001" s="15"/>
      <c r="H3001" s="15"/>
      <c r="I3001" s="15"/>
      <c r="J3001" s="15"/>
      <c r="K3001" s="15"/>
      <c r="L3001" s="28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5"/>
      <c r="AG3001" s="15"/>
      <c r="AH3001" s="15"/>
      <c r="AI3001" s="15"/>
      <c r="AJ3001" s="15"/>
      <c r="AK3001" s="15"/>
      <c r="AL3001" s="15"/>
      <c r="AM3001" s="15"/>
      <c r="AN3001" s="15"/>
      <c r="AO3001" s="15"/>
      <c r="AP3001" s="15"/>
      <c r="AQ3001" s="15"/>
      <c r="AR3001" s="15"/>
      <c r="AS3001" s="15"/>
      <c r="AT3001" s="15"/>
      <c r="AU3001" s="15"/>
      <c r="AV3001" s="15"/>
      <c r="AW3001" s="15"/>
    </row>
    <row r="3002" spans="3:49" x14ac:dyDescent="0.2">
      <c r="C3002" s="15"/>
      <c r="D3002" s="15"/>
      <c r="E3002" s="15"/>
      <c r="F3002" s="15"/>
      <c r="G3002" s="15"/>
      <c r="H3002" s="15"/>
      <c r="I3002" s="15"/>
      <c r="J3002" s="15"/>
      <c r="K3002" s="15"/>
      <c r="L3002" s="28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5"/>
      <c r="AG3002" s="15"/>
      <c r="AH3002" s="15"/>
      <c r="AI3002" s="15"/>
      <c r="AJ3002" s="15"/>
      <c r="AK3002" s="15"/>
      <c r="AL3002" s="15"/>
      <c r="AM3002" s="15"/>
      <c r="AN3002" s="15"/>
      <c r="AO3002" s="15"/>
      <c r="AP3002" s="15"/>
      <c r="AQ3002" s="15"/>
      <c r="AR3002" s="15"/>
      <c r="AS3002" s="15"/>
      <c r="AT3002" s="15"/>
      <c r="AU3002" s="15"/>
      <c r="AV3002" s="15"/>
      <c r="AW3002" s="15"/>
    </row>
    <row r="3003" spans="3:49" x14ac:dyDescent="0.2">
      <c r="C3003" s="15"/>
      <c r="D3003" s="15"/>
      <c r="E3003" s="15"/>
      <c r="F3003" s="15"/>
      <c r="G3003" s="15"/>
      <c r="H3003" s="15"/>
      <c r="I3003" s="15"/>
      <c r="J3003" s="15"/>
      <c r="K3003" s="15"/>
      <c r="L3003" s="28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5"/>
      <c r="AG3003" s="15"/>
      <c r="AH3003" s="15"/>
      <c r="AI3003" s="15"/>
      <c r="AJ3003" s="15"/>
      <c r="AK3003" s="15"/>
      <c r="AL3003" s="15"/>
      <c r="AM3003" s="15"/>
      <c r="AN3003" s="15"/>
      <c r="AO3003" s="15"/>
      <c r="AP3003" s="15"/>
      <c r="AQ3003" s="15"/>
      <c r="AR3003" s="15"/>
      <c r="AS3003" s="15"/>
      <c r="AT3003" s="15"/>
      <c r="AU3003" s="15"/>
      <c r="AV3003" s="15"/>
      <c r="AW3003" s="15"/>
    </row>
    <row r="3004" spans="3:49" x14ac:dyDescent="0.2">
      <c r="C3004" s="15"/>
      <c r="D3004" s="15"/>
      <c r="E3004" s="15"/>
      <c r="F3004" s="15"/>
      <c r="G3004" s="15"/>
      <c r="H3004" s="15"/>
      <c r="I3004" s="15"/>
      <c r="J3004" s="15"/>
      <c r="K3004" s="15"/>
      <c r="L3004" s="28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5"/>
      <c r="AG3004" s="15"/>
      <c r="AH3004" s="15"/>
      <c r="AI3004" s="15"/>
      <c r="AJ3004" s="15"/>
      <c r="AK3004" s="15"/>
      <c r="AL3004" s="15"/>
      <c r="AM3004" s="15"/>
      <c r="AN3004" s="15"/>
      <c r="AO3004" s="15"/>
      <c r="AP3004" s="15"/>
      <c r="AQ3004" s="15"/>
      <c r="AR3004" s="15"/>
      <c r="AS3004" s="15"/>
      <c r="AT3004" s="15"/>
      <c r="AU3004" s="15"/>
      <c r="AV3004" s="15"/>
      <c r="AW3004" s="15"/>
    </row>
    <row r="3005" spans="3:49" x14ac:dyDescent="0.2">
      <c r="C3005" s="15"/>
      <c r="D3005" s="15"/>
      <c r="E3005" s="15"/>
      <c r="F3005" s="15"/>
      <c r="G3005" s="15"/>
      <c r="H3005" s="15"/>
      <c r="I3005" s="15"/>
      <c r="J3005" s="15"/>
      <c r="K3005" s="15"/>
      <c r="L3005" s="28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5"/>
      <c r="AG3005" s="15"/>
      <c r="AH3005" s="15"/>
      <c r="AI3005" s="15"/>
      <c r="AJ3005" s="15"/>
      <c r="AK3005" s="15"/>
      <c r="AL3005" s="15"/>
      <c r="AM3005" s="15"/>
      <c r="AN3005" s="15"/>
      <c r="AO3005" s="15"/>
      <c r="AP3005" s="15"/>
      <c r="AQ3005" s="15"/>
      <c r="AR3005" s="15"/>
      <c r="AS3005" s="15"/>
      <c r="AT3005" s="15"/>
      <c r="AU3005" s="15"/>
      <c r="AV3005" s="15"/>
      <c r="AW3005" s="15"/>
    </row>
    <row r="3006" spans="3:49" x14ac:dyDescent="0.2">
      <c r="C3006" s="15"/>
      <c r="D3006" s="15"/>
      <c r="E3006" s="15"/>
      <c r="F3006" s="15"/>
      <c r="G3006" s="15"/>
      <c r="H3006" s="15"/>
      <c r="I3006" s="15"/>
      <c r="J3006" s="15"/>
      <c r="K3006" s="15"/>
      <c r="L3006" s="28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5"/>
      <c r="AG3006" s="15"/>
      <c r="AH3006" s="15"/>
      <c r="AI3006" s="15"/>
      <c r="AJ3006" s="15"/>
      <c r="AK3006" s="15"/>
      <c r="AL3006" s="15"/>
      <c r="AM3006" s="15"/>
      <c r="AN3006" s="15"/>
      <c r="AO3006" s="15"/>
      <c r="AP3006" s="15"/>
      <c r="AQ3006" s="15"/>
      <c r="AR3006" s="15"/>
      <c r="AS3006" s="15"/>
      <c r="AT3006" s="15"/>
      <c r="AU3006" s="15"/>
      <c r="AV3006" s="15"/>
      <c r="AW3006" s="15"/>
    </row>
    <row r="3007" spans="3:49" x14ac:dyDescent="0.2">
      <c r="C3007" s="15"/>
      <c r="D3007" s="15"/>
      <c r="E3007" s="15"/>
      <c r="F3007" s="15"/>
      <c r="G3007" s="15"/>
      <c r="H3007" s="15"/>
      <c r="I3007" s="15"/>
      <c r="J3007" s="15"/>
      <c r="K3007" s="15"/>
      <c r="L3007" s="28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5"/>
      <c r="AG3007" s="15"/>
      <c r="AH3007" s="15"/>
      <c r="AI3007" s="15"/>
      <c r="AJ3007" s="15"/>
      <c r="AK3007" s="15"/>
      <c r="AL3007" s="15"/>
      <c r="AM3007" s="15"/>
      <c r="AN3007" s="15"/>
      <c r="AO3007" s="15"/>
      <c r="AP3007" s="15"/>
      <c r="AQ3007" s="15"/>
      <c r="AR3007" s="15"/>
      <c r="AS3007" s="15"/>
      <c r="AT3007" s="15"/>
      <c r="AU3007" s="15"/>
      <c r="AV3007" s="15"/>
      <c r="AW3007" s="15"/>
    </row>
    <row r="3008" spans="3:49" x14ac:dyDescent="0.2">
      <c r="C3008" s="15"/>
      <c r="D3008" s="15"/>
      <c r="E3008" s="15"/>
      <c r="F3008" s="15"/>
      <c r="G3008" s="15"/>
      <c r="H3008" s="15"/>
      <c r="I3008" s="15"/>
      <c r="J3008" s="15"/>
      <c r="K3008" s="15"/>
      <c r="L3008" s="28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5"/>
      <c r="AG3008" s="15"/>
      <c r="AH3008" s="15"/>
      <c r="AI3008" s="15"/>
      <c r="AJ3008" s="15"/>
      <c r="AK3008" s="15"/>
      <c r="AL3008" s="15"/>
      <c r="AM3008" s="15"/>
      <c r="AN3008" s="15"/>
      <c r="AO3008" s="15"/>
      <c r="AP3008" s="15"/>
      <c r="AQ3008" s="15"/>
      <c r="AR3008" s="15"/>
      <c r="AS3008" s="15"/>
      <c r="AT3008" s="15"/>
      <c r="AU3008" s="15"/>
      <c r="AV3008" s="15"/>
      <c r="AW3008" s="15"/>
    </row>
    <row r="3009" spans="3:49" x14ac:dyDescent="0.2">
      <c r="C3009" s="15"/>
      <c r="D3009" s="15"/>
      <c r="E3009" s="15"/>
      <c r="F3009" s="15"/>
      <c r="G3009" s="15"/>
      <c r="H3009" s="15"/>
      <c r="I3009" s="15"/>
      <c r="J3009" s="15"/>
      <c r="K3009" s="15"/>
      <c r="L3009" s="28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5"/>
      <c r="AG3009" s="15"/>
      <c r="AH3009" s="15"/>
      <c r="AI3009" s="15"/>
      <c r="AJ3009" s="15"/>
      <c r="AK3009" s="15"/>
      <c r="AL3009" s="15"/>
      <c r="AM3009" s="15"/>
      <c r="AN3009" s="15"/>
      <c r="AO3009" s="15"/>
      <c r="AP3009" s="15"/>
      <c r="AQ3009" s="15"/>
      <c r="AR3009" s="15"/>
      <c r="AS3009" s="15"/>
      <c r="AT3009" s="15"/>
      <c r="AU3009" s="15"/>
      <c r="AV3009" s="15"/>
      <c r="AW3009" s="15"/>
    </row>
    <row r="3010" spans="3:49" x14ac:dyDescent="0.2">
      <c r="C3010" s="15"/>
      <c r="D3010" s="15"/>
      <c r="E3010" s="15"/>
      <c r="F3010" s="15"/>
      <c r="G3010" s="15"/>
      <c r="H3010" s="15"/>
      <c r="I3010" s="15"/>
      <c r="J3010" s="15"/>
      <c r="K3010" s="15"/>
      <c r="L3010" s="28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5"/>
      <c r="AG3010" s="15"/>
      <c r="AH3010" s="15"/>
      <c r="AI3010" s="15"/>
      <c r="AJ3010" s="15"/>
      <c r="AK3010" s="15"/>
      <c r="AL3010" s="15"/>
      <c r="AM3010" s="15"/>
      <c r="AN3010" s="15"/>
      <c r="AO3010" s="15"/>
      <c r="AP3010" s="15"/>
      <c r="AQ3010" s="15"/>
      <c r="AR3010" s="15"/>
      <c r="AS3010" s="15"/>
      <c r="AT3010" s="15"/>
      <c r="AU3010" s="15"/>
      <c r="AV3010" s="15"/>
      <c r="AW3010" s="15"/>
    </row>
    <row r="3011" spans="3:49" x14ac:dyDescent="0.2">
      <c r="C3011" s="15"/>
      <c r="D3011" s="15"/>
      <c r="E3011" s="15"/>
      <c r="F3011" s="15"/>
      <c r="G3011" s="15"/>
      <c r="H3011" s="15"/>
      <c r="I3011" s="15"/>
      <c r="J3011" s="15"/>
      <c r="K3011" s="15"/>
      <c r="L3011" s="28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5"/>
      <c r="AG3011" s="15"/>
      <c r="AH3011" s="15"/>
      <c r="AI3011" s="15"/>
      <c r="AJ3011" s="15"/>
      <c r="AK3011" s="15"/>
      <c r="AL3011" s="15"/>
      <c r="AM3011" s="15"/>
      <c r="AN3011" s="15"/>
      <c r="AO3011" s="15"/>
      <c r="AP3011" s="15"/>
      <c r="AQ3011" s="15"/>
      <c r="AR3011" s="15"/>
      <c r="AS3011" s="15"/>
      <c r="AT3011" s="15"/>
      <c r="AU3011" s="15"/>
      <c r="AV3011" s="15"/>
      <c r="AW3011" s="15"/>
    </row>
    <row r="3012" spans="3:49" x14ac:dyDescent="0.2">
      <c r="C3012" s="15"/>
      <c r="D3012" s="15"/>
      <c r="E3012" s="15"/>
      <c r="F3012" s="15"/>
      <c r="G3012" s="15"/>
      <c r="H3012" s="15"/>
      <c r="I3012" s="15"/>
      <c r="J3012" s="15"/>
      <c r="K3012" s="15"/>
      <c r="L3012" s="28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5"/>
      <c r="AG3012" s="15"/>
      <c r="AH3012" s="15"/>
      <c r="AI3012" s="15"/>
      <c r="AJ3012" s="15"/>
      <c r="AK3012" s="15"/>
      <c r="AL3012" s="15"/>
      <c r="AM3012" s="15"/>
      <c r="AN3012" s="15"/>
      <c r="AO3012" s="15"/>
      <c r="AP3012" s="15"/>
      <c r="AQ3012" s="15"/>
      <c r="AR3012" s="15"/>
      <c r="AS3012" s="15"/>
      <c r="AT3012" s="15"/>
      <c r="AU3012" s="15"/>
      <c r="AV3012" s="15"/>
      <c r="AW3012" s="15"/>
    </row>
    <row r="3013" spans="3:49" x14ac:dyDescent="0.2">
      <c r="C3013" s="15"/>
      <c r="D3013" s="15"/>
      <c r="E3013" s="15"/>
      <c r="F3013" s="15"/>
      <c r="G3013" s="15"/>
      <c r="H3013" s="15"/>
      <c r="I3013" s="15"/>
      <c r="J3013" s="15"/>
      <c r="K3013" s="15"/>
      <c r="L3013" s="28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5"/>
      <c r="AG3013" s="15"/>
      <c r="AH3013" s="15"/>
      <c r="AI3013" s="15"/>
      <c r="AJ3013" s="15"/>
      <c r="AK3013" s="15"/>
      <c r="AL3013" s="15"/>
      <c r="AM3013" s="15"/>
      <c r="AN3013" s="15"/>
      <c r="AO3013" s="15"/>
      <c r="AP3013" s="15"/>
      <c r="AQ3013" s="15"/>
      <c r="AR3013" s="15"/>
      <c r="AS3013" s="15"/>
      <c r="AT3013" s="15"/>
      <c r="AU3013" s="15"/>
      <c r="AV3013" s="15"/>
      <c r="AW3013" s="15"/>
    </row>
    <row r="3014" spans="3:49" x14ac:dyDescent="0.2">
      <c r="C3014" s="15"/>
      <c r="D3014" s="15"/>
      <c r="E3014" s="15"/>
      <c r="F3014" s="15"/>
      <c r="G3014" s="15"/>
      <c r="H3014" s="15"/>
      <c r="I3014" s="15"/>
      <c r="J3014" s="15"/>
      <c r="K3014" s="15"/>
      <c r="L3014" s="28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5"/>
      <c r="AG3014" s="15"/>
      <c r="AH3014" s="15"/>
      <c r="AI3014" s="15"/>
      <c r="AJ3014" s="15"/>
      <c r="AK3014" s="15"/>
      <c r="AL3014" s="15"/>
      <c r="AM3014" s="15"/>
      <c r="AN3014" s="15"/>
      <c r="AO3014" s="15"/>
      <c r="AP3014" s="15"/>
      <c r="AQ3014" s="15"/>
      <c r="AR3014" s="15"/>
      <c r="AS3014" s="15"/>
      <c r="AT3014" s="15"/>
      <c r="AU3014" s="15"/>
      <c r="AV3014" s="15"/>
      <c r="AW3014" s="15"/>
    </row>
    <row r="3015" spans="3:49" x14ac:dyDescent="0.2">
      <c r="C3015" s="15"/>
      <c r="D3015" s="15"/>
      <c r="E3015" s="15"/>
      <c r="F3015" s="15"/>
      <c r="G3015" s="15"/>
      <c r="H3015" s="15"/>
      <c r="I3015" s="15"/>
      <c r="J3015" s="15"/>
      <c r="K3015" s="15"/>
      <c r="L3015" s="28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5"/>
      <c r="AG3015" s="15"/>
      <c r="AH3015" s="15"/>
      <c r="AI3015" s="15"/>
      <c r="AJ3015" s="15"/>
      <c r="AK3015" s="15"/>
      <c r="AL3015" s="15"/>
      <c r="AM3015" s="15"/>
      <c r="AN3015" s="15"/>
      <c r="AO3015" s="15"/>
      <c r="AP3015" s="15"/>
      <c r="AQ3015" s="15"/>
      <c r="AR3015" s="15"/>
      <c r="AS3015" s="15"/>
      <c r="AT3015" s="15"/>
      <c r="AU3015" s="15"/>
      <c r="AV3015" s="15"/>
      <c r="AW3015" s="15"/>
    </row>
    <row r="3016" spans="3:49" x14ac:dyDescent="0.2">
      <c r="C3016" s="15"/>
      <c r="D3016" s="15"/>
      <c r="E3016" s="15"/>
      <c r="F3016" s="15"/>
      <c r="G3016" s="15"/>
      <c r="H3016" s="15"/>
      <c r="I3016" s="15"/>
      <c r="J3016" s="15"/>
      <c r="K3016" s="15"/>
      <c r="L3016" s="28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5"/>
      <c r="AG3016" s="15"/>
      <c r="AH3016" s="15"/>
      <c r="AI3016" s="15"/>
      <c r="AJ3016" s="15"/>
      <c r="AK3016" s="15"/>
      <c r="AL3016" s="15"/>
      <c r="AM3016" s="15"/>
      <c r="AN3016" s="15"/>
      <c r="AO3016" s="15"/>
      <c r="AP3016" s="15"/>
      <c r="AQ3016" s="15"/>
      <c r="AR3016" s="15"/>
      <c r="AS3016" s="15"/>
      <c r="AT3016" s="15"/>
      <c r="AU3016" s="15"/>
      <c r="AV3016" s="15"/>
      <c r="AW3016" s="15"/>
    </row>
    <row r="3017" spans="3:49" x14ac:dyDescent="0.2">
      <c r="C3017" s="15"/>
      <c r="D3017" s="15"/>
      <c r="E3017" s="15"/>
      <c r="F3017" s="15"/>
      <c r="G3017" s="15"/>
      <c r="H3017" s="15"/>
      <c r="I3017" s="15"/>
      <c r="J3017" s="15"/>
      <c r="K3017" s="15"/>
      <c r="L3017" s="28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5"/>
      <c r="AG3017" s="15"/>
      <c r="AH3017" s="15"/>
      <c r="AI3017" s="15"/>
      <c r="AJ3017" s="15"/>
      <c r="AK3017" s="15"/>
      <c r="AL3017" s="15"/>
      <c r="AM3017" s="15"/>
      <c r="AN3017" s="15"/>
      <c r="AO3017" s="15"/>
      <c r="AP3017" s="15"/>
      <c r="AQ3017" s="15"/>
      <c r="AR3017" s="15"/>
      <c r="AS3017" s="15"/>
      <c r="AT3017" s="15"/>
      <c r="AU3017" s="15"/>
      <c r="AV3017" s="15"/>
      <c r="AW3017" s="15"/>
    </row>
    <row r="3018" spans="3:49" x14ac:dyDescent="0.2">
      <c r="C3018" s="15"/>
      <c r="D3018" s="15"/>
      <c r="E3018" s="15"/>
      <c r="F3018" s="15"/>
      <c r="G3018" s="15"/>
      <c r="H3018" s="15"/>
      <c r="I3018" s="15"/>
      <c r="J3018" s="15"/>
      <c r="K3018" s="15"/>
      <c r="L3018" s="28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5"/>
      <c r="AG3018" s="15"/>
      <c r="AH3018" s="15"/>
      <c r="AI3018" s="15"/>
      <c r="AJ3018" s="15"/>
      <c r="AK3018" s="15"/>
      <c r="AL3018" s="15"/>
      <c r="AM3018" s="15"/>
      <c r="AN3018" s="15"/>
      <c r="AO3018" s="15"/>
      <c r="AP3018" s="15"/>
      <c r="AQ3018" s="15"/>
      <c r="AR3018" s="15"/>
      <c r="AS3018" s="15"/>
      <c r="AT3018" s="15"/>
      <c r="AU3018" s="15"/>
      <c r="AV3018" s="15"/>
      <c r="AW3018" s="15"/>
    </row>
    <row r="3019" spans="3:49" x14ac:dyDescent="0.2">
      <c r="C3019" s="15"/>
      <c r="D3019" s="15"/>
      <c r="E3019" s="15"/>
      <c r="F3019" s="15"/>
      <c r="G3019" s="15"/>
      <c r="H3019" s="15"/>
      <c r="I3019" s="15"/>
      <c r="J3019" s="15"/>
      <c r="K3019" s="15"/>
      <c r="L3019" s="28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5"/>
      <c r="AG3019" s="15"/>
      <c r="AH3019" s="15"/>
      <c r="AI3019" s="15"/>
      <c r="AJ3019" s="15"/>
      <c r="AK3019" s="15"/>
      <c r="AL3019" s="15"/>
      <c r="AM3019" s="15"/>
      <c r="AN3019" s="15"/>
      <c r="AO3019" s="15"/>
      <c r="AP3019" s="15"/>
      <c r="AQ3019" s="15"/>
      <c r="AR3019" s="15"/>
      <c r="AS3019" s="15"/>
      <c r="AT3019" s="15"/>
      <c r="AU3019" s="15"/>
      <c r="AV3019" s="15"/>
      <c r="AW3019" s="15"/>
    </row>
    <row r="3020" spans="3:49" x14ac:dyDescent="0.2">
      <c r="C3020" s="15"/>
      <c r="D3020" s="15"/>
      <c r="E3020" s="15"/>
      <c r="F3020" s="15"/>
      <c r="G3020" s="15"/>
      <c r="H3020" s="15"/>
      <c r="I3020" s="15"/>
      <c r="J3020" s="15"/>
      <c r="K3020" s="15"/>
      <c r="L3020" s="28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5"/>
      <c r="AG3020" s="15"/>
      <c r="AH3020" s="15"/>
      <c r="AI3020" s="15"/>
      <c r="AJ3020" s="15"/>
      <c r="AK3020" s="15"/>
      <c r="AL3020" s="15"/>
      <c r="AM3020" s="15"/>
      <c r="AN3020" s="15"/>
      <c r="AO3020" s="15"/>
      <c r="AP3020" s="15"/>
      <c r="AQ3020" s="15"/>
      <c r="AR3020" s="15"/>
      <c r="AS3020" s="15"/>
      <c r="AT3020" s="15"/>
      <c r="AU3020" s="15"/>
      <c r="AV3020" s="15"/>
      <c r="AW3020" s="15"/>
    </row>
    <row r="3021" spans="3:49" x14ac:dyDescent="0.2">
      <c r="C3021" s="15"/>
      <c r="D3021" s="15"/>
      <c r="E3021" s="15"/>
      <c r="F3021" s="15"/>
      <c r="G3021" s="15"/>
      <c r="H3021" s="15"/>
      <c r="I3021" s="15"/>
      <c r="J3021" s="15"/>
      <c r="K3021" s="15"/>
      <c r="L3021" s="28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5"/>
      <c r="AG3021" s="15"/>
      <c r="AH3021" s="15"/>
      <c r="AI3021" s="15"/>
      <c r="AJ3021" s="15"/>
      <c r="AK3021" s="15"/>
      <c r="AL3021" s="15"/>
      <c r="AM3021" s="15"/>
      <c r="AN3021" s="15"/>
      <c r="AO3021" s="15"/>
      <c r="AP3021" s="15"/>
      <c r="AQ3021" s="15"/>
      <c r="AR3021" s="15"/>
      <c r="AS3021" s="15"/>
      <c r="AT3021" s="15"/>
      <c r="AU3021" s="15"/>
      <c r="AV3021" s="15"/>
      <c r="AW3021" s="15"/>
    </row>
    <row r="3022" spans="3:49" x14ac:dyDescent="0.2">
      <c r="C3022" s="15"/>
      <c r="D3022" s="15"/>
      <c r="E3022" s="15"/>
      <c r="F3022" s="15"/>
      <c r="G3022" s="15"/>
      <c r="H3022" s="15"/>
      <c r="I3022" s="15"/>
      <c r="J3022" s="15"/>
      <c r="K3022" s="15"/>
      <c r="L3022" s="28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5"/>
      <c r="AG3022" s="15"/>
      <c r="AH3022" s="15"/>
      <c r="AI3022" s="15"/>
      <c r="AJ3022" s="15"/>
      <c r="AK3022" s="15"/>
      <c r="AL3022" s="15"/>
      <c r="AM3022" s="15"/>
      <c r="AN3022" s="15"/>
      <c r="AO3022" s="15"/>
      <c r="AP3022" s="15"/>
      <c r="AQ3022" s="15"/>
      <c r="AR3022" s="15"/>
      <c r="AS3022" s="15"/>
      <c r="AT3022" s="15"/>
      <c r="AU3022" s="15"/>
      <c r="AV3022" s="15"/>
      <c r="AW3022" s="15"/>
    </row>
    <row r="3023" spans="3:49" x14ac:dyDescent="0.2">
      <c r="C3023" s="15"/>
      <c r="D3023" s="15"/>
      <c r="E3023" s="15"/>
      <c r="F3023" s="15"/>
      <c r="G3023" s="15"/>
      <c r="H3023" s="15"/>
      <c r="I3023" s="15"/>
      <c r="J3023" s="15"/>
      <c r="K3023" s="15"/>
      <c r="L3023" s="28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5"/>
      <c r="AG3023" s="15"/>
      <c r="AH3023" s="15"/>
      <c r="AI3023" s="15"/>
      <c r="AJ3023" s="15"/>
      <c r="AK3023" s="15"/>
      <c r="AL3023" s="15"/>
      <c r="AM3023" s="15"/>
      <c r="AN3023" s="15"/>
      <c r="AO3023" s="15"/>
      <c r="AP3023" s="15"/>
      <c r="AQ3023" s="15"/>
      <c r="AR3023" s="15"/>
      <c r="AS3023" s="15"/>
      <c r="AT3023" s="15"/>
      <c r="AU3023" s="15"/>
      <c r="AV3023" s="15"/>
      <c r="AW3023" s="15"/>
    </row>
    <row r="3024" spans="3:49" x14ac:dyDescent="0.2">
      <c r="C3024" s="15"/>
      <c r="D3024" s="15"/>
      <c r="E3024" s="15"/>
      <c r="F3024" s="15"/>
      <c r="G3024" s="15"/>
      <c r="H3024" s="15"/>
      <c r="I3024" s="15"/>
      <c r="J3024" s="15"/>
      <c r="K3024" s="15"/>
      <c r="L3024" s="28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5"/>
      <c r="AG3024" s="15"/>
      <c r="AH3024" s="15"/>
      <c r="AI3024" s="15"/>
      <c r="AJ3024" s="15"/>
      <c r="AK3024" s="15"/>
      <c r="AL3024" s="15"/>
      <c r="AM3024" s="15"/>
      <c r="AN3024" s="15"/>
      <c r="AO3024" s="15"/>
      <c r="AP3024" s="15"/>
      <c r="AQ3024" s="15"/>
      <c r="AR3024" s="15"/>
      <c r="AS3024" s="15"/>
      <c r="AT3024" s="15"/>
      <c r="AU3024" s="15"/>
      <c r="AV3024" s="15"/>
      <c r="AW3024" s="15"/>
    </row>
    <row r="3025" spans="3:49" x14ac:dyDescent="0.2">
      <c r="C3025" s="15"/>
      <c r="D3025" s="15"/>
      <c r="E3025" s="15"/>
      <c r="F3025" s="15"/>
      <c r="G3025" s="15"/>
      <c r="H3025" s="15"/>
      <c r="I3025" s="15"/>
      <c r="J3025" s="15"/>
      <c r="K3025" s="15"/>
      <c r="L3025" s="28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5"/>
      <c r="AG3025" s="15"/>
      <c r="AH3025" s="15"/>
      <c r="AI3025" s="15"/>
      <c r="AJ3025" s="15"/>
      <c r="AK3025" s="15"/>
      <c r="AL3025" s="15"/>
      <c r="AM3025" s="15"/>
      <c r="AN3025" s="15"/>
      <c r="AO3025" s="15"/>
      <c r="AP3025" s="15"/>
      <c r="AQ3025" s="15"/>
      <c r="AR3025" s="15"/>
      <c r="AS3025" s="15"/>
      <c r="AT3025" s="15"/>
      <c r="AU3025" s="15"/>
      <c r="AV3025" s="15"/>
      <c r="AW3025" s="15"/>
    </row>
    <row r="3026" spans="3:49" x14ac:dyDescent="0.2">
      <c r="C3026" s="15"/>
      <c r="D3026" s="15"/>
      <c r="E3026" s="15"/>
      <c r="F3026" s="15"/>
      <c r="G3026" s="15"/>
      <c r="H3026" s="15"/>
      <c r="I3026" s="15"/>
      <c r="J3026" s="15"/>
      <c r="K3026" s="15"/>
      <c r="L3026" s="28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5"/>
      <c r="AG3026" s="15"/>
      <c r="AH3026" s="15"/>
      <c r="AI3026" s="15"/>
      <c r="AJ3026" s="15"/>
      <c r="AK3026" s="15"/>
      <c r="AL3026" s="15"/>
      <c r="AM3026" s="15"/>
      <c r="AN3026" s="15"/>
      <c r="AO3026" s="15"/>
      <c r="AP3026" s="15"/>
      <c r="AQ3026" s="15"/>
      <c r="AR3026" s="15"/>
      <c r="AS3026" s="15"/>
      <c r="AT3026" s="15"/>
      <c r="AU3026" s="15"/>
      <c r="AV3026" s="15"/>
      <c r="AW3026" s="15"/>
    </row>
    <row r="3027" spans="3:49" x14ac:dyDescent="0.2">
      <c r="C3027" s="15"/>
      <c r="D3027" s="15"/>
      <c r="E3027" s="15"/>
      <c r="F3027" s="15"/>
      <c r="G3027" s="15"/>
      <c r="H3027" s="15"/>
      <c r="I3027" s="15"/>
      <c r="J3027" s="15"/>
      <c r="K3027" s="15"/>
      <c r="L3027" s="28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5"/>
      <c r="AG3027" s="15"/>
      <c r="AH3027" s="15"/>
      <c r="AI3027" s="15"/>
      <c r="AJ3027" s="15"/>
      <c r="AK3027" s="15"/>
      <c r="AL3027" s="15"/>
      <c r="AM3027" s="15"/>
      <c r="AN3027" s="15"/>
      <c r="AO3027" s="15"/>
      <c r="AP3027" s="15"/>
      <c r="AQ3027" s="15"/>
      <c r="AR3027" s="15"/>
      <c r="AS3027" s="15"/>
      <c r="AT3027" s="15"/>
      <c r="AU3027" s="15"/>
      <c r="AV3027" s="15"/>
      <c r="AW3027" s="15"/>
    </row>
    <row r="3028" spans="3:49" x14ac:dyDescent="0.2">
      <c r="C3028" s="15"/>
      <c r="D3028" s="15"/>
      <c r="E3028" s="15"/>
      <c r="F3028" s="15"/>
      <c r="G3028" s="15"/>
      <c r="H3028" s="15"/>
      <c r="I3028" s="15"/>
      <c r="J3028" s="15"/>
      <c r="K3028" s="15"/>
      <c r="L3028" s="28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5"/>
      <c r="AG3028" s="15"/>
      <c r="AH3028" s="15"/>
      <c r="AI3028" s="15"/>
      <c r="AJ3028" s="15"/>
      <c r="AK3028" s="15"/>
      <c r="AL3028" s="15"/>
      <c r="AM3028" s="15"/>
      <c r="AN3028" s="15"/>
      <c r="AO3028" s="15"/>
      <c r="AP3028" s="15"/>
      <c r="AQ3028" s="15"/>
      <c r="AR3028" s="15"/>
      <c r="AS3028" s="15"/>
      <c r="AT3028" s="15"/>
      <c r="AU3028" s="15"/>
      <c r="AV3028" s="15"/>
      <c r="AW3028" s="15"/>
    </row>
    <row r="3029" spans="3:49" x14ac:dyDescent="0.2">
      <c r="C3029" s="15"/>
      <c r="D3029" s="15"/>
      <c r="E3029" s="15"/>
      <c r="F3029" s="15"/>
      <c r="G3029" s="15"/>
      <c r="H3029" s="15"/>
      <c r="I3029" s="15"/>
      <c r="J3029" s="15"/>
      <c r="K3029" s="15"/>
      <c r="L3029" s="28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5"/>
      <c r="AG3029" s="15"/>
      <c r="AH3029" s="15"/>
      <c r="AI3029" s="15"/>
      <c r="AJ3029" s="15"/>
      <c r="AK3029" s="15"/>
      <c r="AL3029" s="15"/>
      <c r="AM3029" s="15"/>
      <c r="AN3029" s="15"/>
      <c r="AO3029" s="15"/>
      <c r="AP3029" s="15"/>
      <c r="AQ3029" s="15"/>
      <c r="AR3029" s="15"/>
      <c r="AS3029" s="15"/>
      <c r="AT3029" s="15"/>
      <c r="AU3029" s="15"/>
      <c r="AV3029" s="15"/>
      <c r="AW3029" s="15"/>
    </row>
    <row r="3030" spans="3:49" x14ac:dyDescent="0.2">
      <c r="C3030" s="15"/>
      <c r="D3030" s="15"/>
      <c r="E3030" s="15"/>
      <c r="F3030" s="15"/>
      <c r="G3030" s="15"/>
      <c r="H3030" s="15"/>
      <c r="I3030" s="15"/>
      <c r="J3030" s="15"/>
      <c r="K3030" s="15"/>
      <c r="L3030" s="28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5"/>
      <c r="AG3030" s="15"/>
      <c r="AH3030" s="15"/>
      <c r="AI3030" s="15"/>
      <c r="AJ3030" s="15"/>
      <c r="AK3030" s="15"/>
      <c r="AL3030" s="15"/>
      <c r="AM3030" s="15"/>
      <c r="AN3030" s="15"/>
      <c r="AO3030" s="15"/>
      <c r="AP3030" s="15"/>
      <c r="AQ3030" s="15"/>
      <c r="AR3030" s="15"/>
      <c r="AS3030" s="15"/>
      <c r="AT3030" s="15"/>
      <c r="AU3030" s="15"/>
      <c r="AV3030" s="15"/>
      <c r="AW3030" s="15"/>
    </row>
    <row r="3031" spans="3:49" x14ac:dyDescent="0.2">
      <c r="C3031" s="15"/>
      <c r="D3031" s="15"/>
      <c r="E3031" s="15"/>
      <c r="F3031" s="15"/>
      <c r="G3031" s="15"/>
      <c r="H3031" s="15"/>
      <c r="I3031" s="15"/>
      <c r="J3031" s="15"/>
      <c r="K3031" s="15"/>
      <c r="L3031" s="28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5"/>
      <c r="AG3031" s="15"/>
      <c r="AH3031" s="15"/>
      <c r="AI3031" s="15"/>
      <c r="AJ3031" s="15"/>
      <c r="AK3031" s="15"/>
      <c r="AL3031" s="15"/>
      <c r="AM3031" s="15"/>
      <c r="AN3031" s="15"/>
      <c r="AO3031" s="15"/>
      <c r="AP3031" s="15"/>
      <c r="AQ3031" s="15"/>
      <c r="AR3031" s="15"/>
      <c r="AS3031" s="15"/>
      <c r="AT3031" s="15"/>
      <c r="AU3031" s="15"/>
      <c r="AV3031" s="15"/>
      <c r="AW3031" s="15"/>
    </row>
    <row r="3032" spans="3:49" x14ac:dyDescent="0.2">
      <c r="C3032" s="15"/>
      <c r="D3032" s="15"/>
      <c r="E3032" s="15"/>
      <c r="F3032" s="15"/>
      <c r="G3032" s="15"/>
      <c r="H3032" s="15"/>
      <c r="I3032" s="15"/>
      <c r="J3032" s="15"/>
      <c r="K3032" s="15"/>
      <c r="L3032" s="28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5"/>
      <c r="AG3032" s="15"/>
      <c r="AH3032" s="15"/>
      <c r="AI3032" s="15"/>
      <c r="AJ3032" s="15"/>
      <c r="AK3032" s="15"/>
      <c r="AL3032" s="15"/>
      <c r="AM3032" s="15"/>
      <c r="AN3032" s="15"/>
      <c r="AO3032" s="15"/>
      <c r="AP3032" s="15"/>
      <c r="AQ3032" s="15"/>
      <c r="AR3032" s="15"/>
      <c r="AS3032" s="15"/>
      <c r="AT3032" s="15"/>
      <c r="AU3032" s="15"/>
      <c r="AV3032" s="15"/>
      <c r="AW3032" s="15"/>
    </row>
    <row r="3033" spans="3:49" x14ac:dyDescent="0.2">
      <c r="C3033" s="15"/>
      <c r="D3033" s="15"/>
      <c r="E3033" s="15"/>
      <c r="F3033" s="15"/>
      <c r="G3033" s="15"/>
      <c r="H3033" s="15"/>
      <c r="I3033" s="15"/>
      <c r="J3033" s="15"/>
      <c r="K3033" s="15"/>
      <c r="L3033" s="28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5"/>
      <c r="AG3033" s="15"/>
      <c r="AH3033" s="15"/>
      <c r="AI3033" s="15"/>
      <c r="AJ3033" s="15"/>
      <c r="AK3033" s="15"/>
      <c r="AL3033" s="15"/>
      <c r="AM3033" s="15"/>
      <c r="AN3033" s="15"/>
      <c r="AO3033" s="15"/>
      <c r="AP3033" s="15"/>
      <c r="AQ3033" s="15"/>
      <c r="AR3033" s="15"/>
      <c r="AS3033" s="15"/>
      <c r="AT3033" s="15"/>
      <c r="AU3033" s="15"/>
      <c r="AV3033" s="15"/>
      <c r="AW3033" s="15"/>
    </row>
    <row r="3034" spans="3:49" x14ac:dyDescent="0.2">
      <c r="C3034" s="15"/>
      <c r="D3034" s="15"/>
      <c r="E3034" s="15"/>
      <c r="F3034" s="15"/>
      <c r="G3034" s="15"/>
      <c r="H3034" s="15"/>
      <c r="I3034" s="15"/>
      <c r="J3034" s="15"/>
      <c r="K3034" s="15"/>
      <c r="L3034" s="28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5"/>
      <c r="AG3034" s="15"/>
      <c r="AH3034" s="15"/>
      <c r="AI3034" s="15"/>
      <c r="AJ3034" s="15"/>
      <c r="AK3034" s="15"/>
      <c r="AL3034" s="15"/>
      <c r="AM3034" s="15"/>
      <c r="AN3034" s="15"/>
      <c r="AO3034" s="15"/>
      <c r="AP3034" s="15"/>
      <c r="AQ3034" s="15"/>
      <c r="AR3034" s="15"/>
      <c r="AS3034" s="15"/>
      <c r="AT3034" s="15"/>
      <c r="AU3034" s="15"/>
      <c r="AV3034" s="15"/>
      <c r="AW3034" s="15"/>
    </row>
    <row r="3035" spans="3:49" x14ac:dyDescent="0.2">
      <c r="C3035" s="15"/>
      <c r="D3035" s="15"/>
      <c r="E3035" s="15"/>
      <c r="F3035" s="15"/>
      <c r="G3035" s="15"/>
      <c r="H3035" s="15"/>
      <c r="I3035" s="15"/>
      <c r="J3035" s="15"/>
      <c r="K3035" s="15"/>
      <c r="L3035" s="28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5"/>
      <c r="AG3035" s="15"/>
      <c r="AH3035" s="15"/>
      <c r="AI3035" s="15"/>
      <c r="AJ3035" s="15"/>
      <c r="AK3035" s="15"/>
      <c r="AL3035" s="15"/>
      <c r="AM3035" s="15"/>
      <c r="AN3035" s="15"/>
      <c r="AO3035" s="15"/>
      <c r="AP3035" s="15"/>
      <c r="AQ3035" s="15"/>
      <c r="AR3035" s="15"/>
      <c r="AS3035" s="15"/>
      <c r="AT3035" s="15"/>
      <c r="AU3035" s="15"/>
      <c r="AV3035" s="15"/>
      <c r="AW3035" s="15"/>
    </row>
    <row r="3036" spans="3:49" x14ac:dyDescent="0.2">
      <c r="C3036" s="15"/>
      <c r="D3036" s="15"/>
      <c r="E3036" s="15"/>
      <c r="F3036" s="15"/>
      <c r="G3036" s="15"/>
      <c r="H3036" s="15"/>
      <c r="I3036" s="15"/>
      <c r="J3036" s="15"/>
      <c r="K3036" s="15"/>
      <c r="L3036" s="28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5"/>
      <c r="AG3036" s="15"/>
      <c r="AH3036" s="15"/>
      <c r="AI3036" s="15"/>
      <c r="AJ3036" s="15"/>
      <c r="AK3036" s="15"/>
      <c r="AL3036" s="15"/>
      <c r="AM3036" s="15"/>
      <c r="AN3036" s="15"/>
      <c r="AO3036" s="15"/>
      <c r="AP3036" s="15"/>
      <c r="AQ3036" s="15"/>
      <c r="AR3036" s="15"/>
      <c r="AS3036" s="15"/>
      <c r="AT3036" s="15"/>
      <c r="AU3036" s="15"/>
      <c r="AV3036" s="15"/>
      <c r="AW3036" s="15"/>
    </row>
    <row r="3037" spans="3:49" x14ac:dyDescent="0.2">
      <c r="C3037" s="15"/>
      <c r="D3037" s="15"/>
      <c r="E3037" s="15"/>
      <c r="F3037" s="15"/>
      <c r="G3037" s="15"/>
      <c r="H3037" s="15"/>
      <c r="I3037" s="15"/>
      <c r="J3037" s="15"/>
      <c r="K3037" s="15"/>
      <c r="L3037" s="28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5"/>
      <c r="AG3037" s="15"/>
      <c r="AH3037" s="15"/>
      <c r="AI3037" s="15"/>
      <c r="AJ3037" s="15"/>
      <c r="AK3037" s="15"/>
      <c r="AL3037" s="15"/>
      <c r="AM3037" s="15"/>
      <c r="AN3037" s="15"/>
      <c r="AO3037" s="15"/>
      <c r="AP3037" s="15"/>
      <c r="AQ3037" s="15"/>
      <c r="AR3037" s="15"/>
      <c r="AS3037" s="15"/>
      <c r="AT3037" s="15"/>
      <c r="AU3037" s="15"/>
      <c r="AV3037" s="15"/>
      <c r="AW3037" s="15"/>
    </row>
    <row r="3038" spans="3:49" x14ac:dyDescent="0.2">
      <c r="C3038" s="15"/>
      <c r="D3038" s="15"/>
      <c r="E3038" s="15"/>
      <c r="F3038" s="15"/>
      <c r="G3038" s="15"/>
      <c r="H3038" s="15"/>
      <c r="I3038" s="15"/>
      <c r="J3038" s="15"/>
      <c r="K3038" s="15"/>
      <c r="L3038" s="28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5"/>
      <c r="AG3038" s="15"/>
      <c r="AH3038" s="15"/>
      <c r="AI3038" s="15"/>
      <c r="AJ3038" s="15"/>
      <c r="AK3038" s="15"/>
      <c r="AL3038" s="15"/>
      <c r="AM3038" s="15"/>
      <c r="AN3038" s="15"/>
      <c r="AO3038" s="15"/>
      <c r="AP3038" s="15"/>
      <c r="AQ3038" s="15"/>
      <c r="AR3038" s="15"/>
      <c r="AS3038" s="15"/>
      <c r="AT3038" s="15"/>
      <c r="AU3038" s="15"/>
      <c r="AV3038" s="15"/>
      <c r="AW3038" s="15"/>
    </row>
    <row r="3039" spans="3:49" x14ac:dyDescent="0.2">
      <c r="C3039" s="15"/>
      <c r="D3039" s="15"/>
      <c r="E3039" s="15"/>
      <c r="F3039" s="15"/>
      <c r="G3039" s="15"/>
      <c r="H3039" s="15"/>
      <c r="I3039" s="15"/>
      <c r="J3039" s="15"/>
      <c r="K3039" s="15"/>
      <c r="L3039" s="28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5"/>
      <c r="AG3039" s="15"/>
      <c r="AH3039" s="15"/>
      <c r="AI3039" s="15"/>
      <c r="AJ3039" s="15"/>
      <c r="AK3039" s="15"/>
      <c r="AL3039" s="15"/>
      <c r="AM3039" s="15"/>
      <c r="AN3039" s="15"/>
      <c r="AO3039" s="15"/>
      <c r="AP3039" s="15"/>
      <c r="AQ3039" s="15"/>
      <c r="AR3039" s="15"/>
      <c r="AS3039" s="15"/>
      <c r="AT3039" s="15"/>
      <c r="AU3039" s="15"/>
      <c r="AV3039" s="15"/>
      <c r="AW3039" s="15"/>
    </row>
    <row r="3040" spans="3:49" x14ac:dyDescent="0.2">
      <c r="C3040" s="15"/>
      <c r="D3040" s="15"/>
      <c r="E3040" s="15"/>
      <c r="F3040" s="15"/>
      <c r="G3040" s="15"/>
      <c r="H3040" s="15"/>
      <c r="I3040" s="15"/>
      <c r="J3040" s="15"/>
      <c r="K3040" s="15"/>
      <c r="L3040" s="28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5"/>
      <c r="AG3040" s="15"/>
      <c r="AH3040" s="15"/>
      <c r="AI3040" s="15"/>
      <c r="AJ3040" s="15"/>
      <c r="AK3040" s="15"/>
      <c r="AL3040" s="15"/>
      <c r="AM3040" s="15"/>
      <c r="AN3040" s="15"/>
      <c r="AO3040" s="15"/>
      <c r="AP3040" s="15"/>
      <c r="AQ3040" s="15"/>
      <c r="AR3040" s="15"/>
      <c r="AS3040" s="15"/>
      <c r="AT3040" s="15"/>
      <c r="AU3040" s="15"/>
      <c r="AV3040" s="15"/>
      <c r="AW3040" s="15"/>
    </row>
    <row r="3041" spans="3:49" x14ac:dyDescent="0.2">
      <c r="C3041" s="15"/>
      <c r="D3041" s="15"/>
      <c r="E3041" s="15"/>
      <c r="F3041" s="15"/>
      <c r="G3041" s="15"/>
      <c r="H3041" s="15"/>
      <c r="I3041" s="15"/>
      <c r="J3041" s="15"/>
      <c r="K3041" s="15"/>
      <c r="L3041" s="28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5"/>
      <c r="AG3041" s="15"/>
      <c r="AH3041" s="15"/>
      <c r="AI3041" s="15"/>
      <c r="AJ3041" s="15"/>
      <c r="AK3041" s="15"/>
      <c r="AL3041" s="15"/>
      <c r="AM3041" s="15"/>
      <c r="AN3041" s="15"/>
      <c r="AO3041" s="15"/>
      <c r="AP3041" s="15"/>
      <c r="AQ3041" s="15"/>
      <c r="AR3041" s="15"/>
      <c r="AS3041" s="15"/>
      <c r="AT3041" s="15"/>
      <c r="AU3041" s="15"/>
      <c r="AV3041" s="15"/>
      <c r="AW3041" s="15"/>
    </row>
    <row r="3042" spans="3:49" x14ac:dyDescent="0.2">
      <c r="C3042" s="15"/>
      <c r="D3042" s="15"/>
      <c r="E3042" s="15"/>
      <c r="F3042" s="15"/>
      <c r="G3042" s="15"/>
      <c r="H3042" s="15"/>
      <c r="I3042" s="15"/>
      <c r="J3042" s="15"/>
      <c r="K3042" s="15"/>
      <c r="L3042" s="28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5"/>
      <c r="AG3042" s="15"/>
      <c r="AH3042" s="15"/>
      <c r="AI3042" s="15"/>
      <c r="AJ3042" s="15"/>
      <c r="AK3042" s="15"/>
      <c r="AL3042" s="15"/>
      <c r="AM3042" s="15"/>
      <c r="AN3042" s="15"/>
      <c r="AO3042" s="15"/>
      <c r="AP3042" s="15"/>
      <c r="AQ3042" s="15"/>
      <c r="AR3042" s="15"/>
      <c r="AS3042" s="15"/>
      <c r="AT3042" s="15"/>
      <c r="AU3042" s="15"/>
      <c r="AV3042" s="15"/>
      <c r="AW3042" s="15"/>
    </row>
    <row r="3043" spans="3:49" x14ac:dyDescent="0.2">
      <c r="C3043" s="15"/>
      <c r="D3043" s="15"/>
      <c r="E3043" s="15"/>
      <c r="F3043" s="15"/>
      <c r="G3043" s="15"/>
      <c r="H3043" s="15"/>
      <c r="I3043" s="15"/>
      <c r="J3043" s="15"/>
      <c r="K3043" s="15"/>
      <c r="L3043" s="28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5"/>
      <c r="AG3043" s="15"/>
      <c r="AH3043" s="15"/>
      <c r="AI3043" s="15"/>
      <c r="AJ3043" s="15"/>
      <c r="AK3043" s="15"/>
      <c r="AL3043" s="15"/>
      <c r="AM3043" s="15"/>
      <c r="AN3043" s="15"/>
      <c r="AO3043" s="15"/>
      <c r="AP3043" s="15"/>
      <c r="AQ3043" s="15"/>
      <c r="AR3043" s="15"/>
      <c r="AS3043" s="15"/>
      <c r="AT3043" s="15"/>
      <c r="AU3043" s="15"/>
      <c r="AV3043" s="15"/>
      <c r="AW3043" s="15"/>
    </row>
    <row r="3044" spans="3:49" x14ac:dyDescent="0.2">
      <c r="C3044" s="15"/>
      <c r="D3044" s="15"/>
      <c r="E3044" s="15"/>
      <c r="F3044" s="15"/>
      <c r="G3044" s="15"/>
      <c r="H3044" s="15"/>
      <c r="I3044" s="15"/>
      <c r="J3044" s="15"/>
      <c r="K3044" s="15"/>
      <c r="L3044" s="28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5"/>
      <c r="AG3044" s="15"/>
      <c r="AH3044" s="15"/>
      <c r="AI3044" s="15"/>
      <c r="AJ3044" s="15"/>
      <c r="AK3044" s="15"/>
      <c r="AL3044" s="15"/>
      <c r="AM3044" s="15"/>
      <c r="AN3044" s="15"/>
      <c r="AO3044" s="15"/>
      <c r="AP3044" s="15"/>
      <c r="AQ3044" s="15"/>
      <c r="AR3044" s="15"/>
      <c r="AS3044" s="15"/>
      <c r="AT3044" s="15"/>
      <c r="AU3044" s="15"/>
      <c r="AV3044" s="15"/>
      <c r="AW3044" s="15"/>
    </row>
    <row r="3045" spans="3:49" x14ac:dyDescent="0.2">
      <c r="C3045" s="15"/>
      <c r="D3045" s="15"/>
      <c r="E3045" s="15"/>
      <c r="F3045" s="15"/>
      <c r="G3045" s="15"/>
      <c r="H3045" s="15"/>
      <c r="I3045" s="15"/>
      <c r="J3045" s="15"/>
      <c r="K3045" s="15"/>
      <c r="L3045" s="28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5"/>
      <c r="AG3045" s="15"/>
      <c r="AH3045" s="15"/>
      <c r="AI3045" s="15"/>
      <c r="AJ3045" s="15"/>
      <c r="AK3045" s="15"/>
      <c r="AL3045" s="15"/>
      <c r="AM3045" s="15"/>
      <c r="AN3045" s="15"/>
      <c r="AO3045" s="15"/>
      <c r="AP3045" s="15"/>
      <c r="AQ3045" s="15"/>
      <c r="AR3045" s="15"/>
      <c r="AS3045" s="15"/>
      <c r="AT3045" s="15"/>
      <c r="AU3045" s="15"/>
      <c r="AV3045" s="15"/>
      <c r="AW3045" s="15"/>
    </row>
    <row r="3046" spans="3:49" x14ac:dyDescent="0.2">
      <c r="C3046" s="15"/>
      <c r="D3046" s="15"/>
      <c r="E3046" s="15"/>
      <c r="F3046" s="15"/>
      <c r="G3046" s="15"/>
      <c r="H3046" s="15"/>
      <c r="I3046" s="15"/>
      <c r="J3046" s="15"/>
      <c r="K3046" s="15"/>
      <c r="L3046" s="28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5"/>
      <c r="AG3046" s="15"/>
      <c r="AH3046" s="15"/>
      <c r="AI3046" s="15"/>
      <c r="AJ3046" s="15"/>
      <c r="AK3046" s="15"/>
      <c r="AL3046" s="15"/>
      <c r="AM3046" s="15"/>
      <c r="AN3046" s="15"/>
      <c r="AO3046" s="15"/>
      <c r="AP3046" s="15"/>
      <c r="AQ3046" s="15"/>
      <c r="AR3046" s="15"/>
      <c r="AS3046" s="15"/>
      <c r="AT3046" s="15"/>
      <c r="AU3046" s="15"/>
      <c r="AV3046" s="15"/>
      <c r="AW3046" s="15"/>
    </row>
    <row r="3047" spans="3:49" x14ac:dyDescent="0.2">
      <c r="C3047" s="15"/>
      <c r="D3047" s="15"/>
      <c r="E3047" s="15"/>
      <c r="F3047" s="15"/>
      <c r="G3047" s="15"/>
      <c r="H3047" s="15"/>
      <c r="I3047" s="15"/>
      <c r="J3047" s="15"/>
      <c r="K3047" s="15"/>
      <c r="L3047" s="28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5"/>
      <c r="AG3047" s="15"/>
      <c r="AH3047" s="15"/>
      <c r="AI3047" s="15"/>
      <c r="AJ3047" s="15"/>
      <c r="AK3047" s="15"/>
      <c r="AL3047" s="15"/>
      <c r="AM3047" s="15"/>
      <c r="AN3047" s="15"/>
      <c r="AO3047" s="15"/>
      <c r="AP3047" s="15"/>
      <c r="AQ3047" s="15"/>
      <c r="AR3047" s="15"/>
      <c r="AS3047" s="15"/>
      <c r="AT3047" s="15"/>
      <c r="AU3047" s="15"/>
      <c r="AV3047" s="15"/>
      <c r="AW3047" s="15"/>
    </row>
    <row r="3048" spans="3:49" x14ac:dyDescent="0.2">
      <c r="C3048" s="15"/>
      <c r="D3048" s="15"/>
      <c r="E3048" s="15"/>
      <c r="F3048" s="15"/>
      <c r="G3048" s="15"/>
      <c r="H3048" s="15"/>
      <c r="I3048" s="15"/>
      <c r="J3048" s="15"/>
      <c r="K3048" s="15"/>
      <c r="L3048" s="28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5"/>
      <c r="AG3048" s="15"/>
      <c r="AH3048" s="15"/>
      <c r="AI3048" s="15"/>
      <c r="AJ3048" s="15"/>
      <c r="AK3048" s="15"/>
      <c r="AL3048" s="15"/>
      <c r="AM3048" s="15"/>
      <c r="AN3048" s="15"/>
      <c r="AO3048" s="15"/>
      <c r="AP3048" s="15"/>
      <c r="AQ3048" s="15"/>
      <c r="AR3048" s="15"/>
      <c r="AS3048" s="15"/>
      <c r="AT3048" s="15"/>
      <c r="AU3048" s="15"/>
      <c r="AV3048" s="15"/>
      <c r="AW3048" s="15"/>
    </row>
    <row r="3049" spans="3:49" x14ac:dyDescent="0.2">
      <c r="C3049" s="15"/>
      <c r="D3049" s="15"/>
      <c r="E3049" s="15"/>
      <c r="F3049" s="15"/>
      <c r="G3049" s="15"/>
      <c r="H3049" s="15"/>
      <c r="I3049" s="15"/>
      <c r="J3049" s="15"/>
      <c r="K3049" s="15"/>
      <c r="L3049" s="28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5"/>
      <c r="AG3049" s="15"/>
      <c r="AH3049" s="15"/>
      <c r="AI3049" s="15"/>
      <c r="AJ3049" s="15"/>
      <c r="AK3049" s="15"/>
      <c r="AL3049" s="15"/>
      <c r="AM3049" s="15"/>
      <c r="AN3049" s="15"/>
      <c r="AO3049" s="15"/>
      <c r="AP3049" s="15"/>
      <c r="AQ3049" s="15"/>
      <c r="AR3049" s="15"/>
      <c r="AS3049" s="15"/>
      <c r="AT3049" s="15"/>
      <c r="AU3049" s="15"/>
      <c r="AV3049" s="15"/>
      <c r="AW3049" s="15"/>
    </row>
    <row r="3050" spans="3:49" x14ac:dyDescent="0.2">
      <c r="C3050" s="15"/>
      <c r="D3050" s="15"/>
      <c r="E3050" s="15"/>
      <c r="F3050" s="15"/>
      <c r="G3050" s="15"/>
      <c r="H3050" s="15"/>
      <c r="I3050" s="15"/>
      <c r="J3050" s="15"/>
      <c r="K3050" s="15"/>
      <c r="L3050" s="28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5"/>
      <c r="AG3050" s="15"/>
      <c r="AH3050" s="15"/>
      <c r="AI3050" s="15"/>
      <c r="AJ3050" s="15"/>
      <c r="AK3050" s="15"/>
      <c r="AL3050" s="15"/>
      <c r="AM3050" s="15"/>
      <c r="AN3050" s="15"/>
      <c r="AO3050" s="15"/>
      <c r="AP3050" s="15"/>
      <c r="AQ3050" s="15"/>
      <c r="AR3050" s="15"/>
      <c r="AS3050" s="15"/>
      <c r="AT3050" s="15"/>
      <c r="AU3050" s="15"/>
      <c r="AV3050" s="15"/>
      <c r="AW3050" s="15"/>
    </row>
    <row r="3051" spans="3:49" x14ac:dyDescent="0.2">
      <c r="C3051" s="15"/>
      <c r="D3051" s="15"/>
      <c r="E3051" s="15"/>
      <c r="F3051" s="15"/>
      <c r="G3051" s="15"/>
      <c r="H3051" s="15"/>
      <c r="I3051" s="15"/>
      <c r="J3051" s="15"/>
      <c r="K3051" s="15"/>
      <c r="L3051" s="28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5"/>
      <c r="AG3051" s="15"/>
      <c r="AH3051" s="15"/>
      <c r="AI3051" s="15"/>
      <c r="AJ3051" s="15"/>
      <c r="AK3051" s="15"/>
      <c r="AL3051" s="15"/>
      <c r="AM3051" s="15"/>
      <c r="AN3051" s="15"/>
      <c r="AO3051" s="15"/>
      <c r="AP3051" s="15"/>
      <c r="AQ3051" s="15"/>
      <c r="AR3051" s="15"/>
      <c r="AS3051" s="15"/>
      <c r="AT3051" s="15"/>
      <c r="AU3051" s="15"/>
      <c r="AV3051" s="15"/>
      <c r="AW3051" s="15"/>
    </row>
    <row r="3052" spans="3:49" x14ac:dyDescent="0.2">
      <c r="C3052" s="15"/>
      <c r="D3052" s="15"/>
      <c r="E3052" s="15"/>
      <c r="F3052" s="15"/>
      <c r="G3052" s="15"/>
      <c r="H3052" s="15"/>
      <c r="I3052" s="15"/>
      <c r="J3052" s="15"/>
      <c r="K3052" s="15"/>
      <c r="L3052" s="28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5"/>
      <c r="AG3052" s="15"/>
      <c r="AH3052" s="15"/>
      <c r="AI3052" s="15"/>
      <c r="AJ3052" s="15"/>
      <c r="AK3052" s="15"/>
      <c r="AL3052" s="15"/>
      <c r="AM3052" s="15"/>
      <c r="AN3052" s="15"/>
      <c r="AO3052" s="15"/>
      <c r="AP3052" s="15"/>
      <c r="AQ3052" s="15"/>
      <c r="AR3052" s="15"/>
      <c r="AS3052" s="15"/>
      <c r="AT3052" s="15"/>
      <c r="AU3052" s="15"/>
      <c r="AV3052" s="15"/>
      <c r="AW3052" s="15"/>
    </row>
    <row r="3053" spans="3:49" x14ac:dyDescent="0.2">
      <c r="C3053" s="15"/>
      <c r="D3053" s="15"/>
      <c r="E3053" s="15"/>
      <c r="F3053" s="15"/>
      <c r="G3053" s="15"/>
      <c r="H3053" s="15"/>
      <c r="I3053" s="15"/>
      <c r="J3053" s="15"/>
      <c r="K3053" s="15"/>
      <c r="L3053" s="28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5"/>
      <c r="AG3053" s="15"/>
      <c r="AH3053" s="15"/>
      <c r="AI3053" s="15"/>
      <c r="AJ3053" s="15"/>
      <c r="AK3053" s="15"/>
      <c r="AL3053" s="15"/>
      <c r="AM3053" s="15"/>
      <c r="AN3053" s="15"/>
      <c r="AO3053" s="15"/>
      <c r="AP3053" s="15"/>
      <c r="AQ3053" s="15"/>
      <c r="AR3053" s="15"/>
      <c r="AS3053" s="15"/>
      <c r="AT3053" s="15"/>
      <c r="AU3053" s="15"/>
      <c r="AV3053" s="15"/>
      <c r="AW3053" s="15"/>
    </row>
    <row r="3054" spans="3:49" x14ac:dyDescent="0.2">
      <c r="C3054" s="15"/>
      <c r="D3054" s="15"/>
      <c r="E3054" s="15"/>
      <c r="F3054" s="15"/>
      <c r="G3054" s="15"/>
      <c r="H3054" s="15"/>
      <c r="I3054" s="15"/>
      <c r="J3054" s="15"/>
      <c r="K3054" s="15"/>
      <c r="L3054" s="28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5"/>
      <c r="AG3054" s="15"/>
      <c r="AH3054" s="15"/>
      <c r="AI3054" s="15"/>
      <c r="AJ3054" s="15"/>
      <c r="AK3054" s="15"/>
      <c r="AL3054" s="15"/>
      <c r="AM3054" s="15"/>
      <c r="AN3054" s="15"/>
      <c r="AO3054" s="15"/>
      <c r="AP3054" s="15"/>
      <c r="AQ3054" s="15"/>
      <c r="AR3054" s="15"/>
      <c r="AS3054" s="15"/>
      <c r="AT3054" s="15"/>
      <c r="AU3054" s="15"/>
      <c r="AV3054" s="15"/>
      <c r="AW3054" s="15"/>
    </row>
    <row r="3055" spans="3:49" x14ac:dyDescent="0.2">
      <c r="C3055" s="15"/>
      <c r="D3055" s="15"/>
      <c r="E3055" s="15"/>
      <c r="F3055" s="15"/>
      <c r="G3055" s="15"/>
      <c r="H3055" s="15"/>
      <c r="I3055" s="15"/>
      <c r="J3055" s="15"/>
      <c r="K3055" s="15"/>
      <c r="L3055" s="28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5"/>
      <c r="AG3055" s="15"/>
      <c r="AH3055" s="15"/>
      <c r="AI3055" s="15"/>
      <c r="AJ3055" s="15"/>
      <c r="AK3055" s="15"/>
      <c r="AL3055" s="15"/>
      <c r="AM3055" s="15"/>
      <c r="AN3055" s="15"/>
      <c r="AO3055" s="15"/>
      <c r="AP3055" s="15"/>
      <c r="AQ3055" s="15"/>
      <c r="AR3055" s="15"/>
      <c r="AS3055" s="15"/>
      <c r="AT3055" s="15"/>
      <c r="AU3055" s="15"/>
      <c r="AV3055" s="15"/>
      <c r="AW3055" s="15"/>
    </row>
    <row r="3056" spans="3:49" x14ac:dyDescent="0.2">
      <c r="C3056" s="15"/>
      <c r="D3056" s="15"/>
      <c r="E3056" s="15"/>
      <c r="F3056" s="15"/>
      <c r="G3056" s="15"/>
      <c r="H3056" s="15"/>
      <c r="I3056" s="15"/>
      <c r="J3056" s="15"/>
      <c r="K3056" s="15"/>
      <c r="L3056" s="28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5"/>
      <c r="AG3056" s="15"/>
      <c r="AH3056" s="15"/>
      <c r="AI3056" s="15"/>
      <c r="AJ3056" s="15"/>
      <c r="AK3056" s="15"/>
      <c r="AL3056" s="15"/>
      <c r="AM3056" s="15"/>
      <c r="AN3056" s="15"/>
      <c r="AO3056" s="15"/>
      <c r="AP3056" s="15"/>
      <c r="AQ3056" s="15"/>
      <c r="AR3056" s="15"/>
      <c r="AS3056" s="15"/>
      <c r="AT3056" s="15"/>
      <c r="AU3056" s="15"/>
      <c r="AV3056" s="15"/>
      <c r="AW3056" s="15"/>
    </row>
    <row r="3057" spans="3:49" x14ac:dyDescent="0.2">
      <c r="C3057" s="15"/>
      <c r="D3057" s="15"/>
      <c r="E3057" s="15"/>
      <c r="F3057" s="15"/>
      <c r="G3057" s="15"/>
      <c r="H3057" s="15"/>
      <c r="I3057" s="15"/>
      <c r="J3057" s="15"/>
      <c r="K3057" s="15"/>
      <c r="L3057" s="28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5"/>
      <c r="AG3057" s="15"/>
      <c r="AH3057" s="15"/>
      <c r="AI3057" s="15"/>
      <c r="AJ3057" s="15"/>
      <c r="AK3057" s="15"/>
      <c r="AL3057" s="15"/>
      <c r="AM3057" s="15"/>
      <c r="AN3057" s="15"/>
      <c r="AO3057" s="15"/>
      <c r="AP3057" s="15"/>
      <c r="AQ3057" s="15"/>
      <c r="AR3057" s="15"/>
      <c r="AS3057" s="15"/>
      <c r="AT3057" s="15"/>
      <c r="AU3057" s="15"/>
      <c r="AV3057" s="15"/>
      <c r="AW3057" s="15"/>
    </row>
    <row r="3058" spans="3:49" x14ac:dyDescent="0.2">
      <c r="C3058" s="15"/>
      <c r="D3058" s="15"/>
      <c r="E3058" s="15"/>
      <c r="F3058" s="15"/>
      <c r="G3058" s="15"/>
      <c r="H3058" s="15"/>
      <c r="I3058" s="15"/>
      <c r="J3058" s="15"/>
      <c r="K3058" s="15"/>
      <c r="L3058" s="28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5"/>
      <c r="AG3058" s="15"/>
      <c r="AH3058" s="15"/>
      <c r="AI3058" s="15"/>
      <c r="AJ3058" s="15"/>
      <c r="AK3058" s="15"/>
      <c r="AL3058" s="15"/>
      <c r="AM3058" s="15"/>
      <c r="AN3058" s="15"/>
      <c r="AO3058" s="15"/>
      <c r="AP3058" s="15"/>
      <c r="AQ3058" s="15"/>
      <c r="AR3058" s="15"/>
      <c r="AS3058" s="15"/>
      <c r="AT3058" s="15"/>
      <c r="AU3058" s="15"/>
      <c r="AV3058" s="15"/>
      <c r="AW3058" s="15"/>
    </row>
    <row r="3059" spans="3:49" x14ac:dyDescent="0.2">
      <c r="C3059" s="15"/>
      <c r="D3059" s="15"/>
      <c r="E3059" s="15"/>
      <c r="F3059" s="15"/>
      <c r="G3059" s="15"/>
      <c r="H3059" s="15"/>
      <c r="I3059" s="15"/>
      <c r="J3059" s="15"/>
      <c r="K3059" s="15"/>
      <c r="L3059" s="28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5"/>
      <c r="AG3059" s="15"/>
      <c r="AH3059" s="15"/>
      <c r="AI3059" s="15"/>
      <c r="AJ3059" s="15"/>
      <c r="AK3059" s="15"/>
      <c r="AL3059" s="15"/>
      <c r="AM3059" s="15"/>
      <c r="AN3059" s="15"/>
      <c r="AO3059" s="15"/>
      <c r="AP3059" s="15"/>
      <c r="AQ3059" s="15"/>
      <c r="AR3059" s="15"/>
      <c r="AS3059" s="15"/>
      <c r="AT3059" s="15"/>
      <c r="AU3059" s="15"/>
      <c r="AV3059" s="15"/>
      <c r="AW3059" s="15"/>
    </row>
    <row r="3060" spans="3:49" x14ac:dyDescent="0.2">
      <c r="C3060" s="15"/>
      <c r="D3060" s="15"/>
      <c r="E3060" s="15"/>
      <c r="F3060" s="15"/>
      <c r="G3060" s="15"/>
      <c r="H3060" s="15"/>
      <c r="I3060" s="15"/>
      <c r="J3060" s="15"/>
      <c r="K3060" s="15"/>
      <c r="L3060" s="28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5"/>
      <c r="AG3060" s="15"/>
      <c r="AH3060" s="15"/>
      <c r="AI3060" s="15"/>
      <c r="AJ3060" s="15"/>
      <c r="AK3060" s="15"/>
      <c r="AL3060" s="15"/>
      <c r="AM3060" s="15"/>
      <c r="AN3060" s="15"/>
      <c r="AO3060" s="15"/>
      <c r="AP3060" s="15"/>
      <c r="AQ3060" s="15"/>
      <c r="AR3060" s="15"/>
      <c r="AS3060" s="15"/>
      <c r="AT3060" s="15"/>
      <c r="AU3060" s="15"/>
      <c r="AV3060" s="15"/>
      <c r="AW3060" s="15"/>
    </row>
    <row r="3061" spans="3:49" x14ac:dyDescent="0.2">
      <c r="C3061" s="15"/>
      <c r="D3061" s="15"/>
      <c r="E3061" s="15"/>
      <c r="F3061" s="15"/>
      <c r="G3061" s="15"/>
      <c r="H3061" s="15"/>
      <c r="I3061" s="15"/>
      <c r="J3061" s="15"/>
      <c r="K3061" s="15"/>
      <c r="L3061" s="28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5"/>
      <c r="AG3061" s="15"/>
      <c r="AH3061" s="15"/>
      <c r="AI3061" s="15"/>
      <c r="AJ3061" s="15"/>
      <c r="AK3061" s="15"/>
      <c r="AL3061" s="15"/>
      <c r="AM3061" s="15"/>
      <c r="AN3061" s="15"/>
      <c r="AO3061" s="15"/>
      <c r="AP3061" s="15"/>
      <c r="AQ3061" s="15"/>
      <c r="AR3061" s="15"/>
      <c r="AS3061" s="15"/>
      <c r="AT3061" s="15"/>
      <c r="AU3061" s="15"/>
      <c r="AV3061" s="15"/>
      <c r="AW3061" s="15"/>
    </row>
    <row r="3062" spans="3:49" x14ac:dyDescent="0.2">
      <c r="C3062" s="15"/>
      <c r="D3062" s="15"/>
      <c r="E3062" s="15"/>
      <c r="F3062" s="15"/>
      <c r="G3062" s="15"/>
      <c r="H3062" s="15"/>
      <c r="I3062" s="15"/>
      <c r="J3062" s="15"/>
      <c r="K3062" s="15"/>
      <c r="L3062" s="28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5"/>
      <c r="AG3062" s="15"/>
      <c r="AH3062" s="15"/>
      <c r="AI3062" s="15"/>
      <c r="AJ3062" s="15"/>
      <c r="AK3062" s="15"/>
      <c r="AL3062" s="15"/>
      <c r="AM3062" s="15"/>
      <c r="AN3062" s="15"/>
      <c r="AO3062" s="15"/>
      <c r="AP3062" s="15"/>
      <c r="AQ3062" s="15"/>
      <c r="AR3062" s="15"/>
      <c r="AS3062" s="15"/>
      <c r="AT3062" s="15"/>
      <c r="AU3062" s="15"/>
      <c r="AV3062" s="15"/>
      <c r="AW3062" s="15"/>
    </row>
    <row r="3063" spans="3:49" x14ac:dyDescent="0.2">
      <c r="C3063" s="15"/>
      <c r="D3063" s="15"/>
      <c r="E3063" s="15"/>
      <c r="F3063" s="15"/>
      <c r="G3063" s="15"/>
      <c r="H3063" s="15"/>
      <c r="I3063" s="15"/>
      <c r="J3063" s="15"/>
      <c r="K3063" s="15"/>
      <c r="L3063" s="28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5"/>
      <c r="AG3063" s="15"/>
      <c r="AH3063" s="15"/>
      <c r="AI3063" s="15"/>
      <c r="AJ3063" s="15"/>
      <c r="AK3063" s="15"/>
      <c r="AL3063" s="15"/>
      <c r="AM3063" s="15"/>
      <c r="AN3063" s="15"/>
      <c r="AO3063" s="15"/>
      <c r="AP3063" s="15"/>
      <c r="AQ3063" s="15"/>
      <c r="AR3063" s="15"/>
      <c r="AS3063" s="15"/>
      <c r="AT3063" s="15"/>
      <c r="AU3063" s="15"/>
      <c r="AV3063" s="15"/>
      <c r="AW3063" s="15"/>
    </row>
    <row r="3064" spans="3:49" x14ac:dyDescent="0.2">
      <c r="C3064" s="15"/>
      <c r="D3064" s="15"/>
      <c r="E3064" s="15"/>
      <c r="F3064" s="15"/>
      <c r="G3064" s="15"/>
      <c r="H3064" s="15"/>
      <c r="I3064" s="15"/>
      <c r="J3064" s="15"/>
      <c r="K3064" s="15"/>
      <c r="L3064" s="28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5"/>
      <c r="AG3064" s="15"/>
      <c r="AH3064" s="15"/>
      <c r="AI3064" s="15"/>
      <c r="AJ3064" s="15"/>
      <c r="AK3064" s="15"/>
      <c r="AL3064" s="15"/>
      <c r="AM3064" s="15"/>
      <c r="AN3064" s="15"/>
      <c r="AO3064" s="15"/>
      <c r="AP3064" s="15"/>
      <c r="AQ3064" s="15"/>
      <c r="AR3064" s="15"/>
      <c r="AS3064" s="15"/>
      <c r="AT3064" s="15"/>
      <c r="AU3064" s="15"/>
      <c r="AV3064" s="15"/>
      <c r="AW3064" s="15"/>
    </row>
    <row r="3065" spans="3:49" x14ac:dyDescent="0.2">
      <c r="C3065" s="15"/>
      <c r="D3065" s="15"/>
      <c r="E3065" s="15"/>
      <c r="F3065" s="15"/>
      <c r="G3065" s="15"/>
      <c r="H3065" s="15"/>
      <c r="I3065" s="15"/>
      <c r="J3065" s="15"/>
      <c r="K3065" s="15"/>
      <c r="L3065" s="28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5"/>
      <c r="AG3065" s="15"/>
      <c r="AH3065" s="15"/>
      <c r="AI3065" s="15"/>
      <c r="AJ3065" s="15"/>
      <c r="AK3065" s="15"/>
      <c r="AL3065" s="15"/>
      <c r="AM3065" s="15"/>
      <c r="AN3065" s="15"/>
      <c r="AO3065" s="15"/>
      <c r="AP3065" s="15"/>
      <c r="AQ3065" s="15"/>
      <c r="AR3065" s="15"/>
      <c r="AS3065" s="15"/>
      <c r="AT3065" s="15"/>
      <c r="AU3065" s="15"/>
      <c r="AV3065" s="15"/>
      <c r="AW3065" s="15"/>
    </row>
    <row r="3066" spans="3:49" x14ac:dyDescent="0.2">
      <c r="C3066" s="15"/>
      <c r="D3066" s="15"/>
      <c r="E3066" s="15"/>
      <c r="F3066" s="15"/>
      <c r="G3066" s="15"/>
      <c r="H3066" s="15"/>
      <c r="I3066" s="15"/>
      <c r="J3066" s="15"/>
      <c r="K3066" s="15"/>
      <c r="L3066" s="28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5"/>
      <c r="AG3066" s="15"/>
      <c r="AH3066" s="15"/>
      <c r="AI3066" s="15"/>
      <c r="AJ3066" s="15"/>
      <c r="AK3066" s="15"/>
      <c r="AL3066" s="15"/>
      <c r="AM3066" s="15"/>
      <c r="AN3066" s="15"/>
      <c r="AO3066" s="15"/>
      <c r="AP3066" s="15"/>
      <c r="AQ3066" s="15"/>
      <c r="AR3066" s="15"/>
      <c r="AS3066" s="15"/>
      <c r="AT3066" s="15"/>
      <c r="AU3066" s="15"/>
      <c r="AV3066" s="15"/>
      <c r="AW3066" s="15"/>
    </row>
    <row r="3067" spans="3:49" x14ac:dyDescent="0.2">
      <c r="C3067" s="15"/>
      <c r="D3067" s="15"/>
      <c r="E3067" s="15"/>
      <c r="F3067" s="15"/>
      <c r="G3067" s="15"/>
      <c r="H3067" s="15"/>
      <c r="I3067" s="15"/>
      <c r="J3067" s="15"/>
      <c r="K3067" s="15"/>
      <c r="L3067" s="28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5"/>
      <c r="AG3067" s="15"/>
      <c r="AH3067" s="15"/>
      <c r="AI3067" s="15"/>
      <c r="AJ3067" s="15"/>
      <c r="AK3067" s="15"/>
      <c r="AL3067" s="15"/>
      <c r="AM3067" s="15"/>
      <c r="AN3067" s="15"/>
      <c r="AO3067" s="15"/>
      <c r="AP3067" s="15"/>
      <c r="AQ3067" s="15"/>
      <c r="AR3067" s="15"/>
      <c r="AS3067" s="15"/>
      <c r="AT3067" s="15"/>
      <c r="AU3067" s="15"/>
      <c r="AV3067" s="15"/>
      <c r="AW3067" s="15"/>
    </row>
    <row r="3068" spans="3:49" x14ac:dyDescent="0.2">
      <c r="C3068" s="15"/>
      <c r="D3068" s="15"/>
      <c r="E3068" s="15"/>
      <c r="F3068" s="15"/>
      <c r="G3068" s="15"/>
      <c r="H3068" s="15"/>
      <c r="I3068" s="15"/>
      <c r="J3068" s="15"/>
      <c r="K3068" s="15"/>
      <c r="L3068" s="28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5"/>
      <c r="AG3068" s="15"/>
      <c r="AH3068" s="15"/>
      <c r="AI3068" s="15"/>
      <c r="AJ3068" s="15"/>
      <c r="AK3068" s="15"/>
      <c r="AL3068" s="15"/>
      <c r="AM3068" s="15"/>
      <c r="AN3068" s="15"/>
      <c r="AO3068" s="15"/>
      <c r="AP3068" s="15"/>
      <c r="AQ3068" s="15"/>
      <c r="AR3068" s="15"/>
      <c r="AS3068" s="15"/>
      <c r="AT3068" s="15"/>
      <c r="AU3068" s="15"/>
      <c r="AV3068" s="15"/>
      <c r="AW3068" s="15"/>
    </row>
    <row r="3069" spans="3:49" x14ac:dyDescent="0.2">
      <c r="C3069" s="15"/>
      <c r="D3069" s="15"/>
      <c r="E3069" s="15"/>
      <c r="F3069" s="15"/>
      <c r="G3069" s="15"/>
      <c r="H3069" s="15"/>
      <c r="I3069" s="15"/>
      <c r="J3069" s="15"/>
      <c r="K3069" s="15"/>
      <c r="L3069" s="28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5"/>
      <c r="AG3069" s="15"/>
      <c r="AH3069" s="15"/>
      <c r="AI3069" s="15"/>
      <c r="AJ3069" s="15"/>
      <c r="AK3069" s="15"/>
      <c r="AL3069" s="15"/>
      <c r="AM3069" s="15"/>
      <c r="AN3069" s="15"/>
      <c r="AO3069" s="15"/>
      <c r="AP3069" s="15"/>
      <c r="AQ3069" s="15"/>
      <c r="AR3069" s="15"/>
      <c r="AS3069" s="15"/>
      <c r="AT3069" s="15"/>
      <c r="AU3069" s="15"/>
      <c r="AV3069" s="15"/>
      <c r="AW3069" s="15"/>
    </row>
    <row r="3070" spans="3:49" x14ac:dyDescent="0.2">
      <c r="C3070" s="15"/>
      <c r="D3070" s="15"/>
      <c r="E3070" s="15"/>
      <c r="F3070" s="15"/>
      <c r="G3070" s="15"/>
      <c r="H3070" s="15"/>
      <c r="I3070" s="15"/>
      <c r="J3070" s="15"/>
      <c r="K3070" s="15"/>
      <c r="L3070" s="28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5"/>
      <c r="AG3070" s="15"/>
      <c r="AH3070" s="15"/>
      <c r="AI3070" s="15"/>
      <c r="AJ3070" s="15"/>
      <c r="AK3070" s="15"/>
      <c r="AL3070" s="15"/>
      <c r="AM3070" s="15"/>
      <c r="AN3070" s="15"/>
      <c r="AO3070" s="15"/>
      <c r="AP3070" s="15"/>
      <c r="AQ3070" s="15"/>
      <c r="AR3070" s="15"/>
      <c r="AS3070" s="15"/>
      <c r="AT3070" s="15"/>
      <c r="AU3070" s="15"/>
      <c r="AV3070" s="15"/>
      <c r="AW3070" s="15"/>
    </row>
    <row r="3071" spans="3:49" x14ac:dyDescent="0.2">
      <c r="C3071" s="15"/>
      <c r="D3071" s="15"/>
      <c r="E3071" s="15"/>
      <c r="F3071" s="15"/>
      <c r="G3071" s="15"/>
      <c r="H3071" s="15"/>
      <c r="I3071" s="15"/>
      <c r="J3071" s="15"/>
      <c r="K3071" s="15"/>
      <c r="L3071" s="28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5"/>
      <c r="AG3071" s="15"/>
      <c r="AH3071" s="15"/>
      <c r="AI3071" s="15"/>
      <c r="AJ3071" s="15"/>
      <c r="AK3071" s="15"/>
      <c r="AL3071" s="15"/>
      <c r="AM3071" s="15"/>
      <c r="AN3071" s="15"/>
      <c r="AO3071" s="15"/>
      <c r="AP3071" s="15"/>
      <c r="AQ3071" s="15"/>
      <c r="AR3071" s="15"/>
      <c r="AS3071" s="15"/>
      <c r="AT3071" s="15"/>
      <c r="AU3071" s="15"/>
      <c r="AV3071" s="15"/>
      <c r="AW3071" s="15"/>
    </row>
    <row r="3072" spans="3:49" x14ac:dyDescent="0.2">
      <c r="C3072" s="15"/>
      <c r="D3072" s="15"/>
      <c r="E3072" s="15"/>
      <c r="F3072" s="15"/>
      <c r="G3072" s="15"/>
      <c r="H3072" s="15"/>
      <c r="I3072" s="15"/>
      <c r="J3072" s="15"/>
      <c r="K3072" s="15"/>
      <c r="L3072" s="28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5"/>
      <c r="AG3072" s="15"/>
      <c r="AH3072" s="15"/>
      <c r="AI3072" s="15"/>
      <c r="AJ3072" s="15"/>
      <c r="AK3072" s="15"/>
      <c r="AL3072" s="15"/>
      <c r="AM3072" s="15"/>
      <c r="AN3072" s="15"/>
      <c r="AO3072" s="15"/>
      <c r="AP3072" s="15"/>
      <c r="AQ3072" s="15"/>
      <c r="AR3072" s="15"/>
      <c r="AS3072" s="15"/>
      <c r="AT3072" s="15"/>
      <c r="AU3072" s="15"/>
      <c r="AV3072" s="15"/>
      <c r="AW3072" s="15"/>
    </row>
    <row r="3073" spans="3:49" x14ac:dyDescent="0.2">
      <c r="C3073" s="15"/>
      <c r="D3073" s="15"/>
      <c r="E3073" s="15"/>
      <c r="F3073" s="15"/>
      <c r="G3073" s="15"/>
      <c r="H3073" s="15"/>
      <c r="I3073" s="15"/>
      <c r="J3073" s="15"/>
      <c r="K3073" s="15"/>
      <c r="L3073" s="28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5"/>
      <c r="AG3073" s="15"/>
      <c r="AH3073" s="15"/>
      <c r="AI3073" s="15"/>
      <c r="AJ3073" s="15"/>
      <c r="AK3073" s="15"/>
      <c r="AL3073" s="15"/>
      <c r="AM3073" s="15"/>
      <c r="AN3073" s="15"/>
      <c r="AO3073" s="15"/>
      <c r="AP3073" s="15"/>
      <c r="AQ3073" s="15"/>
      <c r="AR3073" s="15"/>
      <c r="AS3073" s="15"/>
      <c r="AT3073" s="15"/>
      <c r="AU3073" s="15"/>
      <c r="AV3073" s="15"/>
      <c r="AW3073" s="15"/>
    </row>
    <row r="3074" spans="3:49" x14ac:dyDescent="0.2">
      <c r="C3074" s="15"/>
      <c r="D3074" s="15"/>
      <c r="E3074" s="15"/>
      <c r="F3074" s="15"/>
      <c r="G3074" s="15"/>
      <c r="H3074" s="15"/>
      <c r="I3074" s="15"/>
      <c r="J3074" s="15"/>
      <c r="K3074" s="15"/>
      <c r="L3074" s="28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5"/>
      <c r="AG3074" s="15"/>
      <c r="AH3074" s="15"/>
      <c r="AI3074" s="15"/>
      <c r="AJ3074" s="15"/>
      <c r="AK3074" s="15"/>
      <c r="AL3074" s="15"/>
      <c r="AM3074" s="15"/>
      <c r="AN3074" s="15"/>
      <c r="AO3074" s="15"/>
      <c r="AP3074" s="15"/>
      <c r="AQ3074" s="15"/>
      <c r="AR3074" s="15"/>
      <c r="AS3074" s="15"/>
      <c r="AT3074" s="15"/>
      <c r="AU3074" s="15"/>
      <c r="AV3074" s="15"/>
      <c r="AW3074" s="15"/>
    </row>
    <row r="3075" spans="3:49" x14ac:dyDescent="0.2">
      <c r="C3075" s="15"/>
      <c r="D3075" s="15"/>
      <c r="E3075" s="15"/>
      <c r="F3075" s="15"/>
      <c r="G3075" s="15"/>
      <c r="H3075" s="15"/>
      <c r="I3075" s="15"/>
      <c r="J3075" s="15"/>
      <c r="K3075" s="15"/>
      <c r="L3075" s="28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5"/>
      <c r="AG3075" s="15"/>
      <c r="AH3075" s="15"/>
      <c r="AI3075" s="15"/>
      <c r="AJ3075" s="15"/>
      <c r="AK3075" s="15"/>
      <c r="AL3075" s="15"/>
      <c r="AM3075" s="15"/>
      <c r="AN3075" s="15"/>
      <c r="AO3075" s="15"/>
      <c r="AP3075" s="15"/>
      <c r="AQ3075" s="15"/>
      <c r="AR3075" s="15"/>
      <c r="AS3075" s="15"/>
      <c r="AT3075" s="15"/>
      <c r="AU3075" s="15"/>
      <c r="AV3075" s="15"/>
      <c r="AW3075" s="15"/>
    </row>
    <row r="3076" spans="3:49" x14ac:dyDescent="0.2">
      <c r="C3076" s="15"/>
      <c r="D3076" s="15"/>
      <c r="E3076" s="15"/>
      <c r="F3076" s="15"/>
      <c r="G3076" s="15"/>
      <c r="H3076" s="15"/>
      <c r="I3076" s="15"/>
      <c r="J3076" s="15"/>
      <c r="K3076" s="15"/>
      <c r="L3076" s="28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5"/>
      <c r="AG3076" s="15"/>
      <c r="AH3076" s="15"/>
      <c r="AI3076" s="15"/>
      <c r="AJ3076" s="15"/>
      <c r="AK3076" s="15"/>
      <c r="AL3076" s="15"/>
      <c r="AM3076" s="15"/>
      <c r="AN3076" s="15"/>
      <c r="AO3076" s="15"/>
      <c r="AP3076" s="15"/>
      <c r="AQ3076" s="15"/>
      <c r="AR3076" s="15"/>
      <c r="AS3076" s="15"/>
      <c r="AT3076" s="15"/>
      <c r="AU3076" s="15"/>
      <c r="AV3076" s="15"/>
      <c r="AW3076" s="15"/>
    </row>
    <row r="3077" spans="3:49" x14ac:dyDescent="0.2">
      <c r="C3077" s="15"/>
      <c r="D3077" s="15"/>
      <c r="E3077" s="15"/>
      <c r="F3077" s="15"/>
      <c r="G3077" s="15"/>
      <c r="H3077" s="15"/>
      <c r="I3077" s="15"/>
      <c r="J3077" s="15"/>
      <c r="K3077" s="15"/>
      <c r="L3077" s="28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5"/>
      <c r="AG3077" s="15"/>
      <c r="AH3077" s="15"/>
      <c r="AI3077" s="15"/>
      <c r="AJ3077" s="15"/>
      <c r="AK3077" s="15"/>
      <c r="AL3077" s="15"/>
      <c r="AM3077" s="15"/>
      <c r="AN3077" s="15"/>
      <c r="AO3077" s="15"/>
      <c r="AP3077" s="15"/>
      <c r="AQ3077" s="15"/>
      <c r="AR3077" s="15"/>
      <c r="AS3077" s="15"/>
      <c r="AT3077" s="15"/>
      <c r="AU3077" s="15"/>
      <c r="AV3077" s="15"/>
      <c r="AW3077" s="15"/>
    </row>
    <row r="3078" spans="3:49" x14ac:dyDescent="0.2">
      <c r="C3078" s="15"/>
      <c r="D3078" s="15"/>
      <c r="E3078" s="15"/>
      <c r="F3078" s="15"/>
      <c r="G3078" s="15"/>
      <c r="H3078" s="15"/>
      <c r="I3078" s="15"/>
      <c r="J3078" s="15"/>
      <c r="K3078" s="15"/>
      <c r="L3078" s="28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5"/>
      <c r="AG3078" s="15"/>
      <c r="AH3078" s="15"/>
      <c r="AI3078" s="15"/>
      <c r="AJ3078" s="15"/>
      <c r="AK3078" s="15"/>
      <c r="AL3078" s="15"/>
      <c r="AM3078" s="15"/>
      <c r="AN3078" s="15"/>
      <c r="AO3078" s="15"/>
      <c r="AP3078" s="15"/>
      <c r="AQ3078" s="15"/>
      <c r="AR3078" s="15"/>
      <c r="AS3078" s="15"/>
      <c r="AT3078" s="15"/>
      <c r="AU3078" s="15"/>
      <c r="AV3078" s="15"/>
      <c r="AW3078" s="15"/>
    </row>
    <row r="3079" spans="3:49" x14ac:dyDescent="0.2">
      <c r="C3079" s="15"/>
      <c r="D3079" s="15"/>
      <c r="E3079" s="15"/>
      <c r="F3079" s="15"/>
      <c r="G3079" s="15"/>
      <c r="H3079" s="15"/>
      <c r="I3079" s="15"/>
      <c r="J3079" s="15"/>
      <c r="K3079" s="15"/>
      <c r="L3079" s="28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5"/>
      <c r="AG3079" s="15"/>
      <c r="AH3079" s="15"/>
      <c r="AI3079" s="15"/>
      <c r="AJ3079" s="15"/>
      <c r="AK3079" s="15"/>
      <c r="AL3079" s="15"/>
      <c r="AM3079" s="15"/>
      <c r="AN3079" s="15"/>
      <c r="AO3079" s="15"/>
      <c r="AP3079" s="15"/>
      <c r="AQ3079" s="15"/>
      <c r="AR3079" s="15"/>
      <c r="AS3079" s="15"/>
      <c r="AT3079" s="15"/>
      <c r="AU3079" s="15"/>
      <c r="AV3079" s="15"/>
      <c r="AW3079" s="15"/>
    </row>
    <row r="3080" spans="3:49" x14ac:dyDescent="0.2">
      <c r="C3080" s="15"/>
      <c r="D3080" s="15"/>
      <c r="E3080" s="15"/>
      <c r="F3080" s="15"/>
      <c r="G3080" s="15"/>
      <c r="H3080" s="15"/>
      <c r="I3080" s="15"/>
      <c r="J3080" s="15"/>
      <c r="K3080" s="15"/>
      <c r="L3080" s="28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5"/>
      <c r="AG3080" s="15"/>
      <c r="AH3080" s="15"/>
      <c r="AI3080" s="15"/>
      <c r="AJ3080" s="15"/>
      <c r="AK3080" s="15"/>
      <c r="AL3080" s="15"/>
      <c r="AM3080" s="15"/>
      <c r="AN3080" s="15"/>
      <c r="AO3080" s="15"/>
      <c r="AP3080" s="15"/>
      <c r="AQ3080" s="15"/>
      <c r="AR3080" s="15"/>
      <c r="AS3080" s="15"/>
      <c r="AT3080" s="15"/>
      <c r="AU3080" s="15"/>
      <c r="AV3080" s="15"/>
      <c r="AW3080" s="15"/>
    </row>
    <row r="3081" spans="3:49" x14ac:dyDescent="0.2">
      <c r="C3081" s="15"/>
      <c r="D3081" s="15"/>
      <c r="E3081" s="15"/>
      <c r="F3081" s="15"/>
      <c r="G3081" s="15"/>
      <c r="H3081" s="15"/>
      <c r="I3081" s="15"/>
      <c r="J3081" s="15"/>
      <c r="K3081" s="15"/>
      <c r="L3081" s="28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5"/>
      <c r="AG3081" s="15"/>
      <c r="AH3081" s="15"/>
      <c r="AI3081" s="15"/>
      <c r="AJ3081" s="15"/>
      <c r="AK3081" s="15"/>
      <c r="AL3081" s="15"/>
      <c r="AM3081" s="15"/>
      <c r="AN3081" s="15"/>
      <c r="AO3081" s="15"/>
      <c r="AP3081" s="15"/>
      <c r="AQ3081" s="15"/>
      <c r="AR3081" s="15"/>
      <c r="AS3081" s="15"/>
      <c r="AT3081" s="15"/>
      <c r="AU3081" s="15"/>
      <c r="AV3081" s="15"/>
      <c r="AW3081" s="15"/>
    </row>
    <row r="3082" spans="3:49" x14ac:dyDescent="0.2">
      <c r="C3082" s="15"/>
      <c r="D3082" s="15"/>
      <c r="E3082" s="15"/>
      <c r="F3082" s="15"/>
      <c r="G3082" s="15"/>
      <c r="H3082" s="15"/>
      <c r="I3082" s="15"/>
      <c r="J3082" s="15"/>
      <c r="K3082" s="15"/>
      <c r="L3082" s="28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5"/>
      <c r="AG3082" s="15"/>
      <c r="AH3082" s="15"/>
      <c r="AI3082" s="15"/>
      <c r="AJ3082" s="15"/>
      <c r="AK3082" s="15"/>
      <c r="AL3082" s="15"/>
      <c r="AM3082" s="15"/>
      <c r="AN3082" s="15"/>
      <c r="AO3082" s="15"/>
      <c r="AP3082" s="15"/>
      <c r="AQ3082" s="15"/>
      <c r="AR3082" s="15"/>
      <c r="AS3082" s="15"/>
      <c r="AT3082" s="15"/>
      <c r="AU3082" s="15"/>
      <c r="AV3082" s="15"/>
      <c r="AW3082" s="15"/>
    </row>
    <row r="3083" spans="3:49" x14ac:dyDescent="0.2">
      <c r="C3083" s="15"/>
      <c r="D3083" s="15"/>
      <c r="E3083" s="15"/>
      <c r="F3083" s="15"/>
      <c r="G3083" s="15"/>
      <c r="H3083" s="15"/>
      <c r="I3083" s="15"/>
      <c r="J3083" s="15"/>
      <c r="K3083" s="15"/>
      <c r="L3083" s="28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5"/>
      <c r="AG3083" s="15"/>
      <c r="AH3083" s="15"/>
      <c r="AI3083" s="15"/>
      <c r="AJ3083" s="15"/>
      <c r="AK3083" s="15"/>
      <c r="AL3083" s="15"/>
      <c r="AM3083" s="15"/>
      <c r="AN3083" s="15"/>
      <c r="AO3083" s="15"/>
      <c r="AP3083" s="15"/>
      <c r="AQ3083" s="15"/>
      <c r="AR3083" s="15"/>
      <c r="AS3083" s="15"/>
      <c r="AT3083" s="15"/>
      <c r="AU3083" s="15"/>
      <c r="AV3083" s="15"/>
      <c r="AW3083" s="15"/>
    </row>
    <row r="3084" spans="3:49" x14ac:dyDescent="0.2">
      <c r="C3084" s="15"/>
      <c r="D3084" s="15"/>
      <c r="E3084" s="15"/>
      <c r="F3084" s="15"/>
      <c r="G3084" s="15"/>
      <c r="H3084" s="15"/>
      <c r="I3084" s="15"/>
      <c r="J3084" s="15"/>
      <c r="K3084" s="15"/>
      <c r="L3084" s="28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5"/>
      <c r="AG3084" s="15"/>
      <c r="AH3084" s="15"/>
      <c r="AI3084" s="15"/>
      <c r="AJ3084" s="15"/>
      <c r="AK3084" s="15"/>
      <c r="AL3084" s="15"/>
      <c r="AM3084" s="15"/>
      <c r="AN3084" s="15"/>
      <c r="AO3084" s="15"/>
      <c r="AP3084" s="15"/>
      <c r="AQ3084" s="15"/>
      <c r="AR3084" s="15"/>
      <c r="AS3084" s="15"/>
      <c r="AT3084" s="15"/>
      <c r="AU3084" s="15"/>
      <c r="AV3084" s="15"/>
      <c r="AW3084" s="15"/>
    </row>
    <row r="3085" spans="3:49" x14ac:dyDescent="0.2">
      <c r="C3085" s="15"/>
      <c r="D3085" s="15"/>
      <c r="E3085" s="15"/>
      <c r="F3085" s="15"/>
      <c r="G3085" s="15"/>
      <c r="H3085" s="15"/>
      <c r="I3085" s="15"/>
      <c r="J3085" s="15"/>
      <c r="K3085" s="15"/>
      <c r="L3085" s="28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5"/>
      <c r="AG3085" s="15"/>
      <c r="AH3085" s="15"/>
      <c r="AI3085" s="15"/>
      <c r="AJ3085" s="15"/>
      <c r="AK3085" s="15"/>
      <c r="AL3085" s="15"/>
      <c r="AM3085" s="15"/>
      <c r="AN3085" s="15"/>
      <c r="AO3085" s="15"/>
      <c r="AP3085" s="15"/>
      <c r="AQ3085" s="15"/>
      <c r="AR3085" s="15"/>
      <c r="AS3085" s="15"/>
      <c r="AT3085" s="15"/>
      <c r="AU3085" s="15"/>
      <c r="AV3085" s="15"/>
      <c r="AW3085" s="15"/>
    </row>
    <row r="3086" spans="3:49" x14ac:dyDescent="0.2">
      <c r="C3086" s="15"/>
      <c r="D3086" s="15"/>
      <c r="E3086" s="15"/>
      <c r="F3086" s="15"/>
      <c r="G3086" s="15"/>
      <c r="H3086" s="15"/>
      <c r="I3086" s="15"/>
      <c r="J3086" s="15"/>
      <c r="K3086" s="15"/>
      <c r="L3086" s="28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5"/>
      <c r="AG3086" s="15"/>
      <c r="AH3086" s="15"/>
      <c r="AI3086" s="15"/>
      <c r="AJ3086" s="15"/>
      <c r="AK3086" s="15"/>
      <c r="AL3086" s="15"/>
      <c r="AM3086" s="15"/>
      <c r="AN3086" s="15"/>
      <c r="AO3086" s="15"/>
      <c r="AP3086" s="15"/>
      <c r="AQ3086" s="15"/>
      <c r="AR3086" s="15"/>
      <c r="AS3086" s="15"/>
      <c r="AT3086" s="15"/>
      <c r="AU3086" s="15"/>
      <c r="AV3086" s="15"/>
      <c r="AW3086" s="15"/>
    </row>
    <row r="3087" spans="3:49" x14ac:dyDescent="0.2">
      <c r="C3087" s="15"/>
      <c r="D3087" s="15"/>
      <c r="E3087" s="15"/>
      <c r="F3087" s="15"/>
      <c r="G3087" s="15"/>
      <c r="H3087" s="15"/>
      <c r="I3087" s="15"/>
      <c r="J3087" s="15"/>
      <c r="K3087" s="15"/>
      <c r="L3087" s="28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5"/>
      <c r="AG3087" s="15"/>
      <c r="AH3087" s="15"/>
      <c r="AI3087" s="15"/>
      <c r="AJ3087" s="15"/>
      <c r="AK3087" s="15"/>
      <c r="AL3087" s="15"/>
      <c r="AM3087" s="15"/>
      <c r="AN3087" s="15"/>
      <c r="AO3087" s="15"/>
      <c r="AP3087" s="15"/>
      <c r="AQ3087" s="15"/>
      <c r="AR3087" s="15"/>
      <c r="AS3087" s="15"/>
      <c r="AT3087" s="15"/>
      <c r="AU3087" s="15"/>
      <c r="AV3087" s="15"/>
      <c r="AW3087" s="15"/>
    </row>
    <row r="3088" spans="3:49" x14ac:dyDescent="0.2">
      <c r="C3088" s="15"/>
      <c r="D3088" s="15"/>
      <c r="E3088" s="15"/>
      <c r="F3088" s="15"/>
      <c r="G3088" s="15"/>
      <c r="H3088" s="15"/>
      <c r="I3088" s="15"/>
      <c r="J3088" s="15"/>
      <c r="K3088" s="15"/>
      <c r="L3088" s="28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5"/>
      <c r="AG3088" s="15"/>
      <c r="AH3088" s="15"/>
      <c r="AI3088" s="15"/>
      <c r="AJ3088" s="15"/>
      <c r="AK3088" s="15"/>
      <c r="AL3088" s="15"/>
      <c r="AM3088" s="15"/>
      <c r="AN3088" s="15"/>
      <c r="AO3088" s="15"/>
      <c r="AP3088" s="15"/>
      <c r="AQ3088" s="15"/>
      <c r="AR3088" s="15"/>
      <c r="AS3088" s="15"/>
      <c r="AT3088" s="15"/>
      <c r="AU3088" s="15"/>
      <c r="AV3088" s="15"/>
      <c r="AW3088" s="15"/>
    </row>
    <row r="3089" spans="3:49" x14ac:dyDescent="0.2">
      <c r="C3089" s="15"/>
      <c r="D3089" s="15"/>
      <c r="E3089" s="15"/>
      <c r="F3089" s="15"/>
      <c r="G3089" s="15"/>
      <c r="H3089" s="15"/>
      <c r="I3089" s="15"/>
      <c r="J3089" s="15"/>
      <c r="K3089" s="15"/>
      <c r="L3089" s="28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5"/>
      <c r="AG3089" s="15"/>
      <c r="AH3089" s="15"/>
      <c r="AI3089" s="15"/>
      <c r="AJ3089" s="15"/>
      <c r="AK3089" s="15"/>
      <c r="AL3089" s="15"/>
      <c r="AM3089" s="15"/>
      <c r="AN3089" s="15"/>
      <c r="AO3089" s="15"/>
      <c r="AP3089" s="15"/>
      <c r="AQ3089" s="15"/>
      <c r="AR3089" s="15"/>
      <c r="AS3089" s="15"/>
      <c r="AT3089" s="15"/>
      <c r="AU3089" s="15"/>
      <c r="AV3089" s="15"/>
      <c r="AW3089" s="15"/>
    </row>
    <row r="3090" spans="3:49" x14ac:dyDescent="0.2">
      <c r="C3090" s="15"/>
      <c r="D3090" s="15"/>
      <c r="E3090" s="15"/>
      <c r="F3090" s="15"/>
      <c r="G3090" s="15"/>
      <c r="H3090" s="15"/>
      <c r="I3090" s="15"/>
      <c r="J3090" s="15"/>
      <c r="K3090" s="15"/>
      <c r="L3090" s="28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5"/>
      <c r="AG3090" s="15"/>
      <c r="AH3090" s="15"/>
      <c r="AI3090" s="15"/>
      <c r="AJ3090" s="15"/>
      <c r="AK3090" s="15"/>
      <c r="AL3090" s="15"/>
      <c r="AM3090" s="15"/>
      <c r="AN3090" s="15"/>
      <c r="AO3090" s="15"/>
      <c r="AP3090" s="15"/>
      <c r="AQ3090" s="15"/>
      <c r="AR3090" s="15"/>
      <c r="AS3090" s="15"/>
      <c r="AT3090" s="15"/>
      <c r="AU3090" s="15"/>
      <c r="AV3090" s="15"/>
      <c r="AW3090" s="15"/>
    </row>
    <row r="3091" spans="3:49" x14ac:dyDescent="0.2">
      <c r="C3091" s="15"/>
      <c r="D3091" s="15"/>
      <c r="E3091" s="15"/>
      <c r="F3091" s="15"/>
      <c r="G3091" s="15"/>
      <c r="H3091" s="15"/>
      <c r="I3091" s="15"/>
      <c r="J3091" s="15"/>
      <c r="K3091" s="15"/>
      <c r="L3091" s="28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5"/>
      <c r="AG3091" s="15"/>
      <c r="AH3091" s="15"/>
      <c r="AI3091" s="15"/>
      <c r="AJ3091" s="15"/>
      <c r="AK3091" s="15"/>
      <c r="AL3091" s="15"/>
      <c r="AM3091" s="15"/>
      <c r="AN3091" s="15"/>
      <c r="AO3091" s="15"/>
      <c r="AP3091" s="15"/>
      <c r="AQ3091" s="15"/>
      <c r="AR3091" s="15"/>
      <c r="AS3091" s="15"/>
      <c r="AT3091" s="15"/>
      <c r="AU3091" s="15"/>
      <c r="AV3091" s="15"/>
      <c r="AW3091" s="15"/>
    </row>
    <row r="3092" spans="3:49" x14ac:dyDescent="0.2">
      <c r="C3092" s="15"/>
      <c r="D3092" s="15"/>
      <c r="E3092" s="15"/>
      <c r="F3092" s="15"/>
      <c r="G3092" s="15"/>
      <c r="H3092" s="15"/>
      <c r="I3092" s="15"/>
      <c r="J3092" s="15"/>
      <c r="K3092" s="15"/>
      <c r="L3092" s="28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5"/>
      <c r="AG3092" s="15"/>
      <c r="AH3092" s="15"/>
      <c r="AI3092" s="15"/>
      <c r="AJ3092" s="15"/>
      <c r="AK3092" s="15"/>
      <c r="AL3092" s="15"/>
      <c r="AM3092" s="15"/>
      <c r="AN3092" s="15"/>
      <c r="AO3092" s="15"/>
      <c r="AP3092" s="15"/>
      <c r="AQ3092" s="15"/>
      <c r="AR3092" s="15"/>
      <c r="AS3092" s="15"/>
      <c r="AT3092" s="15"/>
      <c r="AU3092" s="15"/>
      <c r="AV3092" s="15"/>
      <c r="AW3092" s="15"/>
    </row>
    <row r="3093" spans="3:49" x14ac:dyDescent="0.2">
      <c r="C3093" s="15"/>
      <c r="D3093" s="15"/>
      <c r="E3093" s="15"/>
      <c r="F3093" s="15"/>
      <c r="G3093" s="15"/>
      <c r="H3093" s="15"/>
      <c r="I3093" s="15"/>
      <c r="J3093" s="15"/>
      <c r="K3093" s="15"/>
      <c r="L3093" s="28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5"/>
      <c r="AG3093" s="15"/>
      <c r="AH3093" s="15"/>
      <c r="AI3093" s="15"/>
      <c r="AJ3093" s="15"/>
      <c r="AK3093" s="15"/>
      <c r="AL3093" s="15"/>
      <c r="AM3093" s="15"/>
      <c r="AN3093" s="15"/>
      <c r="AO3093" s="15"/>
      <c r="AP3093" s="15"/>
      <c r="AQ3093" s="15"/>
      <c r="AR3093" s="15"/>
      <c r="AS3093" s="15"/>
      <c r="AT3093" s="15"/>
      <c r="AU3093" s="15"/>
      <c r="AV3093" s="15"/>
      <c r="AW3093" s="15"/>
    </row>
    <row r="3094" spans="3:49" x14ac:dyDescent="0.2">
      <c r="C3094" s="15"/>
      <c r="D3094" s="15"/>
      <c r="E3094" s="15"/>
      <c r="F3094" s="15"/>
      <c r="G3094" s="15"/>
      <c r="H3094" s="15"/>
      <c r="I3094" s="15"/>
      <c r="J3094" s="15"/>
      <c r="K3094" s="15"/>
      <c r="L3094" s="28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5"/>
      <c r="AG3094" s="15"/>
      <c r="AH3094" s="15"/>
      <c r="AI3094" s="15"/>
      <c r="AJ3094" s="15"/>
      <c r="AK3094" s="15"/>
      <c r="AL3094" s="15"/>
      <c r="AM3094" s="15"/>
      <c r="AN3094" s="15"/>
      <c r="AO3094" s="15"/>
      <c r="AP3094" s="15"/>
      <c r="AQ3094" s="15"/>
      <c r="AR3094" s="15"/>
      <c r="AS3094" s="15"/>
      <c r="AT3094" s="15"/>
      <c r="AU3094" s="15"/>
      <c r="AV3094" s="15"/>
      <c r="AW3094" s="15"/>
    </row>
    <row r="3095" spans="3:49" x14ac:dyDescent="0.2">
      <c r="C3095" s="15"/>
      <c r="D3095" s="15"/>
      <c r="E3095" s="15"/>
      <c r="F3095" s="15"/>
      <c r="G3095" s="15"/>
      <c r="H3095" s="15"/>
      <c r="I3095" s="15"/>
      <c r="J3095" s="15"/>
      <c r="K3095" s="15"/>
      <c r="L3095" s="28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5"/>
      <c r="AG3095" s="15"/>
      <c r="AH3095" s="15"/>
      <c r="AI3095" s="15"/>
      <c r="AJ3095" s="15"/>
      <c r="AK3095" s="15"/>
      <c r="AL3095" s="15"/>
      <c r="AM3095" s="15"/>
      <c r="AN3095" s="15"/>
      <c r="AO3095" s="15"/>
      <c r="AP3095" s="15"/>
      <c r="AQ3095" s="15"/>
      <c r="AR3095" s="15"/>
      <c r="AS3095" s="15"/>
      <c r="AT3095" s="15"/>
      <c r="AU3095" s="15"/>
      <c r="AV3095" s="15"/>
      <c r="AW3095" s="15"/>
    </row>
    <row r="3096" spans="3:49" x14ac:dyDescent="0.2">
      <c r="C3096" s="15"/>
      <c r="D3096" s="15"/>
      <c r="E3096" s="15"/>
      <c r="F3096" s="15"/>
      <c r="G3096" s="15"/>
      <c r="H3096" s="15"/>
      <c r="I3096" s="15"/>
      <c r="J3096" s="15"/>
      <c r="K3096" s="15"/>
      <c r="L3096" s="28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5"/>
      <c r="AG3096" s="15"/>
      <c r="AH3096" s="15"/>
      <c r="AI3096" s="15"/>
      <c r="AJ3096" s="15"/>
      <c r="AK3096" s="15"/>
      <c r="AL3096" s="15"/>
      <c r="AM3096" s="15"/>
      <c r="AN3096" s="15"/>
      <c r="AO3096" s="15"/>
      <c r="AP3096" s="15"/>
      <c r="AQ3096" s="15"/>
      <c r="AR3096" s="15"/>
      <c r="AS3096" s="15"/>
      <c r="AT3096" s="15"/>
      <c r="AU3096" s="15"/>
      <c r="AV3096" s="15"/>
      <c r="AW3096" s="15"/>
    </row>
    <row r="3097" spans="3:49" x14ac:dyDescent="0.2">
      <c r="C3097" s="15"/>
      <c r="D3097" s="15"/>
      <c r="E3097" s="15"/>
      <c r="F3097" s="15"/>
      <c r="G3097" s="15"/>
      <c r="H3097" s="15"/>
      <c r="I3097" s="15"/>
      <c r="J3097" s="15"/>
      <c r="K3097" s="15"/>
      <c r="L3097" s="28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5"/>
      <c r="AG3097" s="15"/>
      <c r="AH3097" s="15"/>
      <c r="AI3097" s="15"/>
      <c r="AJ3097" s="15"/>
      <c r="AK3097" s="15"/>
      <c r="AL3097" s="15"/>
      <c r="AM3097" s="15"/>
      <c r="AN3097" s="15"/>
      <c r="AO3097" s="15"/>
      <c r="AP3097" s="15"/>
      <c r="AQ3097" s="15"/>
      <c r="AR3097" s="15"/>
      <c r="AS3097" s="15"/>
      <c r="AT3097" s="15"/>
      <c r="AU3097" s="15"/>
      <c r="AV3097" s="15"/>
      <c r="AW3097" s="15"/>
    </row>
    <row r="3098" spans="3:49" x14ac:dyDescent="0.2">
      <c r="C3098" s="15"/>
      <c r="D3098" s="15"/>
      <c r="E3098" s="15"/>
      <c r="F3098" s="15"/>
      <c r="G3098" s="15"/>
      <c r="H3098" s="15"/>
      <c r="I3098" s="15"/>
      <c r="J3098" s="15"/>
      <c r="K3098" s="15"/>
      <c r="L3098" s="28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5"/>
      <c r="AG3098" s="15"/>
      <c r="AH3098" s="15"/>
      <c r="AI3098" s="15"/>
      <c r="AJ3098" s="15"/>
      <c r="AK3098" s="15"/>
      <c r="AL3098" s="15"/>
      <c r="AM3098" s="15"/>
      <c r="AN3098" s="15"/>
      <c r="AO3098" s="15"/>
      <c r="AP3098" s="15"/>
      <c r="AQ3098" s="15"/>
      <c r="AR3098" s="15"/>
      <c r="AS3098" s="15"/>
      <c r="AT3098" s="15"/>
      <c r="AU3098" s="15"/>
      <c r="AV3098" s="15"/>
      <c r="AW3098" s="15"/>
    </row>
    <row r="3099" spans="3:49" x14ac:dyDescent="0.2">
      <c r="C3099" s="15"/>
      <c r="D3099" s="15"/>
      <c r="E3099" s="15"/>
      <c r="F3099" s="15"/>
      <c r="G3099" s="15"/>
      <c r="H3099" s="15"/>
      <c r="I3099" s="15"/>
      <c r="J3099" s="15"/>
      <c r="K3099" s="15"/>
      <c r="L3099" s="28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5"/>
      <c r="AG3099" s="15"/>
      <c r="AH3099" s="15"/>
      <c r="AI3099" s="15"/>
      <c r="AJ3099" s="15"/>
      <c r="AK3099" s="15"/>
      <c r="AL3099" s="15"/>
      <c r="AM3099" s="15"/>
      <c r="AN3099" s="15"/>
      <c r="AO3099" s="15"/>
      <c r="AP3099" s="15"/>
      <c r="AQ3099" s="15"/>
      <c r="AR3099" s="15"/>
      <c r="AS3099" s="15"/>
      <c r="AT3099" s="15"/>
      <c r="AU3099" s="15"/>
      <c r="AV3099" s="15"/>
      <c r="AW3099" s="15"/>
    </row>
    <row r="3100" spans="3:49" x14ac:dyDescent="0.2">
      <c r="C3100" s="15"/>
      <c r="D3100" s="15"/>
      <c r="E3100" s="15"/>
      <c r="F3100" s="15"/>
      <c r="G3100" s="15"/>
      <c r="H3100" s="15"/>
      <c r="I3100" s="15"/>
      <c r="J3100" s="15"/>
      <c r="K3100" s="15"/>
      <c r="L3100" s="28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5"/>
      <c r="AG3100" s="15"/>
      <c r="AH3100" s="15"/>
      <c r="AI3100" s="15"/>
      <c r="AJ3100" s="15"/>
      <c r="AK3100" s="15"/>
      <c r="AL3100" s="15"/>
      <c r="AM3100" s="15"/>
      <c r="AN3100" s="15"/>
      <c r="AO3100" s="15"/>
      <c r="AP3100" s="15"/>
      <c r="AQ3100" s="15"/>
      <c r="AR3100" s="15"/>
      <c r="AS3100" s="15"/>
      <c r="AT3100" s="15"/>
      <c r="AU3100" s="15"/>
      <c r="AV3100" s="15"/>
      <c r="AW3100" s="15"/>
    </row>
    <row r="3101" spans="3:49" x14ac:dyDescent="0.2">
      <c r="C3101" s="15"/>
      <c r="D3101" s="15"/>
      <c r="E3101" s="15"/>
      <c r="F3101" s="15"/>
      <c r="G3101" s="15"/>
      <c r="H3101" s="15"/>
      <c r="I3101" s="15"/>
      <c r="J3101" s="15"/>
      <c r="K3101" s="15"/>
      <c r="L3101" s="28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5"/>
      <c r="AG3101" s="15"/>
      <c r="AH3101" s="15"/>
      <c r="AI3101" s="15"/>
      <c r="AJ3101" s="15"/>
      <c r="AK3101" s="15"/>
      <c r="AL3101" s="15"/>
      <c r="AM3101" s="15"/>
      <c r="AN3101" s="15"/>
      <c r="AO3101" s="15"/>
      <c r="AP3101" s="15"/>
      <c r="AQ3101" s="15"/>
      <c r="AR3101" s="15"/>
      <c r="AS3101" s="15"/>
      <c r="AT3101" s="15"/>
      <c r="AU3101" s="15"/>
      <c r="AV3101" s="15"/>
      <c r="AW3101" s="15"/>
    </row>
    <row r="3102" spans="3:49" x14ac:dyDescent="0.2">
      <c r="C3102" s="15"/>
      <c r="D3102" s="15"/>
      <c r="E3102" s="15"/>
      <c r="F3102" s="15"/>
      <c r="G3102" s="15"/>
      <c r="H3102" s="15"/>
      <c r="I3102" s="15"/>
      <c r="J3102" s="15"/>
      <c r="K3102" s="15"/>
      <c r="L3102" s="28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5"/>
      <c r="AG3102" s="15"/>
      <c r="AH3102" s="15"/>
      <c r="AI3102" s="15"/>
      <c r="AJ3102" s="15"/>
      <c r="AK3102" s="15"/>
      <c r="AL3102" s="15"/>
      <c r="AM3102" s="15"/>
      <c r="AN3102" s="15"/>
      <c r="AO3102" s="15"/>
      <c r="AP3102" s="15"/>
      <c r="AQ3102" s="15"/>
      <c r="AR3102" s="15"/>
      <c r="AS3102" s="15"/>
      <c r="AT3102" s="15"/>
      <c r="AU3102" s="15"/>
      <c r="AV3102" s="15"/>
      <c r="AW3102" s="15"/>
    </row>
    <row r="3103" spans="3:49" x14ac:dyDescent="0.2">
      <c r="C3103" s="15"/>
      <c r="D3103" s="15"/>
      <c r="E3103" s="15"/>
      <c r="F3103" s="15"/>
      <c r="G3103" s="15"/>
      <c r="H3103" s="15"/>
      <c r="I3103" s="15"/>
      <c r="J3103" s="15"/>
      <c r="K3103" s="15"/>
      <c r="L3103" s="28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5"/>
      <c r="AG3103" s="15"/>
      <c r="AH3103" s="15"/>
      <c r="AI3103" s="15"/>
      <c r="AJ3103" s="15"/>
      <c r="AK3103" s="15"/>
      <c r="AL3103" s="15"/>
      <c r="AM3103" s="15"/>
      <c r="AN3103" s="15"/>
      <c r="AO3103" s="15"/>
      <c r="AP3103" s="15"/>
      <c r="AQ3103" s="15"/>
      <c r="AR3103" s="15"/>
      <c r="AS3103" s="15"/>
      <c r="AT3103" s="15"/>
      <c r="AU3103" s="15"/>
      <c r="AV3103" s="15"/>
      <c r="AW3103" s="15"/>
    </row>
    <row r="3104" spans="3:49" x14ac:dyDescent="0.2">
      <c r="C3104" s="15"/>
      <c r="D3104" s="15"/>
      <c r="E3104" s="15"/>
      <c r="F3104" s="15"/>
      <c r="G3104" s="15"/>
      <c r="H3104" s="15"/>
      <c r="I3104" s="15"/>
      <c r="J3104" s="15"/>
      <c r="K3104" s="15"/>
      <c r="L3104" s="28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  <c r="AE3104" s="15"/>
      <c r="AF3104" s="15"/>
      <c r="AG3104" s="15"/>
      <c r="AH3104" s="15"/>
      <c r="AI3104" s="15"/>
      <c r="AJ3104" s="15"/>
      <c r="AK3104" s="15"/>
      <c r="AL3104" s="15"/>
      <c r="AM3104" s="15"/>
      <c r="AN3104" s="15"/>
      <c r="AO3104" s="15"/>
      <c r="AP3104" s="15"/>
      <c r="AQ3104" s="15"/>
      <c r="AR3104" s="15"/>
      <c r="AS3104" s="15"/>
      <c r="AT3104" s="15"/>
      <c r="AU3104" s="15"/>
      <c r="AV3104" s="15"/>
      <c r="AW3104" s="15"/>
    </row>
    <row r="3105" spans="3:49" x14ac:dyDescent="0.2">
      <c r="C3105" s="15"/>
      <c r="D3105" s="15"/>
      <c r="E3105" s="15"/>
      <c r="F3105" s="15"/>
      <c r="G3105" s="15"/>
      <c r="H3105" s="15"/>
      <c r="I3105" s="15"/>
      <c r="J3105" s="15"/>
      <c r="K3105" s="15"/>
      <c r="L3105" s="28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  <c r="AE3105" s="15"/>
      <c r="AF3105" s="15"/>
      <c r="AG3105" s="15"/>
      <c r="AH3105" s="15"/>
      <c r="AI3105" s="15"/>
      <c r="AJ3105" s="15"/>
      <c r="AK3105" s="15"/>
      <c r="AL3105" s="15"/>
      <c r="AM3105" s="15"/>
      <c r="AN3105" s="15"/>
      <c r="AO3105" s="15"/>
      <c r="AP3105" s="15"/>
      <c r="AQ3105" s="15"/>
      <c r="AR3105" s="15"/>
      <c r="AS3105" s="15"/>
      <c r="AT3105" s="15"/>
      <c r="AU3105" s="15"/>
      <c r="AV3105" s="15"/>
      <c r="AW3105" s="15"/>
    </row>
    <row r="3106" spans="3:49" x14ac:dyDescent="0.2">
      <c r="C3106" s="15"/>
      <c r="D3106" s="15"/>
      <c r="E3106" s="15"/>
      <c r="F3106" s="15"/>
      <c r="G3106" s="15"/>
      <c r="H3106" s="15"/>
      <c r="I3106" s="15"/>
      <c r="J3106" s="15"/>
      <c r="K3106" s="15"/>
      <c r="L3106" s="28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  <c r="AA3106" s="15"/>
      <c r="AB3106" s="15"/>
      <c r="AC3106" s="15"/>
      <c r="AD3106" s="15"/>
      <c r="AE3106" s="15"/>
      <c r="AF3106" s="15"/>
      <c r="AG3106" s="15"/>
      <c r="AH3106" s="15"/>
      <c r="AI3106" s="15"/>
      <c r="AJ3106" s="15"/>
      <c r="AK3106" s="15"/>
      <c r="AL3106" s="15"/>
      <c r="AM3106" s="15"/>
      <c r="AN3106" s="15"/>
      <c r="AO3106" s="15"/>
      <c r="AP3106" s="15"/>
      <c r="AQ3106" s="15"/>
      <c r="AR3106" s="15"/>
      <c r="AS3106" s="15"/>
      <c r="AT3106" s="15"/>
      <c r="AU3106" s="15"/>
      <c r="AV3106" s="15"/>
      <c r="AW3106" s="15"/>
    </row>
    <row r="3107" spans="3:49" x14ac:dyDescent="0.2">
      <c r="C3107" s="15"/>
      <c r="D3107" s="15"/>
      <c r="E3107" s="15"/>
      <c r="F3107" s="15"/>
      <c r="G3107" s="15"/>
      <c r="H3107" s="15"/>
      <c r="I3107" s="15"/>
      <c r="J3107" s="15"/>
      <c r="K3107" s="15"/>
      <c r="L3107" s="28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  <c r="AA3107" s="15"/>
      <c r="AB3107" s="15"/>
      <c r="AC3107" s="15"/>
      <c r="AD3107" s="15"/>
      <c r="AE3107" s="15"/>
      <c r="AF3107" s="15"/>
      <c r="AG3107" s="15"/>
      <c r="AH3107" s="15"/>
      <c r="AI3107" s="15"/>
      <c r="AJ3107" s="15"/>
      <c r="AK3107" s="15"/>
      <c r="AL3107" s="15"/>
      <c r="AM3107" s="15"/>
      <c r="AN3107" s="15"/>
      <c r="AO3107" s="15"/>
      <c r="AP3107" s="15"/>
      <c r="AQ3107" s="15"/>
      <c r="AR3107" s="15"/>
      <c r="AS3107" s="15"/>
      <c r="AT3107" s="15"/>
      <c r="AU3107" s="15"/>
      <c r="AV3107" s="15"/>
      <c r="AW3107" s="15"/>
    </row>
    <row r="3108" spans="3:49" x14ac:dyDescent="0.2">
      <c r="C3108" s="15"/>
      <c r="D3108" s="15"/>
      <c r="E3108" s="15"/>
      <c r="F3108" s="15"/>
      <c r="G3108" s="15"/>
      <c r="H3108" s="15"/>
      <c r="I3108" s="15"/>
      <c r="J3108" s="15"/>
      <c r="K3108" s="15"/>
      <c r="L3108" s="28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  <c r="AA3108" s="15"/>
      <c r="AB3108" s="15"/>
      <c r="AC3108" s="15"/>
      <c r="AD3108" s="15"/>
      <c r="AE3108" s="15"/>
      <c r="AF3108" s="15"/>
      <c r="AG3108" s="15"/>
      <c r="AH3108" s="15"/>
      <c r="AI3108" s="15"/>
      <c r="AJ3108" s="15"/>
      <c r="AK3108" s="15"/>
      <c r="AL3108" s="15"/>
      <c r="AM3108" s="15"/>
      <c r="AN3108" s="15"/>
      <c r="AO3108" s="15"/>
      <c r="AP3108" s="15"/>
      <c r="AQ3108" s="15"/>
      <c r="AR3108" s="15"/>
      <c r="AS3108" s="15"/>
      <c r="AT3108" s="15"/>
      <c r="AU3108" s="15"/>
      <c r="AV3108" s="15"/>
      <c r="AW3108" s="15"/>
    </row>
    <row r="3109" spans="3:49" x14ac:dyDescent="0.2">
      <c r="C3109" s="15"/>
      <c r="D3109" s="15"/>
      <c r="E3109" s="15"/>
      <c r="F3109" s="15"/>
      <c r="G3109" s="15"/>
      <c r="H3109" s="15"/>
      <c r="I3109" s="15"/>
      <c r="J3109" s="15"/>
      <c r="K3109" s="15"/>
      <c r="L3109" s="28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  <c r="AA3109" s="15"/>
      <c r="AB3109" s="15"/>
      <c r="AC3109" s="15"/>
      <c r="AD3109" s="15"/>
      <c r="AE3109" s="15"/>
      <c r="AF3109" s="15"/>
      <c r="AG3109" s="15"/>
      <c r="AH3109" s="15"/>
      <c r="AI3109" s="15"/>
      <c r="AJ3109" s="15"/>
      <c r="AK3109" s="15"/>
      <c r="AL3109" s="15"/>
      <c r="AM3109" s="15"/>
      <c r="AN3109" s="15"/>
      <c r="AO3109" s="15"/>
      <c r="AP3109" s="15"/>
      <c r="AQ3109" s="15"/>
      <c r="AR3109" s="15"/>
      <c r="AS3109" s="15"/>
      <c r="AT3109" s="15"/>
      <c r="AU3109" s="15"/>
      <c r="AV3109" s="15"/>
      <c r="AW3109" s="15"/>
    </row>
    <row r="3110" spans="3:49" x14ac:dyDescent="0.2">
      <c r="C3110" s="15"/>
      <c r="D3110" s="15"/>
      <c r="E3110" s="15"/>
      <c r="F3110" s="15"/>
      <c r="G3110" s="15"/>
      <c r="H3110" s="15"/>
      <c r="I3110" s="15"/>
      <c r="J3110" s="15"/>
      <c r="K3110" s="15"/>
      <c r="L3110" s="28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  <c r="AA3110" s="15"/>
      <c r="AB3110" s="15"/>
      <c r="AC3110" s="15"/>
      <c r="AD3110" s="15"/>
      <c r="AE3110" s="15"/>
      <c r="AF3110" s="15"/>
      <c r="AG3110" s="15"/>
      <c r="AH3110" s="15"/>
      <c r="AI3110" s="15"/>
      <c r="AJ3110" s="15"/>
      <c r="AK3110" s="15"/>
      <c r="AL3110" s="15"/>
      <c r="AM3110" s="15"/>
      <c r="AN3110" s="15"/>
      <c r="AO3110" s="15"/>
      <c r="AP3110" s="15"/>
      <c r="AQ3110" s="15"/>
      <c r="AR3110" s="15"/>
      <c r="AS3110" s="15"/>
      <c r="AT3110" s="15"/>
      <c r="AU3110" s="15"/>
      <c r="AV3110" s="15"/>
      <c r="AW3110" s="15"/>
    </row>
    <row r="3111" spans="3:49" x14ac:dyDescent="0.2">
      <c r="C3111" s="15"/>
      <c r="D3111" s="15"/>
      <c r="E3111" s="15"/>
      <c r="F3111" s="15"/>
      <c r="G3111" s="15"/>
      <c r="H3111" s="15"/>
      <c r="I3111" s="15"/>
      <c r="J3111" s="15"/>
      <c r="K3111" s="15"/>
      <c r="L3111" s="28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  <c r="AA3111" s="15"/>
      <c r="AB3111" s="15"/>
      <c r="AC3111" s="15"/>
      <c r="AD3111" s="15"/>
      <c r="AE3111" s="15"/>
      <c r="AF3111" s="15"/>
      <c r="AG3111" s="15"/>
      <c r="AH3111" s="15"/>
      <c r="AI3111" s="15"/>
      <c r="AJ3111" s="15"/>
      <c r="AK3111" s="15"/>
      <c r="AL3111" s="15"/>
      <c r="AM3111" s="15"/>
      <c r="AN3111" s="15"/>
      <c r="AO3111" s="15"/>
      <c r="AP3111" s="15"/>
      <c r="AQ3111" s="15"/>
      <c r="AR3111" s="15"/>
      <c r="AS3111" s="15"/>
      <c r="AT3111" s="15"/>
      <c r="AU3111" s="15"/>
      <c r="AV3111" s="15"/>
      <c r="AW3111" s="15"/>
    </row>
    <row r="3112" spans="3:49" x14ac:dyDescent="0.2">
      <c r="C3112" s="15"/>
      <c r="D3112" s="15"/>
      <c r="E3112" s="15"/>
      <c r="F3112" s="15"/>
      <c r="G3112" s="15"/>
      <c r="H3112" s="15"/>
      <c r="I3112" s="15"/>
      <c r="J3112" s="15"/>
      <c r="K3112" s="15"/>
      <c r="L3112" s="28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  <c r="AA3112" s="15"/>
      <c r="AB3112" s="15"/>
      <c r="AC3112" s="15"/>
      <c r="AD3112" s="15"/>
      <c r="AE3112" s="15"/>
      <c r="AF3112" s="15"/>
      <c r="AG3112" s="15"/>
      <c r="AH3112" s="15"/>
      <c r="AI3112" s="15"/>
      <c r="AJ3112" s="15"/>
      <c r="AK3112" s="15"/>
      <c r="AL3112" s="15"/>
      <c r="AM3112" s="15"/>
      <c r="AN3112" s="15"/>
      <c r="AO3112" s="15"/>
      <c r="AP3112" s="15"/>
      <c r="AQ3112" s="15"/>
      <c r="AR3112" s="15"/>
      <c r="AS3112" s="15"/>
      <c r="AT3112" s="15"/>
      <c r="AU3112" s="15"/>
      <c r="AV3112" s="15"/>
      <c r="AW3112" s="15"/>
    </row>
    <row r="3113" spans="3:49" x14ac:dyDescent="0.2">
      <c r="C3113" s="15"/>
      <c r="D3113" s="15"/>
      <c r="E3113" s="15"/>
      <c r="F3113" s="15"/>
      <c r="G3113" s="15"/>
      <c r="H3113" s="15"/>
      <c r="I3113" s="15"/>
      <c r="J3113" s="15"/>
      <c r="K3113" s="15"/>
      <c r="L3113" s="28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  <c r="AA3113" s="15"/>
      <c r="AB3113" s="15"/>
      <c r="AC3113" s="15"/>
      <c r="AD3113" s="15"/>
      <c r="AE3113" s="15"/>
      <c r="AF3113" s="15"/>
      <c r="AG3113" s="15"/>
      <c r="AH3113" s="15"/>
      <c r="AI3113" s="15"/>
      <c r="AJ3113" s="15"/>
      <c r="AK3113" s="15"/>
      <c r="AL3113" s="15"/>
      <c r="AM3113" s="15"/>
      <c r="AN3113" s="15"/>
      <c r="AO3113" s="15"/>
      <c r="AP3113" s="15"/>
      <c r="AQ3113" s="15"/>
      <c r="AR3113" s="15"/>
      <c r="AS3113" s="15"/>
      <c r="AT3113" s="15"/>
      <c r="AU3113" s="15"/>
      <c r="AV3113" s="15"/>
      <c r="AW3113" s="15"/>
    </row>
    <row r="3114" spans="3:49" x14ac:dyDescent="0.2">
      <c r="C3114" s="15"/>
      <c r="D3114" s="15"/>
      <c r="E3114" s="15"/>
      <c r="F3114" s="15"/>
      <c r="G3114" s="15"/>
      <c r="H3114" s="15"/>
      <c r="I3114" s="15"/>
      <c r="J3114" s="15"/>
      <c r="K3114" s="15"/>
      <c r="L3114" s="28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  <c r="AA3114" s="15"/>
      <c r="AB3114" s="15"/>
      <c r="AC3114" s="15"/>
      <c r="AD3114" s="15"/>
      <c r="AE3114" s="15"/>
      <c r="AF3114" s="15"/>
      <c r="AG3114" s="15"/>
      <c r="AH3114" s="15"/>
      <c r="AI3114" s="15"/>
      <c r="AJ3114" s="15"/>
      <c r="AK3114" s="15"/>
      <c r="AL3114" s="15"/>
      <c r="AM3114" s="15"/>
      <c r="AN3114" s="15"/>
      <c r="AO3114" s="15"/>
      <c r="AP3114" s="15"/>
      <c r="AQ3114" s="15"/>
      <c r="AR3114" s="15"/>
      <c r="AS3114" s="15"/>
      <c r="AT3114" s="15"/>
      <c r="AU3114" s="15"/>
      <c r="AV3114" s="15"/>
      <c r="AW3114" s="15"/>
    </row>
    <row r="3115" spans="3:49" x14ac:dyDescent="0.2">
      <c r="C3115" s="15"/>
      <c r="D3115" s="15"/>
      <c r="E3115" s="15"/>
      <c r="F3115" s="15"/>
      <c r="G3115" s="15"/>
      <c r="H3115" s="15"/>
      <c r="I3115" s="15"/>
      <c r="J3115" s="15"/>
      <c r="K3115" s="15"/>
      <c r="L3115" s="28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  <c r="AA3115" s="15"/>
      <c r="AB3115" s="15"/>
      <c r="AC3115" s="15"/>
      <c r="AD3115" s="15"/>
      <c r="AE3115" s="15"/>
      <c r="AF3115" s="15"/>
      <c r="AG3115" s="15"/>
      <c r="AH3115" s="15"/>
      <c r="AI3115" s="15"/>
      <c r="AJ3115" s="15"/>
      <c r="AK3115" s="15"/>
      <c r="AL3115" s="15"/>
      <c r="AM3115" s="15"/>
      <c r="AN3115" s="15"/>
      <c r="AO3115" s="15"/>
      <c r="AP3115" s="15"/>
      <c r="AQ3115" s="15"/>
      <c r="AR3115" s="15"/>
      <c r="AS3115" s="15"/>
      <c r="AT3115" s="15"/>
      <c r="AU3115" s="15"/>
      <c r="AV3115" s="15"/>
      <c r="AW3115" s="15"/>
    </row>
    <row r="3116" spans="3:49" x14ac:dyDescent="0.2">
      <c r="C3116" s="15"/>
      <c r="D3116" s="15"/>
      <c r="E3116" s="15"/>
      <c r="F3116" s="15"/>
      <c r="G3116" s="15"/>
      <c r="H3116" s="15"/>
      <c r="I3116" s="15"/>
      <c r="J3116" s="15"/>
      <c r="K3116" s="15"/>
      <c r="L3116" s="28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  <c r="AA3116" s="15"/>
      <c r="AB3116" s="15"/>
      <c r="AC3116" s="15"/>
      <c r="AD3116" s="15"/>
      <c r="AE3116" s="15"/>
      <c r="AF3116" s="15"/>
      <c r="AG3116" s="15"/>
      <c r="AH3116" s="15"/>
      <c r="AI3116" s="15"/>
      <c r="AJ3116" s="15"/>
      <c r="AK3116" s="15"/>
      <c r="AL3116" s="15"/>
      <c r="AM3116" s="15"/>
      <c r="AN3116" s="15"/>
      <c r="AO3116" s="15"/>
      <c r="AP3116" s="15"/>
      <c r="AQ3116" s="15"/>
      <c r="AR3116" s="15"/>
      <c r="AS3116" s="15"/>
      <c r="AT3116" s="15"/>
      <c r="AU3116" s="15"/>
      <c r="AV3116" s="15"/>
      <c r="AW3116" s="15"/>
    </row>
    <row r="3117" spans="3:49" x14ac:dyDescent="0.2">
      <c r="C3117" s="15"/>
      <c r="D3117" s="15"/>
      <c r="E3117" s="15"/>
      <c r="F3117" s="15"/>
      <c r="G3117" s="15"/>
      <c r="H3117" s="15"/>
      <c r="I3117" s="15"/>
      <c r="J3117" s="15"/>
      <c r="K3117" s="15"/>
      <c r="L3117" s="28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  <c r="AA3117" s="15"/>
      <c r="AB3117" s="15"/>
      <c r="AC3117" s="15"/>
      <c r="AD3117" s="15"/>
      <c r="AE3117" s="15"/>
      <c r="AF3117" s="15"/>
      <c r="AG3117" s="15"/>
      <c r="AH3117" s="15"/>
      <c r="AI3117" s="15"/>
      <c r="AJ3117" s="15"/>
      <c r="AK3117" s="15"/>
      <c r="AL3117" s="15"/>
      <c r="AM3117" s="15"/>
      <c r="AN3117" s="15"/>
      <c r="AO3117" s="15"/>
      <c r="AP3117" s="15"/>
      <c r="AQ3117" s="15"/>
      <c r="AR3117" s="15"/>
      <c r="AS3117" s="15"/>
      <c r="AT3117" s="15"/>
      <c r="AU3117" s="15"/>
      <c r="AV3117" s="15"/>
      <c r="AW3117" s="15"/>
    </row>
    <row r="3118" spans="3:49" x14ac:dyDescent="0.2">
      <c r="C3118" s="15"/>
      <c r="D3118" s="15"/>
      <c r="E3118" s="15"/>
      <c r="F3118" s="15"/>
      <c r="G3118" s="15"/>
      <c r="H3118" s="15"/>
      <c r="I3118" s="15"/>
      <c r="J3118" s="15"/>
      <c r="K3118" s="15"/>
      <c r="L3118" s="28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  <c r="AA3118" s="15"/>
      <c r="AB3118" s="15"/>
      <c r="AC3118" s="15"/>
      <c r="AD3118" s="15"/>
      <c r="AE3118" s="15"/>
      <c r="AF3118" s="15"/>
      <c r="AG3118" s="15"/>
      <c r="AH3118" s="15"/>
      <c r="AI3118" s="15"/>
      <c r="AJ3118" s="15"/>
      <c r="AK3118" s="15"/>
      <c r="AL3118" s="15"/>
      <c r="AM3118" s="15"/>
      <c r="AN3118" s="15"/>
      <c r="AO3118" s="15"/>
      <c r="AP3118" s="15"/>
      <c r="AQ3118" s="15"/>
      <c r="AR3118" s="15"/>
      <c r="AS3118" s="15"/>
      <c r="AT3118" s="15"/>
      <c r="AU3118" s="15"/>
      <c r="AV3118" s="15"/>
      <c r="AW3118" s="15"/>
    </row>
    <row r="3119" spans="3:49" x14ac:dyDescent="0.2">
      <c r="C3119" s="15"/>
      <c r="D3119" s="15"/>
      <c r="E3119" s="15"/>
      <c r="F3119" s="15"/>
      <c r="G3119" s="15"/>
      <c r="H3119" s="15"/>
      <c r="I3119" s="15"/>
      <c r="J3119" s="15"/>
      <c r="K3119" s="15"/>
      <c r="L3119" s="28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  <c r="AA3119" s="15"/>
      <c r="AB3119" s="15"/>
      <c r="AC3119" s="15"/>
      <c r="AD3119" s="15"/>
      <c r="AE3119" s="15"/>
      <c r="AF3119" s="15"/>
      <c r="AG3119" s="15"/>
      <c r="AH3119" s="15"/>
      <c r="AI3119" s="15"/>
      <c r="AJ3119" s="15"/>
      <c r="AK3119" s="15"/>
      <c r="AL3119" s="15"/>
      <c r="AM3119" s="15"/>
      <c r="AN3119" s="15"/>
      <c r="AO3119" s="15"/>
      <c r="AP3119" s="15"/>
      <c r="AQ3119" s="15"/>
      <c r="AR3119" s="15"/>
      <c r="AS3119" s="15"/>
      <c r="AT3119" s="15"/>
      <c r="AU3119" s="15"/>
      <c r="AV3119" s="15"/>
      <c r="AW3119" s="15"/>
    </row>
    <row r="3120" spans="3:49" x14ac:dyDescent="0.2">
      <c r="C3120" s="15"/>
      <c r="D3120" s="15"/>
      <c r="E3120" s="15"/>
      <c r="F3120" s="15"/>
      <c r="G3120" s="15"/>
      <c r="H3120" s="15"/>
      <c r="I3120" s="15"/>
      <c r="J3120" s="15"/>
      <c r="K3120" s="15"/>
      <c r="L3120" s="28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  <c r="AA3120" s="15"/>
      <c r="AB3120" s="15"/>
      <c r="AC3120" s="15"/>
      <c r="AD3120" s="15"/>
      <c r="AE3120" s="15"/>
      <c r="AF3120" s="15"/>
      <c r="AG3120" s="15"/>
      <c r="AH3120" s="15"/>
      <c r="AI3120" s="15"/>
      <c r="AJ3120" s="15"/>
      <c r="AK3120" s="15"/>
      <c r="AL3120" s="15"/>
      <c r="AM3120" s="15"/>
      <c r="AN3120" s="15"/>
      <c r="AO3120" s="15"/>
      <c r="AP3120" s="15"/>
      <c r="AQ3120" s="15"/>
      <c r="AR3120" s="15"/>
      <c r="AS3120" s="15"/>
      <c r="AT3120" s="15"/>
      <c r="AU3120" s="15"/>
      <c r="AV3120" s="15"/>
      <c r="AW3120" s="15"/>
    </row>
    <row r="3121" spans="3:49" x14ac:dyDescent="0.2">
      <c r="C3121" s="15"/>
      <c r="D3121" s="15"/>
      <c r="E3121" s="15"/>
      <c r="F3121" s="15"/>
      <c r="G3121" s="15"/>
      <c r="H3121" s="15"/>
      <c r="I3121" s="15"/>
      <c r="J3121" s="15"/>
      <c r="K3121" s="15"/>
      <c r="L3121" s="28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  <c r="AA3121" s="15"/>
      <c r="AB3121" s="15"/>
      <c r="AC3121" s="15"/>
      <c r="AD3121" s="15"/>
      <c r="AE3121" s="15"/>
      <c r="AF3121" s="15"/>
      <c r="AG3121" s="15"/>
      <c r="AH3121" s="15"/>
      <c r="AI3121" s="15"/>
      <c r="AJ3121" s="15"/>
      <c r="AK3121" s="15"/>
      <c r="AL3121" s="15"/>
      <c r="AM3121" s="15"/>
      <c r="AN3121" s="15"/>
      <c r="AO3121" s="15"/>
      <c r="AP3121" s="15"/>
      <c r="AQ3121" s="15"/>
      <c r="AR3121" s="15"/>
      <c r="AS3121" s="15"/>
      <c r="AT3121" s="15"/>
      <c r="AU3121" s="15"/>
      <c r="AV3121" s="15"/>
      <c r="AW3121" s="15"/>
    </row>
    <row r="3122" spans="3:49" x14ac:dyDescent="0.2">
      <c r="C3122" s="15"/>
      <c r="D3122" s="15"/>
      <c r="E3122" s="15"/>
      <c r="F3122" s="15"/>
      <c r="G3122" s="15"/>
      <c r="H3122" s="15"/>
      <c r="I3122" s="15"/>
      <c r="J3122" s="15"/>
      <c r="K3122" s="15"/>
      <c r="L3122" s="28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  <c r="AA3122" s="15"/>
      <c r="AB3122" s="15"/>
      <c r="AC3122" s="15"/>
      <c r="AD3122" s="15"/>
      <c r="AE3122" s="15"/>
      <c r="AF3122" s="15"/>
      <c r="AG3122" s="15"/>
      <c r="AH3122" s="15"/>
      <c r="AI3122" s="15"/>
      <c r="AJ3122" s="15"/>
      <c r="AK3122" s="15"/>
      <c r="AL3122" s="15"/>
      <c r="AM3122" s="15"/>
      <c r="AN3122" s="15"/>
      <c r="AO3122" s="15"/>
      <c r="AP3122" s="15"/>
      <c r="AQ3122" s="15"/>
      <c r="AR3122" s="15"/>
      <c r="AS3122" s="15"/>
      <c r="AT3122" s="15"/>
      <c r="AU3122" s="15"/>
      <c r="AV3122" s="15"/>
      <c r="AW3122" s="15"/>
    </row>
    <row r="3123" spans="3:49" x14ac:dyDescent="0.2">
      <c r="C3123" s="15"/>
      <c r="D3123" s="15"/>
      <c r="E3123" s="15"/>
      <c r="F3123" s="15"/>
      <c r="G3123" s="15"/>
      <c r="H3123" s="15"/>
      <c r="I3123" s="15"/>
      <c r="J3123" s="15"/>
      <c r="K3123" s="15"/>
      <c r="L3123" s="28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  <c r="AA3123" s="15"/>
      <c r="AB3123" s="15"/>
      <c r="AC3123" s="15"/>
      <c r="AD3123" s="15"/>
      <c r="AE3123" s="15"/>
      <c r="AF3123" s="15"/>
      <c r="AG3123" s="15"/>
      <c r="AH3123" s="15"/>
      <c r="AI3123" s="15"/>
      <c r="AJ3123" s="15"/>
      <c r="AK3123" s="15"/>
      <c r="AL3123" s="15"/>
      <c r="AM3123" s="15"/>
      <c r="AN3123" s="15"/>
      <c r="AO3123" s="15"/>
      <c r="AP3123" s="15"/>
      <c r="AQ3123" s="15"/>
      <c r="AR3123" s="15"/>
      <c r="AS3123" s="15"/>
      <c r="AT3123" s="15"/>
      <c r="AU3123" s="15"/>
      <c r="AV3123" s="15"/>
      <c r="AW3123" s="15"/>
    </row>
    <row r="3124" spans="3:49" x14ac:dyDescent="0.2">
      <c r="C3124" s="15"/>
      <c r="D3124" s="15"/>
      <c r="E3124" s="15"/>
      <c r="F3124" s="15"/>
      <c r="G3124" s="15"/>
      <c r="H3124" s="15"/>
      <c r="I3124" s="15"/>
      <c r="J3124" s="15"/>
      <c r="K3124" s="15"/>
      <c r="L3124" s="28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  <c r="AA3124" s="15"/>
      <c r="AB3124" s="15"/>
      <c r="AC3124" s="15"/>
      <c r="AD3124" s="15"/>
      <c r="AE3124" s="15"/>
      <c r="AF3124" s="15"/>
      <c r="AG3124" s="15"/>
      <c r="AH3124" s="15"/>
      <c r="AI3124" s="15"/>
      <c r="AJ3124" s="15"/>
      <c r="AK3124" s="15"/>
      <c r="AL3124" s="15"/>
      <c r="AM3124" s="15"/>
      <c r="AN3124" s="15"/>
      <c r="AO3124" s="15"/>
      <c r="AP3124" s="15"/>
      <c r="AQ3124" s="15"/>
      <c r="AR3124" s="15"/>
      <c r="AS3124" s="15"/>
      <c r="AT3124" s="15"/>
      <c r="AU3124" s="15"/>
      <c r="AV3124" s="15"/>
      <c r="AW3124" s="15"/>
    </row>
    <row r="3125" spans="3:49" x14ac:dyDescent="0.2">
      <c r="C3125" s="15"/>
      <c r="D3125" s="15"/>
      <c r="E3125" s="15"/>
      <c r="F3125" s="15"/>
      <c r="G3125" s="15"/>
      <c r="H3125" s="15"/>
      <c r="I3125" s="15"/>
      <c r="J3125" s="15"/>
      <c r="K3125" s="15"/>
      <c r="L3125" s="28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  <c r="AA3125" s="15"/>
      <c r="AB3125" s="15"/>
      <c r="AC3125" s="15"/>
      <c r="AD3125" s="15"/>
      <c r="AE3125" s="15"/>
      <c r="AF3125" s="15"/>
      <c r="AG3125" s="15"/>
      <c r="AH3125" s="15"/>
      <c r="AI3125" s="15"/>
      <c r="AJ3125" s="15"/>
      <c r="AK3125" s="15"/>
      <c r="AL3125" s="15"/>
      <c r="AM3125" s="15"/>
      <c r="AN3125" s="15"/>
      <c r="AO3125" s="15"/>
      <c r="AP3125" s="15"/>
      <c r="AQ3125" s="15"/>
      <c r="AR3125" s="15"/>
      <c r="AS3125" s="15"/>
      <c r="AT3125" s="15"/>
      <c r="AU3125" s="15"/>
      <c r="AV3125" s="15"/>
      <c r="AW3125" s="15"/>
    </row>
    <row r="3126" spans="3:49" x14ac:dyDescent="0.2">
      <c r="C3126" s="15"/>
      <c r="D3126" s="15"/>
      <c r="E3126" s="15"/>
      <c r="F3126" s="15"/>
      <c r="G3126" s="15"/>
      <c r="H3126" s="15"/>
      <c r="I3126" s="15"/>
      <c r="J3126" s="15"/>
      <c r="K3126" s="15"/>
      <c r="L3126" s="28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  <c r="AA3126" s="15"/>
      <c r="AB3126" s="15"/>
      <c r="AC3126" s="15"/>
      <c r="AD3126" s="15"/>
      <c r="AE3126" s="15"/>
      <c r="AF3126" s="15"/>
      <c r="AG3126" s="15"/>
      <c r="AH3126" s="15"/>
      <c r="AI3126" s="15"/>
      <c r="AJ3126" s="15"/>
      <c r="AK3126" s="15"/>
      <c r="AL3126" s="15"/>
      <c r="AM3126" s="15"/>
      <c r="AN3126" s="15"/>
      <c r="AO3126" s="15"/>
      <c r="AP3126" s="15"/>
      <c r="AQ3126" s="15"/>
      <c r="AR3126" s="15"/>
      <c r="AS3126" s="15"/>
      <c r="AT3126" s="15"/>
      <c r="AU3126" s="15"/>
      <c r="AV3126" s="15"/>
      <c r="AW3126" s="15"/>
    </row>
    <row r="3127" spans="3:49" x14ac:dyDescent="0.2">
      <c r="C3127" s="15"/>
      <c r="D3127" s="15"/>
      <c r="E3127" s="15"/>
      <c r="F3127" s="15"/>
      <c r="G3127" s="15"/>
      <c r="H3127" s="15"/>
      <c r="I3127" s="15"/>
      <c r="J3127" s="15"/>
      <c r="K3127" s="15"/>
      <c r="L3127" s="28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  <c r="AA3127" s="15"/>
      <c r="AB3127" s="15"/>
      <c r="AC3127" s="15"/>
      <c r="AD3127" s="15"/>
      <c r="AE3127" s="15"/>
      <c r="AF3127" s="15"/>
      <c r="AG3127" s="15"/>
      <c r="AH3127" s="15"/>
      <c r="AI3127" s="15"/>
      <c r="AJ3127" s="15"/>
      <c r="AK3127" s="15"/>
      <c r="AL3127" s="15"/>
      <c r="AM3127" s="15"/>
      <c r="AN3127" s="15"/>
      <c r="AO3127" s="15"/>
      <c r="AP3127" s="15"/>
      <c r="AQ3127" s="15"/>
      <c r="AR3127" s="15"/>
      <c r="AS3127" s="15"/>
      <c r="AT3127" s="15"/>
      <c r="AU3127" s="15"/>
      <c r="AV3127" s="15"/>
      <c r="AW3127" s="15"/>
    </row>
    <row r="3128" spans="3:49" x14ac:dyDescent="0.2">
      <c r="C3128" s="15"/>
      <c r="D3128" s="15"/>
      <c r="E3128" s="15"/>
      <c r="F3128" s="15"/>
      <c r="G3128" s="15"/>
      <c r="H3128" s="15"/>
      <c r="I3128" s="15"/>
      <c r="J3128" s="15"/>
      <c r="K3128" s="15"/>
      <c r="L3128" s="28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  <c r="AA3128" s="15"/>
      <c r="AB3128" s="15"/>
      <c r="AC3128" s="15"/>
      <c r="AD3128" s="15"/>
      <c r="AE3128" s="15"/>
      <c r="AF3128" s="15"/>
      <c r="AG3128" s="15"/>
      <c r="AH3128" s="15"/>
      <c r="AI3128" s="15"/>
      <c r="AJ3128" s="15"/>
      <c r="AK3128" s="15"/>
      <c r="AL3128" s="15"/>
      <c r="AM3128" s="15"/>
      <c r="AN3128" s="15"/>
      <c r="AO3128" s="15"/>
      <c r="AP3128" s="15"/>
      <c r="AQ3128" s="15"/>
      <c r="AR3128" s="15"/>
      <c r="AS3128" s="15"/>
      <c r="AT3128" s="15"/>
      <c r="AU3128" s="15"/>
      <c r="AV3128" s="15"/>
      <c r="AW3128" s="15"/>
    </row>
    <row r="3129" spans="3:49" x14ac:dyDescent="0.2">
      <c r="C3129" s="15"/>
      <c r="D3129" s="15"/>
      <c r="E3129" s="15"/>
      <c r="F3129" s="15"/>
      <c r="G3129" s="15"/>
      <c r="H3129" s="15"/>
      <c r="I3129" s="15"/>
      <c r="J3129" s="15"/>
      <c r="K3129" s="15"/>
      <c r="L3129" s="28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  <c r="AA3129" s="15"/>
      <c r="AB3129" s="15"/>
      <c r="AC3129" s="15"/>
      <c r="AD3129" s="15"/>
      <c r="AE3129" s="15"/>
      <c r="AF3129" s="15"/>
      <c r="AG3129" s="15"/>
      <c r="AH3129" s="15"/>
      <c r="AI3129" s="15"/>
      <c r="AJ3129" s="15"/>
      <c r="AK3129" s="15"/>
      <c r="AL3129" s="15"/>
      <c r="AM3129" s="15"/>
      <c r="AN3129" s="15"/>
      <c r="AO3129" s="15"/>
      <c r="AP3129" s="15"/>
      <c r="AQ3129" s="15"/>
      <c r="AR3129" s="15"/>
      <c r="AS3129" s="15"/>
      <c r="AT3129" s="15"/>
      <c r="AU3129" s="15"/>
      <c r="AV3129" s="15"/>
      <c r="AW3129" s="15"/>
    </row>
    <row r="3130" spans="3:49" x14ac:dyDescent="0.2">
      <c r="C3130" s="15"/>
      <c r="D3130" s="15"/>
      <c r="E3130" s="15"/>
      <c r="F3130" s="15"/>
      <c r="G3130" s="15"/>
      <c r="H3130" s="15"/>
      <c r="I3130" s="15"/>
      <c r="J3130" s="15"/>
      <c r="K3130" s="15"/>
      <c r="L3130" s="28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  <c r="AA3130" s="15"/>
      <c r="AB3130" s="15"/>
      <c r="AC3130" s="15"/>
      <c r="AD3130" s="15"/>
      <c r="AE3130" s="15"/>
      <c r="AF3130" s="15"/>
      <c r="AG3130" s="15"/>
      <c r="AH3130" s="15"/>
      <c r="AI3130" s="15"/>
      <c r="AJ3130" s="15"/>
      <c r="AK3130" s="15"/>
      <c r="AL3130" s="15"/>
      <c r="AM3130" s="15"/>
      <c r="AN3130" s="15"/>
      <c r="AO3130" s="15"/>
      <c r="AP3130" s="15"/>
      <c r="AQ3130" s="15"/>
      <c r="AR3130" s="15"/>
      <c r="AS3130" s="15"/>
      <c r="AT3130" s="15"/>
      <c r="AU3130" s="15"/>
      <c r="AV3130" s="15"/>
      <c r="AW3130" s="15"/>
    </row>
    <row r="3131" spans="3:49" x14ac:dyDescent="0.2">
      <c r="C3131" s="15"/>
      <c r="D3131" s="15"/>
      <c r="E3131" s="15"/>
      <c r="F3131" s="15"/>
      <c r="G3131" s="15"/>
      <c r="H3131" s="15"/>
      <c r="I3131" s="15"/>
      <c r="J3131" s="15"/>
      <c r="K3131" s="15"/>
      <c r="L3131" s="28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  <c r="AA3131" s="15"/>
      <c r="AB3131" s="15"/>
      <c r="AC3131" s="15"/>
      <c r="AD3131" s="15"/>
      <c r="AE3131" s="15"/>
      <c r="AF3131" s="15"/>
      <c r="AG3131" s="15"/>
      <c r="AH3131" s="15"/>
      <c r="AI3131" s="15"/>
      <c r="AJ3131" s="15"/>
      <c r="AK3131" s="15"/>
      <c r="AL3131" s="15"/>
      <c r="AM3131" s="15"/>
      <c r="AN3131" s="15"/>
      <c r="AO3131" s="15"/>
      <c r="AP3131" s="15"/>
      <c r="AQ3131" s="15"/>
      <c r="AR3131" s="15"/>
      <c r="AS3131" s="15"/>
      <c r="AT3131" s="15"/>
      <c r="AU3131" s="15"/>
      <c r="AV3131" s="15"/>
      <c r="AW3131" s="15"/>
    </row>
    <row r="3132" spans="3:49" x14ac:dyDescent="0.2">
      <c r="C3132" s="15"/>
      <c r="D3132" s="15"/>
      <c r="E3132" s="15"/>
      <c r="F3132" s="15"/>
      <c r="G3132" s="15"/>
      <c r="H3132" s="15"/>
      <c r="I3132" s="15"/>
      <c r="J3132" s="15"/>
      <c r="K3132" s="15"/>
      <c r="L3132" s="28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  <c r="AA3132" s="15"/>
      <c r="AB3132" s="15"/>
      <c r="AC3132" s="15"/>
      <c r="AD3132" s="15"/>
      <c r="AE3132" s="15"/>
      <c r="AF3132" s="15"/>
      <c r="AG3132" s="15"/>
      <c r="AH3132" s="15"/>
      <c r="AI3132" s="15"/>
      <c r="AJ3132" s="15"/>
      <c r="AK3132" s="15"/>
      <c r="AL3132" s="15"/>
      <c r="AM3132" s="15"/>
      <c r="AN3132" s="15"/>
      <c r="AO3132" s="15"/>
      <c r="AP3132" s="15"/>
      <c r="AQ3132" s="15"/>
      <c r="AR3132" s="15"/>
      <c r="AS3132" s="15"/>
      <c r="AT3132" s="15"/>
      <c r="AU3132" s="15"/>
      <c r="AV3132" s="15"/>
      <c r="AW3132" s="15"/>
    </row>
    <row r="3133" spans="3:49" x14ac:dyDescent="0.2">
      <c r="C3133" s="15"/>
      <c r="D3133" s="15"/>
      <c r="E3133" s="15"/>
      <c r="F3133" s="15"/>
      <c r="G3133" s="15"/>
      <c r="H3133" s="15"/>
      <c r="I3133" s="15"/>
      <c r="J3133" s="15"/>
      <c r="K3133" s="15"/>
      <c r="L3133" s="28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  <c r="AA3133" s="15"/>
      <c r="AB3133" s="15"/>
      <c r="AC3133" s="15"/>
      <c r="AD3133" s="15"/>
      <c r="AE3133" s="15"/>
      <c r="AF3133" s="15"/>
      <c r="AG3133" s="15"/>
      <c r="AH3133" s="15"/>
      <c r="AI3133" s="15"/>
      <c r="AJ3133" s="15"/>
      <c r="AK3133" s="15"/>
      <c r="AL3133" s="15"/>
      <c r="AM3133" s="15"/>
      <c r="AN3133" s="15"/>
      <c r="AO3133" s="15"/>
      <c r="AP3133" s="15"/>
      <c r="AQ3133" s="15"/>
      <c r="AR3133" s="15"/>
      <c r="AS3133" s="15"/>
      <c r="AT3133" s="15"/>
      <c r="AU3133" s="15"/>
      <c r="AV3133" s="15"/>
      <c r="AW3133" s="15"/>
    </row>
    <row r="3134" spans="3:49" x14ac:dyDescent="0.2">
      <c r="C3134" s="15"/>
      <c r="D3134" s="15"/>
      <c r="E3134" s="15"/>
      <c r="F3134" s="15"/>
      <c r="G3134" s="15"/>
      <c r="H3134" s="15"/>
      <c r="I3134" s="15"/>
      <c r="J3134" s="15"/>
      <c r="K3134" s="15"/>
      <c r="L3134" s="28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  <c r="AA3134" s="15"/>
      <c r="AB3134" s="15"/>
      <c r="AC3134" s="15"/>
      <c r="AD3134" s="15"/>
      <c r="AE3134" s="15"/>
      <c r="AF3134" s="15"/>
      <c r="AG3134" s="15"/>
      <c r="AH3134" s="15"/>
      <c r="AI3134" s="15"/>
      <c r="AJ3134" s="15"/>
      <c r="AK3134" s="15"/>
      <c r="AL3134" s="15"/>
      <c r="AM3134" s="15"/>
      <c r="AN3134" s="15"/>
      <c r="AO3134" s="15"/>
      <c r="AP3134" s="15"/>
      <c r="AQ3134" s="15"/>
      <c r="AR3134" s="15"/>
      <c r="AS3134" s="15"/>
      <c r="AT3134" s="15"/>
      <c r="AU3134" s="15"/>
      <c r="AV3134" s="15"/>
      <c r="AW3134" s="15"/>
    </row>
    <row r="3135" spans="3:49" x14ac:dyDescent="0.2">
      <c r="C3135" s="15"/>
      <c r="D3135" s="15"/>
      <c r="E3135" s="15"/>
      <c r="F3135" s="15"/>
      <c r="G3135" s="15"/>
      <c r="H3135" s="15"/>
      <c r="I3135" s="15"/>
      <c r="J3135" s="15"/>
      <c r="K3135" s="15"/>
      <c r="L3135" s="28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  <c r="AA3135" s="15"/>
      <c r="AB3135" s="15"/>
      <c r="AC3135" s="15"/>
      <c r="AD3135" s="15"/>
      <c r="AE3135" s="15"/>
      <c r="AF3135" s="15"/>
      <c r="AG3135" s="15"/>
      <c r="AH3135" s="15"/>
      <c r="AI3135" s="15"/>
      <c r="AJ3135" s="15"/>
      <c r="AK3135" s="15"/>
      <c r="AL3135" s="15"/>
      <c r="AM3135" s="15"/>
      <c r="AN3135" s="15"/>
      <c r="AO3135" s="15"/>
      <c r="AP3135" s="15"/>
      <c r="AQ3135" s="15"/>
      <c r="AR3135" s="15"/>
      <c r="AS3135" s="15"/>
      <c r="AT3135" s="15"/>
      <c r="AU3135" s="15"/>
      <c r="AV3135" s="15"/>
      <c r="AW3135" s="15"/>
    </row>
    <row r="3136" spans="3:49" x14ac:dyDescent="0.2">
      <c r="C3136" s="15"/>
      <c r="D3136" s="15"/>
      <c r="E3136" s="15"/>
      <c r="F3136" s="15"/>
      <c r="G3136" s="15"/>
      <c r="H3136" s="15"/>
      <c r="I3136" s="15"/>
      <c r="J3136" s="15"/>
      <c r="K3136" s="15"/>
      <c r="L3136" s="28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  <c r="AA3136" s="15"/>
      <c r="AB3136" s="15"/>
      <c r="AC3136" s="15"/>
      <c r="AD3136" s="15"/>
      <c r="AE3136" s="15"/>
      <c r="AF3136" s="15"/>
      <c r="AG3136" s="15"/>
      <c r="AH3136" s="15"/>
      <c r="AI3136" s="15"/>
      <c r="AJ3136" s="15"/>
      <c r="AK3136" s="15"/>
      <c r="AL3136" s="15"/>
      <c r="AM3136" s="15"/>
      <c r="AN3136" s="15"/>
      <c r="AO3136" s="15"/>
      <c r="AP3136" s="15"/>
      <c r="AQ3136" s="15"/>
      <c r="AR3136" s="15"/>
      <c r="AS3136" s="15"/>
      <c r="AT3136" s="15"/>
      <c r="AU3136" s="15"/>
      <c r="AV3136" s="15"/>
      <c r="AW3136" s="15"/>
    </row>
    <row r="3137" spans="3:49" x14ac:dyDescent="0.2">
      <c r="C3137" s="15"/>
      <c r="D3137" s="15"/>
      <c r="E3137" s="15"/>
      <c r="F3137" s="15"/>
      <c r="G3137" s="15"/>
      <c r="H3137" s="15"/>
      <c r="I3137" s="15"/>
      <c r="J3137" s="15"/>
      <c r="K3137" s="15"/>
      <c r="L3137" s="28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  <c r="AA3137" s="15"/>
      <c r="AB3137" s="15"/>
      <c r="AC3137" s="15"/>
      <c r="AD3137" s="15"/>
      <c r="AE3137" s="15"/>
      <c r="AF3137" s="15"/>
      <c r="AG3137" s="15"/>
      <c r="AH3137" s="15"/>
      <c r="AI3137" s="15"/>
      <c r="AJ3137" s="15"/>
      <c r="AK3137" s="15"/>
      <c r="AL3137" s="15"/>
      <c r="AM3137" s="15"/>
      <c r="AN3137" s="15"/>
      <c r="AO3137" s="15"/>
      <c r="AP3137" s="15"/>
      <c r="AQ3137" s="15"/>
      <c r="AR3137" s="15"/>
      <c r="AS3137" s="15"/>
      <c r="AT3137" s="15"/>
      <c r="AU3137" s="15"/>
      <c r="AV3137" s="15"/>
      <c r="AW3137" s="15"/>
    </row>
    <row r="3138" spans="3:49" x14ac:dyDescent="0.2">
      <c r="C3138" s="15"/>
      <c r="D3138" s="15"/>
      <c r="E3138" s="15"/>
      <c r="F3138" s="15"/>
      <c r="G3138" s="15"/>
      <c r="H3138" s="15"/>
      <c r="I3138" s="15"/>
      <c r="J3138" s="15"/>
      <c r="K3138" s="15"/>
      <c r="L3138" s="28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  <c r="AA3138" s="15"/>
      <c r="AB3138" s="15"/>
      <c r="AC3138" s="15"/>
      <c r="AD3138" s="15"/>
      <c r="AE3138" s="15"/>
      <c r="AF3138" s="15"/>
      <c r="AG3138" s="15"/>
      <c r="AH3138" s="15"/>
      <c r="AI3138" s="15"/>
      <c r="AJ3138" s="15"/>
      <c r="AK3138" s="15"/>
      <c r="AL3138" s="15"/>
      <c r="AM3138" s="15"/>
      <c r="AN3138" s="15"/>
      <c r="AO3138" s="15"/>
      <c r="AP3138" s="15"/>
      <c r="AQ3138" s="15"/>
      <c r="AR3138" s="15"/>
      <c r="AS3138" s="15"/>
      <c r="AT3138" s="15"/>
      <c r="AU3138" s="15"/>
      <c r="AV3138" s="15"/>
      <c r="AW3138" s="15"/>
    </row>
    <row r="3139" spans="3:49" x14ac:dyDescent="0.2">
      <c r="C3139" s="15"/>
      <c r="D3139" s="15"/>
      <c r="E3139" s="15"/>
      <c r="F3139" s="15"/>
      <c r="G3139" s="15"/>
      <c r="H3139" s="15"/>
      <c r="I3139" s="15"/>
      <c r="J3139" s="15"/>
      <c r="K3139" s="15"/>
      <c r="L3139" s="28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  <c r="AA3139" s="15"/>
      <c r="AB3139" s="15"/>
      <c r="AC3139" s="15"/>
      <c r="AD3139" s="15"/>
      <c r="AE3139" s="15"/>
      <c r="AF3139" s="15"/>
      <c r="AG3139" s="15"/>
      <c r="AH3139" s="15"/>
      <c r="AI3139" s="15"/>
      <c r="AJ3139" s="15"/>
      <c r="AK3139" s="15"/>
      <c r="AL3139" s="15"/>
      <c r="AM3139" s="15"/>
      <c r="AN3139" s="15"/>
      <c r="AO3139" s="15"/>
      <c r="AP3139" s="15"/>
      <c r="AQ3139" s="15"/>
      <c r="AR3139" s="15"/>
      <c r="AS3139" s="15"/>
      <c r="AT3139" s="15"/>
      <c r="AU3139" s="15"/>
      <c r="AV3139" s="15"/>
      <c r="AW3139" s="15"/>
    </row>
    <row r="3140" spans="3:49" x14ac:dyDescent="0.2">
      <c r="C3140" s="15"/>
      <c r="D3140" s="15"/>
      <c r="E3140" s="15"/>
      <c r="F3140" s="15"/>
      <c r="G3140" s="15"/>
      <c r="H3140" s="15"/>
      <c r="I3140" s="15"/>
      <c r="J3140" s="15"/>
      <c r="K3140" s="15"/>
      <c r="L3140" s="28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  <c r="AA3140" s="15"/>
      <c r="AB3140" s="15"/>
      <c r="AC3140" s="15"/>
      <c r="AD3140" s="15"/>
      <c r="AE3140" s="15"/>
      <c r="AF3140" s="15"/>
      <c r="AG3140" s="15"/>
      <c r="AH3140" s="15"/>
      <c r="AI3140" s="15"/>
      <c r="AJ3140" s="15"/>
      <c r="AK3140" s="15"/>
      <c r="AL3140" s="15"/>
      <c r="AM3140" s="15"/>
      <c r="AN3140" s="15"/>
      <c r="AO3140" s="15"/>
      <c r="AP3140" s="15"/>
      <c r="AQ3140" s="15"/>
      <c r="AR3140" s="15"/>
      <c r="AS3140" s="15"/>
      <c r="AT3140" s="15"/>
      <c r="AU3140" s="15"/>
      <c r="AV3140" s="15"/>
      <c r="AW3140" s="15"/>
    </row>
    <row r="3141" spans="3:49" x14ac:dyDescent="0.2">
      <c r="C3141" s="15"/>
      <c r="D3141" s="15"/>
      <c r="E3141" s="15"/>
      <c r="F3141" s="15"/>
      <c r="G3141" s="15"/>
      <c r="H3141" s="15"/>
      <c r="I3141" s="15"/>
      <c r="J3141" s="15"/>
      <c r="K3141" s="15"/>
      <c r="L3141" s="28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  <c r="AA3141" s="15"/>
      <c r="AB3141" s="15"/>
      <c r="AC3141" s="15"/>
      <c r="AD3141" s="15"/>
      <c r="AE3141" s="15"/>
      <c r="AF3141" s="15"/>
      <c r="AG3141" s="15"/>
      <c r="AH3141" s="15"/>
      <c r="AI3141" s="15"/>
      <c r="AJ3141" s="15"/>
      <c r="AK3141" s="15"/>
      <c r="AL3141" s="15"/>
      <c r="AM3141" s="15"/>
      <c r="AN3141" s="15"/>
      <c r="AO3141" s="15"/>
      <c r="AP3141" s="15"/>
      <c r="AQ3141" s="15"/>
      <c r="AR3141" s="15"/>
      <c r="AS3141" s="15"/>
      <c r="AT3141" s="15"/>
      <c r="AU3141" s="15"/>
      <c r="AV3141" s="15"/>
      <c r="AW3141" s="15"/>
    </row>
    <row r="3142" spans="3:49" x14ac:dyDescent="0.2">
      <c r="C3142" s="15"/>
      <c r="D3142" s="15"/>
      <c r="E3142" s="15"/>
      <c r="F3142" s="15"/>
      <c r="G3142" s="15"/>
      <c r="H3142" s="15"/>
      <c r="I3142" s="15"/>
      <c r="J3142" s="15"/>
      <c r="K3142" s="15"/>
      <c r="L3142" s="28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  <c r="AA3142" s="15"/>
      <c r="AB3142" s="15"/>
      <c r="AC3142" s="15"/>
      <c r="AD3142" s="15"/>
      <c r="AE3142" s="15"/>
      <c r="AF3142" s="15"/>
      <c r="AG3142" s="15"/>
      <c r="AH3142" s="15"/>
      <c r="AI3142" s="15"/>
      <c r="AJ3142" s="15"/>
      <c r="AK3142" s="15"/>
      <c r="AL3142" s="15"/>
      <c r="AM3142" s="15"/>
      <c r="AN3142" s="15"/>
      <c r="AO3142" s="15"/>
      <c r="AP3142" s="15"/>
      <c r="AQ3142" s="15"/>
      <c r="AR3142" s="15"/>
      <c r="AS3142" s="15"/>
      <c r="AT3142" s="15"/>
      <c r="AU3142" s="15"/>
      <c r="AV3142" s="15"/>
      <c r="AW3142" s="15"/>
    </row>
    <row r="3143" spans="3:49" x14ac:dyDescent="0.2">
      <c r="C3143" s="15"/>
      <c r="D3143" s="15"/>
      <c r="E3143" s="15"/>
      <c r="F3143" s="15"/>
      <c r="G3143" s="15"/>
      <c r="H3143" s="15"/>
      <c r="I3143" s="15"/>
      <c r="J3143" s="15"/>
      <c r="K3143" s="15"/>
      <c r="L3143" s="28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  <c r="AA3143" s="15"/>
      <c r="AB3143" s="15"/>
      <c r="AC3143" s="15"/>
      <c r="AD3143" s="15"/>
      <c r="AE3143" s="15"/>
      <c r="AF3143" s="15"/>
      <c r="AG3143" s="15"/>
      <c r="AH3143" s="15"/>
      <c r="AI3143" s="15"/>
      <c r="AJ3143" s="15"/>
      <c r="AK3143" s="15"/>
      <c r="AL3143" s="15"/>
      <c r="AM3143" s="15"/>
      <c r="AN3143" s="15"/>
      <c r="AO3143" s="15"/>
      <c r="AP3143" s="15"/>
      <c r="AQ3143" s="15"/>
      <c r="AR3143" s="15"/>
      <c r="AS3143" s="15"/>
      <c r="AT3143" s="15"/>
      <c r="AU3143" s="15"/>
      <c r="AV3143" s="15"/>
      <c r="AW3143" s="15"/>
    </row>
    <row r="3144" spans="3:49" x14ac:dyDescent="0.2">
      <c r="C3144" s="15"/>
      <c r="D3144" s="15"/>
      <c r="E3144" s="15"/>
      <c r="F3144" s="15"/>
      <c r="G3144" s="15"/>
      <c r="H3144" s="15"/>
      <c r="I3144" s="15"/>
      <c r="J3144" s="15"/>
      <c r="K3144" s="15"/>
      <c r="L3144" s="28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  <c r="AA3144" s="15"/>
      <c r="AB3144" s="15"/>
      <c r="AC3144" s="15"/>
      <c r="AD3144" s="15"/>
      <c r="AE3144" s="15"/>
      <c r="AF3144" s="15"/>
      <c r="AG3144" s="15"/>
      <c r="AH3144" s="15"/>
      <c r="AI3144" s="15"/>
      <c r="AJ3144" s="15"/>
      <c r="AK3144" s="15"/>
      <c r="AL3144" s="15"/>
      <c r="AM3144" s="15"/>
      <c r="AN3144" s="15"/>
      <c r="AO3144" s="15"/>
      <c r="AP3144" s="15"/>
      <c r="AQ3144" s="15"/>
      <c r="AR3144" s="15"/>
      <c r="AS3144" s="15"/>
      <c r="AT3144" s="15"/>
      <c r="AU3144" s="15"/>
      <c r="AV3144" s="15"/>
      <c r="AW3144" s="15"/>
    </row>
    <row r="3145" spans="3:49" x14ac:dyDescent="0.2">
      <c r="C3145" s="15"/>
      <c r="D3145" s="15"/>
      <c r="E3145" s="15"/>
      <c r="F3145" s="15"/>
      <c r="G3145" s="15"/>
      <c r="H3145" s="15"/>
      <c r="I3145" s="15"/>
      <c r="J3145" s="15"/>
      <c r="K3145" s="15"/>
      <c r="L3145" s="28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  <c r="AA3145" s="15"/>
      <c r="AB3145" s="15"/>
      <c r="AC3145" s="15"/>
      <c r="AD3145" s="15"/>
      <c r="AE3145" s="15"/>
      <c r="AF3145" s="15"/>
      <c r="AG3145" s="15"/>
      <c r="AH3145" s="15"/>
      <c r="AI3145" s="15"/>
      <c r="AJ3145" s="15"/>
      <c r="AK3145" s="15"/>
      <c r="AL3145" s="15"/>
      <c r="AM3145" s="15"/>
      <c r="AN3145" s="15"/>
      <c r="AO3145" s="15"/>
      <c r="AP3145" s="15"/>
      <c r="AQ3145" s="15"/>
      <c r="AR3145" s="15"/>
      <c r="AS3145" s="15"/>
      <c r="AT3145" s="15"/>
      <c r="AU3145" s="15"/>
      <c r="AV3145" s="15"/>
      <c r="AW3145" s="15"/>
    </row>
    <row r="3146" spans="3:49" x14ac:dyDescent="0.2">
      <c r="C3146" s="15"/>
      <c r="D3146" s="15"/>
      <c r="E3146" s="15"/>
      <c r="F3146" s="15"/>
      <c r="G3146" s="15"/>
      <c r="H3146" s="15"/>
      <c r="I3146" s="15"/>
      <c r="J3146" s="15"/>
      <c r="K3146" s="15"/>
      <c r="L3146" s="28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  <c r="AA3146" s="15"/>
      <c r="AB3146" s="15"/>
      <c r="AC3146" s="15"/>
      <c r="AD3146" s="15"/>
      <c r="AE3146" s="15"/>
      <c r="AF3146" s="15"/>
      <c r="AG3146" s="15"/>
      <c r="AH3146" s="15"/>
      <c r="AI3146" s="15"/>
      <c r="AJ3146" s="15"/>
      <c r="AK3146" s="15"/>
      <c r="AL3146" s="15"/>
      <c r="AM3146" s="15"/>
      <c r="AN3146" s="15"/>
      <c r="AO3146" s="15"/>
      <c r="AP3146" s="15"/>
      <c r="AQ3146" s="15"/>
      <c r="AR3146" s="15"/>
      <c r="AS3146" s="15"/>
      <c r="AT3146" s="15"/>
      <c r="AU3146" s="15"/>
      <c r="AV3146" s="15"/>
      <c r="AW3146" s="15"/>
    </row>
    <row r="3147" spans="3:49" x14ac:dyDescent="0.2">
      <c r="C3147" s="15"/>
      <c r="D3147" s="15"/>
      <c r="E3147" s="15"/>
      <c r="F3147" s="15"/>
      <c r="G3147" s="15"/>
      <c r="H3147" s="15"/>
      <c r="I3147" s="15"/>
      <c r="J3147" s="15"/>
      <c r="K3147" s="15"/>
      <c r="L3147" s="28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  <c r="AA3147" s="15"/>
      <c r="AB3147" s="15"/>
      <c r="AC3147" s="15"/>
      <c r="AD3147" s="15"/>
      <c r="AE3147" s="15"/>
      <c r="AF3147" s="15"/>
      <c r="AG3147" s="15"/>
      <c r="AH3147" s="15"/>
      <c r="AI3147" s="15"/>
      <c r="AJ3147" s="15"/>
      <c r="AK3147" s="15"/>
      <c r="AL3147" s="15"/>
      <c r="AM3147" s="15"/>
      <c r="AN3147" s="15"/>
      <c r="AO3147" s="15"/>
      <c r="AP3147" s="15"/>
      <c r="AQ3147" s="15"/>
      <c r="AR3147" s="15"/>
      <c r="AS3147" s="15"/>
      <c r="AT3147" s="15"/>
      <c r="AU3147" s="15"/>
      <c r="AV3147" s="15"/>
      <c r="AW3147" s="15"/>
    </row>
    <row r="3148" spans="3:49" x14ac:dyDescent="0.2">
      <c r="C3148" s="15"/>
      <c r="D3148" s="15"/>
      <c r="E3148" s="15"/>
      <c r="F3148" s="15"/>
      <c r="G3148" s="15"/>
      <c r="H3148" s="15"/>
      <c r="I3148" s="15"/>
      <c r="J3148" s="15"/>
      <c r="K3148" s="15"/>
      <c r="L3148" s="28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  <c r="AA3148" s="15"/>
      <c r="AB3148" s="15"/>
      <c r="AC3148" s="15"/>
      <c r="AD3148" s="15"/>
      <c r="AE3148" s="15"/>
      <c r="AF3148" s="15"/>
      <c r="AG3148" s="15"/>
      <c r="AH3148" s="15"/>
      <c r="AI3148" s="15"/>
      <c r="AJ3148" s="15"/>
      <c r="AK3148" s="15"/>
      <c r="AL3148" s="15"/>
      <c r="AM3148" s="15"/>
      <c r="AN3148" s="15"/>
      <c r="AO3148" s="15"/>
      <c r="AP3148" s="15"/>
      <c r="AQ3148" s="15"/>
      <c r="AR3148" s="15"/>
      <c r="AS3148" s="15"/>
      <c r="AT3148" s="15"/>
      <c r="AU3148" s="15"/>
      <c r="AV3148" s="15"/>
      <c r="AW3148" s="15"/>
    </row>
    <row r="3149" spans="3:49" x14ac:dyDescent="0.2">
      <c r="C3149" s="15"/>
      <c r="D3149" s="15"/>
      <c r="E3149" s="15"/>
      <c r="F3149" s="15"/>
      <c r="G3149" s="15"/>
      <c r="H3149" s="15"/>
      <c r="I3149" s="15"/>
      <c r="J3149" s="15"/>
      <c r="K3149" s="15"/>
      <c r="L3149" s="28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  <c r="AA3149" s="15"/>
      <c r="AB3149" s="15"/>
      <c r="AC3149" s="15"/>
      <c r="AD3149" s="15"/>
      <c r="AE3149" s="15"/>
      <c r="AF3149" s="15"/>
      <c r="AG3149" s="15"/>
      <c r="AH3149" s="15"/>
      <c r="AI3149" s="15"/>
      <c r="AJ3149" s="15"/>
      <c r="AK3149" s="15"/>
      <c r="AL3149" s="15"/>
      <c r="AM3149" s="15"/>
      <c r="AN3149" s="15"/>
      <c r="AO3149" s="15"/>
      <c r="AP3149" s="15"/>
      <c r="AQ3149" s="15"/>
      <c r="AR3149" s="15"/>
      <c r="AS3149" s="15"/>
      <c r="AT3149" s="15"/>
      <c r="AU3149" s="15"/>
      <c r="AV3149" s="15"/>
      <c r="AW3149" s="15"/>
    </row>
    <row r="3150" spans="3:49" x14ac:dyDescent="0.2">
      <c r="C3150" s="15"/>
      <c r="D3150" s="15"/>
      <c r="E3150" s="15"/>
      <c r="F3150" s="15"/>
      <c r="G3150" s="15"/>
      <c r="H3150" s="15"/>
      <c r="I3150" s="15"/>
      <c r="J3150" s="15"/>
      <c r="K3150" s="15"/>
      <c r="L3150" s="28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  <c r="AA3150" s="15"/>
      <c r="AB3150" s="15"/>
      <c r="AC3150" s="15"/>
      <c r="AD3150" s="15"/>
      <c r="AE3150" s="15"/>
      <c r="AF3150" s="15"/>
      <c r="AG3150" s="15"/>
      <c r="AH3150" s="15"/>
      <c r="AI3150" s="15"/>
      <c r="AJ3150" s="15"/>
      <c r="AK3150" s="15"/>
      <c r="AL3150" s="15"/>
      <c r="AM3150" s="15"/>
      <c r="AN3150" s="15"/>
      <c r="AO3150" s="15"/>
      <c r="AP3150" s="15"/>
      <c r="AQ3150" s="15"/>
      <c r="AR3150" s="15"/>
      <c r="AS3150" s="15"/>
      <c r="AT3150" s="15"/>
      <c r="AU3150" s="15"/>
      <c r="AV3150" s="15"/>
      <c r="AW3150" s="15"/>
    </row>
    <row r="3151" spans="3:49" x14ac:dyDescent="0.2">
      <c r="C3151" s="15"/>
      <c r="D3151" s="15"/>
      <c r="E3151" s="15"/>
      <c r="F3151" s="15"/>
      <c r="G3151" s="15"/>
      <c r="H3151" s="15"/>
      <c r="I3151" s="15"/>
      <c r="J3151" s="15"/>
      <c r="K3151" s="15"/>
      <c r="L3151" s="28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  <c r="AA3151" s="15"/>
      <c r="AB3151" s="15"/>
      <c r="AC3151" s="15"/>
      <c r="AD3151" s="15"/>
      <c r="AE3151" s="15"/>
      <c r="AF3151" s="15"/>
      <c r="AG3151" s="15"/>
      <c r="AH3151" s="15"/>
      <c r="AI3151" s="15"/>
      <c r="AJ3151" s="15"/>
      <c r="AK3151" s="15"/>
      <c r="AL3151" s="15"/>
      <c r="AM3151" s="15"/>
      <c r="AN3151" s="15"/>
      <c r="AO3151" s="15"/>
      <c r="AP3151" s="15"/>
      <c r="AQ3151" s="15"/>
      <c r="AR3151" s="15"/>
      <c r="AS3151" s="15"/>
      <c r="AT3151" s="15"/>
      <c r="AU3151" s="15"/>
      <c r="AV3151" s="15"/>
      <c r="AW3151" s="15"/>
    </row>
    <row r="3152" spans="3:49" x14ac:dyDescent="0.2">
      <c r="C3152" s="15"/>
      <c r="D3152" s="15"/>
      <c r="E3152" s="15"/>
      <c r="F3152" s="15"/>
      <c r="G3152" s="15"/>
      <c r="H3152" s="15"/>
      <c r="I3152" s="15"/>
      <c r="J3152" s="15"/>
      <c r="K3152" s="15"/>
      <c r="L3152" s="28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  <c r="AA3152" s="15"/>
      <c r="AB3152" s="15"/>
      <c r="AC3152" s="15"/>
      <c r="AD3152" s="15"/>
      <c r="AE3152" s="15"/>
      <c r="AF3152" s="15"/>
      <c r="AG3152" s="15"/>
      <c r="AH3152" s="15"/>
      <c r="AI3152" s="15"/>
      <c r="AJ3152" s="15"/>
      <c r="AK3152" s="15"/>
      <c r="AL3152" s="15"/>
      <c r="AM3152" s="15"/>
      <c r="AN3152" s="15"/>
      <c r="AO3152" s="15"/>
      <c r="AP3152" s="15"/>
      <c r="AQ3152" s="15"/>
      <c r="AR3152" s="15"/>
      <c r="AS3152" s="15"/>
      <c r="AT3152" s="15"/>
      <c r="AU3152" s="15"/>
      <c r="AV3152" s="15"/>
      <c r="AW3152" s="15"/>
    </row>
    <row r="3153" spans="3:49" x14ac:dyDescent="0.2">
      <c r="C3153" s="15"/>
      <c r="D3153" s="15"/>
      <c r="E3153" s="15"/>
      <c r="F3153" s="15"/>
      <c r="G3153" s="15"/>
      <c r="H3153" s="15"/>
      <c r="I3153" s="15"/>
      <c r="J3153" s="15"/>
      <c r="K3153" s="15"/>
      <c r="L3153" s="28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  <c r="AA3153" s="15"/>
      <c r="AB3153" s="15"/>
      <c r="AC3153" s="15"/>
      <c r="AD3153" s="15"/>
      <c r="AE3153" s="15"/>
      <c r="AF3153" s="15"/>
      <c r="AG3153" s="15"/>
      <c r="AH3153" s="15"/>
      <c r="AI3153" s="15"/>
      <c r="AJ3153" s="15"/>
      <c r="AK3153" s="15"/>
      <c r="AL3153" s="15"/>
      <c r="AM3153" s="15"/>
      <c r="AN3153" s="15"/>
      <c r="AO3153" s="15"/>
      <c r="AP3153" s="15"/>
      <c r="AQ3153" s="15"/>
      <c r="AR3153" s="15"/>
      <c r="AS3153" s="15"/>
      <c r="AT3153" s="15"/>
      <c r="AU3153" s="15"/>
      <c r="AV3153" s="15"/>
      <c r="AW3153" s="15"/>
    </row>
    <row r="3154" spans="3:49" x14ac:dyDescent="0.2">
      <c r="C3154" s="15"/>
      <c r="D3154" s="15"/>
      <c r="E3154" s="15"/>
      <c r="F3154" s="15"/>
      <c r="G3154" s="15"/>
      <c r="H3154" s="15"/>
      <c r="I3154" s="15"/>
      <c r="J3154" s="15"/>
      <c r="K3154" s="15"/>
      <c r="L3154" s="28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  <c r="AA3154" s="15"/>
      <c r="AB3154" s="15"/>
      <c r="AC3154" s="15"/>
      <c r="AD3154" s="15"/>
      <c r="AE3154" s="15"/>
      <c r="AF3154" s="15"/>
      <c r="AG3154" s="15"/>
      <c r="AH3154" s="15"/>
      <c r="AI3154" s="15"/>
      <c r="AJ3154" s="15"/>
      <c r="AK3154" s="15"/>
      <c r="AL3154" s="15"/>
      <c r="AM3154" s="15"/>
      <c r="AN3154" s="15"/>
      <c r="AO3154" s="15"/>
      <c r="AP3154" s="15"/>
      <c r="AQ3154" s="15"/>
      <c r="AR3154" s="15"/>
      <c r="AS3154" s="15"/>
      <c r="AT3154" s="15"/>
      <c r="AU3154" s="15"/>
      <c r="AV3154" s="15"/>
      <c r="AW3154" s="15"/>
    </row>
    <row r="3155" spans="3:49" x14ac:dyDescent="0.2">
      <c r="C3155" s="15"/>
      <c r="D3155" s="15"/>
      <c r="E3155" s="15"/>
      <c r="F3155" s="15"/>
      <c r="G3155" s="15"/>
      <c r="H3155" s="15"/>
      <c r="I3155" s="15"/>
      <c r="J3155" s="15"/>
      <c r="K3155" s="15"/>
      <c r="L3155" s="28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  <c r="AA3155" s="15"/>
      <c r="AB3155" s="15"/>
      <c r="AC3155" s="15"/>
      <c r="AD3155" s="15"/>
      <c r="AE3155" s="15"/>
      <c r="AF3155" s="15"/>
      <c r="AG3155" s="15"/>
      <c r="AH3155" s="15"/>
      <c r="AI3155" s="15"/>
      <c r="AJ3155" s="15"/>
      <c r="AK3155" s="15"/>
      <c r="AL3155" s="15"/>
      <c r="AM3155" s="15"/>
      <c r="AN3155" s="15"/>
      <c r="AO3155" s="15"/>
      <c r="AP3155" s="15"/>
      <c r="AQ3155" s="15"/>
      <c r="AR3155" s="15"/>
      <c r="AS3155" s="15"/>
      <c r="AT3155" s="15"/>
      <c r="AU3155" s="15"/>
      <c r="AV3155" s="15"/>
      <c r="AW3155" s="15"/>
    </row>
    <row r="3156" spans="3:49" x14ac:dyDescent="0.2">
      <c r="C3156" s="15"/>
      <c r="D3156" s="15"/>
      <c r="E3156" s="15"/>
      <c r="F3156" s="15"/>
      <c r="G3156" s="15"/>
      <c r="H3156" s="15"/>
      <c r="I3156" s="15"/>
      <c r="J3156" s="15"/>
      <c r="K3156" s="15"/>
      <c r="L3156" s="28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  <c r="AA3156" s="15"/>
      <c r="AB3156" s="15"/>
      <c r="AC3156" s="15"/>
      <c r="AD3156" s="15"/>
      <c r="AE3156" s="15"/>
      <c r="AF3156" s="15"/>
      <c r="AG3156" s="15"/>
      <c r="AH3156" s="15"/>
      <c r="AI3156" s="15"/>
      <c r="AJ3156" s="15"/>
      <c r="AK3156" s="15"/>
      <c r="AL3156" s="15"/>
      <c r="AM3156" s="15"/>
      <c r="AN3156" s="15"/>
      <c r="AO3156" s="15"/>
      <c r="AP3156" s="15"/>
      <c r="AQ3156" s="15"/>
      <c r="AR3156" s="15"/>
      <c r="AS3156" s="15"/>
      <c r="AT3156" s="15"/>
      <c r="AU3156" s="15"/>
      <c r="AV3156" s="15"/>
      <c r="AW3156" s="15"/>
    </row>
    <row r="3157" spans="3:49" x14ac:dyDescent="0.2">
      <c r="C3157" s="15"/>
      <c r="D3157" s="15"/>
      <c r="E3157" s="15"/>
      <c r="F3157" s="15"/>
      <c r="G3157" s="15"/>
      <c r="H3157" s="15"/>
      <c r="I3157" s="15"/>
      <c r="J3157" s="15"/>
      <c r="K3157" s="15"/>
      <c r="L3157" s="28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  <c r="AA3157" s="15"/>
      <c r="AB3157" s="15"/>
      <c r="AC3157" s="15"/>
      <c r="AD3157" s="15"/>
      <c r="AE3157" s="15"/>
      <c r="AF3157" s="15"/>
      <c r="AG3157" s="15"/>
      <c r="AH3157" s="15"/>
      <c r="AI3157" s="15"/>
      <c r="AJ3157" s="15"/>
      <c r="AK3157" s="15"/>
      <c r="AL3157" s="15"/>
      <c r="AM3157" s="15"/>
      <c r="AN3157" s="15"/>
      <c r="AO3157" s="15"/>
      <c r="AP3157" s="15"/>
      <c r="AQ3157" s="15"/>
      <c r="AR3157" s="15"/>
      <c r="AS3157" s="15"/>
      <c r="AT3157" s="15"/>
      <c r="AU3157" s="15"/>
      <c r="AV3157" s="15"/>
      <c r="AW3157" s="15"/>
    </row>
    <row r="3158" spans="3:49" x14ac:dyDescent="0.2">
      <c r="C3158" s="15"/>
      <c r="D3158" s="15"/>
      <c r="E3158" s="15"/>
      <c r="F3158" s="15"/>
      <c r="G3158" s="15"/>
      <c r="H3158" s="15"/>
      <c r="I3158" s="15"/>
      <c r="J3158" s="15"/>
      <c r="K3158" s="15"/>
      <c r="L3158" s="28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  <c r="AA3158" s="15"/>
      <c r="AB3158" s="15"/>
      <c r="AC3158" s="15"/>
      <c r="AD3158" s="15"/>
      <c r="AE3158" s="15"/>
      <c r="AF3158" s="15"/>
      <c r="AG3158" s="15"/>
      <c r="AH3158" s="15"/>
      <c r="AI3158" s="15"/>
      <c r="AJ3158" s="15"/>
      <c r="AK3158" s="15"/>
      <c r="AL3158" s="15"/>
      <c r="AM3158" s="15"/>
      <c r="AN3158" s="15"/>
      <c r="AO3158" s="15"/>
      <c r="AP3158" s="15"/>
      <c r="AQ3158" s="15"/>
      <c r="AR3158" s="15"/>
      <c r="AS3158" s="15"/>
      <c r="AT3158" s="15"/>
      <c r="AU3158" s="15"/>
      <c r="AV3158" s="15"/>
      <c r="AW3158" s="15"/>
    </row>
    <row r="3159" spans="3:49" x14ac:dyDescent="0.2">
      <c r="C3159" s="15"/>
      <c r="D3159" s="15"/>
      <c r="E3159" s="15"/>
      <c r="F3159" s="15"/>
      <c r="G3159" s="15"/>
      <c r="H3159" s="15"/>
      <c r="I3159" s="15"/>
      <c r="J3159" s="15"/>
      <c r="K3159" s="15"/>
      <c r="L3159" s="28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  <c r="AA3159" s="15"/>
      <c r="AB3159" s="15"/>
      <c r="AC3159" s="15"/>
      <c r="AD3159" s="15"/>
      <c r="AE3159" s="15"/>
      <c r="AF3159" s="15"/>
      <c r="AG3159" s="15"/>
      <c r="AH3159" s="15"/>
      <c r="AI3159" s="15"/>
      <c r="AJ3159" s="15"/>
      <c r="AK3159" s="15"/>
      <c r="AL3159" s="15"/>
      <c r="AM3159" s="15"/>
      <c r="AN3159" s="15"/>
      <c r="AO3159" s="15"/>
      <c r="AP3159" s="15"/>
      <c r="AQ3159" s="15"/>
      <c r="AR3159" s="15"/>
      <c r="AS3159" s="15"/>
      <c r="AT3159" s="15"/>
      <c r="AU3159" s="15"/>
      <c r="AV3159" s="15"/>
      <c r="AW3159" s="15"/>
    </row>
    <row r="3160" spans="3:49" x14ac:dyDescent="0.2">
      <c r="C3160" s="15"/>
      <c r="D3160" s="15"/>
      <c r="E3160" s="15"/>
      <c r="F3160" s="15"/>
      <c r="G3160" s="15"/>
      <c r="H3160" s="15"/>
      <c r="I3160" s="15"/>
      <c r="J3160" s="15"/>
      <c r="K3160" s="15"/>
      <c r="L3160" s="28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  <c r="AA3160" s="15"/>
      <c r="AB3160" s="15"/>
      <c r="AC3160" s="15"/>
      <c r="AD3160" s="15"/>
      <c r="AE3160" s="15"/>
      <c r="AF3160" s="15"/>
      <c r="AG3160" s="15"/>
      <c r="AH3160" s="15"/>
      <c r="AI3160" s="15"/>
      <c r="AJ3160" s="15"/>
      <c r="AK3160" s="15"/>
      <c r="AL3160" s="15"/>
      <c r="AM3160" s="15"/>
      <c r="AN3160" s="15"/>
      <c r="AO3160" s="15"/>
      <c r="AP3160" s="15"/>
      <c r="AQ3160" s="15"/>
      <c r="AR3160" s="15"/>
      <c r="AS3160" s="15"/>
      <c r="AT3160" s="15"/>
      <c r="AU3160" s="15"/>
      <c r="AV3160" s="15"/>
      <c r="AW3160" s="15"/>
    </row>
    <row r="3161" spans="3:49" x14ac:dyDescent="0.2">
      <c r="C3161" s="15"/>
      <c r="D3161" s="15"/>
      <c r="E3161" s="15"/>
      <c r="F3161" s="15"/>
      <c r="G3161" s="15"/>
      <c r="H3161" s="15"/>
      <c r="I3161" s="15"/>
      <c r="J3161" s="15"/>
      <c r="K3161" s="15"/>
      <c r="L3161" s="28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  <c r="AA3161" s="15"/>
      <c r="AB3161" s="15"/>
      <c r="AC3161" s="15"/>
      <c r="AD3161" s="15"/>
      <c r="AE3161" s="15"/>
      <c r="AF3161" s="15"/>
      <c r="AG3161" s="15"/>
      <c r="AH3161" s="15"/>
      <c r="AI3161" s="15"/>
      <c r="AJ3161" s="15"/>
      <c r="AK3161" s="15"/>
      <c r="AL3161" s="15"/>
      <c r="AM3161" s="15"/>
      <c r="AN3161" s="15"/>
      <c r="AO3161" s="15"/>
      <c r="AP3161" s="15"/>
      <c r="AQ3161" s="15"/>
      <c r="AR3161" s="15"/>
      <c r="AS3161" s="15"/>
      <c r="AT3161" s="15"/>
      <c r="AU3161" s="15"/>
      <c r="AV3161" s="15"/>
      <c r="AW3161" s="15"/>
    </row>
    <row r="3162" spans="3:49" x14ac:dyDescent="0.2">
      <c r="C3162" s="15"/>
      <c r="D3162" s="15"/>
      <c r="E3162" s="15"/>
      <c r="F3162" s="15"/>
      <c r="G3162" s="15"/>
      <c r="H3162" s="15"/>
      <c r="I3162" s="15"/>
      <c r="J3162" s="15"/>
      <c r="K3162" s="15"/>
      <c r="L3162" s="28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  <c r="AA3162" s="15"/>
      <c r="AB3162" s="15"/>
      <c r="AC3162" s="15"/>
      <c r="AD3162" s="15"/>
      <c r="AE3162" s="15"/>
      <c r="AF3162" s="15"/>
      <c r="AG3162" s="15"/>
      <c r="AH3162" s="15"/>
      <c r="AI3162" s="15"/>
      <c r="AJ3162" s="15"/>
      <c r="AK3162" s="15"/>
      <c r="AL3162" s="15"/>
      <c r="AM3162" s="15"/>
      <c r="AN3162" s="15"/>
      <c r="AO3162" s="15"/>
      <c r="AP3162" s="15"/>
      <c r="AQ3162" s="15"/>
      <c r="AR3162" s="15"/>
      <c r="AS3162" s="15"/>
      <c r="AT3162" s="15"/>
      <c r="AU3162" s="15"/>
      <c r="AV3162" s="15"/>
      <c r="AW3162" s="15"/>
    </row>
    <row r="3163" spans="3:49" x14ac:dyDescent="0.2">
      <c r="C3163" s="15"/>
      <c r="D3163" s="15"/>
      <c r="E3163" s="15"/>
      <c r="F3163" s="15"/>
      <c r="G3163" s="15"/>
      <c r="H3163" s="15"/>
      <c r="I3163" s="15"/>
      <c r="J3163" s="15"/>
      <c r="K3163" s="15"/>
      <c r="L3163" s="28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  <c r="AA3163" s="15"/>
      <c r="AB3163" s="15"/>
      <c r="AC3163" s="15"/>
      <c r="AD3163" s="15"/>
      <c r="AE3163" s="15"/>
      <c r="AF3163" s="15"/>
      <c r="AG3163" s="15"/>
      <c r="AH3163" s="15"/>
      <c r="AI3163" s="15"/>
      <c r="AJ3163" s="15"/>
      <c r="AK3163" s="15"/>
      <c r="AL3163" s="15"/>
      <c r="AM3163" s="15"/>
      <c r="AN3163" s="15"/>
      <c r="AO3163" s="15"/>
      <c r="AP3163" s="15"/>
      <c r="AQ3163" s="15"/>
      <c r="AR3163" s="15"/>
      <c r="AS3163" s="15"/>
      <c r="AT3163" s="15"/>
      <c r="AU3163" s="15"/>
      <c r="AV3163" s="15"/>
      <c r="AW3163" s="15"/>
    </row>
    <row r="3164" spans="3:49" x14ac:dyDescent="0.2">
      <c r="C3164" s="15"/>
      <c r="D3164" s="15"/>
      <c r="E3164" s="15"/>
      <c r="F3164" s="15"/>
      <c r="G3164" s="15"/>
      <c r="H3164" s="15"/>
      <c r="I3164" s="15"/>
      <c r="J3164" s="15"/>
      <c r="K3164" s="15"/>
      <c r="L3164" s="28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  <c r="AA3164" s="15"/>
      <c r="AB3164" s="15"/>
      <c r="AC3164" s="15"/>
      <c r="AD3164" s="15"/>
      <c r="AE3164" s="15"/>
      <c r="AF3164" s="15"/>
      <c r="AG3164" s="15"/>
      <c r="AH3164" s="15"/>
      <c r="AI3164" s="15"/>
      <c r="AJ3164" s="15"/>
      <c r="AK3164" s="15"/>
      <c r="AL3164" s="15"/>
      <c r="AM3164" s="15"/>
      <c r="AN3164" s="15"/>
      <c r="AO3164" s="15"/>
      <c r="AP3164" s="15"/>
      <c r="AQ3164" s="15"/>
      <c r="AR3164" s="15"/>
      <c r="AS3164" s="15"/>
      <c r="AT3164" s="15"/>
      <c r="AU3164" s="15"/>
      <c r="AV3164" s="15"/>
      <c r="AW3164" s="15"/>
    </row>
    <row r="3165" spans="3:49" x14ac:dyDescent="0.2">
      <c r="C3165" s="15"/>
      <c r="D3165" s="15"/>
      <c r="E3165" s="15"/>
      <c r="F3165" s="15"/>
      <c r="G3165" s="15"/>
      <c r="H3165" s="15"/>
      <c r="I3165" s="15"/>
      <c r="J3165" s="15"/>
      <c r="K3165" s="15"/>
      <c r="L3165" s="28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  <c r="AA3165" s="15"/>
      <c r="AB3165" s="15"/>
      <c r="AC3165" s="15"/>
      <c r="AD3165" s="15"/>
      <c r="AE3165" s="15"/>
      <c r="AF3165" s="15"/>
      <c r="AG3165" s="15"/>
      <c r="AH3165" s="15"/>
      <c r="AI3165" s="15"/>
      <c r="AJ3165" s="15"/>
      <c r="AK3165" s="15"/>
      <c r="AL3165" s="15"/>
      <c r="AM3165" s="15"/>
      <c r="AN3165" s="15"/>
      <c r="AO3165" s="15"/>
      <c r="AP3165" s="15"/>
      <c r="AQ3165" s="15"/>
      <c r="AR3165" s="15"/>
      <c r="AS3165" s="15"/>
      <c r="AT3165" s="15"/>
      <c r="AU3165" s="15"/>
      <c r="AV3165" s="15"/>
      <c r="AW3165" s="15"/>
    </row>
    <row r="3166" spans="3:49" x14ac:dyDescent="0.2">
      <c r="C3166" s="15"/>
      <c r="D3166" s="15"/>
      <c r="E3166" s="15"/>
      <c r="F3166" s="15"/>
      <c r="G3166" s="15"/>
      <c r="H3166" s="15"/>
      <c r="I3166" s="15"/>
      <c r="J3166" s="15"/>
      <c r="K3166" s="15"/>
      <c r="L3166" s="28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  <c r="AA3166" s="15"/>
      <c r="AB3166" s="15"/>
      <c r="AC3166" s="15"/>
      <c r="AD3166" s="15"/>
      <c r="AE3166" s="15"/>
      <c r="AF3166" s="15"/>
      <c r="AG3166" s="15"/>
      <c r="AH3166" s="15"/>
      <c r="AI3166" s="15"/>
      <c r="AJ3166" s="15"/>
      <c r="AK3166" s="15"/>
      <c r="AL3166" s="15"/>
      <c r="AM3166" s="15"/>
      <c r="AN3166" s="15"/>
      <c r="AO3166" s="15"/>
      <c r="AP3166" s="15"/>
      <c r="AQ3166" s="15"/>
      <c r="AR3166" s="15"/>
      <c r="AS3166" s="15"/>
      <c r="AT3166" s="15"/>
      <c r="AU3166" s="15"/>
      <c r="AV3166" s="15"/>
      <c r="AW3166" s="15"/>
    </row>
    <row r="3167" spans="3:49" x14ac:dyDescent="0.2">
      <c r="C3167" s="15"/>
      <c r="D3167" s="15"/>
      <c r="E3167" s="15"/>
      <c r="F3167" s="15"/>
      <c r="G3167" s="15"/>
      <c r="H3167" s="15"/>
      <c r="I3167" s="15"/>
      <c r="J3167" s="15"/>
      <c r="K3167" s="15"/>
      <c r="L3167" s="28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  <c r="AA3167" s="15"/>
      <c r="AB3167" s="15"/>
      <c r="AC3167" s="15"/>
      <c r="AD3167" s="15"/>
      <c r="AE3167" s="15"/>
      <c r="AF3167" s="15"/>
      <c r="AG3167" s="15"/>
      <c r="AH3167" s="15"/>
      <c r="AI3167" s="15"/>
      <c r="AJ3167" s="15"/>
      <c r="AK3167" s="15"/>
      <c r="AL3167" s="15"/>
      <c r="AM3167" s="15"/>
      <c r="AN3167" s="15"/>
      <c r="AO3167" s="15"/>
      <c r="AP3167" s="15"/>
      <c r="AQ3167" s="15"/>
      <c r="AR3167" s="15"/>
      <c r="AS3167" s="15"/>
      <c r="AT3167" s="15"/>
      <c r="AU3167" s="15"/>
      <c r="AV3167" s="15"/>
      <c r="AW3167" s="15"/>
    </row>
    <row r="3168" spans="3:49" x14ac:dyDescent="0.2">
      <c r="C3168" s="15"/>
      <c r="D3168" s="15"/>
      <c r="E3168" s="15"/>
      <c r="F3168" s="15"/>
      <c r="G3168" s="15"/>
      <c r="H3168" s="15"/>
      <c r="I3168" s="15"/>
      <c r="J3168" s="15"/>
      <c r="K3168" s="15"/>
      <c r="L3168" s="28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  <c r="AA3168" s="15"/>
      <c r="AB3168" s="15"/>
      <c r="AC3168" s="15"/>
      <c r="AD3168" s="15"/>
      <c r="AE3168" s="15"/>
      <c r="AF3168" s="15"/>
      <c r="AG3168" s="15"/>
      <c r="AH3168" s="15"/>
      <c r="AI3168" s="15"/>
      <c r="AJ3168" s="15"/>
      <c r="AK3168" s="15"/>
      <c r="AL3168" s="15"/>
      <c r="AM3168" s="15"/>
      <c r="AN3168" s="15"/>
      <c r="AO3168" s="15"/>
      <c r="AP3168" s="15"/>
      <c r="AQ3168" s="15"/>
      <c r="AR3168" s="15"/>
      <c r="AS3168" s="15"/>
      <c r="AT3168" s="15"/>
      <c r="AU3168" s="15"/>
      <c r="AV3168" s="15"/>
      <c r="AW3168" s="15"/>
    </row>
    <row r="3169" spans="3:49" x14ac:dyDescent="0.2">
      <c r="C3169" s="15"/>
      <c r="D3169" s="15"/>
      <c r="E3169" s="15"/>
      <c r="F3169" s="15"/>
      <c r="G3169" s="15"/>
      <c r="H3169" s="15"/>
      <c r="I3169" s="15"/>
      <c r="J3169" s="15"/>
      <c r="K3169" s="15"/>
      <c r="L3169" s="28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  <c r="AA3169" s="15"/>
      <c r="AB3169" s="15"/>
      <c r="AC3169" s="15"/>
      <c r="AD3169" s="15"/>
      <c r="AE3169" s="15"/>
      <c r="AF3169" s="15"/>
      <c r="AG3169" s="15"/>
      <c r="AH3169" s="15"/>
      <c r="AI3169" s="15"/>
      <c r="AJ3169" s="15"/>
      <c r="AK3169" s="15"/>
      <c r="AL3169" s="15"/>
      <c r="AM3169" s="15"/>
      <c r="AN3169" s="15"/>
      <c r="AO3169" s="15"/>
      <c r="AP3169" s="15"/>
      <c r="AQ3169" s="15"/>
      <c r="AR3169" s="15"/>
      <c r="AS3169" s="15"/>
      <c r="AT3169" s="15"/>
      <c r="AU3169" s="15"/>
      <c r="AV3169" s="15"/>
      <c r="AW3169" s="15"/>
    </row>
    <row r="3170" spans="3:49" x14ac:dyDescent="0.2">
      <c r="C3170" s="15"/>
      <c r="D3170" s="15"/>
      <c r="E3170" s="15"/>
      <c r="F3170" s="15"/>
      <c r="G3170" s="15"/>
      <c r="H3170" s="15"/>
      <c r="I3170" s="15"/>
      <c r="J3170" s="15"/>
      <c r="K3170" s="15"/>
      <c r="L3170" s="28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  <c r="AA3170" s="15"/>
      <c r="AB3170" s="15"/>
      <c r="AC3170" s="15"/>
      <c r="AD3170" s="15"/>
      <c r="AE3170" s="15"/>
      <c r="AF3170" s="15"/>
      <c r="AG3170" s="15"/>
      <c r="AH3170" s="15"/>
      <c r="AI3170" s="15"/>
      <c r="AJ3170" s="15"/>
      <c r="AK3170" s="15"/>
      <c r="AL3170" s="15"/>
      <c r="AM3170" s="15"/>
      <c r="AN3170" s="15"/>
      <c r="AO3170" s="15"/>
      <c r="AP3170" s="15"/>
      <c r="AQ3170" s="15"/>
      <c r="AR3170" s="15"/>
      <c r="AS3170" s="15"/>
      <c r="AT3170" s="15"/>
      <c r="AU3170" s="15"/>
      <c r="AV3170" s="15"/>
      <c r="AW3170" s="15"/>
    </row>
    <row r="3171" spans="3:49" x14ac:dyDescent="0.2">
      <c r="C3171" s="15"/>
      <c r="D3171" s="15"/>
      <c r="E3171" s="15"/>
      <c r="F3171" s="15"/>
      <c r="G3171" s="15"/>
      <c r="H3171" s="15"/>
      <c r="I3171" s="15"/>
      <c r="J3171" s="15"/>
      <c r="K3171" s="15"/>
      <c r="L3171" s="28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  <c r="AA3171" s="15"/>
      <c r="AB3171" s="15"/>
      <c r="AC3171" s="15"/>
      <c r="AD3171" s="15"/>
      <c r="AE3171" s="15"/>
      <c r="AF3171" s="15"/>
      <c r="AG3171" s="15"/>
      <c r="AH3171" s="15"/>
      <c r="AI3171" s="15"/>
      <c r="AJ3171" s="15"/>
      <c r="AK3171" s="15"/>
      <c r="AL3171" s="15"/>
      <c r="AM3171" s="15"/>
      <c r="AN3171" s="15"/>
      <c r="AO3171" s="15"/>
      <c r="AP3171" s="15"/>
      <c r="AQ3171" s="15"/>
      <c r="AR3171" s="15"/>
      <c r="AS3171" s="15"/>
      <c r="AT3171" s="15"/>
      <c r="AU3171" s="15"/>
      <c r="AV3171" s="15"/>
      <c r="AW3171" s="15"/>
    </row>
    <row r="3172" spans="3:49" x14ac:dyDescent="0.2">
      <c r="C3172" s="15"/>
      <c r="D3172" s="15"/>
      <c r="E3172" s="15"/>
      <c r="F3172" s="15"/>
      <c r="G3172" s="15"/>
      <c r="H3172" s="15"/>
      <c r="I3172" s="15"/>
      <c r="J3172" s="15"/>
      <c r="K3172" s="15"/>
      <c r="L3172" s="28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  <c r="AA3172" s="15"/>
      <c r="AB3172" s="15"/>
      <c r="AC3172" s="15"/>
      <c r="AD3172" s="15"/>
      <c r="AE3172" s="15"/>
      <c r="AF3172" s="15"/>
      <c r="AG3172" s="15"/>
      <c r="AH3172" s="15"/>
      <c r="AI3172" s="15"/>
      <c r="AJ3172" s="15"/>
      <c r="AK3172" s="15"/>
      <c r="AL3172" s="15"/>
      <c r="AM3172" s="15"/>
      <c r="AN3172" s="15"/>
      <c r="AO3172" s="15"/>
      <c r="AP3172" s="15"/>
      <c r="AQ3172" s="15"/>
      <c r="AR3172" s="15"/>
      <c r="AS3172" s="15"/>
      <c r="AT3172" s="15"/>
      <c r="AU3172" s="15"/>
      <c r="AV3172" s="15"/>
      <c r="AW3172" s="15"/>
    </row>
    <row r="3173" spans="3:49" x14ac:dyDescent="0.2">
      <c r="C3173" s="15"/>
      <c r="D3173" s="15"/>
      <c r="E3173" s="15"/>
      <c r="F3173" s="15"/>
      <c r="G3173" s="15"/>
      <c r="H3173" s="15"/>
      <c r="I3173" s="15"/>
      <c r="J3173" s="15"/>
      <c r="K3173" s="15"/>
      <c r="L3173" s="28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  <c r="AA3173" s="15"/>
      <c r="AB3173" s="15"/>
      <c r="AC3173" s="15"/>
      <c r="AD3173" s="15"/>
      <c r="AE3173" s="15"/>
      <c r="AF3173" s="15"/>
      <c r="AG3173" s="15"/>
      <c r="AH3173" s="15"/>
      <c r="AI3173" s="15"/>
      <c r="AJ3173" s="15"/>
      <c r="AK3173" s="15"/>
      <c r="AL3173" s="15"/>
      <c r="AM3173" s="15"/>
      <c r="AN3173" s="15"/>
      <c r="AO3173" s="15"/>
      <c r="AP3173" s="15"/>
      <c r="AQ3173" s="15"/>
      <c r="AR3173" s="15"/>
      <c r="AS3173" s="15"/>
      <c r="AT3173" s="15"/>
      <c r="AU3173" s="15"/>
      <c r="AV3173" s="15"/>
      <c r="AW3173" s="15"/>
    </row>
    <row r="3174" spans="3:49" x14ac:dyDescent="0.2">
      <c r="C3174" s="15"/>
      <c r="D3174" s="15"/>
      <c r="E3174" s="15"/>
      <c r="F3174" s="15"/>
      <c r="G3174" s="15"/>
      <c r="H3174" s="15"/>
      <c r="I3174" s="15"/>
      <c r="J3174" s="15"/>
      <c r="K3174" s="15"/>
      <c r="L3174" s="28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  <c r="AA3174" s="15"/>
      <c r="AB3174" s="15"/>
      <c r="AC3174" s="15"/>
      <c r="AD3174" s="15"/>
      <c r="AE3174" s="15"/>
      <c r="AF3174" s="15"/>
      <c r="AG3174" s="15"/>
      <c r="AH3174" s="15"/>
      <c r="AI3174" s="15"/>
      <c r="AJ3174" s="15"/>
      <c r="AK3174" s="15"/>
      <c r="AL3174" s="15"/>
      <c r="AM3174" s="15"/>
      <c r="AN3174" s="15"/>
      <c r="AO3174" s="15"/>
      <c r="AP3174" s="15"/>
      <c r="AQ3174" s="15"/>
      <c r="AR3174" s="15"/>
      <c r="AS3174" s="15"/>
      <c r="AT3174" s="15"/>
      <c r="AU3174" s="15"/>
      <c r="AV3174" s="15"/>
      <c r="AW3174" s="15"/>
    </row>
    <row r="3175" spans="3:49" x14ac:dyDescent="0.2">
      <c r="C3175" s="15"/>
      <c r="D3175" s="15"/>
      <c r="E3175" s="15"/>
      <c r="F3175" s="15"/>
      <c r="G3175" s="15"/>
      <c r="H3175" s="15"/>
      <c r="I3175" s="15"/>
      <c r="J3175" s="15"/>
      <c r="K3175" s="15"/>
      <c r="L3175" s="28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  <c r="AA3175" s="15"/>
      <c r="AB3175" s="15"/>
      <c r="AC3175" s="15"/>
      <c r="AD3175" s="15"/>
      <c r="AE3175" s="15"/>
      <c r="AF3175" s="15"/>
      <c r="AG3175" s="15"/>
      <c r="AH3175" s="15"/>
      <c r="AI3175" s="15"/>
      <c r="AJ3175" s="15"/>
      <c r="AK3175" s="15"/>
      <c r="AL3175" s="15"/>
      <c r="AM3175" s="15"/>
      <c r="AN3175" s="15"/>
      <c r="AO3175" s="15"/>
      <c r="AP3175" s="15"/>
      <c r="AQ3175" s="15"/>
      <c r="AR3175" s="15"/>
      <c r="AS3175" s="15"/>
      <c r="AT3175" s="15"/>
      <c r="AU3175" s="15"/>
      <c r="AV3175" s="15"/>
      <c r="AW3175" s="15"/>
    </row>
    <row r="3176" spans="3:49" x14ac:dyDescent="0.2">
      <c r="C3176" s="15"/>
      <c r="D3176" s="15"/>
      <c r="E3176" s="15"/>
      <c r="F3176" s="15"/>
      <c r="G3176" s="15"/>
      <c r="H3176" s="15"/>
      <c r="I3176" s="15"/>
      <c r="J3176" s="15"/>
      <c r="K3176" s="15"/>
      <c r="L3176" s="28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  <c r="AA3176" s="15"/>
      <c r="AB3176" s="15"/>
      <c r="AC3176" s="15"/>
      <c r="AD3176" s="15"/>
      <c r="AE3176" s="15"/>
      <c r="AF3176" s="15"/>
      <c r="AG3176" s="15"/>
      <c r="AH3176" s="15"/>
      <c r="AI3176" s="15"/>
      <c r="AJ3176" s="15"/>
      <c r="AK3176" s="15"/>
      <c r="AL3176" s="15"/>
      <c r="AM3176" s="15"/>
      <c r="AN3176" s="15"/>
      <c r="AO3176" s="15"/>
      <c r="AP3176" s="15"/>
      <c r="AQ3176" s="15"/>
      <c r="AR3176" s="15"/>
      <c r="AS3176" s="15"/>
      <c r="AT3176" s="15"/>
      <c r="AU3176" s="15"/>
      <c r="AV3176" s="15"/>
      <c r="AW3176" s="15"/>
    </row>
    <row r="3177" spans="3:49" x14ac:dyDescent="0.2">
      <c r="C3177" s="15"/>
      <c r="D3177" s="15"/>
      <c r="E3177" s="15"/>
      <c r="F3177" s="15"/>
      <c r="G3177" s="15"/>
      <c r="H3177" s="15"/>
      <c r="I3177" s="15"/>
      <c r="J3177" s="15"/>
      <c r="K3177" s="15"/>
      <c r="L3177" s="28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  <c r="AA3177" s="15"/>
      <c r="AB3177" s="15"/>
      <c r="AC3177" s="15"/>
      <c r="AD3177" s="15"/>
      <c r="AE3177" s="15"/>
      <c r="AF3177" s="15"/>
      <c r="AG3177" s="15"/>
      <c r="AH3177" s="15"/>
      <c r="AI3177" s="15"/>
      <c r="AJ3177" s="15"/>
      <c r="AK3177" s="15"/>
      <c r="AL3177" s="15"/>
      <c r="AM3177" s="15"/>
      <c r="AN3177" s="15"/>
      <c r="AO3177" s="15"/>
      <c r="AP3177" s="15"/>
      <c r="AQ3177" s="15"/>
      <c r="AR3177" s="15"/>
      <c r="AS3177" s="15"/>
      <c r="AT3177" s="15"/>
      <c r="AU3177" s="15"/>
      <c r="AV3177" s="15"/>
      <c r="AW3177" s="15"/>
    </row>
    <row r="3178" spans="3:49" x14ac:dyDescent="0.2">
      <c r="C3178" s="15"/>
      <c r="D3178" s="15"/>
      <c r="E3178" s="15"/>
      <c r="F3178" s="15"/>
      <c r="G3178" s="15"/>
      <c r="H3178" s="15"/>
      <c r="I3178" s="15"/>
      <c r="J3178" s="15"/>
      <c r="K3178" s="15"/>
      <c r="L3178" s="28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  <c r="AA3178" s="15"/>
      <c r="AB3178" s="15"/>
      <c r="AC3178" s="15"/>
      <c r="AD3178" s="15"/>
      <c r="AE3178" s="15"/>
      <c r="AF3178" s="15"/>
      <c r="AG3178" s="15"/>
      <c r="AH3178" s="15"/>
      <c r="AI3178" s="15"/>
      <c r="AJ3178" s="15"/>
      <c r="AK3178" s="15"/>
      <c r="AL3178" s="15"/>
      <c r="AM3178" s="15"/>
      <c r="AN3178" s="15"/>
      <c r="AO3178" s="15"/>
      <c r="AP3178" s="15"/>
      <c r="AQ3178" s="15"/>
      <c r="AR3178" s="15"/>
      <c r="AS3178" s="15"/>
      <c r="AT3178" s="15"/>
      <c r="AU3178" s="15"/>
      <c r="AV3178" s="15"/>
      <c r="AW3178" s="15"/>
    </row>
    <row r="3179" spans="3:49" x14ac:dyDescent="0.2">
      <c r="C3179" s="15"/>
      <c r="D3179" s="15"/>
      <c r="E3179" s="15"/>
      <c r="F3179" s="15"/>
      <c r="G3179" s="15"/>
      <c r="H3179" s="15"/>
      <c r="I3179" s="15"/>
      <c r="J3179" s="15"/>
      <c r="K3179" s="15"/>
      <c r="L3179" s="28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  <c r="AA3179" s="15"/>
      <c r="AB3179" s="15"/>
      <c r="AC3179" s="15"/>
      <c r="AD3179" s="15"/>
      <c r="AE3179" s="15"/>
      <c r="AF3179" s="15"/>
      <c r="AG3179" s="15"/>
      <c r="AH3179" s="15"/>
      <c r="AI3179" s="15"/>
      <c r="AJ3179" s="15"/>
      <c r="AK3179" s="15"/>
      <c r="AL3179" s="15"/>
      <c r="AM3179" s="15"/>
      <c r="AN3179" s="15"/>
      <c r="AO3179" s="15"/>
      <c r="AP3179" s="15"/>
      <c r="AQ3179" s="15"/>
      <c r="AR3179" s="15"/>
      <c r="AS3179" s="15"/>
      <c r="AT3179" s="15"/>
      <c r="AU3179" s="15"/>
      <c r="AV3179" s="15"/>
      <c r="AW3179" s="15"/>
    </row>
    <row r="3180" spans="3:49" x14ac:dyDescent="0.2">
      <c r="C3180" s="15"/>
      <c r="D3180" s="15"/>
      <c r="E3180" s="15"/>
      <c r="F3180" s="15"/>
      <c r="G3180" s="15"/>
      <c r="H3180" s="15"/>
      <c r="I3180" s="15"/>
      <c r="J3180" s="15"/>
      <c r="K3180" s="15"/>
      <c r="L3180" s="28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  <c r="AA3180" s="15"/>
      <c r="AB3180" s="15"/>
      <c r="AC3180" s="15"/>
      <c r="AD3180" s="15"/>
      <c r="AE3180" s="15"/>
      <c r="AF3180" s="15"/>
      <c r="AG3180" s="15"/>
      <c r="AH3180" s="15"/>
      <c r="AI3180" s="15"/>
      <c r="AJ3180" s="15"/>
      <c r="AK3180" s="15"/>
      <c r="AL3180" s="15"/>
      <c r="AM3180" s="15"/>
      <c r="AN3180" s="15"/>
      <c r="AO3180" s="15"/>
      <c r="AP3180" s="15"/>
      <c r="AQ3180" s="15"/>
      <c r="AR3180" s="15"/>
      <c r="AS3180" s="15"/>
      <c r="AT3180" s="15"/>
      <c r="AU3180" s="15"/>
      <c r="AV3180" s="15"/>
      <c r="AW3180" s="15"/>
    </row>
    <row r="3181" spans="3:49" x14ac:dyDescent="0.2">
      <c r="C3181" s="15"/>
      <c r="D3181" s="15"/>
      <c r="E3181" s="15"/>
      <c r="F3181" s="15"/>
      <c r="G3181" s="15"/>
      <c r="H3181" s="15"/>
      <c r="I3181" s="15"/>
      <c r="J3181" s="15"/>
      <c r="K3181" s="15"/>
      <c r="L3181" s="28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  <c r="AA3181" s="15"/>
      <c r="AB3181" s="15"/>
      <c r="AC3181" s="15"/>
      <c r="AD3181" s="15"/>
      <c r="AE3181" s="15"/>
      <c r="AF3181" s="15"/>
      <c r="AG3181" s="15"/>
      <c r="AH3181" s="15"/>
      <c r="AI3181" s="15"/>
      <c r="AJ3181" s="15"/>
      <c r="AK3181" s="15"/>
      <c r="AL3181" s="15"/>
      <c r="AM3181" s="15"/>
      <c r="AN3181" s="15"/>
      <c r="AO3181" s="15"/>
      <c r="AP3181" s="15"/>
      <c r="AQ3181" s="15"/>
      <c r="AR3181" s="15"/>
      <c r="AS3181" s="15"/>
      <c r="AT3181" s="15"/>
      <c r="AU3181" s="15"/>
      <c r="AV3181" s="15"/>
      <c r="AW3181" s="15"/>
    </row>
    <row r="3182" spans="3:49" x14ac:dyDescent="0.2">
      <c r="C3182" s="15"/>
      <c r="D3182" s="15"/>
      <c r="E3182" s="15"/>
      <c r="F3182" s="15"/>
      <c r="G3182" s="15"/>
      <c r="H3182" s="15"/>
      <c r="I3182" s="15"/>
      <c r="J3182" s="15"/>
      <c r="K3182" s="15"/>
      <c r="L3182" s="28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  <c r="AA3182" s="15"/>
      <c r="AB3182" s="15"/>
      <c r="AC3182" s="15"/>
      <c r="AD3182" s="15"/>
      <c r="AE3182" s="15"/>
      <c r="AF3182" s="15"/>
      <c r="AG3182" s="15"/>
      <c r="AH3182" s="15"/>
      <c r="AI3182" s="15"/>
      <c r="AJ3182" s="15"/>
      <c r="AK3182" s="15"/>
      <c r="AL3182" s="15"/>
      <c r="AM3182" s="15"/>
      <c r="AN3182" s="15"/>
      <c r="AO3182" s="15"/>
      <c r="AP3182" s="15"/>
      <c r="AQ3182" s="15"/>
      <c r="AR3182" s="15"/>
      <c r="AS3182" s="15"/>
      <c r="AT3182" s="15"/>
      <c r="AU3182" s="15"/>
      <c r="AV3182" s="15"/>
      <c r="AW3182" s="15"/>
    </row>
    <row r="3183" spans="3:49" x14ac:dyDescent="0.2">
      <c r="C3183" s="15"/>
      <c r="D3183" s="15"/>
      <c r="E3183" s="15"/>
      <c r="F3183" s="15"/>
      <c r="G3183" s="15"/>
      <c r="H3183" s="15"/>
      <c r="I3183" s="15"/>
      <c r="J3183" s="15"/>
      <c r="K3183" s="15"/>
      <c r="L3183" s="28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  <c r="AA3183" s="15"/>
      <c r="AB3183" s="15"/>
      <c r="AC3183" s="15"/>
      <c r="AD3183" s="15"/>
      <c r="AE3183" s="15"/>
      <c r="AF3183" s="15"/>
      <c r="AG3183" s="15"/>
      <c r="AH3183" s="15"/>
      <c r="AI3183" s="15"/>
      <c r="AJ3183" s="15"/>
      <c r="AK3183" s="15"/>
      <c r="AL3183" s="15"/>
      <c r="AM3183" s="15"/>
      <c r="AN3183" s="15"/>
      <c r="AO3183" s="15"/>
      <c r="AP3183" s="15"/>
      <c r="AQ3183" s="15"/>
      <c r="AR3183" s="15"/>
      <c r="AS3183" s="15"/>
      <c r="AT3183" s="15"/>
      <c r="AU3183" s="15"/>
      <c r="AV3183" s="15"/>
      <c r="AW3183" s="15"/>
    </row>
    <row r="3184" spans="3:49" x14ac:dyDescent="0.2">
      <c r="C3184" s="15"/>
      <c r="D3184" s="15"/>
      <c r="E3184" s="15"/>
      <c r="F3184" s="15"/>
      <c r="G3184" s="15"/>
      <c r="H3184" s="15"/>
      <c r="I3184" s="15"/>
      <c r="J3184" s="15"/>
      <c r="K3184" s="15"/>
      <c r="L3184" s="28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  <c r="AA3184" s="15"/>
      <c r="AB3184" s="15"/>
      <c r="AC3184" s="15"/>
      <c r="AD3184" s="15"/>
      <c r="AE3184" s="15"/>
      <c r="AF3184" s="15"/>
      <c r="AG3184" s="15"/>
      <c r="AH3184" s="15"/>
      <c r="AI3184" s="15"/>
      <c r="AJ3184" s="15"/>
      <c r="AK3184" s="15"/>
      <c r="AL3184" s="15"/>
      <c r="AM3184" s="15"/>
      <c r="AN3184" s="15"/>
      <c r="AO3184" s="15"/>
      <c r="AP3184" s="15"/>
      <c r="AQ3184" s="15"/>
      <c r="AR3184" s="15"/>
      <c r="AS3184" s="15"/>
      <c r="AT3184" s="15"/>
      <c r="AU3184" s="15"/>
      <c r="AV3184" s="15"/>
      <c r="AW3184" s="15"/>
    </row>
    <row r="3185" spans="3:49" x14ac:dyDescent="0.2">
      <c r="C3185" s="15"/>
      <c r="D3185" s="15"/>
      <c r="E3185" s="15"/>
      <c r="F3185" s="15"/>
      <c r="G3185" s="15"/>
      <c r="H3185" s="15"/>
      <c r="I3185" s="15"/>
      <c r="J3185" s="15"/>
      <c r="K3185" s="15"/>
      <c r="L3185" s="28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  <c r="AA3185" s="15"/>
      <c r="AB3185" s="15"/>
      <c r="AC3185" s="15"/>
      <c r="AD3185" s="15"/>
      <c r="AE3185" s="15"/>
      <c r="AF3185" s="15"/>
      <c r="AG3185" s="15"/>
      <c r="AH3185" s="15"/>
      <c r="AI3185" s="15"/>
      <c r="AJ3185" s="15"/>
      <c r="AK3185" s="15"/>
      <c r="AL3185" s="15"/>
      <c r="AM3185" s="15"/>
      <c r="AN3185" s="15"/>
      <c r="AO3185" s="15"/>
      <c r="AP3185" s="15"/>
      <c r="AQ3185" s="15"/>
      <c r="AR3185" s="15"/>
      <c r="AS3185" s="15"/>
      <c r="AT3185" s="15"/>
      <c r="AU3185" s="15"/>
      <c r="AV3185" s="15"/>
      <c r="AW3185" s="15"/>
    </row>
    <row r="3186" spans="3:49" x14ac:dyDescent="0.2">
      <c r="C3186" s="15"/>
      <c r="D3186" s="15"/>
      <c r="E3186" s="15"/>
      <c r="F3186" s="15"/>
      <c r="G3186" s="15"/>
      <c r="H3186" s="15"/>
      <c r="I3186" s="15"/>
      <c r="J3186" s="15"/>
      <c r="K3186" s="15"/>
      <c r="L3186" s="28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  <c r="AA3186" s="15"/>
      <c r="AB3186" s="15"/>
      <c r="AC3186" s="15"/>
      <c r="AD3186" s="15"/>
      <c r="AE3186" s="15"/>
      <c r="AF3186" s="15"/>
      <c r="AG3186" s="15"/>
      <c r="AH3186" s="15"/>
      <c r="AI3186" s="15"/>
      <c r="AJ3186" s="15"/>
      <c r="AK3186" s="15"/>
      <c r="AL3186" s="15"/>
      <c r="AM3186" s="15"/>
      <c r="AN3186" s="15"/>
      <c r="AO3186" s="15"/>
      <c r="AP3186" s="15"/>
      <c r="AQ3186" s="15"/>
      <c r="AR3186" s="15"/>
      <c r="AS3186" s="15"/>
      <c r="AT3186" s="15"/>
      <c r="AU3186" s="15"/>
      <c r="AV3186" s="15"/>
      <c r="AW3186" s="15"/>
    </row>
    <row r="3187" spans="3:49" x14ac:dyDescent="0.2">
      <c r="C3187" s="15"/>
      <c r="D3187" s="15"/>
      <c r="E3187" s="15"/>
      <c r="F3187" s="15"/>
      <c r="G3187" s="15"/>
      <c r="H3187" s="15"/>
      <c r="I3187" s="15"/>
      <c r="J3187" s="15"/>
      <c r="K3187" s="15"/>
      <c r="L3187" s="28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  <c r="AA3187" s="15"/>
      <c r="AB3187" s="15"/>
      <c r="AC3187" s="15"/>
      <c r="AD3187" s="15"/>
      <c r="AE3187" s="15"/>
      <c r="AF3187" s="15"/>
      <c r="AG3187" s="15"/>
      <c r="AH3187" s="15"/>
      <c r="AI3187" s="15"/>
      <c r="AJ3187" s="15"/>
      <c r="AK3187" s="15"/>
      <c r="AL3187" s="15"/>
      <c r="AM3187" s="15"/>
      <c r="AN3187" s="15"/>
      <c r="AO3187" s="15"/>
      <c r="AP3187" s="15"/>
      <c r="AQ3187" s="15"/>
      <c r="AR3187" s="15"/>
      <c r="AS3187" s="15"/>
      <c r="AT3187" s="15"/>
      <c r="AU3187" s="15"/>
      <c r="AV3187" s="15"/>
      <c r="AW3187" s="15"/>
    </row>
    <row r="3188" spans="3:49" x14ac:dyDescent="0.2">
      <c r="C3188" s="15"/>
      <c r="D3188" s="15"/>
      <c r="E3188" s="15"/>
      <c r="F3188" s="15"/>
      <c r="G3188" s="15"/>
      <c r="H3188" s="15"/>
      <c r="I3188" s="15"/>
      <c r="J3188" s="15"/>
      <c r="K3188" s="15"/>
      <c r="L3188" s="28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  <c r="AA3188" s="15"/>
      <c r="AB3188" s="15"/>
      <c r="AC3188" s="15"/>
      <c r="AD3188" s="15"/>
      <c r="AE3188" s="15"/>
      <c r="AF3188" s="15"/>
      <c r="AG3188" s="15"/>
      <c r="AH3188" s="15"/>
      <c r="AI3188" s="15"/>
      <c r="AJ3188" s="15"/>
      <c r="AK3188" s="15"/>
      <c r="AL3188" s="15"/>
      <c r="AM3188" s="15"/>
      <c r="AN3188" s="15"/>
      <c r="AO3188" s="15"/>
      <c r="AP3188" s="15"/>
      <c r="AQ3188" s="15"/>
      <c r="AR3188" s="15"/>
      <c r="AS3188" s="15"/>
      <c r="AT3188" s="15"/>
      <c r="AU3188" s="15"/>
      <c r="AV3188" s="15"/>
      <c r="AW3188" s="15"/>
    </row>
    <row r="3189" spans="3:49" x14ac:dyDescent="0.2">
      <c r="C3189" s="15"/>
      <c r="D3189" s="15"/>
      <c r="E3189" s="15"/>
      <c r="F3189" s="15"/>
      <c r="G3189" s="15"/>
      <c r="H3189" s="15"/>
      <c r="I3189" s="15"/>
      <c r="J3189" s="15"/>
      <c r="K3189" s="15"/>
      <c r="L3189" s="28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  <c r="AA3189" s="15"/>
      <c r="AB3189" s="15"/>
      <c r="AC3189" s="15"/>
      <c r="AD3189" s="15"/>
      <c r="AE3189" s="15"/>
      <c r="AF3189" s="15"/>
      <c r="AG3189" s="15"/>
      <c r="AH3189" s="15"/>
      <c r="AI3189" s="15"/>
      <c r="AJ3189" s="15"/>
      <c r="AK3189" s="15"/>
      <c r="AL3189" s="15"/>
      <c r="AM3189" s="15"/>
      <c r="AN3189" s="15"/>
      <c r="AO3189" s="15"/>
      <c r="AP3189" s="15"/>
      <c r="AQ3189" s="15"/>
      <c r="AR3189" s="15"/>
      <c r="AS3189" s="15"/>
      <c r="AT3189" s="15"/>
      <c r="AU3189" s="15"/>
      <c r="AV3189" s="15"/>
      <c r="AW3189" s="15"/>
    </row>
    <row r="3190" spans="3:49" x14ac:dyDescent="0.2">
      <c r="C3190" s="15"/>
      <c r="D3190" s="15"/>
      <c r="E3190" s="15"/>
      <c r="F3190" s="15"/>
      <c r="G3190" s="15"/>
      <c r="H3190" s="15"/>
      <c r="I3190" s="15"/>
      <c r="J3190" s="15"/>
      <c r="K3190" s="15"/>
      <c r="L3190" s="28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  <c r="AA3190" s="15"/>
      <c r="AB3190" s="15"/>
      <c r="AC3190" s="15"/>
      <c r="AD3190" s="15"/>
      <c r="AE3190" s="15"/>
      <c r="AF3190" s="15"/>
      <c r="AG3190" s="15"/>
      <c r="AH3190" s="15"/>
      <c r="AI3190" s="15"/>
      <c r="AJ3190" s="15"/>
      <c r="AK3190" s="15"/>
      <c r="AL3190" s="15"/>
      <c r="AM3190" s="15"/>
      <c r="AN3190" s="15"/>
      <c r="AO3190" s="15"/>
      <c r="AP3190" s="15"/>
      <c r="AQ3190" s="15"/>
      <c r="AR3190" s="15"/>
      <c r="AS3190" s="15"/>
      <c r="AT3190" s="15"/>
      <c r="AU3190" s="15"/>
      <c r="AV3190" s="15"/>
      <c r="AW3190" s="15"/>
    </row>
    <row r="3191" spans="3:49" x14ac:dyDescent="0.2">
      <c r="C3191" s="15"/>
      <c r="D3191" s="15"/>
      <c r="E3191" s="15"/>
      <c r="F3191" s="15"/>
      <c r="G3191" s="15"/>
      <c r="H3191" s="15"/>
      <c r="I3191" s="15"/>
      <c r="J3191" s="15"/>
      <c r="K3191" s="15"/>
      <c r="L3191" s="28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  <c r="AA3191" s="15"/>
      <c r="AB3191" s="15"/>
      <c r="AC3191" s="15"/>
      <c r="AD3191" s="15"/>
      <c r="AE3191" s="15"/>
      <c r="AF3191" s="15"/>
      <c r="AG3191" s="15"/>
      <c r="AH3191" s="15"/>
      <c r="AI3191" s="15"/>
      <c r="AJ3191" s="15"/>
      <c r="AK3191" s="15"/>
      <c r="AL3191" s="15"/>
      <c r="AM3191" s="15"/>
      <c r="AN3191" s="15"/>
      <c r="AO3191" s="15"/>
      <c r="AP3191" s="15"/>
      <c r="AQ3191" s="15"/>
      <c r="AR3191" s="15"/>
      <c r="AS3191" s="15"/>
      <c r="AT3191" s="15"/>
      <c r="AU3191" s="15"/>
      <c r="AV3191" s="15"/>
      <c r="AW3191" s="15"/>
    </row>
    <row r="3192" spans="3:49" x14ac:dyDescent="0.2">
      <c r="C3192" s="15"/>
      <c r="D3192" s="15"/>
      <c r="E3192" s="15"/>
      <c r="F3192" s="15"/>
      <c r="G3192" s="15"/>
      <c r="H3192" s="15"/>
      <c r="I3192" s="15"/>
      <c r="J3192" s="15"/>
      <c r="K3192" s="15"/>
      <c r="L3192" s="28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  <c r="AA3192" s="15"/>
      <c r="AB3192" s="15"/>
      <c r="AC3192" s="15"/>
      <c r="AD3192" s="15"/>
      <c r="AE3192" s="15"/>
      <c r="AF3192" s="15"/>
      <c r="AG3192" s="15"/>
      <c r="AH3192" s="15"/>
      <c r="AI3192" s="15"/>
      <c r="AJ3192" s="15"/>
      <c r="AK3192" s="15"/>
      <c r="AL3192" s="15"/>
      <c r="AM3192" s="15"/>
      <c r="AN3192" s="15"/>
      <c r="AO3192" s="15"/>
      <c r="AP3192" s="15"/>
      <c r="AQ3192" s="15"/>
      <c r="AR3192" s="15"/>
      <c r="AS3192" s="15"/>
      <c r="AT3192" s="15"/>
      <c r="AU3192" s="15"/>
      <c r="AV3192" s="15"/>
      <c r="AW3192" s="15"/>
    </row>
    <row r="3193" spans="3:49" x14ac:dyDescent="0.2">
      <c r="C3193" s="15"/>
      <c r="D3193" s="15"/>
      <c r="E3193" s="15"/>
      <c r="F3193" s="15"/>
      <c r="G3193" s="15"/>
      <c r="H3193" s="15"/>
      <c r="I3193" s="15"/>
      <c r="J3193" s="15"/>
      <c r="K3193" s="15"/>
      <c r="L3193" s="28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  <c r="AA3193" s="15"/>
      <c r="AB3193" s="15"/>
      <c r="AC3193" s="15"/>
      <c r="AD3193" s="15"/>
      <c r="AE3193" s="15"/>
      <c r="AF3193" s="15"/>
      <c r="AG3193" s="15"/>
      <c r="AH3193" s="15"/>
      <c r="AI3193" s="15"/>
      <c r="AJ3193" s="15"/>
      <c r="AK3193" s="15"/>
      <c r="AL3193" s="15"/>
      <c r="AM3193" s="15"/>
      <c r="AN3193" s="15"/>
      <c r="AO3193" s="15"/>
      <c r="AP3193" s="15"/>
      <c r="AQ3193" s="15"/>
      <c r="AR3193" s="15"/>
      <c r="AS3193" s="15"/>
      <c r="AT3193" s="15"/>
      <c r="AU3193" s="15"/>
      <c r="AV3193" s="15"/>
      <c r="AW3193" s="15"/>
    </row>
    <row r="3194" spans="3:49" x14ac:dyDescent="0.2">
      <c r="C3194" s="15"/>
      <c r="D3194" s="15"/>
      <c r="E3194" s="15"/>
      <c r="F3194" s="15"/>
      <c r="G3194" s="15"/>
      <c r="H3194" s="15"/>
      <c r="I3194" s="15"/>
      <c r="J3194" s="15"/>
      <c r="K3194" s="15"/>
      <c r="L3194" s="28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  <c r="AA3194" s="15"/>
      <c r="AB3194" s="15"/>
      <c r="AC3194" s="15"/>
      <c r="AD3194" s="15"/>
      <c r="AE3194" s="15"/>
      <c r="AF3194" s="15"/>
      <c r="AG3194" s="15"/>
      <c r="AH3194" s="15"/>
      <c r="AI3194" s="15"/>
      <c r="AJ3194" s="15"/>
      <c r="AK3194" s="15"/>
      <c r="AL3194" s="15"/>
      <c r="AM3194" s="15"/>
      <c r="AN3194" s="15"/>
      <c r="AO3194" s="15"/>
      <c r="AP3194" s="15"/>
      <c r="AQ3194" s="15"/>
      <c r="AR3194" s="15"/>
      <c r="AS3194" s="15"/>
      <c r="AT3194" s="15"/>
      <c r="AU3194" s="15"/>
      <c r="AV3194" s="15"/>
      <c r="AW3194" s="15"/>
    </row>
    <row r="3195" spans="3:49" x14ac:dyDescent="0.2">
      <c r="C3195" s="15"/>
      <c r="D3195" s="15"/>
      <c r="E3195" s="15"/>
      <c r="F3195" s="15"/>
      <c r="G3195" s="15"/>
      <c r="H3195" s="15"/>
      <c r="I3195" s="15"/>
      <c r="J3195" s="15"/>
      <c r="K3195" s="15"/>
      <c r="L3195" s="28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  <c r="AA3195" s="15"/>
      <c r="AB3195" s="15"/>
      <c r="AC3195" s="15"/>
      <c r="AD3195" s="15"/>
      <c r="AE3195" s="15"/>
      <c r="AF3195" s="15"/>
      <c r="AG3195" s="15"/>
      <c r="AH3195" s="15"/>
      <c r="AI3195" s="15"/>
      <c r="AJ3195" s="15"/>
      <c r="AK3195" s="15"/>
      <c r="AL3195" s="15"/>
      <c r="AM3195" s="15"/>
      <c r="AN3195" s="15"/>
      <c r="AO3195" s="15"/>
      <c r="AP3195" s="15"/>
      <c r="AQ3195" s="15"/>
      <c r="AR3195" s="15"/>
      <c r="AS3195" s="15"/>
      <c r="AT3195" s="15"/>
      <c r="AU3195" s="15"/>
      <c r="AV3195" s="15"/>
      <c r="AW3195" s="15"/>
    </row>
    <row r="3196" spans="3:49" x14ac:dyDescent="0.2">
      <c r="C3196" s="15"/>
      <c r="D3196" s="15"/>
      <c r="E3196" s="15"/>
      <c r="F3196" s="15"/>
      <c r="G3196" s="15"/>
      <c r="H3196" s="15"/>
      <c r="I3196" s="15"/>
      <c r="J3196" s="15"/>
      <c r="K3196" s="15"/>
      <c r="L3196" s="28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  <c r="AA3196" s="15"/>
      <c r="AB3196" s="15"/>
      <c r="AC3196" s="15"/>
      <c r="AD3196" s="15"/>
      <c r="AE3196" s="15"/>
      <c r="AF3196" s="15"/>
      <c r="AG3196" s="15"/>
      <c r="AH3196" s="15"/>
      <c r="AI3196" s="15"/>
      <c r="AJ3196" s="15"/>
      <c r="AK3196" s="15"/>
      <c r="AL3196" s="15"/>
      <c r="AM3196" s="15"/>
      <c r="AN3196" s="15"/>
      <c r="AO3196" s="15"/>
      <c r="AP3196" s="15"/>
      <c r="AQ3196" s="15"/>
      <c r="AR3196" s="15"/>
      <c r="AS3196" s="15"/>
      <c r="AT3196" s="15"/>
      <c r="AU3196" s="15"/>
      <c r="AV3196" s="15"/>
      <c r="AW3196" s="15"/>
    </row>
    <row r="3197" spans="3:49" x14ac:dyDescent="0.2">
      <c r="C3197" s="15"/>
      <c r="D3197" s="15"/>
      <c r="E3197" s="15"/>
      <c r="F3197" s="15"/>
      <c r="G3197" s="15"/>
      <c r="H3197" s="15"/>
      <c r="I3197" s="15"/>
      <c r="J3197" s="15"/>
      <c r="K3197" s="15"/>
      <c r="L3197" s="28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  <c r="AA3197" s="15"/>
      <c r="AB3197" s="15"/>
      <c r="AC3197" s="15"/>
      <c r="AD3197" s="15"/>
      <c r="AE3197" s="15"/>
      <c r="AF3197" s="15"/>
      <c r="AG3197" s="15"/>
      <c r="AH3197" s="15"/>
      <c r="AI3197" s="15"/>
      <c r="AJ3197" s="15"/>
      <c r="AK3197" s="15"/>
      <c r="AL3197" s="15"/>
      <c r="AM3197" s="15"/>
      <c r="AN3197" s="15"/>
      <c r="AO3197" s="15"/>
      <c r="AP3197" s="15"/>
      <c r="AQ3197" s="15"/>
      <c r="AR3197" s="15"/>
      <c r="AS3197" s="15"/>
      <c r="AT3197" s="15"/>
      <c r="AU3197" s="15"/>
      <c r="AV3197" s="15"/>
      <c r="AW3197" s="15"/>
    </row>
    <row r="3198" spans="3:49" x14ac:dyDescent="0.2">
      <c r="C3198" s="15"/>
      <c r="D3198" s="15"/>
      <c r="E3198" s="15"/>
      <c r="F3198" s="15"/>
      <c r="G3198" s="15"/>
      <c r="H3198" s="15"/>
      <c r="I3198" s="15"/>
      <c r="J3198" s="15"/>
      <c r="K3198" s="15"/>
      <c r="L3198" s="28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  <c r="AA3198" s="15"/>
      <c r="AB3198" s="15"/>
      <c r="AC3198" s="15"/>
      <c r="AD3198" s="15"/>
      <c r="AE3198" s="15"/>
      <c r="AF3198" s="15"/>
      <c r="AG3198" s="15"/>
      <c r="AH3198" s="15"/>
      <c r="AI3198" s="15"/>
      <c r="AJ3198" s="15"/>
      <c r="AK3198" s="15"/>
      <c r="AL3198" s="15"/>
      <c r="AM3198" s="15"/>
      <c r="AN3198" s="15"/>
      <c r="AO3198" s="15"/>
      <c r="AP3198" s="15"/>
      <c r="AQ3198" s="15"/>
      <c r="AR3198" s="15"/>
      <c r="AS3198" s="15"/>
      <c r="AT3198" s="15"/>
      <c r="AU3198" s="15"/>
      <c r="AV3198" s="15"/>
      <c r="AW3198" s="15"/>
    </row>
    <row r="3199" spans="3:49" x14ac:dyDescent="0.2">
      <c r="C3199" s="15"/>
      <c r="D3199" s="15"/>
      <c r="E3199" s="15"/>
      <c r="F3199" s="15"/>
      <c r="G3199" s="15"/>
      <c r="H3199" s="15"/>
      <c r="I3199" s="15"/>
      <c r="J3199" s="15"/>
      <c r="K3199" s="15"/>
      <c r="L3199" s="28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  <c r="AA3199" s="15"/>
      <c r="AB3199" s="15"/>
      <c r="AC3199" s="15"/>
      <c r="AD3199" s="15"/>
      <c r="AE3199" s="15"/>
      <c r="AF3199" s="15"/>
      <c r="AG3199" s="15"/>
      <c r="AH3199" s="15"/>
      <c r="AI3199" s="15"/>
      <c r="AJ3199" s="15"/>
      <c r="AK3199" s="15"/>
      <c r="AL3199" s="15"/>
      <c r="AM3199" s="15"/>
      <c r="AN3199" s="15"/>
      <c r="AO3199" s="15"/>
      <c r="AP3199" s="15"/>
      <c r="AQ3199" s="15"/>
      <c r="AR3199" s="15"/>
      <c r="AS3199" s="15"/>
      <c r="AT3199" s="15"/>
      <c r="AU3199" s="15"/>
      <c r="AV3199" s="15"/>
      <c r="AW3199" s="15"/>
    </row>
    <row r="3200" spans="3:49" x14ac:dyDescent="0.2">
      <c r="C3200" s="15"/>
      <c r="D3200" s="15"/>
      <c r="E3200" s="15"/>
      <c r="F3200" s="15"/>
      <c r="G3200" s="15"/>
      <c r="H3200" s="15"/>
      <c r="I3200" s="15"/>
      <c r="J3200" s="15"/>
      <c r="K3200" s="15"/>
      <c r="L3200" s="28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  <c r="AA3200" s="15"/>
      <c r="AB3200" s="15"/>
      <c r="AC3200" s="15"/>
      <c r="AD3200" s="15"/>
      <c r="AE3200" s="15"/>
      <c r="AF3200" s="15"/>
      <c r="AG3200" s="15"/>
      <c r="AH3200" s="15"/>
      <c r="AI3200" s="15"/>
      <c r="AJ3200" s="15"/>
      <c r="AK3200" s="15"/>
      <c r="AL3200" s="15"/>
      <c r="AM3200" s="15"/>
      <c r="AN3200" s="15"/>
      <c r="AO3200" s="15"/>
      <c r="AP3200" s="15"/>
      <c r="AQ3200" s="15"/>
      <c r="AR3200" s="15"/>
      <c r="AS3200" s="15"/>
      <c r="AT3200" s="15"/>
      <c r="AU3200" s="15"/>
      <c r="AV3200" s="15"/>
      <c r="AW3200" s="15"/>
    </row>
    <row r="3201" spans="3:49" x14ac:dyDescent="0.2">
      <c r="C3201" s="15"/>
      <c r="D3201" s="15"/>
      <c r="E3201" s="15"/>
      <c r="F3201" s="15"/>
      <c r="G3201" s="15"/>
      <c r="H3201" s="15"/>
      <c r="I3201" s="15"/>
      <c r="J3201" s="15"/>
      <c r="K3201" s="15"/>
      <c r="L3201" s="28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  <c r="AA3201" s="15"/>
      <c r="AB3201" s="15"/>
      <c r="AC3201" s="15"/>
      <c r="AD3201" s="15"/>
      <c r="AE3201" s="15"/>
      <c r="AF3201" s="15"/>
      <c r="AG3201" s="15"/>
      <c r="AH3201" s="15"/>
      <c r="AI3201" s="15"/>
      <c r="AJ3201" s="15"/>
      <c r="AK3201" s="15"/>
      <c r="AL3201" s="15"/>
      <c r="AM3201" s="15"/>
      <c r="AN3201" s="15"/>
      <c r="AO3201" s="15"/>
      <c r="AP3201" s="15"/>
      <c r="AQ3201" s="15"/>
      <c r="AR3201" s="15"/>
      <c r="AS3201" s="15"/>
      <c r="AT3201" s="15"/>
      <c r="AU3201" s="15"/>
      <c r="AV3201" s="15"/>
      <c r="AW3201" s="15"/>
    </row>
    <row r="3202" spans="3:49" x14ac:dyDescent="0.2">
      <c r="C3202" s="15"/>
      <c r="D3202" s="15"/>
      <c r="E3202" s="15"/>
      <c r="F3202" s="15"/>
      <c r="G3202" s="15"/>
      <c r="H3202" s="15"/>
      <c r="I3202" s="15"/>
      <c r="J3202" s="15"/>
      <c r="K3202" s="15"/>
      <c r="L3202" s="28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  <c r="AA3202" s="15"/>
      <c r="AB3202" s="15"/>
      <c r="AC3202" s="15"/>
      <c r="AD3202" s="15"/>
      <c r="AE3202" s="15"/>
      <c r="AF3202" s="15"/>
      <c r="AG3202" s="15"/>
      <c r="AH3202" s="15"/>
      <c r="AI3202" s="15"/>
      <c r="AJ3202" s="15"/>
      <c r="AK3202" s="15"/>
      <c r="AL3202" s="15"/>
      <c r="AM3202" s="15"/>
      <c r="AN3202" s="15"/>
      <c r="AO3202" s="15"/>
      <c r="AP3202" s="15"/>
      <c r="AQ3202" s="15"/>
      <c r="AR3202" s="15"/>
      <c r="AS3202" s="15"/>
      <c r="AT3202" s="15"/>
      <c r="AU3202" s="15"/>
      <c r="AV3202" s="15"/>
      <c r="AW3202" s="15"/>
    </row>
    <row r="3203" spans="3:49" x14ac:dyDescent="0.2">
      <c r="C3203" s="15"/>
      <c r="D3203" s="15"/>
      <c r="E3203" s="15"/>
      <c r="F3203" s="15"/>
      <c r="G3203" s="15"/>
      <c r="H3203" s="15"/>
      <c r="I3203" s="15"/>
      <c r="J3203" s="15"/>
      <c r="K3203" s="15"/>
      <c r="L3203" s="28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  <c r="AA3203" s="15"/>
      <c r="AB3203" s="15"/>
      <c r="AC3203" s="15"/>
      <c r="AD3203" s="15"/>
      <c r="AE3203" s="15"/>
      <c r="AF3203" s="15"/>
      <c r="AG3203" s="15"/>
      <c r="AH3203" s="15"/>
      <c r="AI3203" s="15"/>
      <c r="AJ3203" s="15"/>
      <c r="AK3203" s="15"/>
      <c r="AL3203" s="15"/>
      <c r="AM3203" s="15"/>
      <c r="AN3203" s="15"/>
      <c r="AO3203" s="15"/>
      <c r="AP3203" s="15"/>
      <c r="AQ3203" s="15"/>
      <c r="AR3203" s="15"/>
      <c r="AS3203" s="15"/>
      <c r="AT3203" s="15"/>
      <c r="AU3203" s="15"/>
      <c r="AV3203" s="15"/>
      <c r="AW3203" s="15"/>
    </row>
    <row r="3204" spans="3:49" x14ac:dyDescent="0.2">
      <c r="C3204" s="15"/>
      <c r="D3204" s="15"/>
      <c r="E3204" s="15"/>
      <c r="F3204" s="15"/>
      <c r="G3204" s="15"/>
      <c r="H3204" s="15"/>
      <c r="I3204" s="15"/>
      <c r="J3204" s="15"/>
      <c r="K3204" s="15"/>
      <c r="L3204" s="28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  <c r="AA3204" s="15"/>
      <c r="AB3204" s="15"/>
      <c r="AC3204" s="15"/>
      <c r="AD3204" s="15"/>
      <c r="AE3204" s="15"/>
      <c r="AF3204" s="15"/>
      <c r="AG3204" s="15"/>
      <c r="AH3204" s="15"/>
      <c r="AI3204" s="15"/>
      <c r="AJ3204" s="15"/>
      <c r="AK3204" s="15"/>
      <c r="AL3204" s="15"/>
      <c r="AM3204" s="15"/>
      <c r="AN3204" s="15"/>
      <c r="AO3204" s="15"/>
      <c r="AP3204" s="15"/>
      <c r="AQ3204" s="15"/>
      <c r="AR3204" s="15"/>
      <c r="AS3204" s="15"/>
      <c r="AT3204" s="15"/>
      <c r="AU3204" s="15"/>
      <c r="AV3204" s="15"/>
      <c r="AW3204" s="15"/>
    </row>
    <row r="3205" spans="3:49" x14ac:dyDescent="0.2">
      <c r="C3205" s="15"/>
      <c r="D3205" s="15"/>
      <c r="E3205" s="15"/>
      <c r="F3205" s="15"/>
      <c r="G3205" s="15"/>
      <c r="H3205" s="15"/>
      <c r="I3205" s="15"/>
      <c r="J3205" s="15"/>
      <c r="K3205" s="15"/>
      <c r="L3205" s="28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  <c r="AA3205" s="15"/>
      <c r="AB3205" s="15"/>
      <c r="AC3205" s="15"/>
      <c r="AD3205" s="15"/>
      <c r="AE3205" s="15"/>
      <c r="AF3205" s="15"/>
      <c r="AG3205" s="15"/>
      <c r="AH3205" s="15"/>
      <c r="AI3205" s="15"/>
      <c r="AJ3205" s="15"/>
      <c r="AK3205" s="15"/>
      <c r="AL3205" s="15"/>
      <c r="AM3205" s="15"/>
      <c r="AN3205" s="15"/>
      <c r="AO3205" s="15"/>
      <c r="AP3205" s="15"/>
      <c r="AQ3205" s="15"/>
      <c r="AR3205" s="15"/>
      <c r="AS3205" s="15"/>
      <c r="AT3205" s="15"/>
      <c r="AU3205" s="15"/>
      <c r="AV3205" s="15"/>
      <c r="AW3205" s="15"/>
    </row>
    <row r="3206" spans="3:49" x14ac:dyDescent="0.2">
      <c r="C3206" s="15"/>
      <c r="D3206" s="15"/>
      <c r="E3206" s="15"/>
      <c r="F3206" s="15"/>
      <c r="G3206" s="15"/>
      <c r="H3206" s="15"/>
      <c r="I3206" s="15"/>
      <c r="J3206" s="15"/>
      <c r="K3206" s="15"/>
      <c r="L3206" s="28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  <c r="AA3206" s="15"/>
      <c r="AB3206" s="15"/>
      <c r="AC3206" s="15"/>
      <c r="AD3206" s="15"/>
      <c r="AE3206" s="15"/>
      <c r="AF3206" s="15"/>
      <c r="AG3206" s="15"/>
      <c r="AH3206" s="15"/>
      <c r="AI3206" s="15"/>
      <c r="AJ3206" s="15"/>
      <c r="AK3206" s="15"/>
      <c r="AL3206" s="15"/>
      <c r="AM3206" s="15"/>
      <c r="AN3206" s="15"/>
      <c r="AO3206" s="15"/>
      <c r="AP3206" s="15"/>
      <c r="AQ3206" s="15"/>
      <c r="AR3206" s="15"/>
      <c r="AS3206" s="15"/>
      <c r="AT3206" s="15"/>
      <c r="AU3206" s="15"/>
      <c r="AV3206" s="15"/>
      <c r="AW3206" s="15"/>
    </row>
    <row r="3207" spans="3:49" x14ac:dyDescent="0.2">
      <c r="C3207" s="15"/>
      <c r="D3207" s="15"/>
      <c r="E3207" s="15"/>
      <c r="F3207" s="15"/>
      <c r="G3207" s="15"/>
      <c r="H3207" s="15"/>
      <c r="I3207" s="15"/>
      <c r="J3207" s="15"/>
      <c r="K3207" s="15"/>
      <c r="L3207" s="28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  <c r="AA3207" s="15"/>
      <c r="AB3207" s="15"/>
      <c r="AC3207" s="15"/>
      <c r="AD3207" s="15"/>
      <c r="AE3207" s="15"/>
      <c r="AF3207" s="15"/>
      <c r="AG3207" s="15"/>
      <c r="AH3207" s="15"/>
      <c r="AI3207" s="15"/>
      <c r="AJ3207" s="15"/>
      <c r="AK3207" s="15"/>
      <c r="AL3207" s="15"/>
      <c r="AM3207" s="15"/>
      <c r="AN3207" s="15"/>
      <c r="AO3207" s="15"/>
      <c r="AP3207" s="15"/>
      <c r="AQ3207" s="15"/>
      <c r="AR3207" s="15"/>
      <c r="AS3207" s="15"/>
      <c r="AT3207" s="15"/>
      <c r="AU3207" s="15"/>
      <c r="AV3207" s="15"/>
      <c r="AW3207" s="15"/>
    </row>
    <row r="3208" spans="3:49" x14ac:dyDescent="0.2">
      <c r="C3208" s="15"/>
      <c r="D3208" s="15"/>
      <c r="E3208" s="15"/>
      <c r="F3208" s="15"/>
      <c r="G3208" s="15"/>
      <c r="H3208" s="15"/>
      <c r="I3208" s="15"/>
      <c r="J3208" s="15"/>
      <c r="K3208" s="15"/>
      <c r="L3208" s="28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  <c r="AA3208" s="15"/>
      <c r="AB3208" s="15"/>
      <c r="AC3208" s="15"/>
      <c r="AD3208" s="15"/>
      <c r="AE3208" s="15"/>
      <c r="AF3208" s="15"/>
      <c r="AG3208" s="15"/>
      <c r="AH3208" s="15"/>
      <c r="AI3208" s="15"/>
      <c r="AJ3208" s="15"/>
      <c r="AK3208" s="15"/>
      <c r="AL3208" s="15"/>
      <c r="AM3208" s="15"/>
      <c r="AN3208" s="15"/>
      <c r="AO3208" s="15"/>
      <c r="AP3208" s="15"/>
      <c r="AQ3208" s="15"/>
      <c r="AR3208" s="15"/>
      <c r="AS3208" s="15"/>
      <c r="AT3208" s="15"/>
      <c r="AU3208" s="15"/>
      <c r="AV3208" s="15"/>
      <c r="AW3208" s="15"/>
    </row>
    <row r="3209" spans="3:49" x14ac:dyDescent="0.2">
      <c r="C3209" s="15"/>
      <c r="D3209" s="15"/>
      <c r="E3209" s="15"/>
      <c r="F3209" s="15"/>
      <c r="G3209" s="15"/>
      <c r="H3209" s="15"/>
      <c r="I3209" s="15"/>
      <c r="J3209" s="15"/>
      <c r="K3209" s="15"/>
      <c r="L3209" s="28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  <c r="AA3209" s="15"/>
      <c r="AB3209" s="15"/>
      <c r="AC3209" s="15"/>
      <c r="AD3209" s="15"/>
      <c r="AE3209" s="15"/>
      <c r="AF3209" s="15"/>
      <c r="AG3209" s="15"/>
      <c r="AH3209" s="15"/>
      <c r="AI3209" s="15"/>
      <c r="AJ3209" s="15"/>
      <c r="AK3209" s="15"/>
      <c r="AL3209" s="15"/>
      <c r="AM3209" s="15"/>
      <c r="AN3209" s="15"/>
      <c r="AO3209" s="15"/>
      <c r="AP3209" s="15"/>
      <c r="AQ3209" s="15"/>
      <c r="AR3209" s="15"/>
      <c r="AS3209" s="15"/>
      <c r="AT3209" s="15"/>
      <c r="AU3209" s="15"/>
      <c r="AV3209" s="15"/>
      <c r="AW3209" s="15"/>
    </row>
    <row r="3210" spans="3:49" x14ac:dyDescent="0.2">
      <c r="C3210" s="15"/>
      <c r="D3210" s="15"/>
      <c r="E3210" s="15"/>
      <c r="F3210" s="15"/>
      <c r="G3210" s="15"/>
      <c r="H3210" s="15"/>
      <c r="I3210" s="15"/>
      <c r="J3210" s="15"/>
      <c r="K3210" s="15"/>
      <c r="L3210" s="28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  <c r="AA3210" s="15"/>
      <c r="AB3210" s="15"/>
      <c r="AC3210" s="15"/>
      <c r="AD3210" s="15"/>
      <c r="AE3210" s="15"/>
      <c r="AF3210" s="15"/>
      <c r="AG3210" s="15"/>
      <c r="AH3210" s="15"/>
      <c r="AI3210" s="15"/>
      <c r="AJ3210" s="15"/>
      <c r="AK3210" s="15"/>
      <c r="AL3210" s="15"/>
      <c r="AM3210" s="15"/>
      <c r="AN3210" s="15"/>
      <c r="AO3210" s="15"/>
      <c r="AP3210" s="15"/>
      <c r="AQ3210" s="15"/>
      <c r="AR3210" s="15"/>
      <c r="AS3210" s="15"/>
      <c r="AT3210" s="15"/>
      <c r="AU3210" s="15"/>
      <c r="AV3210" s="15"/>
      <c r="AW3210" s="15"/>
    </row>
    <row r="3211" spans="3:49" x14ac:dyDescent="0.2">
      <c r="C3211" s="15"/>
      <c r="D3211" s="15"/>
      <c r="E3211" s="15"/>
      <c r="F3211" s="15"/>
      <c r="G3211" s="15"/>
      <c r="H3211" s="15"/>
      <c r="I3211" s="15"/>
      <c r="J3211" s="15"/>
      <c r="K3211" s="15"/>
      <c r="L3211" s="28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  <c r="AA3211" s="15"/>
      <c r="AB3211" s="15"/>
      <c r="AC3211" s="15"/>
      <c r="AD3211" s="15"/>
      <c r="AE3211" s="15"/>
      <c r="AF3211" s="15"/>
      <c r="AG3211" s="15"/>
      <c r="AH3211" s="15"/>
      <c r="AI3211" s="15"/>
      <c r="AJ3211" s="15"/>
      <c r="AK3211" s="15"/>
      <c r="AL3211" s="15"/>
      <c r="AM3211" s="15"/>
      <c r="AN3211" s="15"/>
      <c r="AO3211" s="15"/>
      <c r="AP3211" s="15"/>
      <c r="AQ3211" s="15"/>
      <c r="AR3211" s="15"/>
      <c r="AS3211" s="15"/>
      <c r="AT3211" s="15"/>
      <c r="AU3211" s="15"/>
      <c r="AV3211" s="15"/>
      <c r="AW3211" s="15"/>
    </row>
    <row r="3212" spans="3:49" x14ac:dyDescent="0.2">
      <c r="C3212" s="15"/>
      <c r="D3212" s="15"/>
      <c r="E3212" s="15"/>
      <c r="F3212" s="15"/>
      <c r="G3212" s="15"/>
      <c r="H3212" s="15"/>
      <c r="I3212" s="15"/>
      <c r="J3212" s="15"/>
      <c r="K3212" s="15"/>
      <c r="L3212" s="28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  <c r="AA3212" s="15"/>
      <c r="AB3212" s="15"/>
      <c r="AC3212" s="15"/>
      <c r="AD3212" s="15"/>
      <c r="AE3212" s="15"/>
      <c r="AF3212" s="15"/>
      <c r="AG3212" s="15"/>
      <c r="AH3212" s="15"/>
      <c r="AI3212" s="15"/>
      <c r="AJ3212" s="15"/>
      <c r="AK3212" s="15"/>
      <c r="AL3212" s="15"/>
      <c r="AM3212" s="15"/>
      <c r="AN3212" s="15"/>
      <c r="AO3212" s="15"/>
      <c r="AP3212" s="15"/>
      <c r="AQ3212" s="15"/>
      <c r="AR3212" s="15"/>
      <c r="AS3212" s="15"/>
      <c r="AT3212" s="15"/>
      <c r="AU3212" s="15"/>
      <c r="AV3212" s="15"/>
      <c r="AW3212" s="15"/>
    </row>
    <row r="3213" spans="3:49" x14ac:dyDescent="0.2">
      <c r="C3213" s="15"/>
      <c r="D3213" s="15"/>
      <c r="E3213" s="15"/>
      <c r="F3213" s="15"/>
      <c r="G3213" s="15"/>
      <c r="H3213" s="15"/>
      <c r="I3213" s="15"/>
      <c r="J3213" s="15"/>
      <c r="K3213" s="15"/>
      <c r="L3213" s="28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  <c r="AA3213" s="15"/>
      <c r="AB3213" s="15"/>
      <c r="AC3213" s="15"/>
      <c r="AD3213" s="15"/>
      <c r="AE3213" s="15"/>
      <c r="AF3213" s="15"/>
      <c r="AG3213" s="15"/>
      <c r="AH3213" s="15"/>
      <c r="AI3213" s="15"/>
      <c r="AJ3213" s="15"/>
      <c r="AK3213" s="15"/>
      <c r="AL3213" s="15"/>
      <c r="AM3213" s="15"/>
      <c r="AN3213" s="15"/>
      <c r="AO3213" s="15"/>
      <c r="AP3213" s="15"/>
      <c r="AQ3213" s="15"/>
      <c r="AR3213" s="15"/>
      <c r="AS3213" s="15"/>
      <c r="AT3213" s="15"/>
      <c r="AU3213" s="15"/>
      <c r="AV3213" s="15"/>
      <c r="AW3213" s="15"/>
    </row>
    <row r="3214" spans="3:49" x14ac:dyDescent="0.2">
      <c r="C3214" s="15"/>
      <c r="D3214" s="15"/>
      <c r="E3214" s="15"/>
      <c r="F3214" s="15"/>
      <c r="G3214" s="15"/>
      <c r="H3214" s="15"/>
      <c r="I3214" s="15"/>
      <c r="J3214" s="15"/>
      <c r="K3214" s="15"/>
      <c r="L3214" s="28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  <c r="AA3214" s="15"/>
      <c r="AB3214" s="15"/>
      <c r="AC3214" s="15"/>
      <c r="AD3214" s="15"/>
      <c r="AE3214" s="15"/>
      <c r="AF3214" s="15"/>
      <c r="AG3214" s="15"/>
      <c r="AH3214" s="15"/>
      <c r="AI3214" s="15"/>
      <c r="AJ3214" s="15"/>
      <c r="AK3214" s="15"/>
      <c r="AL3214" s="15"/>
      <c r="AM3214" s="15"/>
      <c r="AN3214" s="15"/>
      <c r="AO3214" s="15"/>
      <c r="AP3214" s="15"/>
      <c r="AQ3214" s="15"/>
      <c r="AR3214" s="15"/>
      <c r="AS3214" s="15"/>
      <c r="AT3214" s="15"/>
      <c r="AU3214" s="15"/>
      <c r="AV3214" s="15"/>
      <c r="AW3214" s="15"/>
    </row>
    <row r="3215" spans="3:49" x14ac:dyDescent="0.2">
      <c r="C3215" s="15"/>
      <c r="D3215" s="15"/>
      <c r="E3215" s="15"/>
      <c r="F3215" s="15"/>
      <c r="G3215" s="15"/>
      <c r="H3215" s="15"/>
      <c r="I3215" s="15"/>
      <c r="J3215" s="15"/>
      <c r="K3215" s="15"/>
      <c r="L3215" s="28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  <c r="AA3215" s="15"/>
      <c r="AB3215" s="15"/>
      <c r="AC3215" s="15"/>
      <c r="AD3215" s="15"/>
      <c r="AE3215" s="15"/>
      <c r="AF3215" s="15"/>
      <c r="AG3215" s="15"/>
      <c r="AH3215" s="15"/>
      <c r="AI3215" s="15"/>
      <c r="AJ3215" s="15"/>
      <c r="AK3215" s="15"/>
      <c r="AL3215" s="15"/>
      <c r="AM3215" s="15"/>
      <c r="AN3215" s="15"/>
      <c r="AO3215" s="15"/>
      <c r="AP3215" s="15"/>
      <c r="AQ3215" s="15"/>
      <c r="AR3215" s="15"/>
      <c r="AS3215" s="15"/>
      <c r="AT3215" s="15"/>
      <c r="AU3215" s="15"/>
      <c r="AV3215" s="15"/>
      <c r="AW3215" s="15"/>
    </row>
    <row r="3216" spans="3:49" x14ac:dyDescent="0.2">
      <c r="C3216" s="15"/>
      <c r="D3216" s="15"/>
      <c r="E3216" s="15"/>
      <c r="F3216" s="15"/>
      <c r="G3216" s="15"/>
      <c r="H3216" s="15"/>
      <c r="I3216" s="15"/>
      <c r="J3216" s="15"/>
      <c r="K3216" s="15"/>
      <c r="L3216" s="28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  <c r="AA3216" s="15"/>
      <c r="AB3216" s="15"/>
      <c r="AC3216" s="15"/>
      <c r="AD3216" s="15"/>
      <c r="AE3216" s="15"/>
      <c r="AF3216" s="15"/>
      <c r="AG3216" s="15"/>
      <c r="AH3216" s="15"/>
      <c r="AI3216" s="15"/>
      <c r="AJ3216" s="15"/>
      <c r="AK3216" s="15"/>
      <c r="AL3216" s="15"/>
      <c r="AM3216" s="15"/>
      <c r="AN3216" s="15"/>
      <c r="AO3216" s="15"/>
      <c r="AP3216" s="15"/>
      <c r="AQ3216" s="15"/>
      <c r="AR3216" s="15"/>
      <c r="AS3216" s="15"/>
      <c r="AT3216" s="15"/>
      <c r="AU3216" s="15"/>
      <c r="AV3216" s="15"/>
      <c r="AW3216" s="15"/>
    </row>
    <row r="3217" spans="3:49" x14ac:dyDescent="0.2">
      <c r="C3217" s="15"/>
      <c r="D3217" s="15"/>
      <c r="E3217" s="15"/>
      <c r="F3217" s="15"/>
      <c r="G3217" s="15"/>
      <c r="H3217" s="15"/>
      <c r="I3217" s="15"/>
      <c r="J3217" s="15"/>
      <c r="K3217" s="15"/>
      <c r="L3217" s="28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  <c r="AA3217" s="15"/>
      <c r="AB3217" s="15"/>
      <c r="AC3217" s="15"/>
      <c r="AD3217" s="15"/>
      <c r="AE3217" s="15"/>
      <c r="AF3217" s="15"/>
      <c r="AG3217" s="15"/>
      <c r="AH3217" s="15"/>
      <c r="AI3217" s="15"/>
      <c r="AJ3217" s="15"/>
      <c r="AK3217" s="15"/>
      <c r="AL3217" s="15"/>
      <c r="AM3217" s="15"/>
      <c r="AN3217" s="15"/>
      <c r="AO3217" s="15"/>
      <c r="AP3217" s="15"/>
      <c r="AQ3217" s="15"/>
      <c r="AR3217" s="15"/>
      <c r="AS3217" s="15"/>
      <c r="AT3217" s="15"/>
      <c r="AU3217" s="15"/>
      <c r="AV3217" s="15"/>
      <c r="AW3217" s="15"/>
    </row>
    <row r="3218" spans="3:49" x14ac:dyDescent="0.2">
      <c r="C3218" s="15"/>
      <c r="D3218" s="15"/>
      <c r="E3218" s="15"/>
      <c r="F3218" s="15"/>
      <c r="G3218" s="15"/>
      <c r="H3218" s="15"/>
      <c r="I3218" s="15"/>
      <c r="J3218" s="15"/>
      <c r="K3218" s="15"/>
      <c r="L3218" s="28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  <c r="AA3218" s="15"/>
      <c r="AB3218" s="15"/>
      <c r="AC3218" s="15"/>
      <c r="AD3218" s="15"/>
      <c r="AE3218" s="15"/>
      <c r="AF3218" s="15"/>
      <c r="AG3218" s="15"/>
      <c r="AH3218" s="15"/>
      <c r="AI3218" s="15"/>
      <c r="AJ3218" s="15"/>
      <c r="AK3218" s="15"/>
      <c r="AL3218" s="15"/>
      <c r="AM3218" s="15"/>
      <c r="AN3218" s="15"/>
      <c r="AO3218" s="15"/>
      <c r="AP3218" s="15"/>
      <c r="AQ3218" s="15"/>
      <c r="AR3218" s="15"/>
      <c r="AS3218" s="15"/>
      <c r="AT3218" s="15"/>
      <c r="AU3218" s="15"/>
      <c r="AV3218" s="15"/>
      <c r="AW3218" s="15"/>
    </row>
    <row r="3219" spans="3:49" x14ac:dyDescent="0.2">
      <c r="C3219" s="15"/>
      <c r="D3219" s="15"/>
      <c r="E3219" s="15"/>
      <c r="F3219" s="15"/>
      <c r="G3219" s="15"/>
      <c r="H3219" s="15"/>
      <c r="I3219" s="15"/>
      <c r="J3219" s="15"/>
      <c r="K3219" s="15"/>
      <c r="L3219" s="28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  <c r="AA3219" s="15"/>
      <c r="AB3219" s="15"/>
      <c r="AC3219" s="15"/>
      <c r="AD3219" s="15"/>
      <c r="AE3219" s="15"/>
      <c r="AF3219" s="15"/>
      <c r="AG3219" s="15"/>
      <c r="AH3219" s="15"/>
      <c r="AI3219" s="15"/>
      <c r="AJ3219" s="15"/>
      <c r="AK3219" s="15"/>
      <c r="AL3219" s="15"/>
      <c r="AM3219" s="15"/>
      <c r="AN3219" s="15"/>
      <c r="AO3219" s="15"/>
      <c r="AP3219" s="15"/>
      <c r="AQ3219" s="15"/>
      <c r="AR3219" s="15"/>
      <c r="AS3219" s="15"/>
      <c r="AT3219" s="15"/>
      <c r="AU3219" s="15"/>
      <c r="AV3219" s="15"/>
      <c r="AW3219" s="15"/>
    </row>
    <row r="3220" spans="3:49" x14ac:dyDescent="0.2">
      <c r="C3220" s="15"/>
      <c r="D3220" s="15"/>
      <c r="E3220" s="15"/>
      <c r="F3220" s="15"/>
      <c r="G3220" s="15"/>
      <c r="H3220" s="15"/>
      <c r="I3220" s="15"/>
      <c r="J3220" s="15"/>
      <c r="K3220" s="15"/>
      <c r="L3220" s="28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  <c r="AA3220" s="15"/>
      <c r="AB3220" s="15"/>
      <c r="AC3220" s="15"/>
      <c r="AD3220" s="15"/>
      <c r="AE3220" s="15"/>
      <c r="AF3220" s="15"/>
      <c r="AG3220" s="15"/>
      <c r="AH3220" s="15"/>
      <c r="AI3220" s="15"/>
      <c r="AJ3220" s="15"/>
      <c r="AK3220" s="15"/>
      <c r="AL3220" s="15"/>
      <c r="AM3220" s="15"/>
      <c r="AN3220" s="15"/>
      <c r="AO3220" s="15"/>
      <c r="AP3220" s="15"/>
      <c r="AQ3220" s="15"/>
      <c r="AR3220" s="15"/>
      <c r="AS3220" s="15"/>
      <c r="AT3220" s="15"/>
      <c r="AU3220" s="15"/>
      <c r="AV3220" s="15"/>
      <c r="AW3220" s="15"/>
    </row>
    <row r="3221" spans="3:49" x14ac:dyDescent="0.2">
      <c r="C3221" s="15"/>
      <c r="D3221" s="15"/>
      <c r="E3221" s="15"/>
      <c r="F3221" s="15"/>
      <c r="G3221" s="15"/>
      <c r="H3221" s="15"/>
      <c r="I3221" s="15"/>
      <c r="J3221" s="15"/>
      <c r="K3221" s="15"/>
      <c r="L3221" s="28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  <c r="AA3221" s="15"/>
      <c r="AB3221" s="15"/>
      <c r="AC3221" s="15"/>
      <c r="AD3221" s="15"/>
      <c r="AE3221" s="15"/>
      <c r="AF3221" s="15"/>
      <c r="AG3221" s="15"/>
      <c r="AH3221" s="15"/>
      <c r="AI3221" s="15"/>
      <c r="AJ3221" s="15"/>
      <c r="AK3221" s="15"/>
      <c r="AL3221" s="15"/>
      <c r="AM3221" s="15"/>
      <c r="AN3221" s="15"/>
      <c r="AO3221" s="15"/>
      <c r="AP3221" s="15"/>
      <c r="AQ3221" s="15"/>
      <c r="AR3221" s="15"/>
      <c r="AS3221" s="15"/>
      <c r="AT3221" s="15"/>
      <c r="AU3221" s="15"/>
      <c r="AV3221" s="15"/>
      <c r="AW3221" s="15"/>
    </row>
    <row r="3222" spans="3:49" x14ac:dyDescent="0.2">
      <c r="C3222" s="15"/>
      <c r="D3222" s="15"/>
      <c r="E3222" s="15"/>
      <c r="F3222" s="15"/>
      <c r="G3222" s="15"/>
      <c r="H3222" s="15"/>
      <c r="I3222" s="15"/>
      <c r="J3222" s="15"/>
      <c r="K3222" s="15"/>
      <c r="L3222" s="28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  <c r="AA3222" s="15"/>
      <c r="AB3222" s="15"/>
      <c r="AC3222" s="15"/>
      <c r="AD3222" s="15"/>
      <c r="AE3222" s="15"/>
      <c r="AF3222" s="15"/>
      <c r="AG3222" s="15"/>
      <c r="AH3222" s="15"/>
      <c r="AI3222" s="15"/>
      <c r="AJ3222" s="15"/>
      <c r="AK3222" s="15"/>
      <c r="AL3222" s="15"/>
      <c r="AM3222" s="15"/>
      <c r="AN3222" s="15"/>
      <c r="AO3222" s="15"/>
      <c r="AP3222" s="15"/>
      <c r="AQ3222" s="15"/>
      <c r="AR3222" s="15"/>
      <c r="AS3222" s="15"/>
      <c r="AT3222" s="15"/>
      <c r="AU3222" s="15"/>
      <c r="AV3222" s="15"/>
      <c r="AW3222" s="15"/>
    </row>
    <row r="3223" spans="3:49" x14ac:dyDescent="0.2">
      <c r="C3223" s="15"/>
      <c r="D3223" s="15"/>
      <c r="E3223" s="15"/>
      <c r="F3223" s="15"/>
      <c r="G3223" s="15"/>
      <c r="H3223" s="15"/>
      <c r="I3223" s="15"/>
      <c r="J3223" s="15"/>
      <c r="K3223" s="15"/>
      <c r="L3223" s="28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  <c r="AA3223" s="15"/>
      <c r="AB3223" s="15"/>
      <c r="AC3223" s="15"/>
      <c r="AD3223" s="15"/>
      <c r="AE3223" s="15"/>
      <c r="AF3223" s="15"/>
      <c r="AG3223" s="15"/>
      <c r="AH3223" s="15"/>
      <c r="AI3223" s="15"/>
      <c r="AJ3223" s="15"/>
      <c r="AK3223" s="15"/>
      <c r="AL3223" s="15"/>
      <c r="AM3223" s="15"/>
      <c r="AN3223" s="15"/>
      <c r="AO3223" s="15"/>
      <c r="AP3223" s="15"/>
      <c r="AQ3223" s="15"/>
      <c r="AR3223" s="15"/>
      <c r="AS3223" s="15"/>
      <c r="AT3223" s="15"/>
      <c r="AU3223" s="15"/>
      <c r="AV3223" s="15"/>
      <c r="AW3223" s="15"/>
    </row>
    <row r="3224" spans="3:49" x14ac:dyDescent="0.2">
      <c r="C3224" s="15"/>
      <c r="D3224" s="15"/>
      <c r="E3224" s="15"/>
      <c r="F3224" s="15"/>
      <c r="G3224" s="15"/>
      <c r="H3224" s="15"/>
      <c r="I3224" s="15"/>
      <c r="J3224" s="15"/>
      <c r="K3224" s="15"/>
      <c r="L3224" s="28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  <c r="AA3224" s="15"/>
      <c r="AB3224" s="15"/>
      <c r="AC3224" s="15"/>
      <c r="AD3224" s="15"/>
      <c r="AE3224" s="15"/>
      <c r="AF3224" s="15"/>
      <c r="AG3224" s="15"/>
      <c r="AH3224" s="15"/>
      <c r="AI3224" s="15"/>
      <c r="AJ3224" s="15"/>
      <c r="AK3224" s="15"/>
      <c r="AL3224" s="15"/>
      <c r="AM3224" s="15"/>
      <c r="AN3224" s="15"/>
      <c r="AO3224" s="15"/>
      <c r="AP3224" s="15"/>
      <c r="AQ3224" s="15"/>
      <c r="AR3224" s="15"/>
      <c r="AS3224" s="15"/>
      <c r="AT3224" s="15"/>
      <c r="AU3224" s="15"/>
      <c r="AV3224" s="15"/>
      <c r="AW3224" s="15"/>
    </row>
    <row r="3225" spans="3:49" x14ac:dyDescent="0.2">
      <c r="C3225" s="15"/>
      <c r="D3225" s="15"/>
      <c r="E3225" s="15"/>
      <c r="F3225" s="15"/>
      <c r="G3225" s="15"/>
      <c r="H3225" s="15"/>
      <c r="I3225" s="15"/>
      <c r="J3225" s="15"/>
      <c r="K3225" s="15"/>
      <c r="L3225" s="28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  <c r="AA3225" s="15"/>
      <c r="AB3225" s="15"/>
      <c r="AC3225" s="15"/>
      <c r="AD3225" s="15"/>
      <c r="AE3225" s="15"/>
      <c r="AF3225" s="15"/>
      <c r="AG3225" s="15"/>
      <c r="AH3225" s="15"/>
      <c r="AI3225" s="15"/>
      <c r="AJ3225" s="15"/>
      <c r="AK3225" s="15"/>
      <c r="AL3225" s="15"/>
      <c r="AM3225" s="15"/>
      <c r="AN3225" s="15"/>
      <c r="AO3225" s="15"/>
      <c r="AP3225" s="15"/>
      <c r="AQ3225" s="15"/>
      <c r="AR3225" s="15"/>
      <c r="AS3225" s="15"/>
      <c r="AT3225" s="15"/>
      <c r="AU3225" s="15"/>
      <c r="AV3225" s="15"/>
      <c r="AW3225" s="15"/>
    </row>
    <row r="3226" spans="3:49" x14ac:dyDescent="0.2">
      <c r="C3226" s="15"/>
      <c r="D3226" s="15"/>
      <c r="E3226" s="15"/>
      <c r="F3226" s="15"/>
      <c r="G3226" s="15"/>
      <c r="H3226" s="15"/>
      <c r="I3226" s="15"/>
      <c r="J3226" s="15"/>
      <c r="K3226" s="15"/>
      <c r="L3226" s="28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  <c r="AA3226" s="15"/>
      <c r="AB3226" s="15"/>
      <c r="AC3226" s="15"/>
      <c r="AD3226" s="15"/>
      <c r="AE3226" s="15"/>
      <c r="AF3226" s="15"/>
      <c r="AG3226" s="15"/>
      <c r="AH3226" s="15"/>
      <c r="AI3226" s="15"/>
      <c r="AJ3226" s="15"/>
      <c r="AK3226" s="15"/>
      <c r="AL3226" s="15"/>
      <c r="AM3226" s="15"/>
      <c r="AN3226" s="15"/>
      <c r="AO3226" s="15"/>
      <c r="AP3226" s="15"/>
      <c r="AQ3226" s="15"/>
      <c r="AR3226" s="15"/>
      <c r="AS3226" s="15"/>
      <c r="AT3226" s="15"/>
      <c r="AU3226" s="15"/>
      <c r="AV3226" s="15"/>
      <c r="AW3226" s="15"/>
    </row>
    <row r="3227" spans="3:49" x14ac:dyDescent="0.2">
      <c r="C3227" s="15"/>
      <c r="D3227" s="15"/>
      <c r="E3227" s="15"/>
      <c r="F3227" s="15"/>
      <c r="G3227" s="15"/>
      <c r="H3227" s="15"/>
      <c r="I3227" s="15"/>
      <c r="J3227" s="15"/>
      <c r="K3227" s="15"/>
      <c r="L3227" s="28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  <c r="AA3227" s="15"/>
      <c r="AB3227" s="15"/>
      <c r="AC3227" s="15"/>
      <c r="AD3227" s="15"/>
      <c r="AE3227" s="15"/>
      <c r="AF3227" s="15"/>
      <c r="AG3227" s="15"/>
      <c r="AH3227" s="15"/>
      <c r="AI3227" s="15"/>
      <c r="AJ3227" s="15"/>
      <c r="AK3227" s="15"/>
      <c r="AL3227" s="15"/>
      <c r="AM3227" s="15"/>
      <c r="AN3227" s="15"/>
      <c r="AO3227" s="15"/>
      <c r="AP3227" s="15"/>
      <c r="AQ3227" s="15"/>
      <c r="AR3227" s="15"/>
      <c r="AS3227" s="15"/>
      <c r="AT3227" s="15"/>
      <c r="AU3227" s="15"/>
      <c r="AV3227" s="15"/>
      <c r="AW3227" s="15"/>
    </row>
    <row r="3228" spans="3:49" x14ac:dyDescent="0.2">
      <c r="C3228" s="15"/>
      <c r="D3228" s="15"/>
      <c r="E3228" s="15"/>
      <c r="F3228" s="15"/>
      <c r="G3228" s="15"/>
      <c r="H3228" s="15"/>
      <c r="I3228" s="15"/>
      <c r="J3228" s="15"/>
      <c r="K3228" s="15"/>
      <c r="L3228" s="28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  <c r="AA3228" s="15"/>
      <c r="AB3228" s="15"/>
      <c r="AC3228" s="15"/>
      <c r="AD3228" s="15"/>
      <c r="AE3228" s="15"/>
      <c r="AF3228" s="15"/>
      <c r="AG3228" s="15"/>
      <c r="AH3228" s="15"/>
      <c r="AI3228" s="15"/>
      <c r="AJ3228" s="15"/>
      <c r="AK3228" s="15"/>
      <c r="AL3228" s="15"/>
      <c r="AM3228" s="15"/>
      <c r="AN3228" s="15"/>
      <c r="AO3228" s="15"/>
      <c r="AP3228" s="15"/>
      <c r="AQ3228" s="15"/>
      <c r="AR3228" s="15"/>
      <c r="AS3228" s="15"/>
      <c r="AT3228" s="15"/>
      <c r="AU3228" s="15"/>
      <c r="AV3228" s="15"/>
      <c r="AW3228" s="15"/>
    </row>
    <row r="3229" spans="3:49" x14ac:dyDescent="0.2">
      <c r="C3229" s="15"/>
      <c r="D3229" s="15"/>
      <c r="E3229" s="15"/>
      <c r="F3229" s="15"/>
      <c r="G3229" s="15"/>
      <c r="H3229" s="15"/>
      <c r="I3229" s="15"/>
      <c r="J3229" s="15"/>
      <c r="K3229" s="15"/>
      <c r="L3229" s="28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  <c r="AA3229" s="15"/>
      <c r="AB3229" s="15"/>
      <c r="AC3229" s="15"/>
      <c r="AD3229" s="15"/>
      <c r="AE3229" s="15"/>
      <c r="AF3229" s="15"/>
      <c r="AG3229" s="15"/>
      <c r="AH3229" s="15"/>
      <c r="AI3229" s="15"/>
      <c r="AJ3229" s="15"/>
      <c r="AK3229" s="15"/>
      <c r="AL3229" s="15"/>
      <c r="AM3229" s="15"/>
      <c r="AN3229" s="15"/>
      <c r="AO3229" s="15"/>
      <c r="AP3229" s="15"/>
      <c r="AQ3229" s="15"/>
      <c r="AR3229" s="15"/>
      <c r="AS3229" s="15"/>
      <c r="AT3229" s="15"/>
      <c r="AU3229" s="15"/>
      <c r="AV3229" s="15"/>
      <c r="AW3229" s="15"/>
    </row>
    <row r="3230" spans="3:49" x14ac:dyDescent="0.2">
      <c r="C3230" s="15"/>
      <c r="D3230" s="15"/>
      <c r="E3230" s="15"/>
      <c r="F3230" s="15"/>
      <c r="G3230" s="15"/>
      <c r="H3230" s="15"/>
      <c r="I3230" s="15"/>
      <c r="J3230" s="15"/>
      <c r="K3230" s="15"/>
      <c r="L3230" s="28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  <c r="AA3230" s="15"/>
      <c r="AB3230" s="15"/>
      <c r="AC3230" s="15"/>
      <c r="AD3230" s="15"/>
      <c r="AE3230" s="15"/>
      <c r="AF3230" s="15"/>
      <c r="AG3230" s="15"/>
      <c r="AH3230" s="15"/>
      <c r="AI3230" s="15"/>
      <c r="AJ3230" s="15"/>
      <c r="AK3230" s="15"/>
      <c r="AL3230" s="15"/>
      <c r="AM3230" s="15"/>
      <c r="AN3230" s="15"/>
      <c r="AO3230" s="15"/>
      <c r="AP3230" s="15"/>
      <c r="AQ3230" s="15"/>
      <c r="AR3230" s="15"/>
      <c r="AS3230" s="15"/>
      <c r="AT3230" s="15"/>
      <c r="AU3230" s="15"/>
      <c r="AV3230" s="15"/>
      <c r="AW3230" s="15"/>
    </row>
    <row r="3231" spans="3:49" x14ac:dyDescent="0.2">
      <c r="C3231" s="15"/>
      <c r="D3231" s="15"/>
      <c r="E3231" s="15"/>
      <c r="F3231" s="15"/>
      <c r="G3231" s="15"/>
      <c r="H3231" s="15"/>
      <c r="I3231" s="15"/>
      <c r="J3231" s="15"/>
      <c r="K3231" s="15"/>
      <c r="L3231" s="28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  <c r="AA3231" s="15"/>
      <c r="AB3231" s="15"/>
      <c r="AC3231" s="15"/>
      <c r="AD3231" s="15"/>
      <c r="AE3231" s="15"/>
      <c r="AF3231" s="15"/>
      <c r="AG3231" s="15"/>
      <c r="AH3231" s="15"/>
      <c r="AI3231" s="15"/>
      <c r="AJ3231" s="15"/>
      <c r="AK3231" s="15"/>
      <c r="AL3231" s="15"/>
      <c r="AM3231" s="15"/>
      <c r="AN3231" s="15"/>
      <c r="AO3231" s="15"/>
      <c r="AP3231" s="15"/>
      <c r="AQ3231" s="15"/>
      <c r="AR3231" s="15"/>
      <c r="AS3231" s="15"/>
      <c r="AT3231" s="15"/>
      <c r="AU3231" s="15"/>
      <c r="AV3231" s="15"/>
      <c r="AW3231" s="15"/>
    </row>
    <row r="3232" spans="3:49" x14ac:dyDescent="0.2">
      <c r="C3232" s="15"/>
      <c r="D3232" s="15"/>
      <c r="E3232" s="15"/>
      <c r="F3232" s="15"/>
      <c r="G3232" s="15"/>
      <c r="H3232" s="15"/>
      <c r="I3232" s="15"/>
      <c r="J3232" s="15"/>
      <c r="K3232" s="15"/>
      <c r="L3232" s="28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  <c r="AA3232" s="15"/>
      <c r="AB3232" s="15"/>
      <c r="AC3232" s="15"/>
      <c r="AD3232" s="15"/>
      <c r="AE3232" s="15"/>
      <c r="AF3232" s="15"/>
      <c r="AG3232" s="15"/>
      <c r="AH3232" s="15"/>
      <c r="AI3232" s="15"/>
      <c r="AJ3232" s="15"/>
      <c r="AK3232" s="15"/>
      <c r="AL3232" s="15"/>
      <c r="AM3232" s="15"/>
      <c r="AN3232" s="15"/>
      <c r="AO3232" s="15"/>
      <c r="AP3232" s="15"/>
      <c r="AQ3232" s="15"/>
      <c r="AR3232" s="15"/>
      <c r="AS3232" s="15"/>
      <c r="AT3232" s="15"/>
      <c r="AU3232" s="15"/>
      <c r="AV3232" s="15"/>
      <c r="AW3232" s="15"/>
    </row>
    <row r="3233" spans="3:49" x14ac:dyDescent="0.2">
      <c r="C3233" s="15"/>
      <c r="D3233" s="15"/>
      <c r="E3233" s="15"/>
      <c r="F3233" s="15"/>
      <c r="G3233" s="15"/>
      <c r="H3233" s="15"/>
      <c r="I3233" s="15"/>
      <c r="J3233" s="15"/>
      <c r="K3233" s="15"/>
      <c r="L3233" s="28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  <c r="AA3233" s="15"/>
      <c r="AB3233" s="15"/>
      <c r="AC3233" s="15"/>
      <c r="AD3233" s="15"/>
      <c r="AE3233" s="15"/>
      <c r="AF3233" s="15"/>
      <c r="AG3233" s="15"/>
      <c r="AH3233" s="15"/>
      <c r="AI3233" s="15"/>
      <c r="AJ3233" s="15"/>
      <c r="AK3233" s="15"/>
      <c r="AL3233" s="15"/>
      <c r="AM3233" s="15"/>
      <c r="AN3233" s="15"/>
      <c r="AO3233" s="15"/>
      <c r="AP3233" s="15"/>
      <c r="AQ3233" s="15"/>
      <c r="AR3233" s="15"/>
      <c r="AS3233" s="15"/>
      <c r="AT3233" s="15"/>
      <c r="AU3233" s="15"/>
      <c r="AV3233" s="15"/>
      <c r="AW3233" s="15"/>
    </row>
    <row r="3234" spans="3:49" x14ac:dyDescent="0.2">
      <c r="C3234" s="15"/>
      <c r="D3234" s="15"/>
      <c r="E3234" s="15"/>
      <c r="F3234" s="15"/>
      <c r="G3234" s="15"/>
      <c r="H3234" s="15"/>
      <c r="I3234" s="15"/>
      <c r="J3234" s="15"/>
      <c r="K3234" s="15"/>
      <c r="L3234" s="28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  <c r="AA3234" s="15"/>
      <c r="AB3234" s="15"/>
      <c r="AC3234" s="15"/>
      <c r="AD3234" s="15"/>
      <c r="AE3234" s="15"/>
      <c r="AF3234" s="15"/>
      <c r="AG3234" s="15"/>
      <c r="AH3234" s="15"/>
      <c r="AI3234" s="15"/>
      <c r="AJ3234" s="15"/>
      <c r="AK3234" s="15"/>
      <c r="AL3234" s="15"/>
      <c r="AM3234" s="15"/>
      <c r="AN3234" s="15"/>
      <c r="AO3234" s="15"/>
      <c r="AP3234" s="15"/>
      <c r="AQ3234" s="15"/>
      <c r="AR3234" s="15"/>
      <c r="AS3234" s="15"/>
      <c r="AT3234" s="15"/>
      <c r="AU3234" s="15"/>
      <c r="AV3234" s="15"/>
      <c r="AW3234" s="15"/>
    </row>
    <row r="3235" spans="3:49" x14ac:dyDescent="0.2">
      <c r="C3235" s="15"/>
      <c r="D3235" s="15"/>
      <c r="E3235" s="15"/>
      <c r="F3235" s="15"/>
      <c r="G3235" s="15"/>
      <c r="H3235" s="15"/>
      <c r="I3235" s="15"/>
      <c r="J3235" s="15"/>
      <c r="K3235" s="15"/>
      <c r="L3235" s="28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  <c r="AA3235" s="15"/>
      <c r="AB3235" s="15"/>
      <c r="AC3235" s="15"/>
      <c r="AD3235" s="15"/>
      <c r="AE3235" s="15"/>
      <c r="AF3235" s="15"/>
      <c r="AG3235" s="15"/>
      <c r="AH3235" s="15"/>
      <c r="AI3235" s="15"/>
      <c r="AJ3235" s="15"/>
      <c r="AK3235" s="15"/>
      <c r="AL3235" s="15"/>
      <c r="AM3235" s="15"/>
      <c r="AN3235" s="15"/>
      <c r="AO3235" s="15"/>
      <c r="AP3235" s="15"/>
      <c r="AQ3235" s="15"/>
      <c r="AR3235" s="15"/>
      <c r="AS3235" s="15"/>
      <c r="AT3235" s="15"/>
      <c r="AU3235" s="15"/>
      <c r="AV3235" s="15"/>
      <c r="AW3235" s="15"/>
    </row>
    <row r="3236" spans="3:49" x14ac:dyDescent="0.2">
      <c r="C3236" s="15"/>
      <c r="D3236" s="15"/>
      <c r="E3236" s="15"/>
      <c r="F3236" s="15"/>
      <c r="G3236" s="15"/>
      <c r="H3236" s="15"/>
      <c r="I3236" s="15"/>
      <c r="J3236" s="15"/>
      <c r="K3236" s="15"/>
      <c r="L3236" s="28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  <c r="AA3236" s="15"/>
      <c r="AB3236" s="15"/>
      <c r="AC3236" s="15"/>
      <c r="AD3236" s="15"/>
      <c r="AE3236" s="15"/>
      <c r="AF3236" s="15"/>
      <c r="AG3236" s="15"/>
      <c r="AH3236" s="15"/>
      <c r="AI3236" s="15"/>
      <c r="AJ3236" s="15"/>
      <c r="AK3236" s="15"/>
      <c r="AL3236" s="15"/>
      <c r="AM3236" s="15"/>
      <c r="AN3236" s="15"/>
      <c r="AO3236" s="15"/>
      <c r="AP3236" s="15"/>
      <c r="AQ3236" s="15"/>
      <c r="AR3236" s="15"/>
      <c r="AS3236" s="15"/>
      <c r="AT3236" s="15"/>
      <c r="AU3236" s="15"/>
      <c r="AV3236" s="15"/>
      <c r="AW3236" s="15"/>
    </row>
    <row r="3237" spans="3:49" x14ac:dyDescent="0.2">
      <c r="C3237" s="15"/>
      <c r="D3237" s="15"/>
      <c r="E3237" s="15"/>
      <c r="F3237" s="15"/>
      <c r="G3237" s="15"/>
      <c r="H3237" s="15"/>
      <c r="I3237" s="15"/>
      <c r="J3237" s="15"/>
      <c r="K3237" s="15"/>
      <c r="L3237" s="28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  <c r="AA3237" s="15"/>
      <c r="AB3237" s="15"/>
      <c r="AC3237" s="15"/>
      <c r="AD3237" s="15"/>
      <c r="AE3237" s="15"/>
      <c r="AF3237" s="15"/>
      <c r="AG3237" s="15"/>
      <c r="AH3237" s="15"/>
      <c r="AI3237" s="15"/>
      <c r="AJ3237" s="15"/>
      <c r="AK3237" s="15"/>
      <c r="AL3237" s="15"/>
      <c r="AM3237" s="15"/>
      <c r="AN3237" s="15"/>
      <c r="AO3237" s="15"/>
      <c r="AP3237" s="15"/>
      <c r="AQ3237" s="15"/>
      <c r="AR3237" s="15"/>
      <c r="AS3237" s="15"/>
      <c r="AT3237" s="15"/>
      <c r="AU3237" s="15"/>
      <c r="AV3237" s="15"/>
      <c r="AW3237" s="15"/>
    </row>
    <row r="3238" spans="3:49" x14ac:dyDescent="0.2">
      <c r="C3238" s="15"/>
      <c r="D3238" s="15"/>
      <c r="E3238" s="15"/>
      <c r="F3238" s="15"/>
      <c r="G3238" s="15"/>
      <c r="H3238" s="15"/>
      <c r="I3238" s="15"/>
      <c r="J3238" s="15"/>
      <c r="K3238" s="15"/>
      <c r="L3238" s="28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  <c r="AA3238" s="15"/>
      <c r="AB3238" s="15"/>
      <c r="AC3238" s="15"/>
      <c r="AD3238" s="15"/>
      <c r="AE3238" s="15"/>
      <c r="AF3238" s="15"/>
      <c r="AG3238" s="15"/>
      <c r="AH3238" s="15"/>
      <c r="AI3238" s="15"/>
      <c r="AJ3238" s="15"/>
      <c r="AK3238" s="15"/>
      <c r="AL3238" s="15"/>
      <c r="AM3238" s="15"/>
      <c r="AN3238" s="15"/>
      <c r="AO3238" s="15"/>
      <c r="AP3238" s="15"/>
      <c r="AQ3238" s="15"/>
      <c r="AR3238" s="15"/>
      <c r="AS3238" s="15"/>
      <c r="AT3238" s="15"/>
      <c r="AU3238" s="15"/>
      <c r="AV3238" s="15"/>
      <c r="AW3238" s="15"/>
    </row>
    <row r="3239" spans="3:49" x14ac:dyDescent="0.2">
      <c r="C3239" s="15"/>
      <c r="D3239" s="15"/>
      <c r="E3239" s="15"/>
      <c r="F3239" s="15"/>
      <c r="G3239" s="15"/>
      <c r="H3239" s="15"/>
      <c r="I3239" s="15"/>
      <c r="J3239" s="15"/>
      <c r="K3239" s="15"/>
      <c r="L3239" s="28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  <c r="AA3239" s="15"/>
      <c r="AB3239" s="15"/>
      <c r="AC3239" s="15"/>
      <c r="AD3239" s="15"/>
      <c r="AE3239" s="15"/>
      <c r="AF3239" s="15"/>
      <c r="AG3239" s="15"/>
      <c r="AH3239" s="15"/>
      <c r="AI3239" s="15"/>
      <c r="AJ3239" s="15"/>
      <c r="AK3239" s="15"/>
      <c r="AL3239" s="15"/>
      <c r="AM3239" s="15"/>
      <c r="AN3239" s="15"/>
      <c r="AO3239" s="15"/>
      <c r="AP3239" s="15"/>
      <c r="AQ3239" s="15"/>
      <c r="AR3239" s="15"/>
      <c r="AS3239" s="15"/>
      <c r="AT3239" s="15"/>
      <c r="AU3239" s="15"/>
      <c r="AV3239" s="15"/>
      <c r="AW3239" s="15"/>
    </row>
    <row r="3240" spans="3:49" x14ac:dyDescent="0.2">
      <c r="C3240" s="15"/>
      <c r="D3240" s="15"/>
      <c r="E3240" s="15"/>
      <c r="F3240" s="15"/>
      <c r="G3240" s="15"/>
      <c r="H3240" s="15"/>
      <c r="I3240" s="15"/>
      <c r="J3240" s="15"/>
      <c r="K3240" s="15"/>
      <c r="L3240" s="28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  <c r="AA3240" s="15"/>
      <c r="AB3240" s="15"/>
      <c r="AC3240" s="15"/>
      <c r="AD3240" s="15"/>
      <c r="AE3240" s="15"/>
      <c r="AF3240" s="15"/>
      <c r="AG3240" s="15"/>
      <c r="AH3240" s="15"/>
      <c r="AI3240" s="15"/>
      <c r="AJ3240" s="15"/>
      <c r="AK3240" s="15"/>
      <c r="AL3240" s="15"/>
      <c r="AM3240" s="15"/>
      <c r="AN3240" s="15"/>
      <c r="AO3240" s="15"/>
      <c r="AP3240" s="15"/>
      <c r="AQ3240" s="15"/>
      <c r="AR3240" s="15"/>
      <c r="AS3240" s="15"/>
      <c r="AT3240" s="15"/>
      <c r="AU3240" s="15"/>
      <c r="AV3240" s="15"/>
      <c r="AW3240" s="15"/>
    </row>
    <row r="3241" spans="3:49" x14ac:dyDescent="0.2">
      <c r="C3241" s="15"/>
      <c r="D3241" s="15"/>
      <c r="E3241" s="15"/>
      <c r="F3241" s="15"/>
      <c r="G3241" s="15"/>
      <c r="H3241" s="15"/>
      <c r="I3241" s="15"/>
      <c r="J3241" s="15"/>
      <c r="K3241" s="15"/>
      <c r="L3241" s="28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  <c r="AA3241" s="15"/>
      <c r="AB3241" s="15"/>
      <c r="AC3241" s="15"/>
      <c r="AD3241" s="15"/>
      <c r="AE3241" s="15"/>
      <c r="AF3241" s="15"/>
      <c r="AG3241" s="15"/>
      <c r="AH3241" s="15"/>
      <c r="AI3241" s="15"/>
      <c r="AJ3241" s="15"/>
      <c r="AK3241" s="15"/>
      <c r="AL3241" s="15"/>
      <c r="AM3241" s="15"/>
      <c r="AN3241" s="15"/>
      <c r="AO3241" s="15"/>
      <c r="AP3241" s="15"/>
      <c r="AQ3241" s="15"/>
      <c r="AR3241" s="15"/>
      <c r="AS3241" s="15"/>
      <c r="AT3241" s="15"/>
      <c r="AU3241" s="15"/>
      <c r="AV3241" s="15"/>
      <c r="AW3241" s="15"/>
    </row>
    <row r="3242" spans="3:49" x14ac:dyDescent="0.2">
      <c r="C3242" s="15"/>
      <c r="D3242" s="15"/>
      <c r="E3242" s="15"/>
      <c r="F3242" s="15"/>
      <c r="G3242" s="15"/>
      <c r="H3242" s="15"/>
      <c r="I3242" s="15"/>
      <c r="J3242" s="15"/>
      <c r="K3242" s="15"/>
      <c r="L3242" s="28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  <c r="AA3242" s="15"/>
      <c r="AB3242" s="15"/>
      <c r="AC3242" s="15"/>
      <c r="AD3242" s="15"/>
      <c r="AE3242" s="15"/>
      <c r="AF3242" s="15"/>
      <c r="AG3242" s="15"/>
      <c r="AH3242" s="15"/>
      <c r="AI3242" s="15"/>
      <c r="AJ3242" s="15"/>
      <c r="AK3242" s="15"/>
      <c r="AL3242" s="15"/>
      <c r="AM3242" s="15"/>
      <c r="AN3242" s="15"/>
      <c r="AO3242" s="15"/>
      <c r="AP3242" s="15"/>
      <c r="AQ3242" s="15"/>
      <c r="AR3242" s="15"/>
      <c r="AS3242" s="15"/>
      <c r="AT3242" s="15"/>
      <c r="AU3242" s="15"/>
      <c r="AV3242" s="15"/>
      <c r="AW3242" s="15"/>
    </row>
    <row r="3243" spans="3:49" x14ac:dyDescent="0.2">
      <c r="C3243" s="15"/>
      <c r="D3243" s="15"/>
      <c r="E3243" s="15"/>
      <c r="F3243" s="15"/>
      <c r="G3243" s="15"/>
      <c r="H3243" s="15"/>
      <c r="I3243" s="15"/>
      <c r="J3243" s="15"/>
      <c r="K3243" s="15"/>
      <c r="L3243" s="28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  <c r="AA3243" s="15"/>
      <c r="AB3243" s="15"/>
      <c r="AC3243" s="15"/>
      <c r="AD3243" s="15"/>
      <c r="AE3243" s="15"/>
      <c r="AF3243" s="15"/>
      <c r="AG3243" s="15"/>
      <c r="AH3243" s="15"/>
      <c r="AI3243" s="15"/>
      <c r="AJ3243" s="15"/>
      <c r="AK3243" s="15"/>
      <c r="AL3243" s="15"/>
      <c r="AM3243" s="15"/>
      <c r="AN3243" s="15"/>
      <c r="AO3243" s="15"/>
      <c r="AP3243" s="15"/>
      <c r="AQ3243" s="15"/>
      <c r="AR3243" s="15"/>
      <c r="AS3243" s="15"/>
      <c r="AT3243" s="15"/>
      <c r="AU3243" s="15"/>
      <c r="AV3243" s="15"/>
      <c r="AW3243" s="15"/>
    </row>
    <row r="3244" spans="3:49" x14ac:dyDescent="0.2">
      <c r="C3244" s="15"/>
      <c r="D3244" s="15"/>
      <c r="E3244" s="15"/>
      <c r="F3244" s="15"/>
      <c r="G3244" s="15"/>
      <c r="H3244" s="15"/>
      <c r="I3244" s="15"/>
      <c r="J3244" s="15"/>
      <c r="K3244" s="15"/>
      <c r="L3244" s="28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  <c r="AA3244" s="15"/>
      <c r="AB3244" s="15"/>
      <c r="AC3244" s="15"/>
      <c r="AD3244" s="15"/>
      <c r="AE3244" s="15"/>
      <c r="AF3244" s="15"/>
      <c r="AG3244" s="15"/>
      <c r="AH3244" s="15"/>
      <c r="AI3244" s="15"/>
      <c r="AJ3244" s="15"/>
      <c r="AK3244" s="15"/>
      <c r="AL3244" s="15"/>
      <c r="AM3244" s="15"/>
      <c r="AN3244" s="15"/>
      <c r="AO3244" s="15"/>
      <c r="AP3244" s="15"/>
      <c r="AQ3244" s="15"/>
      <c r="AR3244" s="15"/>
      <c r="AS3244" s="15"/>
      <c r="AT3244" s="15"/>
      <c r="AU3244" s="15"/>
      <c r="AV3244" s="15"/>
      <c r="AW3244" s="15"/>
    </row>
    <row r="3245" spans="3:49" x14ac:dyDescent="0.2">
      <c r="C3245" s="15"/>
      <c r="D3245" s="15"/>
      <c r="E3245" s="15"/>
      <c r="F3245" s="15"/>
      <c r="G3245" s="15"/>
      <c r="H3245" s="15"/>
      <c r="I3245" s="15"/>
      <c r="J3245" s="15"/>
      <c r="K3245" s="15"/>
      <c r="L3245" s="28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  <c r="AA3245" s="15"/>
      <c r="AB3245" s="15"/>
      <c r="AC3245" s="15"/>
      <c r="AD3245" s="15"/>
      <c r="AE3245" s="15"/>
      <c r="AF3245" s="15"/>
      <c r="AG3245" s="15"/>
      <c r="AH3245" s="15"/>
      <c r="AI3245" s="15"/>
      <c r="AJ3245" s="15"/>
      <c r="AK3245" s="15"/>
      <c r="AL3245" s="15"/>
      <c r="AM3245" s="15"/>
      <c r="AN3245" s="15"/>
      <c r="AO3245" s="15"/>
      <c r="AP3245" s="15"/>
      <c r="AQ3245" s="15"/>
      <c r="AR3245" s="15"/>
      <c r="AS3245" s="15"/>
      <c r="AT3245" s="15"/>
      <c r="AU3245" s="15"/>
      <c r="AV3245" s="15"/>
      <c r="AW3245" s="15"/>
    </row>
    <row r="3246" spans="3:49" x14ac:dyDescent="0.2">
      <c r="C3246" s="15"/>
      <c r="D3246" s="15"/>
      <c r="E3246" s="15"/>
      <c r="F3246" s="15"/>
      <c r="G3246" s="15"/>
      <c r="H3246" s="15"/>
      <c r="I3246" s="15"/>
      <c r="J3246" s="15"/>
      <c r="K3246" s="15"/>
      <c r="L3246" s="28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  <c r="AA3246" s="15"/>
      <c r="AB3246" s="15"/>
      <c r="AC3246" s="15"/>
      <c r="AD3246" s="15"/>
      <c r="AE3246" s="15"/>
      <c r="AF3246" s="15"/>
      <c r="AG3246" s="15"/>
      <c r="AH3246" s="15"/>
      <c r="AI3246" s="15"/>
      <c r="AJ3246" s="15"/>
      <c r="AK3246" s="15"/>
      <c r="AL3246" s="15"/>
      <c r="AM3246" s="15"/>
      <c r="AN3246" s="15"/>
      <c r="AO3246" s="15"/>
      <c r="AP3246" s="15"/>
      <c r="AQ3246" s="15"/>
      <c r="AR3246" s="15"/>
      <c r="AS3246" s="15"/>
      <c r="AT3246" s="15"/>
      <c r="AU3246" s="15"/>
      <c r="AV3246" s="15"/>
      <c r="AW3246" s="15"/>
    </row>
    <row r="3247" spans="3:49" x14ac:dyDescent="0.2">
      <c r="C3247" s="15"/>
      <c r="D3247" s="15"/>
      <c r="E3247" s="15"/>
      <c r="F3247" s="15"/>
      <c r="G3247" s="15"/>
      <c r="H3247" s="15"/>
      <c r="I3247" s="15"/>
      <c r="J3247" s="15"/>
      <c r="K3247" s="15"/>
      <c r="L3247" s="28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  <c r="AA3247" s="15"/>
      <c r="AB3247" s="15"/>
      <c r="AC3247" s="15"/>
      <c r="AD3247" s="15"/>
      <c r="AE3247" s="15"/>
      <c r="AF3247" s="15"/>
      <c r="AG3247" s="15"/>
      <c r="AH3247" s="15"/>
      <c r="AI3247" s="15"/>
      <c r="AJ3247" s="15"/>
      <c r="AK3247" s="15"/>
      <c r="AL3247" s="15"/>
      <c r="AM3247" s="15"/>
      <c r="AN3247" s="15"/>
      <c r="AO3247" s="15"/>
      <c r="AP3247" s="15"/>
      <c r="AQ3247" s="15"/>
      <c r="AR3247" s="15"/>
      <c r="AS3247" s="15"/>
      <c r="AT3247" s="15"/>
      <c r="AU3247" s="15"/>
      <c r="AV3247" s="15"/>
      <c r="AW3247" s="15"/>
    </row>
    <row r="3248" spans="3:49" x14ac:dyDescent="0.2">
      <c r="C3248" s="15"/>
      <c r="D3248" s="15"/>
      <c r="E3248" s="15"/>
      <c r="F3248" s="15"/>
      <c r="G3248" s="15"/>
      <c r="H3248" s="15"/>
      <c r="I3248" s="15"/>
      <c r="J3248" s="15"/>
      <c r="K3248" s="15"/>
      <c r="L3248" s="28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  <c r="AA3248" s="15"/>
      <c r="AB3248" s="15"/>
      <c r="AC3248" s="15"/>
      <c r="AD3248" s="15"/>
      <c r="AE3248" s="15"/>
      <c r="AF3248" s="15"/>
      <c r="AG3248" s="15"/>
      <c r="AH3248" s="15"/>
      <c r="AI3248" s="15"/>
      <c r="AJ3248" s="15"/>
      <c r="AK3248" s="15"/>
      <c r="AL3248" s="15"/>
      <c r="AM3248" s="15"/>
      <c r="AN3248" s="15"/>
      <c r="AO3248" s="15"/>
      <c r="AP3248" s="15"/>
      <c r="AQ3248" s="15"/>
      <c r="AR3248" s="15"/>
      <c r="AS3248" s="15"/>
      <c r="AT3248" s="15"/>
      <c r="AU3248" s="15"/>
      <c r="AV3248" s="15"/>
      <c r="AW3248" s="15"/>
    </row>
    <row r="3249" spans="3:49" x14ac:dyDescent="0.2">
      <c r="C3249" s="15"/>
      <c r="D3249" s="15"/>
      <c r="E3249" s="15"/>
      <c r="F3249" s="15"/>
      <c r="G3249" s="15"/>
      <c r="H3249" s="15"/>
      <c r="I3249" s="15"/>
      <c r="J3249" s="15"/>
      <c r="K3249" s="15"/>
      <c r="L3249" s="28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  <c r="AA3249" s="15"/>
      <c r="AB3249" s="15"/>
      <c r="AC3249" s="15"/>
      <c r="AD3249" s="15"/>
      <c r="AE3249" s="15"/>
      <c r="AF3249" s="15"/>
      <c r="AG3249" s="15"/>
      <c r="AH3249" s="15"/>
      <c r="AI3249" s="15"/>
      <c r="AJ3249" s="15"/>
      <c r="AK3249" s="15"/>
      <c r="AL3249" s="15"/>
      <c r="AM3249" s="15"/>
      <c r="AN3249" s="15"/>
      <c r="AO3249" s="15"/>
      <c r="AP3249" s="15"/>
      <c r="AQ3249" s="15"/>
      <c r="AR3249" s="15"/>
      <c r="AS3249" s="15"/>
      <c r="AT3249" s="15"/>
      <c r="AU3249" s="15"/>
      <c r="AV3249" s="15"/>
      <c r="AW3249" s="15"/>
    </row>
    <row r="3250" spans="3:49" x14ac:dyDescent="0.2">
      <c r="C3250" s="15"/>
      <c r="D3250" s="15"/>
      <c r="E3250" s="15"/>
      <c r="F3250" s="15"/>
      <c r="G3250" s="15"/>
      <c r="H3250" s="15"/>
      <c r="I3250" s="15"/>
      <c r="J3250" s="15"/>
      <c r="K3250" s="15"/>
      <c r="L3250" s="28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  <c r="AA3250" s="15"/>
      <c r="AB3250" s="15"/>
      <c r="AC3250" s="15"/>
      <c r="AD3250" s="15"/>
      <c r="AE3250" s="15"/>
      <c r="AF3250" s="15"/>
      <c r="AG3250" s="15"/>
      <c r="AH3250" s="15"/>
      <c r="AI3250" s="15"/>
      <c r="AJ3250" s="15"/>
      <c r="AK3250" s="15"/>
      <c r="AL3250" s="15"/>
      <c r="AM3250" s="15"/>
      <c r="AN3250" s="15"/>
      <c r="AO3250" s="15"/>
      <c r="AP3250" s="15"/>
      <c r="AQ3250" s="15"/>
      <c r="AR3250" s="15"/>
      <c r="AS3250" s="15"/>
      <c r="AT3250" s="15"/>
      <c r="AU3250" s="15"/>
      <c r="AV3250" s="15"/>
      <c r="AW3250" s="15"/>
    </row>
    <row r="3251" spans="3:49" x14ac:dyDescent="0.2">
      <c r="C3251" s="15"/>
      <c r="D3251" s="15"/>
      <c r="E3251" s="15"/>
      <c r="F3251" s="15"/>
      <c r="G3251" s="15"/>
      <c r="H3251" s="15"/>
      <c r="I3251" s="15"/>
      <c r="J3251" s="15"/>
      <c r="K3251" s="15"/>
      <c r="L3251" s="28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  <c r="AA3251" s="15"/>
      <c r="AB3251" s="15"/>
      <c r="AC3251" s="15"/>
      <c r="AD3251" s="15"/>
      <c r="AE3251" s="15"/>
      <c r="AF3251" s="15"/>
      <c r="AG3251" s="15"/>
      <c r="AH3251" s="15"/>
      <c r="AI3251" s="15"/>
      <c r="AJ3251" s="15"/>
      <c r="AK3251" s="15"/>
      <c r="AL3251" s="15"/>
      <c r="AM3251" s="15"/>
      <c r="AN3251" s="15"/>
      <c r="AO3251" s="15"/>
      <c r="AP3251" s="15"/>
      <c r="AQ3251" s="15"/>
      <c r="AR3251" s="15"/>
      <c r="AS3251" s="15"/>
      <c r="AT3251" s="15"/>
      <c r="AU3251" s="15"/>
      <c r="AV3251" s="15"/>
      <c r="AW3251" s="15"/>
    </row>
    <row r="3252" spans="3:49" x14ac:dyDescent="0.2">
      <c r="C3252" s="15"/>
      <c r="D3252" s="15"/>
      <c r="E3252" s="15"/>
      <c r="F3252" s="15"/>
      <c r="G3252" s="15"/>
      <c r="H3252" s="15"/>
      <c r="I3252" s="15"/>
      <c r="J3252" s="15"/>
      <c r="K3252" s="15"/>
      <c r="L3252" s="28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  <c r="AA3252" s="15"/>
      <c r="AB3252" s="15"/>
      <c r="AC3252" s="15"/>
      <c r="AD3252" s="15"/>
      <c r="AE3252" s="15"/>
      <c r="AF3252" s="15"/>
      <c r="AG3252" s="15"/>
      <c r="AH3252" s="15"/>
      <c r="AI3252" s="15"/>
      <c r="AJ3252" s="15"/>
      <c r="AK3252" s="15"/>
      <c r="AL3252" s="15"/>
      <c r="AM3252" s="15"/>
      <c r="AN3252" s="15"/>
      <c r="AO3252" s="15"/>
      <c r="AP3252" s="15"/>
      <c r="AQ3252" s="15"/>
      <c r="AR3252" s="15"/>
      <c r="AS3252" s="15"/>
      <c r="AT3252" s="15"/>
      <c r="AU3252" s="15"/>
      <c r="AV3252" s="15"/>
      <c r="AW3252" s="15"/>
    </row>
    <row r="3253" spans="3:49" x14ac:dyDescent="0.2">
      <c r="C3253" s="15"/>
      <c r="D3253" s="15"/>
      <c r="E3253" s="15"/>
      <c r="F3253" s="15"/>
      <c r="G3253" s="15"/>
      <c r="H3253" s="15"/>
      <c r="I3253" s="15"/>
      <c r="J3253" s="15"/>
      <c r="K3253" s="15"/>
      <c r="L3253" s="28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  <c r="AA3253" s="15"/>
      <c r="AB3253" s="15"/>
      <c r="AC3253" s="15"/>
      <c r="AD3253" s="15"/>
      <c r="AE3253" s="15"/>
      <c r="AF3253" s="15"/>
      <c r="AG3253" s="15"/>
      <c r="AH3253" s="15"/>
      <c r="AI3253" s="15"/>
      <c r="AJ3253" s="15"/>
      <c r="AK3253" s="15"/>
      <c r="AL3253" s="15"/>
      <c r="AM3253" s="15"/>
      <c r="AN3253" s="15"/>
      <c r="AO3253" s="15"/>
      <c r="AP3253" s="15"/>
      <c r="AQ3253" s="15"/>
      <c r="AR3253" s="15"/>
      <c r="AS3253" s="15"/>
      <c r="AT3253" s="15"/>
      <c r="AU3253" s="15"/>
      <c r="AV3253" s="15"/>
      <c r="AW3253" s="15"/>
    </row>
    <row r="3254" spans="3:49" x14ac:dyDescent="0.2">
      <c r="C3254" s="15"/>
      <c r="D3254" s="15"/>
      <c r="E3254" s="15"/>
      <c r="F3254" s="15"/>
      <c r="G3254" s="15"/>
      <c r="H3254" s="15"/>
      <c r="I3254" s="15"/>
      <c r="J3254" s="15"/>
      <c r="K3254" s="15"/>
      <c r="L3254" s="28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  <c r="AA3254" s="15"/>
      <c r="AB3254" s="15"/>
      <c r="AC3254" s="15"/>
      <c r="AD3254" s="15"/>
      <c r="AE3254" s="15"/>
      <c r="AF3254" s="15"/>
      <c r="AG3254" s="15"/>
      <c r="AH3254" s="15"/>
      <c r="AI3254" s="15"/>
      <c r="AJ3254" s="15"/>
      <c r="AK3254" s="15"/>
      <c r="AL3254" s="15"/>
      <c r="AM3254" s="15"/>
      <c r="AN3254" s="15"/>
      <c r="AO3254" s="15"/>
      <c r="AP3254" s="15"/>
      <c r="AQ3254" s="15"/>
      <c r="AR3254" s="15"/>
      <c r="AS3254" s="15"/>
      <c r="AT3254" s="15"/>
      <c r="AU3254" s="15"/>
      <c r="AV3254" s="15"/>
      <c r="AW3254" s="15"/>
    </row>
    <row r="3255" spans="3:49" x14ac:dyDescent="0.2">
      <c r="C3255" s="15"/>
      <c r="D3255" s="15"/>
      <c r="E3255" s="15"/>
      <c r="F3255" s="15"/>
      <c r="G3255" s="15"/>
      <c r="H3255" s="15"/>
      <c r="I3255" s="15"/>
      <c r="J3255" s="15"/>
      <c r="K3255" s="15"/>
      <c r="L3255" s="28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  <c r="AA3255" s="15"/>
      <c r="AB3255" s="15"/>
      <c r="AC3255" s="15"/>
      <c r="AD3255" s="15"/>
      <c r="AE3255" s="15"/>
      <c r="AF3255" s="15"/>
      <c r="AG3255" s="15"/>
      <c r="AH3255" s="15"/>
      <c r="AI3255" s="15"/>
      <c r="AJ3255" s="15"/>
      <c r="AK3255" s="15"/>
      <c r="AL3255" s="15"/>
      <c r="AM3255" s="15"/>
      <c r="AN3255" s="15"/>
      <c r="AO3255" s="15"/>
      <c r="AP3255" s="15"/>
      <c r="AQ3255" s="15"/>
      <c r="AR3255" s="15"/>
      <c r="AS3255" s="15"/>
      <c r="AT3255" s="15"/>
      <c r="AU3255" s="15"/>
      <c r="AV3255" s="15"/>
      <c r="AW3255" s="15"/>
    </row>
    <row r="3256" spans="3:49" x14ac:dyDescent="0.2">
      <c r="C3256" s="15"/>
      <c r="D3256" s="15"/>
      <c r="E3256" s="15"/>
      <c r="F3256" s="15"/>
      <c r="G3256" s="15"/>
      <c r="H3256" s="15"/>
      <c r="I3256" s="15"/>
      <c r="J3256" s="15"/>
      <c r="K3256" s="15"/>
      <c r="L3256" s="28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  <c r="AA3256" s="15"/>
      <c r="AB3256" s="15"/>
      <c r="AC3256" s="15"/>
      <c r="AD3256" s="15"/>
      <c r="AE3256" s="15"/>
      <c r="AF3256" s="15"/>
      <c r="AG3256" s="15"/>
      <c r="AH3256" s="15"/>
      <c r="AI3256" s="15"/>
      <c r="AJ3256" s="15"/>
      <c r="AK3256" s="15"/>
      <c r="AL3256" s="15"/>
      <c r="AM3256" s="15"/>
      <c r="AN3256" s="15"/>
      <c r="AO3256" s="15"/>
      <c r="AP3256" s="15"/>
      <c r="AQ3256" s="15"/>
      <c r="AR3256" s="15"/>
      <c r="AS3256" s="15"/>
      <c r="AT3256" s="15"/>
      <c r="AU3256" s="15"/>
      <c r="AV3256" s="15"/>
      <c r="AW3256" s="15"/>
    </row>
    <row r="3257" spans="3:49" x14ac:dyDescent="0.2">
      <c r="C3257" s="15"/>
      <c r="D3257" s="15"/>
      <c r="E3257" s="15"/>
      <c r="F3257" s="15"/>
      <c r="G3257" s="15"/>
      <c r="H3257" s="15"/>
      <c r="I3257" s="15"/>
      <c r="J3257" s="15"/>
      <c r="K3257" s="15"/>
      <c r="L3257" s="28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  <c r="AA3257" s="15"/>
      <c r="AB3257" s="15"/>
      <c r="AC3257" s="15"/>
      <c r="AD3257" s="15"/>
      <c r="AE3257" s="15"/>
      <c r="AF3257" s="15"/>
      <c r="AG3257" s="15"/>
      <c r="AH3257" s="15"/>
      <c r="AI3257" s="15"/>
      <c r="AJ3257" s="15"/>
      <c r="AK3257" s="15"/>
      <c r="AL3257" s="15"/>
      <c r="AM3257" s="15"/>
      <c r="AN3257" s="15"/>
      <c r="AO3257" s="15"/>
      <c r="AP3257" s="15"/>
      <c r="AQ3257" s="15"/>
      <c r="AR3257" s="15"/>
      <c r="AS3257" s="15"/>
      <c r="AT3257" s="15"/>
      <c r="AU3257" s="15"/>
      <c r="AV3257" s="15"/>
      <c r="AW3257" s="15"/>
    </row>
    <row r="3258" spans="3:49" x14ac:dyDescent="0.2">
      <c r="C3258" s="15"/>
      <c r="D3258" s="15"/>
      <c r="E3258" s="15"/>
      <c r="F3258" s="15"/>
      <c r="G3258" s="15"/>
      <c r="H3258" s="15"/>
      <c r="I3258" s="15"/>
      <c r="J3258" s="15"/>
      <c r="K3258" s="15"/>
      <c r="L3258" s="28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  <c r="AA3258" s="15"/>
      <c r="AB3258" s="15"/>
      <c r="AC3258" s="15"/>
      <c r="AD3258" s="15"/>
      <c r="AE3258" s="15"/>
      <c r="AF3258" s="15"/>
      <c r="AG3258" s="15"/>
      <c r="AH3258" s="15"/>
      <c r="AI3258" s="15"/>
      <c r="AJ3258" s="15"/>
      <c r="AK3258" s="15"/>
      <c r="AL3258" s="15"/>
      <c r="AM3258" s="15"/>
      <c r="AN3258" s="15"/>
      <c r="AO3258" s="15"/>
      <c r="AP3258" s="15"/>
      <c r="AQ3258" s="15"/>
      <c r="AR3258" s="15"/>
      <c r="AS3258" s="15"/>
      <c r="AT3258" s="15"/>
      <c r="AU3258" s="15"/>
      <c r="AV3258" s="15"/>
      <c r="AW3258" s="15"/>
    </row>
    <row r="3259" spans="3:49" x14ac:dyDescent="0.2">
      <c r="C3259" s="15"/>
      <c r="D3259" s="15"/>
      <c r="E3259" s="15"/>
      <c r="F3259" s="15"/>
      <c r="G3259" s="15"/>
      <c r="H3259" s="15"/>
      <c r="I3259" s="15"/>
      <c r="J3259" s="15"/>
      <c r="K3259" s="15"/>
      <c r="L3259" s="28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  <c r="AA3259" s="15"/>
      <c r="AB3259" s="15"/>
      <c r="AC3259" s="15"/>
      <c r="AD3259" s="15"/>
      <c r="AE3259" s="15"/>
      <c r="AF3259" s="15"/>
      <c r="AG3259" s="15"/>
      <c r="AH3259" s="15"/>
      <c r="AI3259" s="15"/>
      <c r="AJ3259" s="15"/>
      <c r="AK3259" s="15"/>
      <c r="AL3259" s="15"/>
      <c r="AM3259" s="15"/>
      <c r="AN3259" s="15"/>
      <c r="AO3259" s="15"/>
      <c r="AP3259" s="15"/>
      <c r="AQ3259" s="15"/>
      <c r="AR3259" s="15"/>
      <c r="AS3259" s="15"/>
      <c r="AT3259" s="15"/>
      <c r="AU3259" s="15"/>
      <c r="AV3259" s="15"/>
      <c r="AW3259" s="15"/>
    </row>
    <row r="3260" spans="3:49" x14ac:dyDescent="0.2">
      <c r="C3260" s="15"/>
      <c r="D3260" s="15"/>
      <c r="E3260" s="15"/>
      <c r="F3260" s="15"/>
      <c r="G3260" s="15"/>
      <c r="H3260" s="15"/>
      <c r="I3260" s="15"/>
      <c r="J3260" s="15"/>
      <c r="K3260" s="15"/>
      <c r="L3260" s="28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  <c r="AA3260" s="15"/>
      <c r="AB3260" s="15"/>
      <c r="AC3260" s="15"/>
      <c r="AD3260" s="15"/>
      <c r="AE3260" s="15"/>
      <c r="AF3260" s="15"/>
      <c r="AG3260" s="15"/>
      <c r="AH3260" s="15"/>
      <c r="AI3260" s="15"/>
      <c r="AJ3260" s="15"/>
      <c r="AK3260" s="15"/>
      <c r="AL3260" s="15"/>
      <c r="AM3260" s="15"/>
      <c r="AN3260" s="15"/>
      <c r="AO3260" s="15"/>
      <c r="AP3260" s="15"/>
      <c r="AQ3260" s="15"/>
      <c r="AR3260" s="15"/>
      <c r="AS3260" s="15"/>
      <c r="AT3260" s="15"/>
      <c r="AU3260" s="15"/>
      <c r="AV3260" s="15"/>
      <c r="AW3260" s="15"/>
    </row>
    <row r="3261" spans="3:49" x14ac:dyDescent="0.2">
      <c r="C3261" s="15"/>
      <c r="D3261" s="15"/>
      <c r="E3261" s="15"/>
      <c r="F3261" s="15"/>
      <c r="G3261" s="15"/>
      <c r="H3261" s="15"/>
      <c r="I3261" s="15"/>
      <c r="J3261" s="15"/>
      <c r="K3261" s="15"/>
      <c r="L3261" s="28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  <c r="AA3261" s="15"/>
      <c r="AB3261" s="15"/>
      <c r="AC3261" s="15"/>
      <c r="AD3261" s="15"/>
      <c r="AE3261" s="15"/>
      <c r="AF3261" s="15"/>
      <c r="AG3261" s="15"/>
      <c r="AH3261" s="15"/>
      <c r="AI3261" s="15"/>
      <c r="AJ3261" s="15"/>
      <c r="AK3261" s="15"/>
      <c r="AL3261" s="15"/>
      <c r="AM3261" s="15"/>
      <c r="AN3261" s="15"/>
      <c r="AO3261" s="15"/>
      <c r="AP3261" s="15"/>
      <c r="AQ3261" s="15"/>
      <c r="AR3261" s="15"/>
      <c r="AS3261" s="15"/>
      <c r="AT3261" s="15"/>
      <c r="AU3261" s="15"/>
      <c r="AV3261" s="15"/>
      <c r="AW3261" s="15"/>
    </row>
    <row r="3262" spans="3:49" x14ac:dyDescent="0.2">
      <c r="C3262" s="15"/>
      <c r="D3262" s="15"/>
      <c r="E3262" s="15"/>
      <c r="F3262" s="15"/>
      <c r="G3262" s="15"/>
      <c r="H3262" s="15"/>
      <c r="I3262" s="15"/>
      <c r="J3262" s="15"/>
      <c r="K3262" s="15"/>
      <c r="L3262" s="28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  <c r="AA3262" s="15"/>
      <c r="AB3262" s="15"/>
      <c r="AC3262" s="15"/>
      <c r="AD3262" s="15"/>
      <c r="AE3262" s="15"/>
      <c r="AF3262" s="15"/>
      <c r="AG3262" s="15"/>
      <c r="AH3262" s="15"/>
      <c r="AI3262" s="15"/>
      <c r="AJ3262" s="15"/>
      <c r="AK3262" s="15"/>
      <c r="AL3262" s="15"/>
      <c r="AM3262" s="15"/>
      <c r="AN3262" s="15"/>
      <c r="AO3262" s="15"/>
      <c r="AP3262" s="15"/>
      <c r="AQ3262" s="15"/>
      <c r="AR3262" s="15"/>
      <c r="AS3262" s="15"/>
      <c r="AT3262" s="15"/>
      <c r="AU3262" s="15"/>
      <c r="AV3262" s="15"/>
      <c r="AW3262" s="15"/>
    </row>
    <row r="3263" spans="3:49" x14ac:dyDescent="0.2">
      <c r="C3263" s="15"/>
      <c r="D3263" s="15"/>
      <c r="E3263" s="15"/>
      <c r="F3263" s="15"/>
      <c r="G3263" s="15"/>
      <c r="H3263" s="15"/>
      <c r="I3263" s="15"/>
      <c r="J3263" s="15"/>
      <c r="K3263" s="15"/>
      <c r="L3263" s="28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  <c r="AA3263" s="15"/>
      <c r="AB3263" s="15"/>
      <c r="AC3263" s="15"/>
      <c r="AD3263" s="15"/>
      <c r="AE3263" s="15"/>
      <c r="AF3263" s="15"/>
      <c r="AG3263" s="15"/>
      <c r="AH3263" s="15"/>
      <c r="AI3263" s="15"/>
      <c r="AJ3263" s="15"/>
      <c r="AK3263" s="15"/>
      <c r="AL3263" s="15"/>
      <c r="AM3263" s="15"/>
      <c r="AN3263" s="15"/>
      <c r="AO3263" s="15"/>
      <c r="AP3263" s="15"/>
      <c r="AQ3263" s="15"/>
      <c r="AR3263" s="15"/>
      <c r="AS3263" s="15"/>
      <c r="AT3263" s="15"/>
      <c r="AU3263" s="15"/>
      <c r="AV3263" s="15"/>
      <c r="AW3263" s="15"/>
    </row>
    <row r="3264" spans="3:49" x14ac:dyDescent="0.2">
      <c r="C3264" s="15"/>
      <c r="D3264" s="15"/>
      <c r="E3264" s="15"/>
      <c r="F3264" s="15"/>
      <c r="G3264" s="15"/>
      <c r="H3264" s="15"/>
      <c r="I3264" s="15"/>
      <c r="J3264" s="15"/>
      <c r="K3264" s="15"/>
      <c r="L3264" s="28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  <c r="AA3264" s="15"/>
      <c r="AB3264" s="15"/>
      <c r="AC3264" s="15"/>
      <c r="AD3264" s="15"/>
      <c r="AE3264" s="15"/>
      <c r="AF3264" s="15"/>
      <c r="AG3264" s="15"/>
      <c r="AH3264" s="15"/>
      <c r="AI3264" s="15"/>
      <c r="AJ3264" s="15"/>
      <c r="AK3264" s="15"/>
      <c r="AL3264" s="15"/>
      <c r="AM3264" s="15"/>
      <c r="AN3264" s="15"/>
      <c r="AO3264" s="15"/>
      <c r="AP3264" s="15"/>
      <c r="AQ3264" s="15"/>
      <c r="AR3264" s="15"/>
      <c r="AS3264" s="15"/>
      <c r="AT3264" s="15"/>
      <c r="AU3264" s="15"/>
      <c r="AV3264" s="15"/>
      <c r="AW3264" s="15"/>
    </row>
    <row r="3265" spans="3:49" x14ac:dyDescent="0.2">
      <c r="C3265" s="15"/>
      <c r="D3265" s="15"/>
      <c r="E3265" s="15"/>
      <c r="F3265" s="15"/>
      <c r="G3265" s="15"/>
      <c r="H3265" s="15"/>
      <c r="I3265" s="15"/>
      <c r="J3265" s="15"/>
      <c r="K3265" s="15"/>
      <c r="L3265" s="28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  <c r="AA3265" s="15"/>
      <c r="AB3265" s="15"/>
      <c r="AC3265" s="15"/>
      <c r="AD3265" s="15"/>
      <c r="AE3265" s="15"/>
      <c r="AF3265" s="15"/>
      <c r="AG3265" s="15"/>
      <c r="AH3265" s="15"/>
      <c r="AI3265" s="15"/>
      <c r="AJ3265" s="15"/>
      <c r="AK3265" s="15"/>
      <c r="AL3265" s="15"/>
      <c r="AM3265" s="15"/>
      <c r="AN3265" s="15"/>
      <c r="AO3265" s="15"/>
      <c r="AP3265" s="15"/>
      <c r="AQ3265" s="15"/>
      <c r="AR3265" s="15"/>
      <c r="AS3265" s="15"/>
      <c r="AT3265" s="15"/>
      <c r="AU3265" s="15"/>
      <c r="AV3265" s="15"/>
      <c r="AW3265" s="15"/>
    </row>
    <row r="3266" spans="3:49" x14ac:dyDescent="0.2">
      <c r="C3266" s="15"/>
      <c r="D3266" s="15"/>
      <c r="E3266" s="15"/>
      <c r="F3266" s="15"/>
      <c r="G3266" s="15"/>
      <c r="H3266" s="15"/>
      <c r="I3266" s="15"/>
      <c r="J3266" s="15"/>
      <c r="K3266" s="15"/>
      <c r="L3266" s="28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  <c r="AA3266" s="15"/>
      <c r="AB3266" s="15"/>
      <c r="AC3266" s="15"/>
      <c r="AD3266" s="15"/>
      <c r="AE3266" s="15"/>
      <c r="AF3266" s="15"/>
      <c r="AG3266" s="15"/>
      <c r="AH3266" s="15"/>
      <c r="AI3266" s="15"/>
      <c r="AJ3266" s="15"/>
      <c r="AK3266" s="15"/>
      <c r="AL3266" s="15"/>
      <c r="AM3266" s="15"/>
      <c r="AN3266" s="15"/>
      <c r="AO3266" s="15"/>
      <c r="AP3266" s="15"/>
      <c r="AQ3266" s="15"/>
      <c r="AR3266" s="15"/>
      <c r="AS3266" s="15"/>
      <c r="AT3266" s="15"/>
      <c r="AU3266" s="15"/>
      <c r="AV3266" s="15"/>
      <c r="AW3266" s="15"/>
    </row>
    <row r="3267" spans="3:49" x14ac:dyDescent="0.2">
      <c r="C3267" s="15"/>
      <c r="D3267" s="15"/>
      <c r="E3267" s="15"/>
      <c r="F3267" s="15"/>
      <c r="G3267" s="15"/>
      <c r="H3267" s="15"/>
      <c r="I3267" s="15"/>
      <c r="J3267" s="15"/>
      <c r="K3267" s="15"/>
      <c r="L3267" s="28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  <c r="AA3267" s="15"/>
      <c r="AB3267" s="15"/>
      <c r="AC3267" s="15"/>
      <c r="AD3267" s="15"/>
      <c r="AE3267" s="15"/>
      <c r="AF3267" s="15"/>
      <c r="AG3267" s="15"/>
      <c r="AH3267" s="15"/>
      <c r="AI3267" s="15"/>
      <c r="AJ3267" s="15"/>
      <c r="AK3267" s="15"/>
      <c r="AL3267" s="15"/>
      <c r="AM3267" s="15"/>
      <c r="AN3267" s="15"/>
      <c r="AO3267" s="15"/>
      <c r="AP3267" s="15"/>
      <c r="AQ3267" s="15"/>
      <c r="AR3267" s="15"/>
      <c r="AS3267" s="15"/>
      <c r="AT3267" s="15"/>
      <c r="AU3267" s="15"/>
      <c r="AV3267" s="15"/>
      <c r="AW3267" s="15"/>
    </row>
    <row r="3268" spans="3:49" x14ac:dyDescent="0.2">
      <c r="C3268" s="15"/>
      <c r="D3268" s="15"/>
      <c r="E3268" s="15"/>
      <c r="F3268" s="15"/>
      <c r="G3268" s="15"/>
      <c r="H3268" s="15"/>
      <c r="I3268" s="15"/>
      <c r="J3268" s="15"/>
      <c r="K3268" s="15"/>
      <c r="L3268" s="28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  <c r="AA3268" s="15"/>
      <c r="AB3268" s="15"/>
      <c r="AC3268" s="15"/>
      <c r="AD3268" s="15"/>
      <c r="AE3268" s="15"/>
      <c r="AF3268" s="15"/>
      <c r="AG3268" s="15"/>
      <c r="AH3268" s="15"/>
      <c r="AI3268" s="15"/>
      <c r="AJ3268" s="15"/>
      <c r="AK3268" s="15"/>
      <c r="AL3268" s="15"/>
      <c r="AM3268" s="15"/>
      <c r="AN3268" s="15"/>
      <c r="AO3268" s="15"/>
      <c r="AP3268" s="15"/>
      <c r="AQ3268" s="15"/>
      <c r="AR3268" s="15"/>
      <c r="AS3268" s="15"/>
      <c r="AT3268" s="15"/>
      <c r="AU3268" s="15"/>
      <c r="AV3268" s="15"/>
      <c r="AW3268" s="15"/>
    </row>
    <row r="3269" spans="3:49" x14ac:dyDescent="0.2">
      <c r="C3269" s="15"/>
      <c r="D3269" s="15"/>
      <c r="E3269" s="15"/>
      <c r="F3269" s="15"/>
      <c r="G3269" s="15"/>
      <c r="H3269" s="15"/>
      <c r="I3269" s="15"/>
      <c r="J3269" s="15"/>
      <c r="K3269" s="15"/>
      <c r="L3269" s="28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  <c r="AA3269" s="15"/>
      <c r="AB3269" s="15"/>
      <c r="AC3269" s="15"/>
      <c r="AD3269" s="15"/>
      <c r="AE3269" s="15"/>
      <c r="AF3269" s="15"/>
      <c r="AG3269" s="15"/>
      <c r="AH3269" s="15"/>
      <c r="AI3269" s="15"/>
      <c r="AJ3269" s="15"/>
      <c r="AK3269" s="15"/>
      <c r="AL3269" s="15"/>
      <c r="AM3269" s="15"/>
      <c r="AN3269" s="15"/>
      <c r="AO3269" s="15"/>
      <c r="AP3269" s="15"/>
      <c r="AQ3269" s="15"/>
      <c r="AR3269" s="15"/>
      <c r="AS3269" s="15"/>
      <c r="AT3269" s="15"/>
      <c r="AU3269" s="15"/>
      <c r="AV3269" s="15"/>
      <c r="AW3269" s="15"/>
    </row>
    <row r="3270" spans="3:49" x14ac:dyDescent="0.2">
      <c r="C3270" s="15"/>
      <c r="D3270" s="15"/>
      <c r="E3270" s="15"/>
      <c r="F3270" s="15"/>
      <c r="G3270" s="15"/>
      <c r="H3270" s="15"/>
      <c r="I3270" s="15"/>
      <c r="J3270" s="15"/>
      <c r="K3270" s="15"/>
      <c r="L3270" s="28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  <c r="AA3270" s="15"/>
      <c r="AB3270" s="15"/>
      <c r="AC3270" s="15"/>
      <c r="AD3270" s="15"/>
      <c r="AE3270" s="15"/>
      <c r="AF3270" s="15"/>
      <c r="AG3270" s="15"/>
      <c r="AH3270" s="15"/>
      <c r="AI3270" s="15"/>
      <c r="AJ3270" s="15"/>
      <c r="AK3270" s="15"/>
      <c r="AL3270" s="15"/>
      <c r="AM3270" s="15"/>
      <c r="AN3270" s="15"/>
      <c r="AO3270" s="15"/>
      <c r="AP3270" s="15"/>
      <c r="AQ3270" s="15"/>
      <c r="AR3270" s="15"/>
      <c r="AS3270" s="15"/>
      <c r="AT3270" s="15"/>
      <c r="AU3270" s="15"/>
      <c r="AV3270" s="15"/>
      <c r="AW3270" s="15"/>
    </row>
    <row r="3271" spans="3:49" x14ac:dyDescent="0.2">
      <c r="C3271" s="15"/>
      <c r="D3271" s="15"/>
      <c r="E3271" s="15"/>
      <c r="F3271" s="15"/>
      <c r="G3271" s="15"/>
      <c r="H3271" s="15"/>
      <c r="I3271" s="15"/>
      <c r="J3271" s="15"/>
      <c r="K3271" s="15"/>
      <c r="L3271" s="28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  <c r="AA3271" s="15"/>
      <c r="AB3271" s="15"/>
      <c r="AC3271" s="15"/>
      <c r="AD3271" s="15"/>
      <c r="AE3271" s="15"/>
      <c r="AF3271" s="15"/>
      <c r="AG3271" s="15"/>
      <c r="AH3271" s="15"/>
      <c r="AI3271" s="15"/>
      <c r="AJ3271" s="15"/>
      <c r="AK3271" s="15"/>
      <c r="AL3271" s="15"/>
      <c r="AM3271" s="15"/>
      <c r="AN3271" s="15"/>
      <c r="AO3271" s="15"/>
      <c r="AP3271" s="15"/>
      <c r="AQ3271" s="15"/>
      <c r="AR3271" s="15"/>
      <c r="AS3271" s="15"/>
      <c r="AT3271" s="15"/>
      <c r="AU3271" s="15"/>
      <c r="AV3271" s="15"/>
      <c r="AW3271" s="15"/>
    </row>
    <row r="3272" spans="3:49" x14ac:dyDescent="0.2">
      <c r="C3272" s="15"/>
      <c r="D3272" s="15"/>
      <c r="E3272" s="15"/>
      <c r="F3272" s="15"/>
      <c r="G3272" s="15"/>
      <c r="H3272" s="15"/>
      <c r="I3272" s="15"/>
      <c r="J3272" s="15"/>
      <c r="K3272" s="15"/>
      <c r="L3272" s="28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  <c r="AA3272" s="15"/>
      <c r="AB3272" s="15"/>
      <c r="AC3272" s="15"/>
      <c r="AD3272" s="15"/>
      <c r="AE3272" s="15"/>
      <c r="AF3272" s="15"/>
      <c r="AG3272" s="15"/>
      <c r="AH3272" s="15"/>
      <c r="AI3272" s="15"/>
      <c r="AJ3272" s="15"/>
      <c r="AK3272" s="15"/>
      <c r="AL3272" s="15"/>
      <c r="AM3272" s="15"/>
      <c r="AN3272" s="15"/>
      <c r="AO3272" s="15"/>
      <c r="AP3272" s="15"/>
      <c r="AQ3272" s="15"/>
      <c r="AR3272" s="15"/>
      <c r="AS3272" s="15"/>
      <c r="AT3272" s="15"/>
      <c r="AU3272" s="15"/>
      <c r="AV3272" s="15"/>
      <c r="AW3272" s="15"/>
    </row>
    <row r="3273" spans="3:49" x14ac:dyDescent="0.2">
      <c r="C3273" s="15"/>
      <c r="D3273" s="15"/>
      <c r="E3273" s="15"/>
      <c r="F3273" s="15"/>
      <c r="G3273" s="15"/>
      <c r="H3273" s="15"/>
      <c r="I3273" s="15"/>
      <c r="J3273" s="15"/>
      <c r="K3273" s="15"/>
      <c r="L3273" s="28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  <c r="AA3273" s="15"/>
      <c r="AB3273" s="15"/>
      <c r="AC3273" s="15"/>
      <c r="AD3273" s="15"/>
      <c r="AE3273" s="15"/>
      <c r="AF3273" s="15"/>
      <c r="AG3273" s="15"/>
      <c r="AH3273" s="15"/>
      <c r="AI3273" s="15"/>
      <c r="AJ3273" s="15"/>
      <c r="AK3273" s="15"/>
      <c r="AL3273" s="15"/>
      <c r="AM3273" s="15"/>
      <c r="AN3273" s="15"/>
      <c r="AO3273" s="15"/>
      <c r="AP3273" s="15"/>
      <c r="AQ3273" s="15"/>
      <c r="AR3273" s="15"/>
      <c r="AS3273" s="15"/>
      <c r="AT3273" s="15"/>
      <c r="AU3273" s="15"/>
      <c r="AV3273" s="15"/>
      <c r="AW3273" s="15"/>
    </row>
    <row r="3274" spans="3:49" x14ac:dyDescent="0.2">
      <c r="C3274" s="15"/>
      <c r="D3274" s="15"/>
      <c r="E3274" s="15"/>
      <c r="F3274" s="15"/>
      <c r="G3274" s="15"/>
      <c r="H3274" s="15"/>
      <c r="I3274" s="15"/>
      <c r="J3274" s="15"/>
      <c r="K3274" s="15"/>
      <c r="L3274" s="28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  <c r="AA3274" s="15"/>
      <c r="AB3274" s="15"/>
      <c r="AC3274" s="15"/>
      <c r="AD3274" s="15"/>
      <c r="AE3274" s="15"/>
      <c r="AF3274" s="15"/>
      <c r="AG3274" s="15"/>
      <c r="AH3274" s="15"/>
      <c r="AI3274" s="15"/>
      <c r="AJ3274" s="15"/>
      <c r="AK3274" s="15"/>
      <c r="AL3274" s="15"/>
      <c r="AM3274" s="15"/>
      <c r="AN3274" s="15"/>
      <c r="AO3274" s="15"/>
      <c r="AP3274" s="15"/>
      <c r="AQ3274" s="15"/>
      <c r="AR3274" s="15"/>
      <c r="AS3274" s="15"/>
      <c r="AT3274" s="15"/>
      <c r="AU3274" s="15"/>
      <c r="AV3274" s="15"/>
      <c r="AW3274" s="15"/>
    </row>
    <row r="3275" spans="3:49" x14ac:dyDescent="0.2">
      <c r="C3275" s="15"/>
      <c r="D3275" s="15"/>
      <c r="E3275" s="15"/>
      <c r="F3275" s="15"/>
      <c r="G3275" s="15"/>
      <c r="H3275" s="15"/>
      <c r="I3275" s="15"/>
      <c r="J3275" s="15"/>
      <c r="K3275" s="15"/>
      <c r="L3275" s="28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  <c r="AA3275" s="15"/>
      <c r="AB3275" s="15"/>
      <c r="AC3275" s="15"/>
      <c r="AD3275" s="15"/>
      <c r="AE3275" s="15"/>
      <c r="AF3275" s="15"/>
      <c r="AG3275" s="15"/>
      <c r="AH3275" s="15"/>
      <c r="AI3275" s="15"/>
      <c r="AJ3275" s="15"/>
      <c r="AK3275" s="15"/>
      <c r="AL3275" s="15"/>
      <c r="AM3275" s="15"/>
      <c r="AN3275" s="15"/>
      <c r="AO3275" s="15"/>
      <c r="AP3275" s="15"/>
      <c r="AQ3275" s="15"/>
      <c r="AR3275" s="15"/>
      <c r="AS3275" s="15"/>
      <c r="AT3275" s="15"/>
      <c r="AU3275" s="15"/>
      <c r="AV3275" s="15"/>
      <c r="AW3275" s="15"/>
    </row>
    <row r="3276" spans="3:49" x14ac:dyDescent="0.2">
      <c r="C3276" s="15"/>
      <c r="D3276" s="15"/>
      <c r="E3276" s="15"/>
      <c r="F3276" s="15"/>
      <c r="G3276" s="15"/>
      <c r="H3276" s="15"/>
      <c r="I3276" s="15"/>
      <c r="J3276" s="15"/>
      <c r="K3276" s="15"/>
      <c r="L3276" s="28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  <c r="AA3276" s="15"/>
      <c r="AB3276" s="15"/>
      <c r="AC3276" s="15"/>
      <c r="AD3276" s="15"/>
      <c r="AE3276" s="15"/>
      <c r="AF3276" s="15"/>
      <c r="AG3276" s="15"/>
      <c r="AH3276" s="15"/>
      <c r="AI3276" s="15"/>
      <c r="AJ3276" s="15"/>
      <c r="AK3276" s="15"/>
      <c r="AL3276" s="15"/>
      <c r="AM3276" s="15"/>
      <c r="AN3276" s="15"/>
      <c r="AO3276" s="15"/>
      <c r="AP3276" s="15"/>
      <c r="AQ3276" s="15"/>
      <c r="AR3276" s="15"/>
      <c r="AS3276" s="15"/>
      <c r="AT3276" s="15"/>
      <c r="AU3276" s="15"/>
      <c r="AV3276" s="15"/>
      <c r="AW3276" s="15"/>
    </row>
    <row r="3277" spans="3:49" x14ac:dyDescent="0.2">
      <c r="C3277" s="15"/>
      <c r="D3277" s="15"/>
      <c r="E3277" s="15"/>
      <c r="F3277" s="15"/>
      <c r="G3277" s="15"/>
      <c r="H3277" s="15"/>
      <c r="I3277" s="15"/>
      <c r="J3277" s="15"/>
      <c r="K3277" s="15"/>
      <c r="L3277" s="28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  <c r="AA3277" s="15"/>
      <c r="AB3277" s="15"/>
      <c r="AC3277" s="15"/>
      <c r="AD3277" s="15"/>
      <c r="AE3277" s="15"/>
      <c r="AF3277" s="15"/>
      <c r="AG3277" s="15"/>
      <c r="AH3277" s="15"/>
      <c r="AI3277" s="15"/>
      <c r="AJ3277" s="15"/>
      <c r="AK3277" s="15"/>
      <c r="AL3277" s="15"/>
      <c r="AM3277" s="15"/>
      <c r="AN3277" s="15"/>
      <c r="AO3277" s="15"/>
      <c r="AP3277" s="15"/>
      <c r="AQ3277" s="15"/>
      <c r="AR3277" s="15"/>
      <c r="AS3277" s="15"/>
      <c r="AT3277" s="15"/>
      <c r="AU3277" s="15"/>
      <c r="AV3277" s="15"/>
      <c r="AW3277" s="15"/>
    </row>
    <row r="3278" spans="3:49" x14ac:dyDescent="0.2">
      <c r="C3278" s="15"/>
      <c r="D3278" s="15"/>
      <c r="E3278" s="15"/>
      <c r="F3278" s="15"/>
      <c r="G3278" s="15"/>
      <c r="H3278" s="15"/>
      <c r="I3278" s="15"/>
      <c r="J3278" s="15"/>
      <c r="K3278" s="15"/>
      <c r="L3278" s="28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  <c r="AA3278" s="15"/>
      <c r="AB3278" s="15"/>
      <c r="AC3278" s="15"/>
      <c r="AD3278" s="15"/>
      <c r="AE3278" s="15"/>
      <c r="AF3278" s="15"/>
      <c r="AG3278" s="15"/>
      <c r="AH3278" s="15"/>
      <c r="AI3278" s="15"/>
      <c r="AJ3278" s="15"/>
      <c r="AK3278" s="15"/>
      <c r="AL3278" s="15"/>
      <c r="AM3278" s="15"/>
      <c r="AN3278" s="15"/>
      <c r="AO3278" s="15"/>
      <c r="AP3278" s="15"/>
      <c r="AQ3278" s="15"/>
      <c r="AR3278" s="15"/>
      <c r="AS3278" s="15"/>
      <c r="AT3278" s="15"/>
      <c r="AU3278" s="15"/>
      <c r="AV3278" s="15"/>
      <c r="AW3278" s="15"/>
    </row>
    <row r="3279" spans="3:49" x14ac:dyDescent="0.2">
      <c r="C3279" s="15"/>
      <c r="D3279" s="15"/>
      <c r="E3279" s="15"/>
      <c r="F3279" s="15"/>
      <c r="G3279" s="15"/>
      <c r="H3279" s="15"/>
      <c r="I3279" s="15"/>
      <c r="J3279" s="15"/>
      <c r="K3279" s="15"/>
      <c r="L3279" s="28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  <c r="AA3279" s="15"/>
      <c r="AB3279" s="15"/>
      <c r="AC3279" s="15"/>
      <c r="AD3279" s="15"/>
      <c r="AE3279" s="15"/>
      <c r="AF3279" s="15"/>
      <c r="AG3279" s="15"/>
      <c r="AH3279" s="15"/>
      <c r="AI3279" s="15"/>
      <c r="AJ3279" s="15"/>
      <c r="AK3279" s="15"/>
      <c r="AL3279" s="15"/>
      <c r="AM3279" s="15"/>
      <c r="AN3279" s="15"/>
      <c r="AO3279" s="15"/>
      <c r="AP3279" s="15"/>
      <c r="AQ3279" s="15"/>
      <c r="AR3279" s="15"/>
      <c r="AS3279" s="15"/>
      <c r="AT3279" s="15"/>
      <c r="AU3279" s="15"/>
      <c r="AV3279" s="15"/>
      <c r="AW3279" s="15"/>
    </row>
    <row r="3280" spans="3:49" x14ac:dyDescent="0.2">
      <c r="C3280" s="15"/>
      <c r="D3280" s="15"/>
      <c r="E3280" s="15"/>
      <c r="F3280" s="15"/>
      <c r="G3280" s="15"/>
      <c r="H3280" s="15"/>
      <c r="I3280" s="15"/>
      <c r="J3280" s="15"/>
      <c r="K3280" s="15"/>
      <c r="L3280" s="28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  <c r="AA3280" s="15"/>
      <c r="AB3280" s="15"/>
      <c r="AC3280" s="15"/>
      <c r="AD3280" s="15"/>
      <c r="AE3280" s="15"/>
      <c r="AF3280" s="15"/>
      <c r="AG3280" s="15"/>
      <c r="AH3280" s="15"/>
      <c r="AI3280" s="15"/>
      <c r="AJ3280" s="15"/>
      <c r="AK3280" s="15"/>
      <c r="AL3280" s="15"/>
      <c r="AM3280" s="15"/>
      <c r="AN3280" s="15"/>
      <c r="AO3280" s="15"/>
      <c r="AP3280" s="15"/>
      <c r="AQ3280" s="15"/>
      <c r="AR3280" s="15"/>
      <c r="AS3280" s="15"/>
      <c r="AT3280" s="15"/>
      <c r="AU3280" s="15"/>
      <c r="AV3280" s="15"/>
      <c r="AW3280" s="15"/>
    </row>
    <row r="3281" spans="3:49" x14ac:dyDescent="0.2">
      <c r="C3281" s="15"/>
      <c r="D3281" s="15"/>
      <c r="E3281" s="15"/>
      <c r="F3281" s="15"/>
      <c r="G3281" s="15"/>
      <c r="H3281" s="15"/>
      <c r="I3281" s="15"/>
      <c r="J3281" s="15"/>
      <c r="K3281" s="15"/>
      <c r="L3281" s="28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  <c r="AA3281" s="15"/>
      <c r="AB3281" s="15"/>
      <c r="AC3281" s="15"/>
      <c r="AD3281" s="15"/>
      <c r="AE3281" s="15"/>
      <c r="AF3281" s="15"/>
      <c r="AG3281" s="15"/>
      <c r="AH3281" s="15"/>
      <c r="AI3281" s="15"/>
      <c r="AJ3281" s="15"/>
      <c r="AK3281" s="15"/>
      <c r="AL3281" s="15"/>
      <c r="AM3281" s="15"/>
      <c r="AN3281" s="15"/>
      <c r="AO3281" s="15"/>
      <c r="AP3281" s="15"/>
      <c r="AQ3281" s="15"/>
      <c r="AR3281" s="15"/>
      <c r="AS3281" s="15"/>
      <c r="AT3281" s="15"/>
      <c r="AU3281" s="15"/>
      <c r="AV3281" s="15"/>
      <c r="AW3281" s="15"/>
    </row>
    <row r="3282" spans="3:49" x14ac:dyDescent="0.2">
      <c r="C3282" s="15"/>
      <c r="D3282" s="15"/>
      <c r="E3282" s="15"/>
      <c r="F3282" s="15"/>
      <c r="G3282" s="15"/>
      <c r="H3282" s="15"/>
      <c r="I3282" s="15"/>
      <c r="J3282" s="15"/>
      <c r="K3282" s="15"/>
      <c r="L3282" s="28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  <c r="AA3282" s="15"/>
      <c r="AB3282" s="15"/>
      <c r="AC3282" s="15"/>
      <c r="AD3282" s="15"/>
      <c r="AE3282" s="15"/>
      <c r="AF3282" s="15"/>
      <c r="AG3282" s="15"/>
      <c r="AH3282" s="15"/>
      <c r="AI3282" s="15"/>
      <c r="AJ3282" s="15"/>
      <c r="AK3282" s="15"/>
      <c r="AL3282" s="15"/>
      <c r="AM3282" s="15"/>
      <c r="AN3282" s="15"/>
      <c r="AO3282" s="15"/>
      <c r="AP3282" s="15"/>
      <c r="AQ3282" s="15"/>
      <c r="AR3282" s="15"/>
      <c r="AS3282" s="15"/>
      <c r="AT3282" s="15"/>
      <c r="AU3282" s="15"/>
      <c r="AV3282" s="15"/>
      <c r="AW3282" s="15"/>
    </row>
    <row r="3283" spans="3:49" x14ac:dyDescent="0.2">
      <c r="C3283" s="15"/>
      <c r="D3283" s="15"/>
      <c r="E3283" s="15"/>
      <c r="F3283" s="15"/>
      <c r="G3283" s="15"/>
      <c r="H3283" s="15"/>
      <c r="I3283" s="15"/>
      <c r="J3283" s="15"/>
      <c r="K3283" s="15"/>
      <c r="L3283" s="28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  <c r="AA3283" s="15"/>
      <c r="AB3283" s="15"/>
      <c r="AC3283" s="15"/>
      <c r="AD3283" s="15"/>
      <c r="AE3283" s="15"/>
      <c r="AF3283" s="15"/>
      <c r="AG3283" s="15"/>
      <c r="AH3283" s="15"/>
      <c r="AI3283" s="15"/>
      <c r="AJ3283" s="15"/>
      <c r="AK3283" s="15"/>
      <c r="AL3283" s="15"/>
      <c r="AM3283" s="15"/>
      <c r="AN3283" s="15"/>
      <c r="AO3283" s="15"/>
      <c r="AP3283" s="15"/>
      <c r="AQ3283" s="15"/>
      <c r="AR3283" s="15"/>
      <c r="AS3283" s="15"/>
      <c r="AT3283" s="15"/>
      <c r="AU3283" s="15"/>
      <c r="AV3283" s="15"/>
      <c r="AW3283" s="15"/>
    </row>
    <row r="3284" spans="3:49" x14ac:dyDescent="0.2">
      <c r="C3284" s="15"/>
      <c r="D3284" s="15"/>
      <c r="E3284" s="15"/>
      <c r="F3284" s="15"/>
      <c r="G3284" s="15"/>
      <c r="H3284" s="15"/>
      <c r="I3284" s="15"/>
      <c r="J3284" s="15"/>
      <c r="K3284" s="15"/>
      <c r="L3284" s="28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  <c r="AA3284" s="15"/>
      <c r="AB3284" s="15"/>
      <c r="AC3284" s="15"/>
      <c r="AD3284" s="15"/>
      <c r="AE3284" s="15"/>
      <c r="AF3284" s="15"/>
      <c r="AG3284" s="15"/>
      <c r="AH3284" s="15"/>
      <c r="AI3284" s="15"/>
      <c r="AJ3284" s="15"/>
      <c r="AK3284" s="15"/>
      <c r="AL3284" s="15"/>
      <c r="AM3284" s="15"/>
      <c r="AN3284" s="15"/>
      <c r="AO3284" s="15"/>
      <c r="AP3284" s="15"/>
      <c r="AQ3284" s="15"/>
      <c r="AR3284" s="15"/>
      <c r="AS3284" s="15"/>
      <c r="AT3284" s="15"/>
      <c r="AU3284" s="15"/>
      <c r="AV3284" s="15"/>
      <c r="AW3284" s="15"/>
    </row>
    <row r="3285" spans="3:49" x14ac:dyDescent="0.2">
      <c r="C3285" s="15"/>
      <c r="D3285" s="15"/>
      <c r="E3285" s="15"/>
      <c r="F3285" s="15"/>
      <c r="G3285" s="15"/>
      <c r="H3285" s="15"/>
      <c r="I3285" s="15"/>
      <c r="J3285" s="15"/>
      <c r="K3285" s="15"/>
      <c r="L3285" s="28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  <c r="AA3285" s="15"/>
      <c r="AB3285" s="15"/>
      <c r="AC3285" s="15"/>
      <c r="AD3285" s="15"/>
      <c r="AE3285" s="15"/>
      <c r="AF3285" s="15"/>
      <c r="AG3285" s="15"/>
      <c r="AH3285" s="15"/>
      <c r="AI3285" s="15"/>
      <c r="AJ3285" s="15"/>
      <c r="AK3285" s="15"/>
      <c r="AL3285" s="15"/>
      <c r="AM3285" s="15"/>
      <c r="AN3285" s="15"/>
      <c r="AO3285" s="15"/>
      <c r="AP3285" s="15"/>
      <c r="AQ3285" s="15"/>
      <c r="AR3285" s="15"/>
      <c r="AS3285" s="15"/>
      <c r="AT3285" s="15"/>
      <c r="AU3285" s="15"/>
      <c r="AV3285" s="15"/>
      <c r="AW3285" s="15"/>
    </row>
    <row r="3286" spans="3:49" x14ac:dyDescent="0.2">
      <c r="C3286" s="15"/>
      <c r="D3286" s="15"/>
      <c r="E3286" s="15"/>
      <c r="F3286" s="15"/>
      <c r="G3286" s="15"/>
      <c r="H3286" s="15"/>
      <c r="I3286" s="15"/>
      <c r="J3286" s="15"/>
      <c r="K3286" s="15"/>
      <c r="L3286" s="28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  <c r="AA3286" s="15"/>
      <c r="AB3286" s="15"/>
      <c r="AC3286" s="15"/>
      <c r="AD3286" s="15"/>
      <c r="AE3286" s="15"/>
      <c r="AF3286" s="15"/>
      <c r="AG3286" s="15"/>
      <c r="AH3286" s="15"/>
      <c r="AI3286" s="15"/>
      <c r="AJ3286" s="15"/>
      <c r="AK3286" s="15"/>
      <c r="AL3286" s="15"/>
      <c r="AM3286" s="15"/>
      <c r="AN3286" s="15"/>
      <c r="AO3286" s="15"/>
      <c r="AP3286" s="15"/>
      <c r="AQ3286" s="15"/>
      <c r="AR3286" s="15"/>
      <c r="AS3286" s="15"/>
      <c r="AT3286" s="15"/>
      <c r="AU3286" s="15"/>
      <c r="AV3286" s="15"/>
      <c r="AW3286" s="15"/>
    </row>
    <row r="3287" spans="3:49" x14ac:dyDescent="0.2">
      <c r="C3287" s="15"/>
      <c r="D3287" s="15"/>
      <c r="E3287" s="15"/>
      <c r="F3287" s="15"/>
      <c r="G3287" s="15"/>
      <c r="H3287" s="15"/>
      <c r="I3287" s="15"/>
      <c r="J3287" s="15"/>
      <c r="K3287" s="15"/>
      <c r="L3287" s="28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  <c r="AA3287" s="15"/>
      <c r="AB3287" s="15"/>
      <c r="AC3287" s="15"/>
      <c r="AD3287" s="15"/>
      <c r="AE3287" s="15"/>
      <c r="AF3287" s="15"/>
      <c r="AG3287" s="15"/>
      <c r="AH3287" s="15"/>
      <c r="AI3287" s="15"/>
      <c r="AJ3287" s="15"/>
      <c r="AK3287" s="15"/>
      <c r="AL3287" s="15"/>
      <c r="AM3287" s="15"/>
      <c r="AN3287" s="15"/>
      <c r="AO3287" s="15"/>
      <c r="AP3287" s="15"/>
      <c r="AQ3287" s="15"/>
      <c r="AR3287" s="15"/>
      <c r="AS3287" s="15"/>
      <c r="AT3287" s="15"/>
      <c r="AU3287" s="15"/>
      <c r="AV3287" s="15"/>
      <c r="AW3287" s="15"/>
    </row>
    <row r="3288" spans="3:49" x14ac:dyDescent="0.2">
      <c r="C3288" s="15"/>
      <c r="D3288" s="15"/>
      <c r="E3288" s="15"/>
      <c r="F3288" s="15"/>
      <c r="G3288" s="15"/>
      <c r="H3288" s="15"/>
      <c r="I3288" s="15"/>
      <c r="J3288" s="15"/>
      <c r="K3288" s="15"/>
      <c r="L3288" s="28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  <c r="AA3288" s="15"/>
      <c r="AB3288" s="15"/>
      <c r="AC3288" s="15"/>
      <c r="AD3288" s="15"/>
      <c r="AE3288" s="15"/>
      <c r="AF3288" s="15"/>
      <c r="AG3288" s="15"/>
      <c r="AH3288" s="15"/>
      <c r="AI3288" s="15"/>
      <c r="AJ3288" s="15"/>
      <c r="AK3288" s="15"/>
      <c r="AL3288" s="15"/>
      <c r="AM3288" s="15"/>
      <c r="AN3288" s="15"/>
      <c r="AO3288" s="15"/>
      <c r="AP3288" s="15"/>
      <c r="AQ3288" s="15"/>
      <c r="AR3288" s="15"/>
      <c r="AS3288" s="15"/>
      <c r="AT3288" s="15"/>
      <c r="AU3288" s="15"/>
      <c r="AV3288" s="15"/>
      <c r="AW3288" s="15"/>
    </row>
    <row r="3289" spans="3:49" x14ac:dyDescent="0.2">
      <c r="C3289" s="15"/>
      <c r="D3289" s="15"/>
      <c r="E3289" s="15"/>
      <c r="F3289" s="15"/>
      <c r="G3289" s="15"/>
      <c r="H3289" s="15"/>
      <c r="I3289" s="15"/>
      <c r="J3289" s="15"/>
      <c r="K3289" s="15"/>
      <c r="L3289" s="28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  <c r="AA3289" s="15"/>
      <c r="AB3289" s="15"/>
      <c r="AC3289" s="15"/>
      <c r="AD3289" s="15"/>
      <c r="AE3289" s="15"/>
      <c r="AF3289" s="15"/>
      <c r="AG3289" s="15"/>
      <c r="AH3289" s="15"/>
      <c r="AI3289" s="15"/>
      <c r="AJ3289" s="15"/>
      <c r="AK3289" s="15"/>
      <c r="AL3289" s="15"/>
      <c r="AM3289" s="15"/>
      <c r="AN3289" s="15"/>
      <c r="AO3289" s="15"/>
      <c r="AP3289" s="15"/>
      <c r="AQ3289" s="15"/>
      <c r="AR3289" s="15"/>
      <c r="AS3289" s="15"/>
      <c r="AT3289" s="15"/>
      <c r="AU3289" s="15"/>
      <c r="AV3289" s="15"/>
      <c r="AW3289" s="15"/>
    </row>
    <row r="3290" spans="3:49" x14ac:dyDescent="0.2">
      <c r="C3290" s="15"/>
      <c r="D3290" s="15"/>
      <c r="E3290" s="15"/>
      <c r="F3290" s="15"/>
      <c r="G3290" s="15"/>
      <c r="H3290" s="15"/>
      <c r="I3290" s="15"/>
      <c r="J3290" s="15"/>
      <c r="K3290" s="15"/>
      <c r="L3290" s="28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  <c r="AA3290" s="15"/>
      <c r="AB3290" s="15"/>
      <c r="AC3290" s="15"/>
      <c r="AD3290" s="15"/>
      <c r="AE3290" s="15"/>
      <c r="AF3290" s="15"/>
      <c r="AG3290" s="15"/>
      <c r="AH3290" s="15"/>
      <c r="AI3290" s="15"/>
      <c r="AJ3290" s="15"/>
      <c r="AK3290" s="15"/>
      <c r="AL3290" s="15"/>
      <c r="AM3290" s="15"/>
      <c r="AN3290" s="15"/>
      <c r="AO3290" s="15"/>
      <c r="AP3290" s="15"/>
      <c r="AQ3290" s="15"/>
      <c r="AR3290" s="15"/>
      <c r="AS3290" s="15"/>
      <c r="AT3290" s="15"/>
      <c r="AU3290" s="15"/>
      <c r="AV3290" s="15"/>
      <c r="AW3290" s="15"/>
    </row>
    <row r="3291" spans="3:49" x14ac:dyDescent="0.2">
      <c r="C3291" s="15"/>
      <c r="D3291" s="15"/>
      <c r="E3291" s="15"/>
      <c r="F3291" s="15"/>
      <c r="G3291" s="15"/>
      <c r="H3291" s="15"/>
      <c r="I3291" s="15"/>
      <c r="J3291" s="15"/>
      <c r="K3291" s="15"/>
      <c r="L3291" s="28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  <c r="AA3291" s="15"/>
      <c r="AB3291" s="15"/>
      <c r="AC3291" s="15"/>
      <c r="AD3291" s="15"/>
      <c r="AE3291" s="15"/>
      <c r="AF3291" s="15"/>
      <c r="AG3291" s="15"/>
      <c r="AH3291" s="15"/>
      <c r="AI3291" s="15"/>
      <c r="AJ3291" s="15"/>
      <c r="AK3291" s="15"/>
      <c r="AL3291" s="15"/>
      <c r="AM3291" s="15"/>
      <c r="AN3291" s="15"/>
      <c r="AO3291" s="15"/>
      <c r="AP3291" s="15"/>
      <c r="AQ3291" s="15"/>
      <c r="AR3291" s="15"/>
      <c r="AS3291" s="15"/>
      <c r="AT3291" s="15"/>
      <c r="AU3291" s="15"/>
      <c r="AV3291" s="15"/>
      <c r="AW3291" s="15"/>
    </row>
    <row r="3292" spans="3:49" x14ac:dyDescent="0.2">
      <c r="C3292" s="15"/>
      <c r="D3292" s="15"/>
      <c r="E3292" s="15"/>
      <c r="F3292" s="15"/>
      <c r="G3292" s="15"/>
      <c r="H3292" s="15"/>
      <c r="I3292" s="15"/>
      <c r="J3292" s="15"/>
      <c r="K3292" s="15"/>
      <c r="L3292" s="28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  <c r="AA3292" s="15"/>
      <c r="AB3292" s="15"/>
      <c r="AC3292" s="15"/>
      <c r="AD3292" s="15"/>
      <c r="AE3292" s="15"/>
      <c r="AF3292" s="15"/>
      <c r="AG3292" s="15"/>
      <c r="AH3292" s="15"/>
      <c r="AI3292" s="15"/>
      <c r="AJ3292" s="15"/>
      <c r="AK3292" s="15"/>
      <c r="AL3292" s="15"/>
      <c r="AM3292" s="15"/>
      <c r="AN3292" s="15"/>
      <c r="AO3292" s="15"/>
      <c r="AP3292" s="15"/>
      <c r="AQ3292" s="15"/>
      <c r="AR3292" s="15"/>
      <c r="AS3292" s="15"/>
      <c r="AT3292" s="15"/>
      <c r="AU3292" s="15"/>
      <c r="AV3292" s="15"/>
      <c r="AW3292" s="15"/>
    </row>
    <row r="3293" spans="3:49" x14ac:dyDescent="0.2">
      <c r="C3293" s="15"/>
      <c r="D3293" s="15"/>
      <c r="E3293" s="15"/>
      <c r="F3293" s="15"/>
      <c r="G3293" s="15"/>
      <c r="H3293" s="15"/>
      <c r="I3293" s="15"/>
      <c r="J3293" s="15"/>
      <c r="K3293" s="15"/>
      <c r="L3293" s="28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  <c r="AA3293" s="15"/>
      <c r="AB3293" s="15"/>
      <c r="AC3293" s="15"/>
      <c r="AD3293" s="15"/>
      <c r="AE3293" s="15"/>
      <c r="AF3293" s="15"/>
      <c r="AG3293" s="15"/>
      <c r="AH3293" s="15"/>
      <c r="AI3293" s="15"/>
      <c r="AJ3293" s="15"/>
      <c r="AK3293" s="15"/>
      <c r="AL3293" s="15"/>
      <c r="AM3293" s="15"/>
      <c r="AN3293" s="15"/>
      <c r="AO3293" s="15"/>
      <c r="AP3293" s="15"/>
      <c r="AQ3293" s="15"/>
      <c r="AR3293" s="15"/>
      <c r="AS3293" s="15"/>
      <c r="AT3293" s="15"/>
      <c r="AU3293" s="15"/>
      <c r="AV3293" s="15"/>
      <c r="AW3293" s="15"/>
    </row>
    <row r="3294" spans="3:49" x14ac:dyDescent="0.2">
      <c r="C3294" s="15"/>
      <c r="D3294" s="15"/>
      <c r="E3294" s="15"/>
      <c r="F3294" s="15"/>
      <c r="G3294" s="15"/>
      <c r="H3294" s="15"/>
      <c r="I3294" s="15"/>
      <c r="J3294" s="15"/>
      <c r="K3294" s="15"/>
      <c r="L3294" s="28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  <c r="AA3294" s="15"/>
      <c r="AB3294" s="15"/>
      <c r="AC3294" s="15"/>
      <c r="AD3294" s="15"/>
      <c r="AE3294" s="15"/>
      <c r="AF3294" s="15"/>
      <c r="AG3294" s="15"/>
      <c r="AH3294" s="15"/>
      <c r="AI3294" s="15"/>
      <c r="AJ3294" s="15"/>
      <c r="AK3294" s="15"/>
      <c r="AL3294" s="15"/>
      <c r="AM3294" s="15"/>
      <c r="AN3294" s="15"/>
      <c r="AO3294" s="15"/>
      <c r="AP3294" s="15"/>
      <c r="AQ3294" s="15"/>
      <c r="AR3294" s="15"/>
      <c r="AS3294" s="15"/>
      <c r="AT3294" s="15"/>
      <c r="AU3294" s="15"/>
      <c r="AV3294" s="15"/>
      <c r="AW3294" s="15"/>
    </row>
    <row r="3295" spans="3:49" x14ac:dyDescent="0.2">
      <c r="C3295" s="15"/>
      <c r="D3295" s="15"/>
      <c r="E3295" s="15"/>
      <c r="F3295" s="15"/>
      <c r="G3295" s="15"/>
      <c r="H3295" s="15"/>
      <c r="I3295" s="15"/>
      <c r="J3295" s="15"/>
      <c r="K3295" s="15"/>
      <c r="L3295" s="28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  <c r="AA3295" s="15"/>
      <c r="AB3295" s="15"/>
      <c r="AC3295" s="15"/>
      <c r="AD3295" s="15"/>
      <c r="AE3295" s="15"/>
      <c r="AF3295" s="15"/>
      <c r="AG3295" s="15"/>
      <c r="AH3295" s="15"/>
      <c r="AI3295" s="15"/>
      <c r="AJ3295" s="15"/>
      <c r="AK3295" s="15"/>
      <c r="AL3295" s="15"/>
      <c r="AM3295" s="15"/>
      <c r="AN3295" s="15"/>
      <c r="AO3295" s="15"/>
      <c r="AP3295" s="15"/>
      <c r="AQ3295" s="15"/>
      <c r="AR3295" s="15"/>
      <c r="AS3295" s="15"/>
      <c r="AT3295" s="15"/>
      <c r="AU3295" s="15"/>
      <c r="AV3295" s="15"/>
      <c r="AW3295" s="15"/>
    </row>
    <row r="3296" spans="3:49" x14ac:dyDescent="0.2">
      <c r="C3296" s="15"/>
      <c r="D3296" s="15"/>
      <c r="E3296" s="15"/>
      <c r="F3296" s="15"/>
      <c r="G3296" s="15"/>
      <c r="H3296" s="15"/>
      <c r="I3296" s="15"/>
      <c r="J3296" s="15"/>
      <c r="K3296" s="15"/>
      <c r="L3296" s="28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  <c r="AA3296" s="15"/>
      <c r="AB3296" s="15"/>
      <c r="AC3296" s="15"/>
      <c r="AD3296" s="15"/>
      <c r="AE3296" s="15"/>
      <c r="AF3296" s="15"/>
      <c r="AG3296" s="15"/>
      <c r="AH3296" s="15"/>
      <c r="AI3296" s="15"/>
      <c r="AJ3296" s="15"/>
      <c r="AK3296" s="15"/>
      <c r="AL3296" s="15"/>
      <c r="AM3296" s="15"/>
      <c r="AN3296" s="15"/>
      <c r="AO3296" s="15"/>
      <c r="AP3296" s="15"/>
      <c r="AQ3296" s="15"/>
      <c r="AR3296" s="15"/>
      <c r="AS3296" s="15"/>
      <c r="AT3296" s="15"/>
      <c r="AU3296" s="15"/>
      <c r="AV3296" s="15"/>
      <c r="AW3296" s="15"/>
    </row>
    <row r="3297" spans="3:49" x14ac:dyDescent="0.2">
      <c r="C3297" s="15"/>
      <c r="D3297" s="15"/>
      <c r="E3297" s="15"/>
      <c r="F3297" s="15"/>
      <c r="G3297" s="15"/>
      <c r="H3297" s="15"/>
      <c r="I3297" s="15"/>
      <c r="J3297" s="15"/>
      <c r="K3297" s="15"/>
      <c r="L3297" s="28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  <c r="AA3297" s="15"/>
      <c r="AB3297" s="15"/>
      <c r="AC3297" s="15"/>
      <c r="AD3297" s="15"/>
      <c r="AE3297" s="15"/>
      <c r="AF3297" s="15"/>
      <c r="AG3297" s="15"/>
      <c r="AH3297" s="15"/>
      <c r="AI3297" s="15"/>
      <c r="AJ3297" s="15"/>
      <c r="AK3297" s="15"/>
      <c r="AL3297" s="15"/>
      <c r="AM3297" s="15"/>
      <c r="AN3297" s="15"/>
      <c r="AO3297" s="15"/>
      <c r="AP3297" s="15"/>
      <c r="AQ3297" s="15"/>
      <c r="AR3297" s="15"/>
      <c r="AS3297" s="15"/>
      <c r="AT3297" s="15"/>
      <c r="AU3297" s="15"/>
      <c r="AV3297" s="15"/>
      <c r="AW3297" s="15"/>
    </row>
    <row r="3298" spans="3:49" x14ac:dyDescent="0.2">
      <c r="C3298" s="15"/>
      <c r="D3298" s="15"/>
      <c r="E3298" s="15"/>
      <c r="F3298" s="15"/>
      <c r="G3298" s="15"/>
      <c r="H3298" s="15"/>
      <c r="I3298" s="15"/>
      <c r="J3298" s="15"/>
      <c r="K3298" s="15"/>
      <c r="L3298" s="28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  <c r="AA3298" s="15"/>
      <c r="AB3298" s="15"/>
      <c r="AC3298" s="15"/>
      <c r="AD3298" s="15"/>
      <c r="AE3298" s="15"/>
      <c r="AF3298" s="15"/>
      <c r="AG3298" s="15"/>
      <c r="AH3298" s="15"/>
      <c r="AI3298" s="15"/>
      <c r="AJ3298" s="15"/>
      <c r="AK3298" s="15"/>
      <c r="AL3298" s="15"/>
      <c r="AM3298" s="15"/>
      <c r="AN3298" s="15"/>
      <c r="AO3298" s="15"/>
      <c r="AP3298" s="15"/>
      <c r="AQ3298" s="15"/>
      <c r="AR3298" s="15"/>
      <c r="AS3298" s="15"/>
      <c r="AT3298" s="15"/>
      <c r="AU3298" s="15"/>
      <c r="AV3298" s="15"/>
      <c r="AW3298" s="15"/>
    </row>
    <row r="3299" spans="3:49" x14ac:dyDescent="0.2">
      <c r="C3299" s="15"/>
      <c r="D3299" s="15"/>
      <c r="E3299" s="15"/>
      <c r="F3299" s="15"/>
      <c r="G3299" s="15"/>
      <c r="H3299" s="15"/>
      <c r="I3299" s="15"/>
      <c r="J3299" s="15"/>
      <c r="K3299" s="15"/>
      <c r="L3299" s="28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  <c r="AA3299" s="15"/>
      <c r="AB3299" s="15"/>
      <c r="AC3299" s="15"/>
      <c r="AD3299" s="15"/>
      <c r="AE3299" s="15"/>
      <c r="AF3299" s="15"/>
      <c r="AG3299" s="15"/>
      <c r="AH3299" s="15"/>
      <c r="AI3299" s="15"/>
      <c r="AJ3299" s="15"/>
      <c r="AK3299" s="15"/>
      <c r="AL3299" s="15"/>
      <c r="AM3299" s="15"/>
      <c r="AN3299" s="15"/>
      <c r="AO3299" s="15"/>
      <c r="AP3299" s="15"/>
      <c r="AQ3299" s="15"/>
      <c r="AR3299" s="15"/>
      <c r="AS3299" s="15"/>
      <c r="AT3299" s="15"/>
      <c r="AU3299" s="15"/>
      <c r="AV3299" s="15"/>
      <c r="AW3299" s="15"/>
    </row>
    <row r="3300" spans="3:49" x14ac:dyDescent="0.2">
      <c r="C3300" s="15"/>
      <c r="D3300" s="15"/>
      <c r="E3300" s="15"/>
      <c r="F3300" s="15"/>
      <c r="G3300" s="15"/>
      <c r="H3300" s="15"/>
      <c r="I3300" s="15"/>
      <c r="J3300" s="15"/>
      <c r="K3300" s="15"/>
      <c r="L3300" s="28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  <c r="AA3300" s="15"/>
      <c r="AB3300" s="15"/>
      <c r="AC3300" s="15"/>
      <c r="AD3300" s="15"/>
      <c r="AE3300" s="15"/>
      <c r="AF3300" s="15"/>
      <c r="AG3300" s="15"/>
      <c r="AH3300" s="15"/>
      <c r="AI3300" s="15"/>
      <c r="AJ3300" s="15"/>
      <c r="AK3300" s="15"/>
      <c r="AL3300" s="15"/>
      <c r="AM3300" s="15"/>
      <c r="AN3300" s="15"/>
      <c r="AO3300" s="15"/>
      <c r="AP3300" s="15"/>
      <c r="AQ3300" s="15"/>
      <c r="AR3300" s="15"/>
      <c r="AS3300" s="15"/>
      <c r="AT3300" s="15"/>
      <c r="AU3300" s="15"/>
      <c r="AV3300" s="15"/>
      <c r="AW3300" s="15"/>
    </row>
    <row r="3301" spans="3:49" x14ac:dyDescent="0.2">
      <c r="C3301" s="15"/>
      <c r="D3301" s="15"/>
      <c r="E3301" s="15"/>
      <c r="F3301" s="15"/>
      <c r="G3301" s="15"/>
      <c r="H3301" s="15"/>
      <c r="I3301" s="15"/>
      <c r="J3301" s="15"/>
      <c r="K3301" s="15"/>
      <c r="L3301" s="28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  <c r="AA3301" s="15"/>
      <c r="AB3301" s="15"/>
      <c r="AC3301" s="15"/>
      <c r="AD3301" s="15"/>
      <c r="AE3301" s="15"/>
      <c r="AF3301" s="15"/>
      <c r="AG3301" s="15"/>
      <c r="AH3301" s="15"/>
      <c r="AI3301" s="15"/>
      <c r="AJ3301" s="15"/>
      <c r="AK3301" s="15"/>
      <c r="AL3301" s="15"/>
      <c r="AM3301" s="15"/>
      <c r="AN3301" s="15"/>
      <c r="AO3301" s="15"/>
      <c r="AP3301" s="15"/>
      <c r="AQ3301" s="15"/>
      <c r="AR3301" s="15"/>
      <c r="AS3301" s="15"/>
      <c r="AT3301" s="15"/>
      <c r="AU3301" s="15"/>
      <c r="AV3301" s="15"/>
      <c r="AW3301" s="15"/>
    </row>
    <row r="3302" spans="3:49" x14ac:dyDescent="0.2">
      <c r="C3302" s="15"/>
      <c r="D3302" s="15"/>
      <c r="E3302" s="15"/>
      <c r="F3302" s="15"/>
      <c r="G3302" s="15"/>
      <c r="H3302" s="15"/>
      <c r="I3302" s="15"/>
      <c r="J3302" s="15"/>
      <c r="K3302" s="15"/>
      <c r="L3302" s="28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  <c r="AA3302" s="15"/>
      <c r="AB3302" s="15"/>
      <c r="AC3302" s="15"/>
      <c r="AD3302" s="15"/>
      <c r="AE3302" s="15"/>
      <c r="AF3302" s="15"/>
      <c r="AG3302" s="15"/>
      <c r="AH3302" s="15"/>
      <c r="AI3302" s="15"/>
      <c r="AJ3302" s="15"/>
      <c r="AK3302" s="15"/>
      <c r="AL3302" s="15"/>
      <c r="AM3302" s="15"/>
      <c r="AN3302" s="15"/>
      <c r="AO3302" s="15"/>
      <c r="AP3302" s="15"/>
      <c r="AQ3302" s="15"/>
      <c r="AR3302" s="15"/>
      <c r="AS3302" s="15"/>
      <c r="AT3302" s="15"/>
      <c r="AU3302" s="15"/>
      <c r="AV3302" s="15"/>
      <c r="AW3302" s="15"/>
    </row>
    <row r="3303" spans="3:49" x14ac:dyDescent="0.2">
      <c r="C3303" s="15"/>
      <c r="D3303" s="15"/>
      <c r="E3303" s="15"/>
      <c r="F3303" s="15"/>
      <c r="G3303" s="15"/>
      <c r="H3303" s="15"/>
      <c r="I3303" s="15"/>
      <c r="J3303" s="15"/>
      <c r="K3303" s="15"/>
      <c r="L3303" s="28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  <c r="AA3303" s="15"/>
      <c r="AB3303" s="15"/>
      <c r="AC3303" s="15"/>
      <c r="AD3303" s="15"/>
      <c r="AE3303" s="15"/>
      <c r="AF3303" s="15"/>
      <c r="AG3303" s="15"/>
      <c r="AH3303" s="15"/>
      <c r="AI3303" s="15"/>
      <c r="AJ3303" s="15"/>
      <c r="AK3303" s="15"/>
      <c r="AL3303" s="15"/>
      <c r="AM3303" s="15"/>
      <c r="AN3303" s="15"/>
      <c r="AO3303" s="15"/>
      <c r="AP3303" s="15"/>
      <c r="AQ3303" s="15"/>
      <c r="AR3303" s="15"/>
      <c r="AS3303" s="15"/>
      <c r="AT3303" s="15"/>
      <c r="AU3303" s="15"/>
      <c r="AV3303" s="15"/>
      <c r="AW3303" s="15"/>
    </row>
    <row r="3304" spans="3:49" x14ac:dyDescent="0.2">
      <c r="C3304" s="15"/>
      <c r="D3304" s="15"/>
      <c r="E3304" s="15"/>
      <c r="F3304" s="15"/>
      <c r="G3304" s="15"/>
      <c r="H3304" s="15"/>
      <c r="I3304" s="15"/>
      <c r="J3304" s="15"/>
      <c r="K3304" s="15"/>
      <c r="L3304" s="28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  <c r="AA3304" s="15"/>
      <c r="AB3304" s="15"/>
      <c r="AC3304" s="15"/>
      <c r="AD3304" s="15"/>
      <c r="AE3304" s="15"/>
      <c r="AF3304" s="15"/>
      <c r="AG3304" s="15"/>
      <c r="AH3304" s="15"/>
      <c r="AI3304" s="15"/>
      <c r="AJ3304" s="15"/>
      <c r="AK3304" s="15"/>
      <c r="AL3304" s="15"/>
      <c r="AM3304" s="15"/>
      <c r="AN3304" s="15"/>
      <c r="AO3304" s="15"/>
      <c r="AP3304" s="15"/>
      <c r="AQ3304" s="15"/>
      <c r="AR3304" s="15"/>
      <c r="AS3304" s="15"/>
      <c r="AT3304" s="15"/>
      <c r="AU3304" s="15"/>
      <c r="AV3304" s="15"/>
      <c r="AW3304" s="15"/>
    </row>
    <row r="3305" spans="3:49" x14ac:dyDescent="0.2">
      <c r="C3305" s="15"/>
      <c r="D3305" s="15"/>
      <c r="E3305" s="15"/>
      <c r="F3305" s="15"/>
      <c r="G3305" s="15"/>
      <c r="H3305" s="15"/>
      <c r="I3305" s="15"/>
      <c r="J3305" s="15"/>
      <c r="K3305" s="15"/>
      <c r="L3305" s="28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  <c r="AA3305" s="15"/>
      <c r="AB3305" s="15"/>
      <c r="AC3305" s="15"/>
      <c r="AD3305" s="15"/>
      <c r="AE3305" s="15"/>
      <c r="AF3305" s="15"/>
      <c r="AG3305" s="15"/>
      <c r="AH3305" s="15"/>
      <c r="AI3305" s="15"/>
      <c r="AJ3305" s="15"/>
      <c r="AK3305" s="15"/>
      <c r="AL3305" s="15"/>
      <c r="AM3305" s="15"/>
      <c r="AN3305" s="15"/>
      <c r="AO3305" s="15"/>
      <c r="AP3305" s="15"/>
      <c r="AQ3305" s="15"/>
      <c r="AR3305" s="15"/>
      <c r="AS3305" s="15"/>
      <c r="AT3305" s="15"/>
      <c r="AU3305" s="15"/>
      <c r="AV3305" s="15"/>
      <c r="AW3305" s="15"/>
    </row>
    <row r="3306" spans="3:49" x14ac:dyDescent="0.2">
      <c r="C3306" s="15"/>
      <c r="D3306" s="15"/>
      <c r="E3306" s="15"/>
      <c r="F3306" s="15"/>
      <c r="G3306" s="15"/>
      <c r="H3306" s="15"/>
      <c r="I3306" s="15"/>
      <c r="J3306" s="15"/>
      <c r="K3306" s="15"/>
      <c r="L3306" s="28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  <c r="AA3306" s="15"/>
      <c r="AB3306" s="15"/>
      <c r="AC3306" s="15"/>
      <c r="AD3306" s="15"/>
      <c r="AE3306" s="15"/>
      <c r="AF3306" s="15"/>
      <c r="AG3306" s="15"/>
      <c r="AH3306" s="15"/>
      <c r="AI3306" s="15"/>
      <c r="AJ3306" s="15"/>
      <c r="AK3306" s="15"/>
      <c r="AL3306" s="15"/>
      <c r="AM3306" s="15"/>
      <c r="AN3306" s="15"/>
      <c r="AO3306" s="15"/>
      <c r="AP3306" s="15"/>
      <c r="AQ3306" s="15"/>
      <c r="AR3306" s="15"/>
      <c r="AS3306" s="15"/>
      <c r="AT3306" s="15"/>
      <c r="AU3306" s="15"/>
      <c r="AV3306" s="15"/>
      <c r="AW3306" s="15"/>
    </row>
    <row r="3307" spans="3:49" x14ac:dyDescent="0.2">
      <c r="C3307" s="15"/>
      <c r="D3307" s="15"/>
      <c r="E3307" s="15"/>
      <c r="F3307" s="15"/>
      <c r="G3307" s="15"/>
      <c r="H3307" s="15"/>
      <c r="I3307" s="15"/>
      <c r="J3307" s="15"/>
      <c r="K3307" s="15"/>
      <c r="L3307" s="28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  <c r="AA3307" s="15"/>
      <c r="AB3307" s="15"/>
      <c r="AC3307" s="15"/>
      <c r="AD3307" s="15"/>
      <c r="AE3307" s="15"/>
      <c r="AF3307" s="15"/>
      <c r="AG3307" s="15"/>
      <c r="AH3307" s="15"/>
      <c r="AI3307" s="15"/>
      <c r="AJ3307" s="15"/>
      <c r="AK3307" s="15"/>
      <c r="AL3307" s="15"/>
      <c r="AM3307" s="15"/>
      <c r="AN3307" s="15"/>
      <c r="AO3307" s="15"/>
      <c r="AP3307" s="15"/>
      <c r="AQ3307" s="15"/>
      <c r="AR3307" s="15"/>
      <c r="AS3307" s="15"/>
      <c r="AT3307" s="15"/>
      <c r="AU3307" s="15"/>
      <c r="AV3307" s="15"/>
      <c r="AW3307" s="15"/>
    </row>
    <row r="3308" spans="3:49" x14ac:dyDescent="0.2">
      <c r="C3308" s="15"/>
      <c r="D3308" s="15"/>
      <c r="E3308" s="15"/>
      <c r="F3308" s="15"/>
      <c r="G3308" s="15"/>
      <c r="H3308" s="15"/>
      <c r="I3308" s="15"/>
      <c r="J3308" s="15"/>
      <c r="K3308" s="15"/>
      <c r="L3308" s="28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  <c r="AA3308" s="15"/>
      <c r="AB3308" s="15"/>
      <c r="AC3308" s="15"/>
      <c r="AD3308" s="15"/>
      <c r="AE3308" s="15"/>
      <c r="AF3308" s="15"/>
      <c r="AG3308" s="15"/>
      <c r="AH3308" s="15"/>
      <c r="AI3308" s="15"/>
      <c r="AJ3308" s="15"/>
      <c r="AK3308" s="15"/>
      <c r="AL3308" s="15"/>
      <c r="AM3308" s="15"/>
      <c r="AN3308" s="15"/>
      <c r="AO3308" s="15"/>
      <c r="AP3308" s="15"/>
      <c r="AQ3308" s="15"/>
      <c r="AR3308" s="15"/>
      <c r="AS3308" s="15"/>
      <c r="AT3308" s="15"/>
      <c r="AU3308" s="15"/>
      <c r="AV3308" s="15"/>
      <c r="AW3308" s="15"/>
    </row>
    <row r="3309" spans="3:49" x14ac:dyDescent="0.2">
      <c r="C3309" s="15"/>
      <c r="D3309" s="15"/>
      <c r="E3309" s="15"/>
      <c r="F3309" s="15"/>
      <c r="G3309" s="15"/>
      <c r="H3309" s="15"/>
      <c r="I3309" s="15"/>
      <c r="J3309" s="15"/>
      <c r="K3309" s="15"/>
      <c r="L3309" s="28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  <c r="AA3309" s="15"/>
      <c r="AB3309" s="15"/>
      <c r="AC3309" s="15"/>
      <c r="AD3309" s="15"/>
      <c r="AE3309" s="15"/>
      <c r="AF3309" s="15"/>
      <c r="AG3309" s="15"/>
      <c r="AH3309" s="15"/>
      <c r="AI3309" s="15"/>
      <c r="AJ3309" s="15"/>
      <c r="AK3309" s="15"/>
      <c r="AL3309" s="15"/>
      <c r="AM3309" s="15"/>
      <c r="AN3309" s="15"/>
      <c r="AO3309" s="15"/>
      <c r="AP3309" s="15"/>
      <c r="AQ3309" s="15"/>
      <c r="AR3309" s="15"/>
      <c r="AS3309" s="15"/>
      <c r="AT3309" s="15"/>
      <c r="AU3309" s="15"/>
      <c r="AV3309" s="15"/>
      <c r="AW3309" s="15"/>
    </row>
    <row r="3310" spans="3:49" x14ac:dyDescent="0.2">
      <c r="C3310" s="15"/>
      <c r="D3310" s="15"/>
      <c r="E3310" s="15"/>
      <c r="F3310" s="15"/>
      <c r="G3310" s="15"/>
      <c r="H3310" s="15"/>
      <c r="I3310" s="15"/>
      <c r="J3310" s="15"/>
      <c r="K3310" s="15"/>
      <c r="L3310" s="28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  <c r="AA3310" s="15"/>
      <c r="AB3310" s="15"/>
      <c r="AC3310" s="15"/>
      <c r="AD3310" s="15"/>
      <c r="AE3310" s="15"/>
      <c r="AF3310" s="15"/>
      <c r="AG3310" s="15"/>
      <c r="AH3310" s="15"/>
      <c r="AI3310" s="15"/>
      <c r="AJ3310" s="15"/>
      <c r="AK3310" s="15"/>
      <c r="AL3310" s="15"/>
      <c r="AM3310" s="15"/>
      <c r="AN3310" s="15"/>
      <c r="AO3310" s="15"/>
      <c r="AP3310" s="15"/>
      <c r="AQ3310" s="15"/>
      <c r="AR3310" s="15"/>
      <c r="AS3310" s="15"/>
      <c r="AT3310" s="15"/>
      <c r="AU3310" s="15"/>
      <c r="AV3310" s="15"/>
      <c r="AW3310" s="15"/>
    </row>
    <row r="3311" spans="3:49" x14ac:dyDescent="0.2">
      <c r="C3311" s="15"/>
      <c r="D3311" s="15"/>
      <c r="E3311" s="15"/>
      <c r="F3311" s="15"/>
      <c r="G3311" s="15"/>
      <c r="H3311" s="15"/>
      <c r="I3311" s="15"/>
      <c r="J3311" s="15"/>
      <c r="K3311" s="15"/>
      <c r="L3311" s="28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  <c r="AA3311" s="15"/>
      <c r="AB3311" s="15"/>
      <c r="AC3311" s="15"/>
      <c r="AD3311" s="15"/>
      <c r="AE3311" s="15"/>
      <c r="AF3311" s="15"/>
      <c r="AG3311" s="15"/>
      <c r="AH3311" s="15"/>
      <c r="AI3311" s="15"/>
      <c r="AJ3311" s="15"/>
      <c r="AK3311" s="15"/>
      <c r="AL3311" s="15"/>
      <c r="AM3311" s="15"/>
      <c r="AN3311" s="15"/>
      <c r="AO3311" s="15"/>
      <c r="AP3311" s="15"/>
      <c r="AQ3311" s="15"/>
      <c r="AR3311" s="15"/>
      <c r="AS3311" s="15"/>
      <c r="AT3311" s="15"/>
      <c r="AU3311" s="15"/>
      <c r="AV3311" s="15"/>
      <c r="AW3311" s="15"/>
    </row>
    <row r="3312" spans="3:49" x14ac:dyDescent="0.2">
      <c r="C3312" s="15"/>
      <c r="D3312" s="15"/>
      <c r="E3312" s="15"/>
      <c r="F3312" s="15"/>
      <c r="G3312" s="15"/>
      <c r="H3312" s="15"/>
      <c r="I3312" s="15"/>
      <c r="J3312" s="15"/>
      <c r="K3312" s="15"/>
      <c r="L3312" s="28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  <c r="AA3312" s="15"/>
      <c r="AB3312" s="15"/>
      <c r="AC3312" s="15"/>
      <c r="AD3312" s="15"/>
      <c r="AE3312" s="15"/>
      <c r="AF3312" s="15"/>
      <c r="AG3312" s="15"/>
      <c r="AH3312" s="15"/>
      <c r="AI3312" s="15"/>
      <c r="AJ3312" s="15"/>
      <c r="AK3312" s="15"/>
      <c r="AL3312" s="15"/>
      <c r="AM3312" s="15"/>
      <c r="AN3312" s="15"/>
      <c r="AO3312" s="15"/>
      <c r="AP3312" s="15"/>
      <c r="AQ3312" s="15"/>
      <c r="AR3312" s="15"/>
      <c r="AS3312" s="15"/>
      <c r="AT3312" s="15"/>
      <c r="AU3312" s="15"/>
      <c r="AV3312" s="15"/>
      <c r="AW3312" s="15"/>
    </row>
    <row r="3313" spans="3:49" x14ac:dyDescent="0.2">
      <c r="C3313" s="15"/>
      <c r="D3313" s="15"/>
      <c r="E3313" s="15"/>
      <c r="F3313" s="15"/>
      <c r="G3313" s="15"/>
      <c r="H3313" s="15"/>
      <c r="I3313" s="15"/>
      <c r="J3313" s="15"/>
      <c r="K3313" s="15"/>
      <c r="L3313" s="28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  <c r="AA3313" s="15"/>
      <c r="AB3313" s="15"/>
      <c r="AC3313" s="15"/>
      <c r="AD3313" s="15"/>
      <c r="AE3313" s="15"/>
      <c r="AF3313" s="15"/>
      <c r="AG3313" s="15"/>
      <c r="AH3313" s="15"/>
      <c r="AI3313" s="15"/>
      <c r="AJ3313" s="15"/>
      <c r="AK3313" s="15"/>
      <c r="AL3313" s="15"/>
      <c r="AM3313" s="15"/>
      <c r="AN3313" s="15"/>
      <c r="AO3313" s="15"/>
      <c r="AP3313" s="15"/>
      <c r="AQ3313" s="15"/>
      <c r="AR3313" s="15"/>
      <c r="AS3313" s="15"/>
      <c r="AT3313" s="15"/>
      <c r="AU3313" s="15"/>
      <c r="AV3313" s="15"/>
      <c r="AW3313" s="15"/>
    </row>
    <row r="3314" spans="3:49" x14ac:dyDescent="0.2">
      <c r="C3314" s="15"/>
      <c r="D3314" s="15"/>
      <c r="E3314" s="15"/>
      <c r="F3314" s="15"/>
      <c r="G3314" s="15"/>
      <c r="H3314" s="15"/>
      <c r="I3314" s="15"/>
      <c r="J3314" s="15"/>
      <c r="K3314" s="15"/>
      <c r="L3314" s="28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  <c r="AA3314" s="15"/>
      <c r="AB3314" s="15"/>
      <c r="AC3314" s="15"/>
      <c r="AD3314" s="15"/>
      <c r="AE3314" s="15"/>
      <c r="AF3314" s="15"/>
      <c r="AG3314" s="15"/>
      <c r="AH3314" s="15"/>
      <c r="AI3314" s="15"/>
      <c r="AJ3314" s="15"/>
      <c r="AK3314" s="15"/>
      <c r="AL3314" s="15"/>
      <c r="AM3314" s="15"/>
      <c r="AN3314" s="15"/>
      <c r="AO3314" s="15"/>
      <c r="AP3314" s="15"/>
      <c r="AQ3314" s="15"/>
      <c r="AR3314" s="15"/>
      <c r="AS3314" s="15"/>
      <c r="AT3314" s="15"/>
      <c r="AU3314" s="15"/>
      <c r="AV3314" s="15"/>
      <c r="AW3314" s="15"/>
    </row>
    <row r="3315" spans="3:49" x14ac:dyDescent="0.2">
      <c r="C3315" s="15"/>
      <c r="D3315" s="15"/>
      <c r="E3315" s="15"/>
      <c r="F3315" s="15"/>
      <c r="G3315" s="15"/>
      <c r="H3315" s="15"/>
      <c r="I3315" s="15"/>
      <c r="J3315" s="15"/>
      <c r="K3315" s="15"/>
      <c r="L3315" s="28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  <c r="AA3315" s="15"/>
      <c r="AB3315" s="15"/>
      <c r="AC3315" s="15"/>
      <c r="AD3315" s="15"/>
      <c r="AE3315" s="15"/>
      <c r="AF3315" s="15"/>
      <c r="AG3315" s="15"/>
      <c r="AH3315" s="15"/>
      <c r="AI3315" s="15"/>
      <c r="AJ3315" s="15"/>
      <c r="AK3315" s="15"/>
      <c r="AL3315" s="15"/>
      <c r="AM3315" s="15"/>
      <c r="AN3315" s="15"/>
      <c r="AO3315" s="15"/>
      <c r="AP3315" s="15"/>
      <c r="AQ3315" s="15"/>
      <c r="AR3315" s="15"/>
      <c r="AS3315" s="15"/>
      <c r="AT3315" s="15"/>
      <c r="AU3315" s="15"/>
      <c r="AV3315" s="15"/>
      <c r="AW3315" s="15"/>
    </row>
    <row r="3316" spans="3:49" x14ac:dyDescent="0.2">
      <c r="C3316" s="15"/>
      <c r="D3316" s="15"/>
      <c r="E3316" s="15"/>
      <c r="F3316" s="15"/>
      <c r="G3316" s="15"/>
      <c r="H3316" s="15"/>
      <c r="I3316" s="15"/>
      <c r="J3316" s="15"/>
      <c r="K3316" s="15"/>
      <c r="L3316" s="28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  <c r="AA3316" s="15"/>
      <c r="AB3316" s="15"/>
      <c r="AC3316" s="15"/>
      <c r="AD3316" s="15"/>
      <c r="AE3316" s="15"/>
      <c r="AF3316" s="15"/>
      <c r="AG3316" s="15"/>
      <c r="AH3316" s="15"/>
      <c r="AI3316" s="15"/>
      <c r="AJ3316" s="15"/>
      <c r="AK3316" s="15"/>
      <c r="AL3316" s="15"/>
      <c r="AM3316" s="15"/>
      <c r="AN3316" s="15"/>
      <c r="AO3316" s="15"/>
      <c r="AP3316" s="15"/>
      <c r="AQ3316" s="15"/>
      <c r="AR3316" s="15"/>
      <c r="AS3316" s="15"/>
      <c r="AT3316" s="15"/>
      <c r="AU3316" s="15"/>
      <c r="AV3316" s="15"/>
      <c r="AW3316" s="15"/>
    </row>
    <row r="3317" spans="3:49" x14ac:dyDescent="0.2">
      <c r="C3317" s="15"/>
      <c r="D3317" s="15"/>
      <c r="E3317" s="15"/>
      <c r="F3317" s="15"/>
      <c r="G3317" s="15"/>
      <c r="H3317" s="15"/>
      <c r="I3317" s="15"/>
      <c r="J3317" s="15"/>
      <c r="K3317" s="15"/>
      <c r="L3317" s="28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  <c r="AA3317" s="15"/>
      <c r="AB3317" s="15"/>
      <c r="AC3317" s="15"/>
      <c r="AD3317" s="15"/>
      <c r="AE3317" s="15"/>
      <c r="AF3317" s="15"/>
      <c r="AG3317" s="15"/>
      <c r="AH3317" s="15"/>
      <c r="AI3317" s="15"/>
      <c r="AJ3317" s="15"/>
      <c r="AK3317" s="15"/>
      <c r="AL3317" s="15"/>
      <c r="AM3317" s="15"/>
      <c r="AN3317" s="15"/>
      <c r="AO3317" s="15"/>
      <c r="AP3317" s="15"/>
      <c r="AQ3317" s="15"/>
      <c r="AR3317" s="15"/>
      <c r="AS3317" s="15"/>
      <c r="AT3317" s="15"/>
      <c r="AU3317" s="15"/>
      <c r="AV3317" s="15"/>
      <c r="AW3317" s="15"/>
    </row>
    <row r="3318" spans="3:49" x14ac:dyDescent="0.2">
      <c r="C3318" s="15"/>
      <c r="D3318" s="15"/>
      <c r="E3318" s="15"/>
      <c r="F3318" s="15"/>
      <c r="G3318" s="15"/>
      <c r="H3318" s="15"/>
      <c r="I3318" s="15"/>
      <c r="J3318" s="15"/>
      <c r="K3318" s="15"/>
      <c r="L3318" s="28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  <c r="AA3318" s="15"/>
      <c r="AB3318" s="15"/>
      <c r="AC3318" s="15"/>
      <c r="AD3318" s="15"/>
      <c r="AE3318" s="15"/>
      <c r="AF3318" s="15"/>
      <c r="AG3318" s="15"/>
      <c r="AH3318" s="15"/>
      <c r="AI3318" s="15"/>
      <c r="AJ3318" s="15"/>
      <c r="AK3318" s="15"/>
      <c r="AL3318" s="15"/>
      <c r="AM3318" s="15"/>
      <c r="AN3318" s="15"/>
      <c r="AO3318" s="15"/>
      <c r="AP3318" s="15"/>
      <c r="AQ3318" s="15"/>
      <c r="AR3318" s="15"/>
      <c r="AS3318" s="15"/>
      <c r="AT3318" s="15"/>
      <c r="AU3318" s="15"/>
      <c r="AV3318" s="15"/>
      <c r="AW3318" s="15"/>
    </row>
    <row r="3319" spans="3:49" x14ac:dyDescent="0.2">
      <c r="C3319" s="15"/>
      <c r="D3319" s="15"/>
      <c r="E3319" s="15"/>
      <c r="F3319" s="15"/>
      <c r="G3319" s="15"/>
      <c r="H3319" s="15"/>
      <c r="I3319" s="15"/>
      <c r="J3319" s="15"/>
      <c r="K3319" s="15"/>
      <c r="L3319" s="28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  <c r="AA3319" s="15"/>
      <c r="AB3319" s="15"/>
      <c r="AC3319" s="15"/>
      <c r="AD3319" s="15"/>
      <c r="AE3319" s="15"/>
      <c r="AF3319" s="15"/>
      <c r="AG3319" s="15"/>
      <c r="AH3319" s="15"/>
      <c r="AI3319" s="15"/>
      <c r="AJ3319" s="15"/>
      <c r="AK3319" s="15"/>
      <c r="AL3319" s="15"/>
      <c r="AM3319" s="15"/>
      <c r="AN3319" s="15"/>
      <c r="AO3319" s="15"/>
      <c r="AP3319" s="15"/>
      <c r="AQ3319" s="15"/>
      <c r="AR3319" s="15"/>
      <c r="AS3319" s="15"/>
      <c r="AT3319" s="15"/>
      <c r="AU3319" s="15"/>
      <c r="AV3319" s="15"/>
      <c r="AW3319" s="15"/>
    </row>
    <row r="3320" spans="3:49" x14ac:dyDescent="0.2">
      <c r="C3320" s="15"/>
      <c r="D3320" s="15"/>
      <c r="E3320" s="15"/>
      <c r="F3320" s="15"/>
      <c r="G3320" s="15"/>
      <c r="H3320" s="15"/>
      <c r="I3320" s="15"/>
      <c r="J3320" s="15"/>
      <c r="K3320" s="15"/>
      <c r="L3320" s="28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  <c r="AA3320" s="15"/>
      <c r="AB3320" s="15"/>
      <c r="AC3320" s="15"/>
      <c r="AD3320" s="15"/>
      <c r="AE3320" s="15"/>
      <c r="AF3320" s="15"/>
      <c r="AG3320" s="15"/>
      <c r="AH3320" s="15"/>
      <c r="AI3320" s="15"/>
      <c r="AJ3320" s="15"/>
      <c r="AK3320" s="15"/>
      <c r="AL3320" s="15"/>
      <c r="AM3320" s="15"/>
      <c r="AN3320" s="15"/>
      <c r="AO3320" s="15"/>
      <c r="AP3320" s="15"/>
      <c r="AQ3320" s="15"/>
      <c r="AR3320" s="15"/>
      <c r="AS3320" s="15"/>
      <c r="AT3320" s="15"/>
      <c r="AU3320" s="15"/>
      <c r="AV3320" s="15"/>
      <c r="AW3320" s="15"/>
    </row>
    <row r="3321" spans="3:49" x14ac:dyDescent="0.2">
      <c r="C3321" s="15"/>
      <c r="D3321" s="15"/>
      <c r="E3321" s="15"/>
      <c r="F3321" s="15"/>
      <c r="G3321" s="15"/>
      <c r="H3321" s="15"/>
      <c r="I3321" s="15"/>
      <c r="J3321" s="15"/>
      <c r="K3321" s="15"/>
      <c r="L3321" s="28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  <c r="AA3321" s="15"/>
      <c r="AB3321" s="15"/>
      <c r="AC3321" s="15"/>
      <c r="AD3321" s="15"/>
      <c r="AE3321" s="15"/>
      <c r="AF3321" s="15"/>
      <c r="AG3321" s="15"/>
      <c r="AH3321" s="15"/>
      <c r="AI3321" s="15"/>
      <c r="AJ3321" s="15"/>
      <c r="AK3321" s="15"/>
      <c r="AL3321" s="15"/>
      <c r="AM3321" s="15"/>
      <c r="AN3321" s="15"/>
      <c r="AO3321" s="15"/>
      <c r="AP3321" s="15"/>
      <c r="AQ3321" s="15"/>
      <c r="AR3321" s="15"/>
      <c r="AS3321" s="15"/>
      <c r="AT3321" s="15"/>
      <c r="AU3321" s="15"/>
      <c r="AV3321" s="15"/>
      <c r="AW3321" s="15"/>
    </row>
    <row r="3322" spans="3:49" x14ac:dyDescent="0.2">
      <c r="C3322" s="15"/>
      <c r="D3322" s="15"/>
      <c r="E3322" s="15"/>
      <c r="F3322" s="15"/>
      <c r="G3322" s="15"/>
      <c r="H3322" s="15"/>
      <c r="I3322" s="15"/>
      <c r="J3322" s="15"/>
      <c r="K3322" s="15"/>
      <c r="L3322" s="28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  <c r="AA3322" s="15"/>
      <c r="AB3322" s="15"/>
      <c r="AC3322" s="15"/>
      <c r="AD3322" s="15"/>
      <c r="AE3322" s="15"/>
      <c r="AF3322" s="15"/>
      <c r="AG3322" s="15"/>
      <c r="AH3322" s="15"/>
      <c r="AI3322" s="15"/>
      <c r="AJ3322" s="15"/>
      <c r="AK3322" s="15"/>
      <c r="AL3322" s="15"/>
      <c r="AM3322" s="15"/>
      <c r="AN3322" s="15"/>
      <c r="AO3322" s="15"/>
      <c r="AP3322" s="15"/>
      <c r="AQ3322" s="15"/>
      <c r="AR3322" s="15"/>
      <c r="AS3322" s="15"/>
      <c r="AT3322" s="15"/>
      <c r="AU3322" s="15"/>
      <c r="AV3322" s="15"/>
      <c r="AW3322" s="15"/>
    </row>
    <row r="3323" spans="3:49" x14ac:dyDescent="0.2">
      <c r="C3323" s="15"/>
      <c r="D3323" s="15"/>
      <c r="E3323" s="15"/>
      <c r="F3323" s="15"/>
      <c r="G3323" s="15"/>
      <c r="H3323" s="15"/>
      <c r="I3323" s="15"/>
      <c r="J3323" s="15"/>
      <c r="K3323" s="15"/>
      <c r="L3323" s="28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  <c r="AA3323" s="15"/>
      <c r="AB3323" s="15"/>
      <c r="AC3323" s="15"/>
      <c r="AD3323" s="15"/>
      <c r="AE3323" s="15"/>
      <c r="AF3323" s="15"/>
      <c r="AG3323" s="15"/>
      <c r="AH3323" s="15"/>
      <c r="AI3323" s="15"/>
      <c r="AJ3323" s="15"/>
      <c r="AK3323" s="15"/>
      <c r="AL3323" s="15"/>
      <c r="AM3323" s="15"/>
      <c r="AN3323" s="15"/>
      <c r="AO3323" s="15"/>
      <c r="AP3323" s="15"/>
      <c r="AQ3323" s="15"/>
      <c r="AR3323" s="15"/>
      <c r="AS3323" s="15"/>
      <c r="AT3323" s="15"/>
      <c r="AU3323" s="15"/>
      <c r="AV3323" s="15"/>
      <c r="AW3323" s="15"/>
    </row>
    <row r="3324" spans="3:49" x14ac:dyDescent="0.2">
      <c r="C3324" s="15"/>
      <c r="D3324" s="15"/>
      <c r="E3324" s="15"/>
      <c r="F3324" s="15"/>
      <c r="G3324" s="15"/>
      <c r="H3324" s="15"/>
      <c r="I3324" s="15"/>
      <c r="J3324" s="15"/>
      <c r="K3324" s="15"/>
      <c r="L3324" s="28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  <c r="AA3324" s="15"/>
      <c r="AB3324" s="15"/>
      <c r="AC3324" s="15"/>
      <c r="AD3324" s="15"/>
      <c r="AE3324" s="15"/>
      <c r="AF3324" s="15"/>
      <c r="AG3324" s="15"/>
      <c r="AH3324" s="15"/>
      <c r="AI3324" s="15"/>
      <c r="AJ3324" s="15"/>
      <c r="AK3324" s="15"/>
      <c r="AL3324" s="15"/>
      <c r="AM3324" s="15"/>
      <c r="AN3324" s="15"/>
      <c r="AO3324" s="15"/>
      <c r="AP3324" s="15"/>
      <c r="AQ3324" s="15"/>
      <c r="AR3324" s="15"/>
      <c r="AS3324" s="15"/>
      <c r="AT3324" s="15"/>
      <c r="AU3324" s="15"/>
      <c r="AV3324" s="15"/>
      <c r="AW3324" s="15"/>
    </row>
    <row r="3325" spans="3:49" x14ac:dyDescent="0.2">
      <c r="C3325" s="15"/>
      <c r="D3325" s="15"/>
      <c r="E3325" s="15"/>
      <c r="F3325" s="15"/>
      <c r="G3325" s="15"/>
      <c r="H3325" s="15"/>
      <c r="I3325" s="15"/>
      <c r="J3325" s="15"/>
      <c r="K3325" s="15"/>
      <c r="L3325" s="28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  <c r="AA3325" s="15"/>
      <c r="AB3325" s="15"/>
      <c r="AC3325" s="15"/>
      <c r="AD3325" s="15"/>
      <c r="AE3325" s="15"/>
      <c r="AF3325" s="15"/>
      <c r="AG3325" s="15"/>
      <c r="AH3325" s="15"/>
      <c r="AI3325" s="15"/>
      <c r="AJ3325" s="15"/>
      <c r="AK3325" s="15"/>
      <c r="AL3325" s="15"/>
      <c r="AM3325" s="15"/>
      <c r="AN3325" s="15"/>
      <c r="AO3325" s="15"/>
      <c r="AP3325" s="15"/>
      <c r="AQ3325" s="15"/>
      <c r="AR3325" s="15"/>
      <c r="AS3325" s="15"/>
      <c r="AT3325" s="15"/>
      <c r="AU3325" s="15"/>
      <c r="AV3325" s="15"/>
      <c r="AW3325" s="15"/>
    </row>
    <row r="3326" spans="3:49" x14ac:dyDescent="0.2">
      <c r="C3326" s="15"/>
      <c r="D3326" s="15"/>
      <c r="E3326" s="15"/>
      <c r="F3326" s="15"/>
      <c r="G3326" s="15"/>
      <c r="H3326" s="15"/>
      <c r="I3326" s="15"/>
      <c r="J3326" s="15"/>
      <c r="K3326" s="15"/>
      <c r="L3326" s="28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  <c r="AA3326" s="15"/>
      <c r="AB3326" s="15"/>
      <c r="AC3326" s="15"/>
      <c r="AD3326" s="15"/>
      <c r="AE3326" s="15"/>
      <c r="AF3326" s="15"/>
      <c r="AG3326" s="15"/>
      <c r="AH3326" s="15"/>
      <c r="AI3326" s="15"/>
      <c r="AJ3326" s="15"/>
      <c r="AK3326" s="15"/>
      <c r="AL3326" s="15"/>
      <c r="AM3326" s="15"/>
      <c r="AN3326" s="15"/>
      <c r="AO3326" s="15"/>
      <c r="AP3326" s="15"/>
      <c r="AQ3326" s="15"/>
      <c r="AR3326" s="15"/>
      <c r="AS3326" s="15"/>
      <c r="AT3326" s="15"/>
      <c r="AU3326" s="15"/>
      <c r="AV3326" s="15"/>
      <c r="AW3326" s="15"/>
    </row>
    <row r="3327" spans="3:49" x14ac:dyDescent="0.2">
      <c r="C3327" s="15"/>
      <c r="D3327" s="15"/>
      <c r="E3327" s="15"/>
      <c r="F3327" s="15"/>
      <c r="G3327" s="15"/>
      <c r="H3327" s="15"/>
      <c r="I3327" s="15"/>
      <c r="J3327" s="15"/>
      <c r="K3327" s="15"/>
      <c r="L3327" s="28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  <c r="AA3327" s="15"/>
      <c r="AB3327" s="15"/>
      <c r="AC3327" s="15"/>
      <c r="AD3327" s="15"/>
      <c r="AE3327" s="15"/>
      <c r="AF3327" s="15"/>
      <c r="AG3327" s="15"/>
      <c r="AH3327" s="15"/>
      <c r="AI3327" s="15"/>
      <c r="AJ3327" s="15"/>
      <c r="AK3327" s="15"/>
      <c r="AL3327" s="15"/>
      <c r="AM3327" s="15"/>
      <c r="AN3327" s="15"/>
      <c r="AO3327" s="15"/>
      <c r="AP3327" s="15"/>
      <c r="AQ3327" s="15"/>
      <c r="AR3327" s="15"/>
      <c r="AS3327" s="15"/>
      <c r="AT3327" s="15"/>
      <c r="AU3327" s="15"/>
      <c r="AV3327" s="15"/>
      <c r="AW3327" s="15"/>
    </row>
    <row r="3328" spans="3:49" x14ac:dyDescent="0.2">
      <c r="C3328" s="15"/>
      <c r="D3328" s="15"/>
      <c r="E3328" s="15"/>
      <c r="F3328" s="15"/>
      <c r="G3328" s="15"/>
      <c r="H3328" s="15"/>
      <c r="I3328" s="15"/>
      <c r="J3328" s="15"/>
      <c r="K3328" s="15"/>
      <c r="L3328" s="28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  <c r="AA3328" s="15"/>
      <c r="AB3328" s="15"/>
      <c r="AC3328" s="15"/>
      <c r="AD3328" s="15"/>
      <c r="AE3328" s="15"/>
      <c r="AF3328" s="15"/>
      <c r="AG3328" s="15"/>
      <c r="AH3328" s="15"/>
      <c r="AI3328" s="15"/>
      <c r="AJ3328" s="15"/>
      <c r="AK3328" s="15"/>
      <c r="AL3328" s="15"/>
      <c r="AM3328" s="15"/>
      <c r="AN3328" s="15"/>
      <c r="AO3328" s="15"/>
      <c r="AP3328" s="15"/>
      <c r="AQ3328" s="15"/>
      <c r="AR3328" s="15"/>
      <c r="AS3328" s="15"/>
      <c r="AT3328" s="15"/>
      <c r="AU3328" s="15"/>
      <c r="AV3328" s="15"/>
      <c r="AW3328" s="15"/>
    </row>
    <row r="3329" spans="3:49" x14ac:dyDescent="0.2">
      <c r="C3329" s="15"/>
      <c r="D3329" s="15"/>
      <c r="E3329" s="15"/>
      <c r="F3329" s="15"/>
      <c r="G3329" s="15"/>
      <c r="H3329" s="15"/>
      <c r="I3329" s="15"/>
      <c r="J3329" s="15"/>
      <c r="K3329" s="15"/>
      <c r="L3329" s="28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  <c r="AA3329" s="15"/>
      <c r="AB3329" s="15"/>
      <c r="AC3329" s="15"/>
      <c r="AD3329" s="15"/>
      <c r="AE3329" s="15"/>
      <c r="AF3329" s="15"/>
      <c r="AG3329" s="15"/>
      <c r="AH3329" s="15"/>
      <c r="AI3329" s="15"/>
      <c r="AJ3329" s="15"/>
      <c r="AK3329" s="15"/>
      <c r="AL3329" s="15"/>
      <c r="AM3329" s="15"/>
      <c r="AN3329" s="15"/>
      <c r="AO3329" s="15"/>
      <c r="AP3329" s="15"/>
      <c r="AQ3329" s="15"/>
      <c r="AR3329" s="15"/>
      <c r="AS3329" s="15"/>
      <c r="AT3329" s="15"/>
      <c r="AU3329" s="15"/>
      <c r="AV3329" s="15"/>
      <c r="AW3329" s="15"/>
    </row>
    <row r="3330" spans="3:49" x14ac:dyDescent="0.2">
      <c r="C3330" s="15"/>
      <c r="D3330" s="15"/>
      <c r="E3330" s="15"/>
      <c r="F3330" s="15"/>
      <c r="G3330" s="15"/>
      <c r="H3330" s="15"/>
      <c r="I3330" s="15"/>
      <c r="J3330" s="15"/>
      <c r="K3330" s="15"/>
      <c r="L3330" s="28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  <c r="AA3330" s="15"/>
      <c r="AB3330" s="15"/>
      <c r="AC3330" s="15"/>
      <c r="AD3330" s="15"/>
      <c r="AE3330" s="15"/>
      <c r="AF3330" s="15"/>
      <c r="AG3330" s="15"/>
      <c r="AH3330" s="15"/>
      <c r="AI3330" s="15"/>
      <c r="AJ3330" s="15"/>
      <c r="AK3330" s="15"/>
      <c r="AL3330" s="15"/>
      <c r="AM3330" s="15"/>
      <c r="AN3330" s="15"/>
      <c r="AO3330" s="15"/>
      <c r="AP3330" s="15"/>
      <c r="AQ3330" s="15"/>
      <c r="AR3330" s="15"/>
      <c r="AS3330" s="15"/>
      <c r="AT3330" s="15"/>
      <c r="AU3330" s="15"/>
      <c r="AV3330" s="15"/>
      <c r="AW3330" s="15"/>
    </row>
    <row r="3331" spans="3:49" x14ac:dyDescent="0.2">
      <c r="C3331" s="15"/>
      <c r="D3331" s="15"/>
      <c r="E3331" s="15"/>
      <c r="F3331" s="15"/>
      <c r="G3331" s="15"/>
      <c r="H3331" s="15"/>
      <c r="I3331" s="15"/>
      <c r="J3331" s="15"/>
      <c r="K3331" s="15"/>
      <c r="L3331" s="28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  <c r="AA3331" s="15"/>
      <c r="AB3331" s="15"/>
      <c r="AC3331" s="15"/>
      <c r="AD3331" s="15"/>
      <c r="AE3331" s="15"/>
      <c r="AF3331" s="15"/>
      <c r="AG3331" s="15"/>
      <c r="AH3331" s="15"/>
      <c r="AI3331" s="15"/>
      <c r="AJ3331" s="15"/>
      <c r="AK3331" s="15"/>
      <c r="AL3331" s="15"/>
      <c r="AM3331" s="15"/>
      <c r="AN3331" s="15"/>
      <c r="AO3331" s="15"/>
      <c r="AP3331" s="15"/>
      <c r="AQ3331" s="15"/>
      <c r="AR3331" s="15"/>
      <c r="AS3331" s="15"/>
      <c r="AT3331" s="15"/>
      <c r="AU3331" s="15"/>
      <c r="AV3331" s="15"/>
      <c r="AW3331" s="15"/>
    </row>
    <row r="3332" spans="3:49" x14ac:dyDescent="0.2">
      <c r="C3332" s="15"/>
      <c r="D3332" s="15"/>
      <c r="E3332" s="15"/>
      <c r="F3332" s="15"/>
      <c r="G3332" s="15"/>
      <c r="H3332" s="15"/>
      <c r="I3332" s="15"/>
      <c r="J3332" s="15"/>
      <c r="K3332" s="15"/>
      <c r="L3332" s="28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  <c r="AA3332" s="15"/>
      <c r="AB3332" s="15"/>
      <c r="AC3332" s="15"/>
      <c r="AD3332" s="15"/>
      <c r="AE3332" s="15"/>
      <c r="AF3332" s="15"/>
      <c r="AG3332" s="15"/>
      <c r="AH3332" s="15"/>
      <c r="AI3332" s="15"/>
      <c r="AJ3332" s="15"/>
      <c r="AK3332" s="15"/>
      <c r="AL3332" s="15"/>
      <c r="AM3332" s="15"/>
      <c r="AN3332" s="15"/>
      <c r="AO3332" s="15"/>
      <c r="AP3332" s="15"/>
      <c r="AQ3332" s="15"/>
      <c r="AR3332" s="15"/>
      <c r="AS3332" s="15"/>
      <c r="AT3332" s="15"/>
      <c r="AU3332" s="15"/>
      <c r="AV3332" s="15"/>
      <c r="AW3332" s="15"/>
    </row>
    <row r="3333" spans="3:49" x14ac:dyDescent="0.2">
      <c r="C3333" s="15"/>
      <c r="D3333" s="15"/>
      <c r="E3333" s="15"/>
      <c r="F3333" s="15"/>
      <c r="G3333" s="15"/>
      <c r="H3333" s="15"/>
      <c r="I3333" s="15"/>
      <c r="J3333" s="15"/>
      <c r="K3333" s="15"/>
      <c r="L3333" s="28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  <c r="AA3333" s="15"/>
      <c r="AB3333" s="15"/>
      <c r="AC3333" s="15"/>
      <c r="AD3333" s="15"/>
      <c r="AE3333" s="15"/>
      <c r="AF3333" s="15"/>
      <c r="AG3333" s="15"/>
      <c r="AH3333" s="15"/>
      <c r="AI3333" s="15"/>
      <c r="AJ3333" s="15"/>
      <c r="AK3333" s="15"/>
      <c r="AL3333" s="15"/>
      <c r="AM3333" s="15"/>
      <c r="AN3333" s="15"/>
      <c r="AO3333" s="15"/>
      <c r="AP3333" s="15"/>
      <c r="AQ3333" s="15"/>
      <c r="AR3333" s="15"/>
      <c r="AS3333" s="15"/>
      <c r="AT3333" s="15"/>
      <c r="AU3333" s="15"/>
      <c r="AV3333" s="15"/>
      <c r="AW3333" s="15"/>
    </row>
    <row r="3334" spans="3:49" x14ac:dyDescent="0.2">
      <c r="C3334" s="15"/>
      <c r="D3334" s="15"/>
      <c r="E3334" s="15"/>
      <c r="F3334" s="15"/>
      <c r="G3334" s="15"/>
      <c r="H3334" s="15"/>
      <c r="I3334" s="15"/>
      <c r="J3334" s="15"/>
      <c r="K3334" s="15"/>
      <c r="L3334" s="28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  <c r="AA3334" s="15"/>
      <c r="AB3334" s="15"/>
      <c r="AC3334" s="15"/>
      <c r="AD3334" s="15"/>
      <c r="AE3334" s="15"/>
      <c r="AF3334" s="15"/>
      <c r="AG3334" s="15"/>
      <c r="AH3334" s="15"/>
      <c r="AI3334" s="15"/>
      <c r="AJ3334" s="15"/>
      <c r="AK3334" s="15"/>
      <c r="AL3334" s="15"/>
      <c r="AM3334" s="15"/>
      <c r="AN3334" s="15"/>
      <c r="AO3334" s="15"/>
      <c r="AP3334" s="15"/>
      <c r="AQ3334" s="15"/>
      <c r="AR3334" s="15"/>
      <c r="AS3334" s="15"/>
      <c r="AT3334" s="15"/>
      <c r="AU3334" s="15"/>
      <c r="AV3334" s="15"/>
      <c r="AW3334" s="15"/>
    </row>
    <row r="3335" spans="3:49" x14ac:dyDescent="0.2">
      <c r="C3335" s="15"/>
      <c r="D3335" s="15"/>
      <c r="E3335" s="15"/>
      <c r="F3335" s="15"/>
      <c r="G3335" s="15"/>
      <c r="H3335" s="15"/>
      <c r="I3335" s="15"/>
      <c r="J3335" s="15"/>
      <c r="K3335" s="15"/>
      <c r="L3335" s="28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  <c r="AA3335" s="15"/>
      <c r="AB3335" s="15"/>
      <c r="AC3335" s="15"/>
      <c r="AD3335" s="15"/>
      <c r="AE3335" s="15"/>
      <c r="AF3335" s="15"/>
      <c r="AG3335" s="15"/>
      <c r="AH3335" s="15"/>
      <c r="AI3335" s="15"/>
      <c r="AJ3335" s="15"/>
      <c r="AK3335" s="15"/>
      <c r="AL3335" s="15"/>
      <c r="AM3335" s="15"/>
      <c r="AN3335" s="15"/>
      <c r="AO3335" s="15"/>
      <c r="AP3335" s="15"/>
      <c r="AQ3335" s="15"/>
      <c r="AR3335" s="15"/>
      <c r="AS3335" s="15"/>
      <c r="AT3335" s="15"/>
      <c r="AU3335" s="15"/>
      <c r="AV3335" s="15"/>
      <c r="AW3335" s="15"/>
    </row>
    <row r="3336" spans="3:49" x14ac:dyDescent="0.2">
      <c r="C3336" s="15"/>
      <c r="D3336" s="15"/>
      <c r="E3336" s="15"/>
      <c r="F3336" s="15"/>
      <c r="G3336" s="15"/>
      <c r="H3336" s="15"/>
      <c r="I3336" s="15"/>
      <c r="J3336" s="15"/>
      <c r="K3336" s="15"/>
      <c r="L3336" s="28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  <c r="AA3336" s="15"/>
      <c r="AB3336" s="15"/>
      <c r="AC3336" s="15"/>
      <c r="AD3336" s="15"/>
      <c r="AE3336" s="15"/>
      <c r="AF3336" s="15"/>
      <c r="AG3336" s="15"/>
      <c r="AH3336" s="15"/>
      <c r="AI3336" s="15"/>
      <c r="AJ3336" s="15"/>
      <c r="AK3336" s="15"/>
      <c r="AL3336" s="15"/>
      <c r="AM3336" s="15"/>
      <c r="AN3336" s="15"/>
      <c r="AO3336" s="15"/>
      <c r="AP3336" s="15"/>
      <c r="AQ3336" s="15"/>
      <c r="AR3336" s="15"/>
      <c r="AS3336" s="15"/>
      <c r="AT3336" s="15"/>
      <c r="AU3336" s="15"/>
      <c r="AV3336" s="15"/>
      <c r="AW3336" s="15"/>
    </row>
    <row r="3337" spans="3:49" x14ac:dyDescent="0.2">
      <c r="C3337" s="15"/>
      <c r="D3337" s="15"/>
      <c r="E3337" s="15"/>
      <c r="F3337" s="15"/>
      <c r="G3337" s="15"/>
      <c r="H3337" s="15"/>
      <c r="I3337" s="15"/>
      <c r="J3337" s="15"/>
      <c r="K3337" s="15"/>
      <c r="L3337" s="28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  <c r="AA3337" s="15"/>
      <c r="AB3337" s="15"/>
      <c r="AC3337" s="15"/>
      <c r="AD3337" s="15"/>
      <c r="AE3337" s="15"/>
      <c r="AF3337" s="15"/>
      <c r="AG3337" s="15"/>
      <c r="AH3337" s="15"/>
      <c r="AI3337" s="15"/>
      <c r="AJ3337" s="15"/>
      <c r="AK3337" s="15"/>
      <c r="AL3337" s="15"/>
      <c r="AM3337" s="15"/>
      <c r="AN3337" s="15"/>
      <c r="AO3337" s="15"/>
      <c r="AP3337" s="15"/>
      <c r="AQ3337" s="15"/>
      <c r="AR3337" s="15"/>
      <c r="AS3337" s="15"/>
      <c r="AT3337" s="15"/>
      <c r="AU3337" s="15"/>
      <c r="AV3337" s="15"/>
      <c r="AW3337" s="15"/>
    </row>
    <row r="3338" spans="3:49" x14ac:dyDescent="0.2">
      <c r="C3338" s="15"/>
      <c r="D3338" s="15"/>
      <c r="E3338" s="15"/>
      <c r="F3338" s="15"/>
      <c r="G3338" s="15"/>
      <c r="H3338" s="15"/>
      <c r="I3338" s="15"/>
      <c r="J3338" s="15"/>
      <c r="K3338" s="15"/>
      <c r="L3338" s="28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  <c r="AA3338" s="15"/>
      <c r="AB3338" s="15"/>
      <c r="AC3338" s="15"/>
      <c r="AD3338" s="15"/>
      <c r="AE3338" s="15"/>
      <c r="AF3338" s="15"/>
      <c r="AG3338" s="15"/>
      <c r="AH3338" s="15"/>
      <c r="AI3338" s="15"/>
      <c r="AJ3338" s="15"/>
      <c r="AK3338" s="15"/>
      <c r="AL3338" s="15"/>
      <c r="AM3338" s="15"/>
      <c r="AN3338" s="15"/>
      <c r="AO3338" s="15"/>
      <c r="AP3338" s="15"/>
      <c r="AQ3338" s="15"/>
      <c r="AR3338" s="15"/>
      <c r="AS3338" s="15"/>
      <c r="AT3338" s="15"/>
      <c r="AU3338" s="15"/>
      <c r="AV3338" s="15"/>
      <c r="AW3338" s="15"/>
    </row>
    <row r="3339" spans="3:49" x14ac:dyDescent="0.2">
      <c r="C3339" s="15"/>
      <c r="D3339" s="15"/>
      <c r="E3339" s="15"/>
      <c r="F3339" s="15"/>
      <c r="G3339" s="15"/>
      <c r="H3339" s="15"/>
      <c r="I3339" s="15"/>
      <c r="J3339" s="15"/>
      <c r="K3339" s="15"/>
      <c r="L3339" s="28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  <c r="AA3339" s="15"/>
      <c r="AB3339" s="15"/>
      <c r="AC3339" s="15"/>
      <c r="AD3339" s="15"/>
      <c r="AE3339" s="15"/>
      <c r="AF3339" s="15"/>
      <c r="AG3339" s="15"/>
      <c r="AH3339" s="15"/>
      <c r="AI3339" s="15"/>
      <c r="AJ3339" s="15"/>
      <c r="AK3339" s="15"/>
      <c r="AL3339" s="15"/>
      <c r="AM3339" s="15"/>
      <c r="AN3339" s="15"/>
      <c r="AO3339" s="15"/>
      <c r="AP3339" s="15"/>
      <c r="AQ3339" s="15"/>
      <c r="AR3339" s="15"/>
      <c r="AS3339" s="15"/>
      <c r="AT3339" s="15"/>
      <c r="AU3339" s="15"/>
      <c r="AV3339" s="15"/>
      <c r="AW3339" s="15"/>
    </row>
    <row r="3340" spans="3:49" x14ac:dyDescent="0.2">
      <c r="C3340" s="15"/>
      <c r="D3340" s="15"/>
      <c r="E3340" s="15"/>
      <c r="F3340" s="15"/>
      <c r="G3340" s="15"/>
      <c r="H3340" s="15"/>
      <c r="I3340" s="15"/>
      <c r="J3340" s="15"/>
      <c r="K3340" s="15"/>
      <c r="L3340" s="28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  <c r="AA3340" s="15"/>
      <c r="AB3340" s="15"/>
      <c r="AC3340" s="15"/>
      <c r="AD3340" s="15"/>
      <c r="AE3340" s="15"/>
      <c r="AF3340" s="15"/>
      <c r="AG3340" s="15"/>
      <c r="AH3340" s="15"/>
      <c r="AI3340" s="15"/>
      <c r="AJ3340" s="15"/>
      <c r="AK3340" s="15"/>
      <c r="AL3340" s="15"/>
      <c r="AM3340" s="15"/>
      <c r="AN3340" s="15"/>
      <c r="AO3340" s="15"/>
      <c r="AP3340" s="15"/>
      <c r="AQ3340" s="15"/>
      <c r="AR3340" s="15"/>
      <c r="AS3340" s="15"/>
      <c r="AT3340" s="15"/>
      <c r="AU3340" s="15"/>
      <c r="AV3340" s="15"/>
      <c r="AW3340" s="15"/>
    </row>
    <row r="3341" spans="3:49" x14ac:dyDescent="0.2">
      <c r="C3341" s="15"/>
      <c r="D3341" s="15"/>
      <c r="E3341" s="15"/>
      <c r="F3341" s="15"/>
      <c r="G3341" s="15"/>
      <c r="H3341" s="15"/>
      <c r="I3341" s="15"/>
      <c r="J3341" s="15"/>
      <c r="K3341" s="15"/>
      <c r="L3341" s="28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  <c r="AA3341" s="15"/>
      <c r="AB3341" s="15"/>
      <c r="AC3341" s="15"/>
      <c r="AD3341" s="15"/>
      <c r="AE3341" s="15"/>
      <c r="AF3341" s="15"/>
      <c r="AG3341" s="15"/>
      <c r="AH3341" s="15"/>
      <c r="AI3341" s="15"/>
      <c r="AJ3341" s="15"/>
      <c r="AK3341" s="15"/>
      <c r="AL3341" s="15"/>
      <c r="AM3341" s="15"/>
      <c r="AN3341" s="15"/>
      <c r="AO3341" s="15"/>
      <c r="AP3341" s="15"/>
      <c r="AQ3341" s="15"/>
      <c r="AR3341" s="15"/>
      <c r="AS3341" s="15"/>
      <c r="AT3341" s="15"/>
      <c r="AU3341" s="15"/>
      <c r="AV3341" s="15"/>
      <c r="AW3341" s="15"/>
    </row>
    <row r="3342" spans="3:49" x14ac:dyDescent="0.2">
      <c r="C3342" s="15"/>
      <c r="D3342" s="15"/>
      <c r="E3342" s="15"/>
      <c r="F3342" s="15"/>
      <c r="G3342" s="15"/>
      <c r="H3342" s="15"/>
      <c r="I3342" s="15"/>
      <c r="J3342" s="15"/>
      <c r="K3342" s="15"/>
      <c r="L3342" s="28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  <c r="AA3342" s="15"/>
      <c r="AB3342" s="15"/>
      <c r="AC3342" s="15"/>
      <c r="AD3342" s="15"/>
      <c r="AE3342" s="15"/>
      <c r="AF3342" s="15"/>
      <c r="AG3342" s="15"/>
      <c r="AH3342" s="15"/>
      <c r="AI3342" s="15"/>
      <c r="AJ3342" s="15"/>
      <c r="AK3342" s="15"/>
      <c r="AL3342" s="15"/>
      <c r="AM3342" s="15"/>
      <c r="AN3342" s="15"/>
      <c r="AO3342" s="15"/>
      <c r="AP3342" s="15"/>
      <c r="AQ3342" s="15"/>
      <c r="AR3342" s="15"/>
      <c r="AS3342" s="15"/>
      <c r="AT3342" s="15"/>
      <c r="AU3342" s="15"/>
      <c r="AV3342" s="15"/>
      <c r="AW3342" s="15"/>
    </row>
    <row r="3343" spans="3:49" x14ac:dyDescent="0.2">
      <c r="C3343" s="15"/>
      <c r="D3343" s="15"/>
      <c r="E3343" s="15"/>
      <c r="F3343" s="15"/>
      <c r="G3343" s="15"/>
      <c r="H3343" s="15"/>
      <c r="I3343" s="15"/>
      <c r="J3343" s="15"/>
      <c r="K3343" s="15"/>
      <c r="L3343" s="28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  <c r="AA3343" s="15"/>
      <c r="AB3343" s="15"/>
      <c r="AC3343" s="15"/>
      <c r="AD3343" s="15"/>
      <c r="AE3343" s="15"/>
      <c r="AF3343" s="15"/>
      <c r="AG3343" s="15"/>
      <c r="AH3343" s="15"/>
      <c r="AI3343" s="15"/>
      <c r="AJ3343" s="15"/>
      <c r="AK3343" s="15"/>
      <c r="AL3343" s="15"/>
      <c r="AM3343" s="15"/>
      <c r="AN3343" s="15"/>
      <c r="AO3343" s="15"/>
      <c r="AP3343" s="15"/>
      <c r="AQ3343" s="15"/>
      <c r="AR3343" s="15"/>
      <c r="AS3343" s="15"/>
      <c r="AT3343" s="15"/>
      <c r="AU3343" s="15"/>
      <c r="AV3343" s="15"/>
      <c r="AW3343" s="15"/>
    </row>
    <row r="3344" spans="3:49" x14ac:dyDescent="0.2">
      <c r="C3344" s="15"/>
      <c r="D3344" s="15"/>
      <c r="E3344" s="15"/>
      <c r="F3344" s="15"/>
      <c r="G3344" s="15"/>
      <c r="H3344" s="15"/>
      <c r="I3344" s="15"/>
      <c r="J3344" s="15"/>
      <c r="K3344" s="15"/>
      <c r="L3344" s="28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  <c r="AA3344" s="15"/>
      <c r="AB3344" s="15"/>
      <c r="AC3344" s="15"/>
      <c r="AD3344" s="15"/>
      <c r="AE3344" s="15"/>
      <c r="AF3344" s="15"/>
      <c r="AG3344" s="15"/>
      <c r="AH3344" s="15"/>
      <c r="AI3344" s="15"/>
      <c r="AJ3344" s="15"/>
      <c r="AK3344" s="15"/>
      <c r="AL3344" s="15"/>
      <c r="AM3344" s="15"/>
      <c r="AN3344" s="15"/>
      <c r="AO3344" s="15"/>
      <c r="AP3344" s="15"/>
      <c r="AQ3344" s="15"/>
      <c r="AR3344" s="15"/>
      <c r="AS3344" s="15"/>
      <c r="AT3344" s="15"/>
      <c r="AU3344" s="15"/>
      <c r="AV3344" s="15"/>
      <c r="AW3344" s="15"/>
    </row>
    <row r="3345" spans="3:49" x14ac:dyDescent="0.2">
      <c r="C3345" s="15"/>
      <c r="D3345" s="15"/>
      <c r="E3345" s="15"/>
      <c r="F3345" s="15"/>
      <c r="G3345" s="15"/>
      <c r="H3345" s="15"/>
      <c r="I3345" s="15"/>
      <c r="J3345" s="15"/>
      <c r="K3345" s="15"/>
      <c r="L3345" s="28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  <c r="AA3345" s="15"/>
      <c r="AB3345" s="15"/>
      <c r="AC3345" s="15"/>
      <c r="AD3345" s="15"/>
      <c r="AE3345" s="15"/>
      <c r="AF3345" s="15"/>
      <c r="AG3345" s="15"/>
      <c r="AH3345" s="15"/>
      <c r="AI3345" s="15"/>
      <c r="AJ3345" s="15"/>
      <c r="AK3345" s="15"/>
      <c r="AL3345" s="15"/>
      <c r="AM3345" s="15"/>
      <c r="AN3345" s="15"/>
      <c r="AO3345" s="15"/>
      <c r="AP3345" s="15"/>
      <c r="AQ3345" s="15"/>
      <c r="AR3345" s="15"/>
      <c r="AS3345" s="15"/>
      <c r="AT3345" s="15"/>
      <c r="AU3345" s="15"/>
      <c r="AV3345" s="15"/>
      <c r="AW3345" s="15"/>
    </row>
    <row r="3346" spans="3:49" x14ac:dyDescent="0.2">
      <c r="C3346" s="15"/>
      <c r="D3346" s="15"/>
      <c r="E3346" s="15"/>
      <c r="F3346" s="15"/>
      <c r="G3346" s="15"/>
      <c r="H3346" s="15"/>
      <c r="I3346" s="15"/>
      <c r="J3346" s="15"/>
      <c r="K3346" s="15"/>
      <c r="L3346" s="28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  <c r="AA3346" s="15"/>
      <c r="AB3346" s="15"/>
      <c r="AC3346" s="15"/>
      <c r="AD3346" s="15"/>
      <c r="AE3346" s="15"/>
      <c r="AF3346" s="15"/>
      <c r="AG3346" s="15"/>
      <c r="AH3346" s="15"/>
      <c r="AI3346" s="15"/>
      <c r="AJ3346" s="15"/>
      <c r="AK3346" s="15"/>
      <c r="AL3346" s="15"/>
      <c r="AM3346" s="15"/>
      <c r="AN3346" s="15"/>
      <c r="AO3346" s="15"/>
      <c r="AP3346" s="15"/>
      <c r="AQ3346" s="15"/>
      <c r="AR3346" s="15"/>
      <c r="AS3346" s="15"/>
      <c r="AT3346" s="15"/>
      <c r="AU3346" s="15"/>
      <c r="AV3346" s="15"/>
      <c r="AW3346" s="15"/>
    </row>
    <row r="3347" spans="3:49" x14ac:dyDescent="0.2">
      <c r="C3347" s="15"/>
      <c r="D3347" s="15"/>
      <c r="E3347" s="15"/>
      <c r="F3347" s="15"/>
      <c r="G3347" s="15"/>
      <c r="H3347" s="15"/>
      <c r="I3347" s="15"/>
      <c r="J3347" s="15"/>
      <c r="K3347" s="15"/>
      <c r="L3347" s="28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  <c r="AA3347" s="15"/>
      <c r="AB3347" s="15"/>
      <c r="AC3347" s="15"/>
      <c r="AD3347" s="15"/>
      <c r="AE3347" s="15"/>
      <c r="AF3347" s="15"/>
      <c r="AG3347" s="15"/>
      <c r="AH3347" s="15"/>
      <c r="AI3347" s="15"/>
      <c r="AJ3347" s="15"/>
      <c r="AK3347" s="15"/>
      <c r="AL3347" s="15"/>
      <c r="AM3347" s="15"/>
      <c r="AN3347" s="15"/>
      <c r="AO3347" s="15"/>
      <c r="AP3347" s="15"/>
      <c r="AQ3347" s="15"/>
      <c r="AR3347" s="15"/>
      <c r="AS3347" s="15"/>
      <c r="AT3347" s="15"/>
      <c r="AU3347" s="15"/>
      <c r="AV3347" s="15"/>
      <c r="AW3347" s="15"/>
    </row>
    <row r="3348" spans="3:49" x14ac:dyDescent="0.2">
      <c r="C3348" s="15"/>
      <c r="D3348" s="15"/>
      <c r="E3348" s="15"/>
      <c r="F3348" s="15"/>
      <c r="G3348" s="15"/>
      <c r="H3348" s="15"/>
      <c r="I3348" s="15"/>
      <c r="J3348" s="15"/>
      <c r="K3348" s="15"/>
      <c r="L3348" s="28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  <c r="AA3348" s="15"/>
      <c r="AB3348" s="15"/>
      <c r="AC3348" s="15"/>
      <c r="AD3348" s="15"/>
      <c r="AE3348" s="15"/>
      <c r="AF3348" s="15"/>
      <c r="AG3348" s="15"/>
      <c r="AH3348" s="15"/>
      <c r="AI3348" s="15"/>
      <c r="AJ3348" s="15"/>
      <c r="AK3348" s="15"/>
      <c r="AL3348" s="15"/>
      <c r="AM3348" s="15"/>
      <c r="AN3348" s="15"/>
      <c r="AO3348" s="15"/>
      <c r="AP3348" s="15"/>
      <c r="AQ3348" s="15"/>
      <c r="AR3348" s="15"/>
      <c r="AS3348" s="15"/>
      <c r="AT3348" s="15"/>
      <c r="AU3348" s="15"/>
      <c r="AV3348" s="15"/>
      <c r="AW3348" s="15"/>
    </row>
    <row r="3349" spans="3:49" x14ac:dyDescent="0.2">
      <c r="C3349" s="15"/>
      <c r="D3349" s="15"/>
      <c r="E3349" s="15"/>
      <c r="F3349" s="15"/>
      <c r="G3349" s="15"/>
      <c r="H3349" s="15"/>
      <c r="I3349" s="15"/>
      <c r="J3349" s="15"/>
      <c r="K3349" s="15"/>
      <c r="L3349" s="28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  <c r="AA3349" s="15"/>
      <c r="AB3349" s="15"/>
      <c r="AC3349" s="15"/>
      <c r="AD3349" s="15"/>
      <c r="AE3349" s="15"/>
      <c r="AF3349" s="15"/>
      <c r="AG3349" s="15"/>
      <c r="AH3349" s="15"/>
      <c r="AI3349" s="15"/>
      <c r="AJ3349" s="15"/>
      <c r="AK3349" s="15"/>
      <c r="AL3349" s="15"/>
      <c r="AM3349" s="15"/>
      <c r="AN3349" s="15"/>
      <c r="AO3349" s="15"/>
      <c r="AP3349" s="15"/>
      <c r="AQ3349" s="15"/>
      <c r="AR3349" s="15"/>
      <c r="AS3349" s="15"/>
      <c r="AT3349" s="15"/>
      <c r="AU3349" s="15"/>
      <c r="AV3349" s="15"/>
      <c r="AW3349" s="15"/>
    </row>
    <row r="3350" spans="3:49" x14ac:dyDescent="0.2">
      <c r="C3350" s="15"/>
      <c r="D3350" s="15"/>
      <c r="E3350" s="15"/>
      <c r="F3350" s="15"/>
      <c r="G3350" s="15"/>
      <c r="H3350" s="15"/>
      <c r="I3350" s="15"/>
      <c r="J3350" s="15"/>
      <c r="K3350" s="15"/>
      <c r="L3350" s="28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  <c r="AA3350" s="15"/>
      <c r="AB3350" s="15"/>
      <c r="AC3350" s="15"/>
      <c r="AD3350" s="15"/>
      <c r="AE3350" s="15"/>
      <c r="AF3350" s="15"/>
      <c r="AG3350" s="15"/>
      <c r="AH3350" s="15"/>
      <c r="AI3350" s="15"/>
      <c r="AJ3350" s="15"/>
      <c r="AK3350" s="15"/>
      <c r="AL3350" s="15"/>
      <c r="AM3350" s="15"/>
      <c r="AN3350" s="15"/>
      <c r="AO3350" s="15"/>
      <c r="AP3350" s="15"/>
      <c r="AQ3350" s="15"/>
      <c r="AR3350" s="15"/>
      <c r="AS3350" s="15"/>
      <c r="AT3350" s="15"/>
      <c r="AU3350" s="15"/>
      <c r="AV3350" s="15"/>
      <c r="AW3350" s="15"/>
    </row>
    <row r="3351" spans="3:49" x14ac:dyDescent="0.2">
      <c r="C3351" s="15"/>
      <c r="D3351" s="15"/>
      <c r="E3351" s="15"/>
      <c r="F3351" s="15"/>
      <c r="G3351" s="15"/>
      <c r="H3351" s="15"/>
      <c r="I3351" s="15"/>
      <c r="J3351" s="15"/>
      <c r="K3351" s="15"/>
      <c r="L3351" s="28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  <c r="AA3351" s="15"/>
      <c r="AB3351" s="15"/>
      <c r="AC3351" s="15"/>
      <c r="AD3351" s="15"/>
      <c r="AE3351" s="15"/>
      <c r="AF3351" s="15"/>
      <c r="AG3351" s="15"/>
      <c r="AH3351" s="15"/>
      <c r="AI3351" s="15"/>
      <c r="AJ3351" s="15"/>
      <c r="AK3351" s="15"/>
      <c r="AL3351" s="15"/>
      <c r="AM3351" s="15"/>
      <c r="AN3351" s="15"/>
      <c r="AO3351" s="15"/>
      <c r="AP3351" s="15"/>
      <c r="AQ3351" s="15"/>
      <c r="AR3351" s="15"/>
      <c r="AS3351" s="15"/>
      <c r="AT3351" s="15"/>
      <c r="AU3351" s="15"/>
      <c r="AV3351" s="15"/>
      <c r="AW3351" s="15"/>
    </row>
    <row r="3352" spans="3:49" x14ac:dyDescent="0.2">
      <c r="C3352" s="15"/>
      <c r="D3352" s="15"/>
      <c r="E3352" s="15"/>
      <c r="F3352" s="15"/>
      <c r="G3352" s="15"/>
      <c r="H3352" s="15"/>
      <c r="I3352" s="15"/>
      <c r="J3352" s="15"/>
      <c r="K3352" s="15"/>
      <c r="L3352" s="28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  <c r="AA3352" s="15"/>
      <c r="AB3352" s="15"/>
      <c r="AC3352" s="15"/>
      <c r="AD3352" s="15"/>
      <c r="AE3352" s="15"/>
      <c r="AF3352" s="15"/>
      <c r="AG3352" s="15"/>
      <c r="AH3352" s="15"/>
      <c r="AI3352" s="15"/>
      <c r="AJ3352" s="15"/>
      <c r="AK3352" s="15"/>
      <c r="AL3352" s="15"/>
      <c r="AM3352" s="15"/>
      <c r="AN3352" s="15"/>
      <c r="AO3352" s="15"/>
      <c r="AP3352" s="15"/>
      <c r="AQ3352" s="15"/>
      <c r="AR3352" s="15"/>
      <c r="AS3352" s="15"/>
      <c r="AT3352" s="15"/>
      <c r="AU3352" s="15"/>
      <c r="AV3352" s="15"/>
      <c r="AW3352" s="15"/>
    </row>
    <row r="3353" spans="3:49" x14ac:dyDescent="0.2">
      <c r="C3353" s="15"/>
      <c r="D3353" s="15"/>
      <c r="E3353" s="15"/>
      <c r="F3353" s="15"/>
      <c r="G3353" s="15"/>
      <c r="H3353" s="15"/>
      <c r="I3353" s="15"/>
      <c r="J3353" s="15"/>
      <c r="K3353" s="15"/>
      <c r="L3353" s="28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  <c r="AA3353" s="15"/>
      <c r="AB3353" s="15"/>
      <c r="AC3353" s="15"/>
      <c r="AD3353" s="15"/>
      <c r="AE3353" s="15"/>
      <c r="AF3353" s="15"/>
      <c r="AG3353" s="15"/>
      <c r="AH3353" s="15"/>
      <c r="AI3353" s="15"/>
      <c r="AJ3353" s="15"/>
      <c r="AK3353" s="15"/>
      <c r="AL3353" s="15"/>
      <c r="AM3353" s="15"/>
      <c r="AN3353" s="15"/>
      <c r="AO3353" s="15"/>
      <c r="AP3353" s="15"/>
      <c r="AQ3353" s="15"/>
      <c r="AR3353" s="15"/>
      <c r="AS3353" s="15"/>
      <c r="AT3353" s="15"/>
      <c r="AU3353" s="15"/>
      <c r="AV3353" s="15"/>
      <c r="AW3353" s="15"/>
    </row>
    <row r="3354" spans="3:49" x14ac:dyDescent="0.2">
      <c r="C3354" s="15"/>
      <c r="D3354" s="15"/>
      <c r="E3354" s="15"/>
      <c r="F3354" s="15"/>
      <c r="G3354" s="15"/>
      <c r="H3354" s="15"/>
      <c r="I3354" s="15"/>
      <c r="J3354" s="15"/>
      <c r="K3354" s="15"/>
      <c r="L3354" s="28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  <c r="AA3354" s="15"/>
      <c r="AB3354" s="15"/>
      <c r="AC3354" s="15"/>
      <c r="AD3354" s="15"/>
      <c r="AE3354" s="15"/>
      <c r="AF3354" s="15"/>
      <c r="AG3354" s="15"/>
      <c r="AH3354" s="15"/>
      <c r="AI3354" s="15"/>
      <c r="AJ3354" s="15"/>
      <c r="AK3354" s="15"/>
      <c r="AL3354" s="15"/>
      <c r="AM3354" s="15"/>
      <c r="AN3354" s="15"/>
      <c r="AO3354" s="15"/>
      <c r="AP3354" s="15"/>
      <c r="AQ3354" s="15"/>
      <c r="AR3354" s="15"/>
      <c r="AS3354" s="15"/>
      <c r="AT3354" s="15"/>
      <c r="AU3354" s="15"/>
      <c r="AV3354" s="15"/>
      <c r="AW3354" s="15"/>
    </row>
    <row r="3355" spans="3:49" x14ac:dyDescent="0.2">
      <c r="C3355" s="15"/>
      <c r="D3355" s="15"/>
      <c r="E3355" s="15"/>
      <c r="F3355" s="15"/>
      <c r="G3355" s="15"/>
      <c r="H3355" s="15"/>
      <c r="I3355" s="15"/>
      <c r="J3355" s="15"/>
      <c r="K3355" s="15"/>
      <c r="L3355" s="28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  <c r="AA3355" s="15"/>
      <c r="AB3355" s="15"/>
      <c r="AC3355" s="15"/>
      <c r="AD3355" s="15"/>
      <c r="AE3355" s="15"/>
      <c r="AF3355" s="15"/>
      <c r="AG3355" s="15"/>
      <c r="AH3355" s="15"/>
      <c r="AI3355" s="15"/>
      <c r="AJ3355" s="15"/>
      <c r="AK3355" s="15"/>
      <c r="AL3355" s="15"/>
      <c r="AM3355" s="15"/>
      <c r="AN3355" s="15"/>
      <c r="AO3355" s="15"/>
      <c r="AP3355" s="15"/>
      <c r="AQ3355" s="15"/>
      <c r="AR3355" s="15"/>
      <c r="AS3355" s="15"/>
      <c r="AT3355" s="15"/>
      <c r="AU3355" s="15"/>
      <c r="AV3355" s="15"/>
      <c r="AW3355" s="15"/>
    </row>
    <row r="3356" spans="3:49" x14ac:dyDescent="0.2">
      <c r="C3356" s="15"/>
      <c r="D3356" s="15"/>
      <c r="E3356" s="15"/>
      <c r="F3356" s="15"/>
      <c r="G3356" s="15"/>
      <c r="H3356" s="15"/>
      <c r="I3356" s="15"/>
      <c r="J3356" s="15"/>
      <c r="K3356" s="15"/>
      <c r="L3356" s="28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  <c r="AA3356" s="15"/>
      <c r="AB3356" s="15"/>
      <c r="AC3356" s="15"/>
      <c r="AD3356" s="15"/>
      <c r="AE3356" s="15"/>
      <c r="AF3356" s="15"/>
      <c r="AG3356" s="15"/>
      <c r="AH3356" s="15"/>
      <c r="AI3356" s="15"/>
      <c r="AJ3356" s="15"/>
      <c r="AK3356" s="15"/>
      <c r="AL3356" s="15"/>
      <c r="AM3356" s="15"/>
      <c r="AN3356" s="15"/>
      <c r="AO3356" s="15"/>
      <c r="AP3356" s="15"/>
      <c r="AQ3356" s="15"/>
      <c r="AR3356" s="15"/>
      <c r="AS3356" s="15"/>
      <c r="AT3356" s="15"/>
      <c r="AU3356" s="15"/>
      <c r="AV3356" s="15"/>
      <c r="AW3356" s="15"/>
    </row>
    <row r="3357" spans="3:49" x14ac:dyDescent="0.2">
      <c r="C3357" s="15"/>
      <c r="D3357" s="15"/>
      <c r="E3357" s="15"/>
      <c r="F3357" s="15"/>
      <c r="G3357" s="15"/>
      <c r="H3357" s="15"/>
      <c r="I3357" s="15"/>
      <c r="J3357" s="15"/>
      <c r="K3357" s="15"/>
      <c r="L3357" s="28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  <c r="AA3357" s="15"/>
      <c r="AB3357" s="15"/>
      <c r="AC3357" s="15"/>
      <c r="AD3357" s="15"/>
      <c r="AE3357" s="15"/>
      <c r="AF3357" s="15"/>
      <c r="AG3357" s="15"/>
      <c r="AH3357" s="15"/>
      <c r="AI3357" s="15"/>
      <c r="AJ3357" s="15"/>
      <c r="AK3357" s="15"/>
      <c r="AL3357" s="15"/>
      <c r="AM3357" s="15"/>
      <c r="AN3357" s="15"/>
      <c r="AO3357" s="15"/>
      <c r="AP3357" s="15"/>
      <c r="AQ3357" s="15"/>
      <c r="AR3357" s="15"/>
      <c r="AS3357" s="15"/>
      <c r="AT3357" s="15"/>
      <c r="AU3357" s="15"/>
      <c r="AV3357" s="15"/>
      <c r="AW3357" s="15"/>
    </row>
    <row r="3358" spans="3:49" x14ac:dyDescent="0.2">
      <c r="C3358" s="15"/>
      <c r="D3358" s="15"/>
      <c r="E3358" s="15"/>
      <c r="F3358" s="15"/>
      <c r="G3358" s="15"/>
      <c r="H3358" s="15"/>
      <c r="I3358" s="15"/>
      <c r="J3358" s="15"/>
      <c r="K3358" s="15"/>
      <c r="L3358" s="28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  <c r="AA3358" s="15"/>
      <c r="AB3358" s="15"/>
      <c r="AC3358" s="15"/>
      <c r="AD3358" s="15"/>
      <c r="AE3358" s="15"/>
      <c r="AF3358" s="15"/>
      <c r="AG3358" s="15"/>
      <c r="AH3358" s="15"/>
      <c r="AI3358" s="15"/>
      <c r="AJ3358" s="15"/>
      <c r="AK3358" s="15"/>
      <c r="AL3358" s="15"/>
      <c r="AM3358" s="15"/>
      <c r="AN3358" s="15"/>
      <c r="AO3358" s="15"/>
      <c r="AP3358" s="15"/>
      <c r="AQ3358" s="15"/>
      <c r="AR3358" s="15"/>
      <c r="AS3358" s="15"/>
      <c r="AT3358" s="15"/>
      <c r="AU3358" s="15"/>
      <c r="AV3358" s="15"/>
      <c r="AW3358" s="15"/>
    </row>
    <row r="3359" spans="3:49" x14ac:dyDescent="0.2">
      <c r="C3359" s="15"/>
      <c r="D3359" s="15"/>
      <c r="E3359" s="15"/>
      <c r="F3359" s="15"/>
      <c r="G3359" s="15"/>
      <c r="H3359" s="15"/>
      <c r="I3359" s="15"/>
      <c r="J3359" s="15"/>
      <c r="K3359" s="15"/>
      <c r="L3359" s="28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  <c r="AA3359" s="15"/>
      <c r="AB3359" s="15"/>
      <c r="AC3359" s="15"/>
      <c r="AD3359" s="15"/>
      <c r="AE3359" s="15"/>
      <c r="AF3359" s="15"/>
      <c r="AG3359" s="15"/>
      <c r="AH3359" s="15"/>
      <c r="AI3359" s="15"/>
      <c r="AJ3359" s="15"/>
      <c r="AK3359" s="15"/>
      <c r="AL3359" s="15"/>
      <c r="AM3359" s="15"/>
      <c r="AN3359" s="15"/>
      <c r="AO3359" s="15"/>
      <c r="AP3359" s="15"/>
      <c r="AQ3359" s="15"/>
      <c r="AR3359" s="15"/>
      <c r="AS3359" s="15"/>
      <c r="AT3359" s="15"/>
      <c r="AU3359" s="15"/>
      <c r="AV3359" s="15"/>
      <c r="AW3359" s="15"/>
    </row>
    <row r="3360" spans="3:49" x14ac:dyDescent="0.2">
      <c r="C3360" s="15"/>
      <c r="D3360" s="15"/>
      <c r="E3360" s="15"/>
      <c r="F3360" s="15"/>
      <c r="G3360" s="15"/>
      <c r="H3360" s="15"/>
      <c r="I3360" s="15"/>
      <c r="J3360" s="15"/>
      <c r="K3360" s="15"/>
      <c r="L3360" s="28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  <c r="AA3360" s="15"/>
      <c r="AB3360" s="15"/>
      <c r="AC3360" s="15"/>
      <c r="AD3360" s="15"/>
      <c r="AE3360" s="15"/>
      <c r="AF3360" s="15"/>
      <c r="AG3360" s="15"/>
      <c r="AH3360" s="15"/>
      <c r="AI3360" s="15"/>
      <c r="AJ3360" s="15"/>
      <c r="AK3360" s="15"/>
      <c r="AL3360" s="15"/>
      <c r="AM3360" s="15"/>
      <c r="AN3360" s="15"/>
      <c r="AO3360" s="15"/>
      <c r="AP3360" s="15"/>
      <c r="AQ3360" s="15"/>
      <c r="AR3360" s="15"/>
      <c r="AS3360" s="15"/>
      <c r="AT3360" s="15"/>
      <c r="AU3360" s="15"/>
      <c r="AV3360" s="15"/>
      <c r="AW3360" s="15"/>
    </row>
    <row r="3361" spans="3:49" x14ac:dyDescent="0.2">
      <c r="C3361" s="15"/>
      <c r="D3361" s="15"/>
      <c r="E3361" s="15"/>
      <c r="F3361" s="15"/>
      <c r="G3361" s="15"/>
      <c r="H3361" s="15"/>
      <c r="I3361" s="15"/>
      <c r="J3361" s="15"/>
      <c r="K3361" s="15"/>
      <c r="L3361" s="28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  <c r="AA3361" s="15"/>
      <c r="AB3361" s="15"/>
      <c r="AC3361" s="15"/>
      <c r="AD3361" s="15"/>
      <c r="AE3361" s="15"/>
      <c r="AF3361" s="15"/>
      <c r="AG3361" s="15"/>
      <c r="AH3361" s="15"/>
      <c r="AI3361" s="15"/>
      <c r="AJ3361" s="15"/>
      <c r="AK3361" s="15"/>
      <c r="AL3361" s="15"/>
      <c r="AM3361" s="15"/>
      <c r="AN3361" s="15"/>
      <c r="AO3361" s="15"/>
      <c r="AP3361" s="15"/>
      <c r="AQ3361" s="15"/>
      <c r="AR3361" s="15"/>
      <c r="AS3361" s="15"/>
      <c r="AT3361" s="15"/>
      <c r="AU3361" s="15"/>
      <c r="AV3361" s="15"/>
      <c r="AW3361" s="15"/>
    </row>
    <row r="3362" spans="3:49" x14ac:dyDescent="0.2">
      <c r="C3362" s="15"/>
      <c r="D3362" s="15"/>
      <c r="E3362" s="15"/>
      <c r="F3362" s="15"/>
      <c r="G3362" s="15"/>
      <c r="H3362" s="15"/>
      <c r="I3362" s="15"/>
      <c r="J3362" s="15"/>
      <c r="K3362" s="15"/>
      <c r="L3362" s="28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  <c r="AA3362" s="15"/>
      <c r="AB3362" s="15"/>
      <c r="AC3362" s="15"/>
      <c r="AD3362" s="15"/>
      <c r="AE3362" s="15"/>
      <c r="AF3362" s="15"/>
      <c r="AG3362" s="15"/>
      <c r="AH3362" s="15"/>
      <c r="AI3362" s="15"/>
      <c r="AJ3362" s="15"/>
      <c r="AK3362" s="15"/>
      <c r="AL3362" s="15"/>
      <c r="AM3362" s="15"/>
      <c r="AN3362" s="15"/>
      <c r="AO3362" s="15"/>
      <c r="AP3362" s="15"/>
      <c r="AQ3362" s="15"/>
      <c r="AR3362" s="15"/>
      <c r="AS3362" s="15"/>
      <c r="AT3362" s="15"/>
      <c r="AU3362" s="15"/>
      <c r="AV3362" s="15"/>
      <c r="AW3362" s="15"/>
    </row>
    <row r="3363" spans="3:49" x14ac:dyDescent="0.2">
      <c r="C3363" s="15"/>
      <c r="D3363" s="15"/>
      <c r="E3363" s="15"/>
      <c r="F3363" s="15"/>
      <c r="G3363" s="15"/>
      <c r="H3363" s="15"/>
      <c r="I3363" s="15"/>
      <c r="J3363" s="15"/>
      <c r="K3363" s="15"/>
      <c r="L3363" s="28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  <c r="AA3363" s="15"/>
      <c r="AB3363" s="15"/>
      <c r="AC3363" s="15"/>
      <c r="AD3363" s="15"/>
      <c r="AE3363" s="15"/>
      <c r="AF3363" s="15"/>
      <c r="AG3363" s="15"/>
      <c r="AH3363" s="15"/>
      <c r="AI3363" s="15"/>
      <c r="AJ3363" s="15"/>
      <c r="AK3363" s="15"/>
      <c r="AL3363" s="15"/>
      <c r="AM3363" s="15"/>
      <c r="AN3363" s="15"/>
      <c r="AO3363" s="15"/>
      <c r="AP3363" s="15"/>
      <c r="AQ3363" s="15"/>
      <c r="AR3363" s="15"/>
      <c r="AS3363" s="15"/>
      <c r="AT3363" s="15"/>
      <c r="AU3363" s="15"/>
      <c r="AV3363" s="15"/>
      <c r="AW3363" s="15"/>
    </row>
    <row r="3364" spans="3:49" x14ac:dyDescent="0.2">
      <c r="C3364" s="15"/>
      <c r="D3364" s="15"/>
      <c r="E3364" s="15"/>
      <c r="F3364" s="15"/>
      <c r="G3364" s="15"/>
      <c r="H3364" s="15"/>
      <c r="I3364" s="15"/>
      <c r="J3364" s="15"/>
      <c r="K3364" s="15"/>
      <c r="L3364" s="28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  <c r="AA3364" s="15"/>
      <c r="AB3364" s="15"/>
      <c r="AC3364" s="15"/>
      <c r="AD3364" s="15"/>
      <c r="AE3364" s="15"/>
      <c r="AF3364" s="15"/>
      <c r="AG3364" s="15"/>
      <c r="AH3364" s="15"/>
      <c r="AI3364" s="15"/>
      <c r="AJ3364" s="15"/>
      <c r="AK3364" s="15"/>
      <c r="AL3364" s="15"/>
      <c r="AM3364" s="15"/>
      <c r="AN3364" s="15"/>
      <c r="AO3364" s="15"/>
      <c r="AP3364" s="15"/>
      <c r="AQ3364" s="15"/>
      <c r="AR3364" s="15"/>
      <c r="AS3364" s="15"/>
      <c r="AT3364" s="15"/>
      <c r="AU3364" s="15"/>
      <c r="AV3364" s="15"/>
      <c r="AW3364" s="15"/>
    </row>
    <row r="3365" spans="3:49" x14ac:dyDescent="0.2">
      <c r="C3365" s="15"/>
      <c r="D3365" s="15"/>
      <c r="E3365" s="15"/>
      <c r="F3365" s="15"/>
      <c r="G3365" s="15"/>
      <c r="H3365" s="15"/>
      <c r="I3365" s="15"/>
      <c r="J3365" s="15"/>
      <c r="K3365" s="15"/>
      <c r="L3365" s="28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  <c r="AA3365" s="15"/>
      <c r="AB3365" s="15"/>
      <c r="AC3365" s="15"/>
      <c r="AD3365" s="15"/>
      <c r="AE3365" s="15"/>
      <c r="AF3365" s="15"/>
      <c r="AG3365" s="15"/>
      <c r="AH3365" s="15"/>
      <c r="AI3365" s="15"/>
      <c r="AJ3365" s="15"/>
      <c r="AK3365" s="15"/>
      <c r="AL3365" s="15"/>
      <c r="AM3365" s="15"/>
      <c r="AN3365" s="15"/>
      <c r="AO3365" s="15"/>
      <c r="AP3365" s="15"/>
      <c r="AQ3365" s="15"/>
      <c r="AR3365" s="15"/>
      <c r="AS3365" s="15"/>
      <c r="AT3365" s="15"/>
      <c r="AU3365" s="15"/>
      <c r="AV3365" s="15"/>
      <c r="AW3365" s="15"/>
    </row>
    <row r="3366" spans="3:49" x14ac:dyDescent="0.2">
      <c r="C3366" s="15"/>
      <c r="D3366" s="15"/>
      <c r="E3366" s="15"/>
      <c r="F3366" s="15"/>
      <c r="G3366" s="15"/>
      <c r="H3366" s="15"/>
      <c r="I3366" s="15"/>
      <c r="J3366" s="15"/>
      <c r="K3366" s="15"/>
      <c r="L3366" s="28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  <c r="AA3366" s="15"/>
      <c r="AB3366" s="15"/>
      <c r="AC3366" s="15"/>
      <c r="AD3366" s="15"/>
      <c r="AE3366" s="15"/>
      <c r="AF3366" s="15"/>
      <c r="AG3366" s="15"/>
      <c r="AH3366" s="15"/>
      <c r="AI3366" s="15"/>
      <c r="AJ3366" s="15"/>
      <c r="AK3366" s="15"/>
      <c r="AL3366" s="15"/>
      <c r="AM3366" s="15"/>
      <c r="AN3366" s="15"/>
      <c r="AO3366" s="15"/>
      <c r="AP3366" s="15"/>
      <c r="AQ3366" s="15"/>
      <c r="AR3366" s="15"/>
      <c r="AS3366" s="15"/>
      <c r="AT3366" s="15"/>
      <c r="AU3366" s="15"/>
      <c r="AV3366" s="15"/>
      <c r="AW3366" s="15"/>
    </row>
    <row r="3367" spans="3:49" x14ac:dyDescent="0.2">
      <c r="C3367" s="15"/>
      <c r="D3367" s="15"/>
      <c r="E3367" s="15"/>
      <c r="F3367" s="15"/>
      <c r="G3367" s="15"/>
      <c r="H3367" s="15"/>
      <c r="I3367" s="15"/>
      <c r="J3367" s="15"/>
      <c r="K3367" s="15"/>
      <c r="L3367" s="28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  <c r="AA3367" s="15"/>
      <c r="AB3367" s="15"/>
      <c r="AC3367" s="15"/>
      <c r="AD3367" s="15"/>
      <c r="AE3367" s="15"/>
      <c r="AF3367" s="15"/>
      <c r="AG3367" s="15"/>
      <c r="AH3367" s="15"/>
      <c r="AI3367" s="15"/>
      <c r="AJ3367" s="15"/>
      <c r="AK3367" s="15"/>
      <c r="AL3367" s="15"/>
      <c r="AM3367" s="15"/>
      <c r="AN3367" s="15"/>
      <c r="AO3367" s="15"/>
      <c r="AP3367" s="15"/>
      <c r="AQ3367" s="15"/>
      <c r="AR3367" s="15"/>
      <c r="AS3367" s="15"/>
      <c r="AT3367" s="15"/>
      <c r="AU3367" s="15"/>
      <c r="AV3367" s="15"/>
      <c r="AW3367" s="15"/>
    </row>
    <row r="3368" spans="3:49" x14ac:dyDescent="0.2">
      <c r="C3368" s="15"/>
      <c r="D3368" s="15"/>
      <c r="E3368" s="15"/>
      <c r="F3368" s="15"/>
      <c r="G3368" s="15"/>
      <c r="H3368" s="15"/>
      <c r="I3368" s="15"/>
      <c r="J3368" s="15"/>
      <c r="K3368" s="15"/>
      <c r="L3368" s="28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  <c r="AA3368" s="15"/>
      <c r="AB3368" s="15"/>
      <c r="AC3368" s="15"/>
      <c r="AD3368" s="15"/>
      <c r="AE3368" s="15"/>
      <c r="AF3368" s="15"/>
      <c r="AG3368" s="15"/>
      <c r="AH3368" s="15"/>
      <c r="AI3368" s="15"/>
      <c r="AJ3368" s="15"/>
      <c r="AK3368" s="15"/>
      <c r="AL3368" s="15"/>
      <c r="AM3368" s="15"/>
      <c r="AN3368" s="15"/>
      <c r="AO3368" s="15"/>
      <c r="AP3368" s="15"/>
      <c r="AQ3368" s="15"/>
      <c r="AR3368" s="15"/>
      <c r="AS3368" s="15"/>
      <c r="AT3368" s="15"/>
      <c r="AU3368" s="15"/>
      <c r="AV3368" s="15"/>
      <c r="AW3368" s="15"/>
    </row>
    <row r="3369" spans="3:49" x14ac:dyDescent="0.2">
      <c r="C3369" s="15"/>
      <c r="D3369" s="15"/>
      <c r="E3369" s="15"/>
      <c r="F3369" s="15"/>
      <c r="G3369" s="15"/>
      <c r="H3369" s="15"/>
      <c r="I3369" s="15"/>
      <c r="J3369" s="15"/>
      <c r="K3369" s="15"/>
      <c r="L3369" s="28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  <c r="AA3369" s="15"/>
      <c r="AB3369" s="15"/>
      <c r="AC3369" s="15"/>
      <c r="AD3369" s="15"/>
      <c r="AE3369" s="15"/>
      <c r="AF3369" s="15"/>
      <c r="AG3369" s="15"/>
      <c r="AH3369" s="15"/>
      <c r="AI3369" s="15"/>
      <c r="AJ3369" s="15"/>
      <c r="AK3369" s="15"/>
      <c r="AL3369" s="15"/>
      <c r="AM3369" s="15"/>
      <c r="AN3369" s="15"/>
      <c r="AO3369" s="15"/>
      <c r="AP3369" s="15"/>
      <c r="AQ3369" s="15"/>
      <c r="AR3369" s="15"/>
      <c r="AS3369" s="15"/>
      <c r="AT3369" s="15"/>
      <c r="AU3369" s="15"/>
      <c r="AV3369" s="15"/>
      <c r="AW3369" s="15"/>
    </row>
    <row r="3370" spans="3:49" x14ac:dyDescent="0.2">
      <c r="C3370" s="15"/>
      <c r="D3370" s="15"/>
      <c r="E3370" s="15"/>
      <c r="F3370" s="15"/>
      <c r="G3370" s="15"/>
      <c r="H3370" s="15"/>
      <c r="I3370" s="15"/>
      <c r="J3370" s="15"/>
      <c r="K3370" s="15"/>
      <c r="L3370" s="28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  <c r="AA3370" s="15"/>
      <c r="AB3370" s="15"/>
      <c r="AC3370" s="15"/>
      <c r="AD3370" s="15"/>
      <c r="AE3370" s="15"/>
      <c r="AF3370" s="15"/>
      <c r="AG3370" s="15"/>
      <c r="AH3370" s="15"/>
      <c r="AI3370" s="15"/>
      <c r="AJ3370" s="15"/>
      <c r="AK3370" s="15"/>
      <c r="AL3370" s="15"/>
      <c r="AM3370" s="15"/>
      <c r="AN3370" s="15"/>
      <c r="AO3370" s="15"/>
      <c r="AP3370" s="15"/>
      <c r="AQ3370" s="15"/>
      <c r="AR3370" s="15"/>
      <c r="AS3370" s="15"/>
      <c r="AT3370" s="15"/>
      <c r="AU3370" s="15"/>
      <c r="AV3370" s="15"/>
      <c r="AW3370" s="15"/>
    </row>
    <row r="3371" spans="3:49" x14ac:dyDescent="0.2">
      <c r="C3371" s="15"/>
      <c r="D3371" s="15"/>
      <c r="E3371" s="15"/>
      <c r="F3371" s="15"/>
      <c r="G3371" s="15"/>
      <c r="H3371" s="15"/>
      <c r="I3371" s="15"/>
      <c r="J3371" s="15"/>
      <c r="K3371" s="15"/>
      <c r="L3371" s="28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  <c r="AA3371" s="15"/>
      <c r="AB3371" s="15"/>
      <c r="AC3371" s="15"/>
      <c r="AD3371" s="15"/>
      <c r="AE3371" s="15"/>
      <c r="AF3371" s="15"/>
      <c r="AG3371" s="15"/>
      <c r="AH3371" s="15"/>
      <c r="AI3371" s="15"/>
      <c r="AJ3371" s="15"/>
      <c r="AK3371" s="15"/>
      <c r="AL3371" s="15"/>
      <c r="AM3371" s="15"/>
      <c r="AN3371" s="15"/>
      <c r="AO3371" s="15"/>
      <c r="AP3371" s="15"/>
      <c r="AQ3371" s="15"/>
      <c r="AR3371" s="15"/>
      <c r="AS3371" s="15"/>
      <c r="AT3371" s="15"/>
      <c r="AU3371" s="15"/>
      <c r="AV3371" s="15"/>
      <c r="AW3371" s="15"/>
    </row>
    <row r="3372" spans="3:49" x14ac:dyDescent="0.2">
      <c r="C3372" s="15"/>
      <c r="D3372" s="15"/>
      <c r="E3372" s="15"/>
      <c r="F3372" s="15"/>
      <c r="G3372" s="15"/>
      <c r="H3372" s="15"/>
      <c r="I3372" s="15"/>
      <c r="J3372" s="15"/>
      <c r="K3372" s="15"/>
      <c r="L3372" s="28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  <c r="AA3372" s="15"/>
      <c r="AB3372" s="15"/>
      <c r="AC3372" s="15"/>
      <c r="AD3372" s="15"/>
      <c r="AE3372" s="15"/>
      <c r="AF3372" s="15"/>
      <c r="AG3372" s="15"/>
      <c r="AH3372" s="15"/>
      <c r="AI3372" s="15"/>
      <c r="AJ3372" s="15"/>
      <c r="AK3372" s="15"/>
      <c r="AL3372" s="15"/>
      <c r="AM3372" s="15"/>
      <c r="AN3372" s="15"/>
      <c r="AO3372" s="15"/>
      <c r="AP3372" s="15"/>
      <c r="AQ3372" s="15"/>
      <c r="AR3372" s="15"/>
      <c r="AS3372" s="15"/>
      <c r="AT3372" s="15"/>
      <c r="AU3372" s="15"/>
      <c r="AV3372" s="15"/>
      <c r="AW3372" s="15"/>
    </row>
    <row r="3373" spans="3:49" x14ac:dyDescent="0.2">
      <c r="C3373" s="15"/>
      <c r="D3373" s="15"/>
      <c r="E3373" s="15"/>
      <c r="F3373" s="15"/>
      <c r="G3373" s="15"/>
      <c r="H3373" s="15"/>
      <c r="I3373" s="15"/>
      <c r="J3373" s="15"/>
      <c r="K3373" s="15"/>
      <c r="L3373" s="28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  <c r="AA3373" s="15"/>
      <c r="AB3373" s="15"/>
      <c r="AC3373" s="15"/>
      <c r="AD3373" s="15"/>
      <c r="AE3373" s="15"/>
      <c r="AF3373" s="15"/>
      <c r="AG3373" s="15"/>
      <c r="AH3373" s="15"/>
      <c r="AI3373" s="15"/>
      <c r="AJ3373" s="15"/>
      <c r="AK3373" s="15"/>
      <c r="AL3373" s="15"/>
      <c r="AM3373" s="15"/>
      <c r="AN3373" s="15"/>
      <c r="AO3373" s="15"/>
      <c r="AP3373" s="15"/>
      <c r="AQ3373" s="15"/>
      <c r="AR3373" s="15"/>
      <c r="AS3373" s="15"/>
      <c r="AT3373" s="15"/>
      <c r="AU3373" s="15"/>
      <c r="AV3373" s="15"/>
      <c r="AW3373" s="15"/>
    </row>
    <row r="3374" spans="3:49" x14ac:dyDescent="0.2">
      <c r="C3374" s="15"/>
      <c r="D3374" s="15"/>
      <c r="E3374" s="15"/>
      <c r="F3374" s="15"/>
      <c r="G3374" s="15"/>
      <c r="H3374" s="15"/>
      <c r="I3374" s="15"/>
      <c r="J3374" s="15"/>
      <c r="K3374" s="15"/>
      <c r="L3374" s="28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  <c r="AA3374" s="15"/>
      <c r="AB3374" s="15"/>
      <c r="AC3374" s="15"/>
      <c r="AD3374" s="15"/>
      <c r="AE3374" s="15"/>
      <c r="AF3374" s="15"/>
      <c r="AG3374" s="15"/>
      <c r="AH3374" s="15"/>
      <c r="AI3374" s="15"/>
      <c r="AJ3374" s="15"/>
      <c r="AK3374" s="15"/>
      <c r="AL3374" s="15"/>
      <c r="AM3374" s="15"/>
      <c r="AN3374" s="15"/>
      <c r="AO3374" s="15"/>
      <c r="AP3374" s="15"/>
      <c r="AQ3374" s="15"/>
      <c r="AR3374" s="15"/>
      <c r="AS3374" s="15"/>
      <c r="AT3374" s="15"/>
      <c r="AU3374" s="15"/>
      <c r="AV3374" s="15"/>
      <c r="AW3374" s="15"/>
    </row>
    <row r="3375" spans="3:49" x14ac:dyDescent="0.2">
      <c r="C3375" s="15"/>
      <c r="D3375" s="15"/>
      <c r="E3375" s="15"/>
      <c r="F3375" s="15"/>
      <c r="G3375" s="15"/>
      <c r="H3375" s="15"/>
      <c r="I3375" s="15"/>
      <c r="J3375" s="15"/>
      <c r="K3375" s="15"/>
      <c r="L3375" s="28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  <c r="AA3375" s="15"/>
      <c r="AB3375" s="15"/>
      <c r="AC3375" s="15"/>
      <c r="AD3375" s="15"/>
      <c r="AE3375" s="15"/>
      <c r="AF3375" s="15"/>
      <c r="AG3375" s="15"/>
      <c r="AH3375" s="15"/>
      <c r="AI3375" s="15"/>
      <c r="AJ3375" s="15"/>
      <c r="AK3375" s="15"/>
      <c r="AL3375" s="15"/>
      <c r="AM3375" s="15"/>
      <c r="AN3375" s="15"/>
      <c r="AO3375" s="15"/>
      <c r="AP3375" s="15"/>
      <c r="AQ3375" s="15"/>
      <c r="AR3375" s="15"/>
      <c r="AS3375" s="15"/>
      <c r="AT3375" s="15"/>
      <c r="AU3375" s="15"/>
      <c r="AV3375" s="15"/>
      <c r="AW3375" s="15"/>
    </row>
    <row r="3376" spans="3:49" x14ac:dyDescent="0.2">
      <c r="C3376" s="15"/>
      <c r="D3376" s="15"/>
      <c r="E3376" s="15"/>
      <c r="F3376" s="15"/>
      <c r="G3376" s="15"/>
      <c r="H3376" s="15"/>
      <c r="I3376" s="15"/>
      <c r="J3376" s="15"/>
      <c r="K3376" s="15"/>
      <c r="L3376" s="28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  <c r="AA3376" s="15"/>
      <c r="AB3376" s="15"/>
      <c r="AC3376" s="15"/>
      <c r="AD3376" s="15"/>
      <c r="AE3376" s="15"/>
      <c r="AF3376" s="15"/>
      <c r="AG3376" s="15"/>
      <c r="AH3376" s="15"/>
      <c r="AI3376" s="15"/>
      <c r="AJ3376" s="15"/>
      <c r="AK3376" s="15"/>
      <c r="AL3376" s="15"/>
      <c r="AM3376" s="15"/>
      <c r="AN3376" s="15"/>
      <c r="AO3376" s="15"/>
      <c r="AP3376" s="15"/>
      <c r="AQ3376" s="15"/>
      <c r="AR3376" s="15"/>
      <c r="AS3376" s="15"/>
      <c r="AT3376" s="15"/>
      <c r="AU3376" s="15"/>
      <c r="AV3376" s="15"/>
      <c r="AW3376" s="15"/>
    </row>
    <row r="3377" spans="3:49" x14ac:dyDescent="0.2">
      <c r="C3377" s="15"/>
      <c r="D3377" s="15"/>
      <c r="E3377" s="15"/>
      <c r="F3377" s="15"/>
      <c r="G3377" s="15"/>
      <c r="H3377" s="15"/>
      <c r="I3377" s="15"/>
      <c r="J3377" s="15"/>
      <c r="K3377" s="15"/>
      <c r="L3377" s="28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  <c r="AA3377" s="15"/>
      <c r="AB3377" s="15"/>
      <c r="AC3377" s="15"/>
      <c r="AD3377" s="15"/>
      <c r="AE3377" s="15"/>
      <c r="AF3377" s="15"/>
      <c r="AG3377" s="15"/>
      <c r="AH3377" s="15"/>
      <c r="AI3377" s="15"/>
      <c r="AJ3377" s="15"/>
      <c r="AK3377" s="15"/>
      <c r="AL3377" s="15"/>
      <c r="AM3377" s="15"/>
      <c r="AN3377" s="15"/>
      <c r="AO3377" s="15"/>
      <c r="AP3377" s="15"/>
      <c r="AQ3377" s="15"/>
      <c r="AR3377" s="15"/>
      <c r="AS3377" s="15"/>
      <c r="AT3377" s="15"/>
      <c r="AU3377" s="15"/>
      <c r="AV3377" s="15"/>
      <c r="AW3377" s="15"/>
    </row>
    <row r="3378" spans="3:49" x14ac:dyDescent="0.2">
      <c r="C3378" s="15"/>
      <c r="D3378" s="15"/>
      <c r="E3378" s="15"/>
      <c r="F3378" s="15"/>
      <c r="G3378" s="15"/>
      <c r="H3378" s="15"/>
      <c r="I3378" s="15"/>
      <c r="J3378" s="15"/>
      <c r="K3378" s="15"/>
      <c r="L3378" s="28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  <c r="AA3378" s="15"/>
      <c r="AB3378" s="15"/>
      <c r="AC3378" s="15"/>
      <c r="AD3378" s="15"/>
      <c r="AE3378" s="15"/>
      <c r="AF3378" s="15"/>
      <c r="AG3378" s="15"/>
      <c r="AH3378" s="15"/>
      <c r="AI3378" s="15"/>
      <c r="AJ3378" s="15"/>
      <c r="AK3378" s="15"/>
      <c r="AL3378" s="15"/>
      <c r="AM3378" s="15"/>
      <c r="AN3378" s="15"/>
      <c r="AO3378" s="15"/>
      <c r="AP3378" s="15"/>
      <c r="AQ3378" s="15"/>
      <c r="AR3378" s="15"/>
      <c r="AS3378" s="15"/>
      <c r="AT3378" s="15"/>
      <c r="AU3378" s="15"/>
      <c r="AV3378" s="15"/>
      <c r="AW3378" s="15"/>
    </row>
    <row r="3379" spans="3:49" x14ac:dyDescent="0.2">
      <c r="C3379" s="15"/>
      <c r="D3379" s="15"/>
      <c r="E3379" s="15"/>
      <c r="F3379" s="15"/>
      <c r="G3379" s="15"/>
      <c r="H3379" s="15"/>
      <c r="I3379" s="15"/>
      <c r="J3379" s="15"/>
      <c r="K3379" s="15"/>
      <c r="L3379" s="28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  <c r="AA3379" s="15"/>
      <c r="AB3379" s="15"/>
      <c r="AC3379" s="15"/>
      <c r="AD3379" s="15"/>
      <c r="AE3379" s="15"/>
      <c r="AF3379" s="15"/>
      <c r="AG3379" s="15"/>
      <c r="AH3379" s="15"/>
      <c r="AI3379" s="15"/>
      <c r="AJ3379" s="15"/>
      <c r="AK3379" s="15"/>
      <c r="AL3379" s="15"/>
      <c r="AM3379" s="15"/>
      <c r="AN3379" s="15"/>
      <c r="AO3379" s="15"/>
      <c r="AP3379" s="15"/>
      <c r="AQ3379" s="15"/>
      <c r="AR3379" s="15"/>
      <c r="AS3379" s="15"/>
      <c r="AT3379" s="15"/>
      <c r="AU3379" s="15"/>
      <c r="AV3379" s="15"/>
      <c r="AW3379" s="15"/>
    </row>
    <row r="3380" spans="3:49" x14ac:dyDescent="0.2">
      <c r="C3380" s="15"/>
      <c r="D3380" s="15"/>
      <c r="E3380" s="15"/>
      <c r="F3380" s="15"/>
      <c r="G3380" s="15"/>
      <c r="H3380" s="15"/>
      <c r="I3380" s="15"/>
      <c r="J3380" s="15"/>
      <c r="K3380" s="15"/>
      <c r="L3380" s="28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  <c r="AA3380" s="15"/>
      <c r="AB3380" s="15"/>
      <c r="AC3380" s="15"/>
      <c r="AD3380" s="15"/>
      <c r="AE3380" s="15"/>
      <c r="AF3380" s="15"/>
      <c r="AG3380" s="15"/>
      <c r="AH3380" s="15"/>
      <c r="AI3380" s="15"/>
      <c r="AJ3380" s="15"/>
      <c r="AK3380" s="15"/>
      <c r="AL3380" s="15"/>
      <c r="AM3380" s="15"/>
      <c r="AN3380" s="15"/>
      <c r="AO3380" s="15"/>
      <c r="AP3380" s="15"/>
      <c r="AQ3380" s="15"/>
      <c r="AR3380" s="15"/>
      <c r="AS3380" s="15"/>
      <c r="AT3380" s="15"/>
      <c r="AU3380" s="15"/>
      <c r="AV3380" s="15"/>
      <c r="AW3380" s="15"/>
    </row>
    <row r="3381" spans="3:49" x14ac:dyDescent="0.2">
      <c r="C3381" s="15"/>
      <c r="D3381" s="15"/>
      <c r="E3381" s="15"/>
      <c r="F3381" s="15"/>
      <c r="G3381" s="15"/>
      <c r="H3381" s="15"/>
      <c r="I3381" s="15"/>
      <c r="J3381" s="15"/>
      <c r="K3381" s="15"/>
      <c r="L3381" s="28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  <c r="AA3381" s="15"/>
      <c r="AB3381" s="15"/>
      <c r="AC3381" s="15"/>
      <c r="AD3381" s="15"/>
      <c r="AE3381" s="15"/>
      <c r="AF3381" s="15"/>
      <c r="AG3381" s="15"/>
      <c r="AH3381" s="15"/>
      <c r="AI3381" s="15"/>
      <c r="AJ3381" s="15"/>
      <c r="AK3381" s="15"/>
      <c r="AL3381" s="15"/>
      <c r="AM3381" s="15"/>
      <c r="AN3381" s="15"/>
      <c r="AO3381" s="15"/>
      <c r="AP3381" s="15"/>
      <c r="AQ3381" s="15"/>
      <c r="AR3381" s="15"/>
      <c r="AS3381" s="15"/>
      <c r="AT3381" s="15"/>
      <c r="AU3381" s="15"/>
      <c r="AV3381" s="15"/>
      <c r="AW3381" s="15"/>
    </row>
    <row r="3382" spans="3:49" x14ac:dyDescent="0.2">
      <c r="C3382" s="15"/>
      <c r="D3382" s="15"/>
      <c r="E3382" s="15"/>
      <c r="F3382" s="15"/>
      <c r="G3382" s="15"/>
      <c r="H3382" s="15"/>
      <c r="I3382" s="15"/>
      <c r="J3382" s="15"/>
      <c r="K3382" s="15"/>
      <c r="L3382" s="28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  <c r="AA3382" s="15"/>
      <c r="AB3382" s="15"/>
      <c r="AC3382" s="15"/>
      <c r="AD3382" s="15"/>
      <c r="AE3382" s="15"/>
      <c r="AF3382" s="15"/>
      <c r="AG3382" s="15"/>
      <c r="AH3382" s="15"/>
      <c r="AI3382" s="15"/>
      <c r="AJ3382" s="15"/>
      <c r="AK3382" s="15"/>
      <c r="AL3382" s="15"/>
      <c r="AM3382" s="15"/>
      <c r="AN3382" s="15"/>
      <c r="AO3382" s="15"/>
      <c r="AP3382" s="15"/>
      <c r="AQ3382" s="15"/>
      <c r="AR3382" s="15"/>
      <c r="AS3382" s="15"/>
      <c r="AT3382" s="15"/>
      <c r="AU3382" s="15"/>
      <c r="AV3382" s="15"/>
      <c r="AW3382" s="15"/>
    </row>
    <row r="3383" spans="3:49" x14ac:dyDescent="0.2">
      <c r="C3383" s="15"/>
      <c r="D3383" s="15"/>
      <c r="E3383" s="15"/>
      <c r="F3383" s="15"/>
      <c r="G3383" s="15"/>
      <c r="H3383" s="15"/>
      <c r="I3383" s="15"/>
      <c r="J3383" s="15"/>
      <c r="K3383" s="15"/>
      <c r="L3383" s="28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  <c r="AA3383" s="15"/>
      <c r="AB3383" s="15"/>
      <c r="AC3383" s="15"/>
      <c r="AD3383" s="15"/>
      <c r="AE3383" s="15"/>
      <c r="AF3383" s="15"/>
      <c r="AG3383" s="15"/>
      <c r="AH3383" s="15"/>
      <c r="AI3383" s="15"/>
      <c r="AJ3383" s="15"/>
      <c r="AK3383" s="15"/>
      <c r="AL3383" s="15"/>
      <c r="AM3383" s="15"/>
      <c r="AN3383" s="15"/>
      <c r="AO3383" s="15"/>
      <c r="AP3383" s="15"/>
      <c r="AQ3383" s="15"/>
      <c r="AR3383" s="15"/>
      <c r="AS3383" s="15"/>
      <c r="AT3383" s="15"/>
      <c r="AU3383" s="15"/>
      <c r="AV3383" s="15"/>
      <c r="AW3383" s="15"/>
    </row>
    <row r="3384" spans="3:49" x14ac:dyDescent="0.2">
      <c r="C3384" s="15"/>
      <c r="D3384" s="15"/>
      <c r="E3384" s="15"/>
      <c r="F3384" s="15"/>
      <c r="G3384" s="15"/>
      <c r="H3384" s="15"/>
      <c r="I3384" s="15"/>
      <c r="J3384" s="15"/>
      <c r="K3384" s="15"/>
      <c r="L3384" s="28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  <c r="AA3384" s="15"/>
      <c r="AB3384" s="15"/>
      <c r="AC3384" s="15"/>
      <c r="AD3384" s="15"/>
      <c r="AE3384" s="15"/>
      <c r="AF3384" s="15"/>
      <c r="AG3384" s="15"/>
      <c r="AH3384" s="15"/>
      <c r="AI3384" s="15"/>
      <c r="AJ3384" s="15"/>
      <c r="AK3384" s="15"/>
      <c r="AL3384" s="15"/>
      <c r="AM3384" s="15"/>
      <c r="AN3384" s="15"/>
      <c r="AO3384" s="15"/>
      <c r="AP3384" s="15"/>
      <c r="AQ3384" s="15"/>
      <c r="AR3384" s="15"/>
      <c r="AS3384" s="15"/>
      <c r="AT3384" s="15"/>
      <c r="AU3384" s="15"/>
      <c r="AV3384" s="15"/>
      <c r="AW3384" s="15"/>
    </row>
    <row r="3385" spans="3:49" x14ac:dyDescent="0.2">
      <c r="C3385" s="15"/>
      <c r="D3385" s="15"/>
      <c r="E3385" s="15"/>
      <c r="F3385" s="15"/>
      <c r="G3385" s="15"/>
      <c r="H3385" s="15"/>
      <c r="I3385" s="15"/>
      <c r="J3385" s="15"/>
      <c r="K3385" s="15"/>
      <c r="L3385" s="28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  <c r="AA3385" s="15"/>
      <c r="AB3385" s="15"/>
      <c r="AC3385" s="15"/>
      <c r="AD3385" s="15"/>
      <c r="AE3385" s="15"/>
      <c r="AF3385" s="15"/>
      <c r="AG3385" s="15"/>
      <c r="AH3385" s="15"/>
      <c r="AI3385" s="15"/>
      <c r="AJ3385" s="15"/>
      <c r="AK3385" s="15"/>
      <c r="AL3385" s="15"/>
      <c r="AM3385" s="15"/>
      <c r="AN3385" s="15"/>
      <c r="AO3385" s="15"/>
      <c r="AP3385" s="15"/>
      <c r="AQ3385" s="15"/>
      <c r="AR3385" s="15"/>
      <c r="AS3385" s="15"/>
      <c r="AT3385" s="15"/>
      <c r="AU3385" s="15"/>
      <c r="AV3385" s="15"/>
      <c r="AW3385" s="15"/>
    </row>
    <row r="3386" spans="3:49" x14ac:dyDescent="0.2">
      <c r="C3386" s="15"/>
      <c r="D3386" s="15"/>
      <c r="E3386" s="15"/>
      <c r="F3386" s="15"/>
      <c r="G3386" s="15"/>
      <c r="H3386" s="15"/>
      <c r="I3386" s="15"/>
      <c r="J3386" s="15"/>
      <c r="K3386" s="15"/>
      <c r="L3386" s="28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  <c r="AA3386" s="15"/>
      <c r="AB3386" s="15"/>
      <c r="AC3386" s="15"/>
      <c r="AD3386" s="15"/>
      <c r="AE3386" s="15"/>
      <c r="AF3386" s="15"/>
      <c r="AG3386" s="15"/>
      <c r="AH3386" s="15"/>
      <c r="AI3386" s="15"/>
      <c r="AJ3386" s="15"/>
      <c r="AK3386" s="15"/>
      <c r="AL3386" s="15"/>
      <c r="AM3386" s="15"/>
      <c r="AN3386" s="15"/>
      <c r="AO3386" s="15"/>
      <c r="AP3386" s="15"/>
      <c r="AQ3386" s="15"/>
      <c r="AR3386" s="15"/>
      <c r="AS3386" s="15"/>
      <c r="AT3386" s="15"/>
      <c r="AU3386" s="15"/>
      <c r="AV3386" s="15"/>
      <c r="AW3386" s="15"/>
    </row>
    <row r="3387" spans="3:49" x14ac:dyDescent="0.2">
      <c r="C3387" s="15"/>
      <c r="D3387" s="15"/>
      <c r="E3387" s="15"/>
      <c r="F3387" s="15"/>
      <c r="G3387" s="15"/>
      <c r="H3387" s="15"/>
      <c r="I3387" s="15"/>
      <c r="J3387" s="15"/>
      <c r="K3387" s="15"/>
      <c r="L3387" s="28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  <c r="AA3387" s="15"/>
      <c r="AB3387" s="15"/>
      <c r="AC3387" s="15"/>
      <c r="AD3387" s="15"/>
      <c r="AE3387" s="15"/>
      <c r="AF3387" s="15"/>
      <c r="AG3387" s="15"/>
      <c r="AH3387" s="15"/>
      <c r="AI3387" s="15"/>
      <c r="AJ3387" s="15"/>
      <c r="AK3387" s="15"/>
      <c r="AL3387" s="15"/>
      <c r="AM3387" s="15"/>
      <c r="AN3387" s="15"/>
      <c r="AO3387" s="15"/>
      <c r="AP3387" s="15"/>
      <c r="AQ3387" s="15"/>
      <c r="AR3387" s="15"/>
      <c r="AS3387" s="15"/>
      <c r="AT3387" s="15"/>
      <c r="AU3387" s="15"/>
      <c r="AV3387" s="15"/>
      <c r="AW3387" s="15"/>
    </row>
    <row r="3388" spans="3:49" x14ac:dyDescent="0.2">
      <c r="C3388" s="15"/>
      <c r="D3388" s="15"/>
      <c r="E3388" s="15"/>
      <c r="F3388" s="15"/>
      <c r="G3388" s="15"/>
      <c r="H3388" s="15"/>
      <c r="I3388" s="15"/>
      <c r="J3388" s="15"/>
      <c r="K3388" s="15"/>
      <c r="L3388" s="28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  <c r="AA3388" s="15"/>
      <c r="AB3388" s="15"/>
      <c r="AC3388" s="15"/>
      <c r="AD3388" s="15"/>
      <c r="AE3388" s="15"/>
      <c r="AF3388" s="15"/>
      <c r="AG3388" s="15"/>
      <c r="AH3388" s="15"/>
      <c r="AI3388" s="15"/>
      <c r="AJ3388" s="15"/>
      <c r="AK3388" s="15"/>
      <c r="AL3388" s="15"/>
      <c r="AM3388" s="15"/>
      <c r="AN3388" s="15"/>
      <c r="AO3388" s="15"/>
      <c r="AP3388" s="15"/>
      <c r="AQ3388" s="15"/>
      <c r="AR3388" s="15"/>
      <c r="AS3388" s="15"/>
      <c r="AT3388" s="15"/>
      <c r="AU3388" s="15"/>
      <c r="AV3388" s="15"/>
      <c r="AW3388" s="15"/>
    </row>
    <row r="3389" spans="3:49" x14ac:dyDescent="0.2">
      <c r="C3389" s="15"/>
      <c r="D3389" s="15"/>
      <c r="E3389" s="15"/>
      <c r="F3389" s="15"/>
      <c r="G3389" s="15"/>
      <c r="H3389" s="15"/>
      <c r="I3389" s="15"/>
      <c r="J3389" s="15"/>
      <c r="K3389" s="15"/>
      <c r="L3389" s="28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  <c r="AA3389" s="15"/>
      <c r="AB3389" s="15"/>
      <c r="AC3389" s="15"/>
      <c r="AD3389" s="15"/>
      <c r="AE3389" s="15"/>
      <c r="AF3389" s="15"/>
      <c r="AG3389" s="15"/>
      <c r="AH3389" s="15"/>
      <c r="AI3389" s="15"/>
      <c r="AJ3389" s="15"/>
      <c r="AK3389" s="15"/>
      <c r="AL3389" s="15"/>
      <c r="AM3389" s="15"/>
      <c r="AN3389" s="15"/>
      <c r="AO3389" s="15"/>
      <c r="AP3389" s="15"/>
      <c r="AQ3389" s="15"/>
      <c r="AR3389" s="15"/>
      <c r="AS3389" s="15"/>
      <c r="AT3389" s="15"/>
      <c r="AU3389" s="15"/>
      <c r="AV3389" s="15"/>
      <c r="AW3389" s="15"/>
    </row>
    <row r="3390" spans="3:49" x14ac:dyDescent="0.2">
      <c r="C3390" s="15"/>
      <c r="D3390" s="15"/>
      <c r="E3390" s="15"/>
      <c r="F3390" s="15"/>
      <c r="G3390" s="15"/>
      <c r="H3390" s="15"/>
      <c r="I3390" s="15"/>
      <c r="J3390" s="15"/>
      <c r="K3390" s="15"/>
      <c r="L3390" s="28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  <c r="AA3390" s="15"/>
      <c r="AB3390" s="15"/>
      <c r="AC3390" s="15"/>
      <c r="AD3390" s="15"/>
      <c r="AE3390" s="15"/>
      <c r="AF3390" s="15"/>
      <c r="AG3390" s="15"/>
      <c r="AH3390" s="15"/>
      <c r="AI3390" s="15"/>
      <c r="AJ3390" s="15"/>
      <c r="AK3390" s="15"/>
      <c r="AL3390" s="15"/>
      <c r="AM3390" s="15"/>
      <c r="AN3390" s="15"/>
      <c r="AO3390" s="15"/>
      <c r="AP3390" s="15"/>
      <c r="AQ3390" s="15"/>
      <c r="AR3390" s="15"/>
      <c r="AS3390" s="15"/>
      <c r="AT3390" s="15"/>
      <c r="AU3390" s="15"/>
      <c r="AV3390" s="15"/>
      <c r="AW3390" s="15"/>
    </row>
    <row r="3391" spans="3:49" x14ac:dyDescent="0.2">
      <c r="C3391" s="15"/>
      <c r="D3391" s="15"/>
      <c r="E3391" s="15"/>
      <c r="F3391" s="15"/>
      <c r="G3391" s="15"/>
      <c r="H3391" s="15"/>
      <c r="I3391" s="15"/>
      <c r="J3391" s="15"/>
      <c r="K3391" s="15"/>
      <c r="L3391" s="28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  <c r="AA3391" s="15"/>
      <c r="AB3391" s="15"/>
      <c r="AC3391" s="15"/>
      <c r="AD3391" s="15"/>
      <c r="AE3391" s="15"/>
      <c r="AF3391" s="15"/>
      <c r="AG3391" s="15"/>
      <c r="AH3391" s="15"/>
      <c r="AI3391" s="15"/>
      <c r="AJ3391" s="15"/>
      <c r="AK3391" s="15"/>
      <c r="AL3391" s="15"/>
      <c r="AM3391" s="15"/>
      <c r="AN3391" s="15"/>
      <c r="AO3391" s="15"/>
      <c r="AP3391" s="15"/>
      <c r="AQ3391" s="15"/>
      <c r="AR3391" s="15"/>
      <c r="AS3391" s="15"/>
      <c r="AT3391" s="15"/>
      <c r="AU3391" s="15"/>
      <c r="AV3391" s="15"/>
      <c r="AW3391" s="15"/>
    </row>
    <row r="3392" spans="3:49" x14ac:dyDescent="0.2">
      <c r="C3392" s="15"/>
      <c r="D3392" s="15"/>
      <c r="E3392" s="15"/>
      <c r="F3392" s="15"/>
      <c r="G3392" s="15"/>
      <c r="H3392" s="15"/>
      <c r="I3392" s="15"/>
      <c r="J3392" s="15"/>
      <c r="K3392" s="15"/>
      <c r="L3392" s="28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  <c r="AA3392" s="15"/>
      <c r="AB3392" s="15"/>
      <c r="AC3392" s="15"/>
      <c r="AD3392" s="15"/>
      <c r="AE3392" s="15"/>
      <c r="AF3392" s="15"/>
      <c r="AG3392" s="15"/>
      <c r="AH3392" s="15"/>
      <c r="AI3392" s="15"/>
      <c r="AJ3392" s="15"/>
      <c r="AK3392" s="15"/>
      <c r="AL3392" s="15"/>
      <c r="AM3392" s="15"/>
      <c r="AN3392" s="15"/>
      <c r="AO3392" s="15"/>
      <c r="AP3392" s="15"/>
      <c r="AQ3392" s="15"/>
      <c r="AR3392" s="15"/>
      <c r="AS3392" s="15"/>
      <c r="AT3392" s="15"/>
      <c r="AU3392" s="15"/>
      <c r="AV3392" s="15"/>
      <c r="AW3392" s="15"/>
    </row>
    <row r="3393" spans="3:49" x14ac:dyDescent="0.2">
      <c r="C3393" s="15"/>
      <c r="D3393" s="15"/>
      <c r="E3393" s="15"/>
      <c r="F3393" s="15"/>
      <c r="G3393" s="15"/>
      <c r="H3393" s="15"/>
      <c r="I3393" s="15"/>
      <c r="J3393" s="15"/>
      <c r="K3393" s="15"/>
      <c r="L3393" s="28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  <c r="AA3393" s="15"/>
      <c r="AB3393" s="15"/>
      <c r="AC3393" s="15"/>
      <c r="AD3393" s="15"/>
      <c r="AE3393" s="15"/>
      <c r="AF3393" s="15"/>
      <c r="AG3393" s="15"/>
      <c r="AH3393" s="15"/>
      <c r="AI3393" s="15"/>
      <c r="AJ3393" s="15"/>
      <c r="AK3393" s="15"/>
      <c r="AL3393" s="15"/>
      <c r="AM3393" s="15"/>
      <c r="AN3393" s="15"/>
      <c r="AO3393" s="15"/>
      <c r="AP3393" s="15"/>
      <c r="AQ3393" s="15"/>
      <c r="AR3393" s="15"/>
      <c r="AS3393" s="15"/>
      <c r="AT3393" s="15"/>
      <c r="AU3393" s="15"/>
      <c r="AV3393" s="15"/>
      <c r="AW3393" s="15"/>
    </row>
    <row r="3394" spans="3:49" x14ac:dyDescent="0.2">
      <c r="C3394" s="15"/>
      <c r="D3394" s="15"/>
      <c r="E3394" s="15"/>
      <c r="F3394" s="15"/>
      <c r="G3394" s="15"/>
      <c r="H3394" s="15"/>
      <c r="I3394" s="15"/>
      <c r="J3394" s="15"/>
      <c r="K3394" s="15"/>
      <c r="L3394" s="28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  <c r="AA3394" s="15"/>
      <c r="AB3394" s="15"/>
      <c r="AC3394" s="15"/>
      <c r="AD3394" s="15"/>
      <c r="AE3394" s="15"/>
      <c r="AF3394" s="15"/>
      <c r="AG3394" s="15"/>
      <c r="AH3394" s="15"/>
      <c r="AI3394" s="15"/>
      <c r="AJ3394" s="15"/>
      <c r="AK3394" s="15"/>
      <c r="AL3394" s="15"/>
      <c r="AM3394" s="15"/>
      <c r="AN3394" s="15"/>
      <c r="AO3394" s="15"/>
      <c r="AP3394" s="15"/>
      <c r="AQ3394" s="15"/>
      <c r="AR3394" s="15"/>
      <c r="AS3394" s="15"/>
      <c r="AT3394" s="15"/>
      <c r="AU3394" s="15"/>
      <c r="AV3394" s="15"/>
      <c r="AW3394" s="15"/>
    </row>
    <row r="3395" spans="3:49" x14ac:dyDescent="0.2">
      <c r="C3395" s="15"/>
      <c r="D3395" s="15"/>
      <c r="E3395" s="15"/>
      <c r="F3395" s="15"/>
      <c r="G3395" s="15"/>
      <c r="H3395" s="15"/>
      <c r="I3395" s="15"/>
      <c r="J3395" s="15"/>
      <c r="K3395" s="15"/>
      <c r="L3395" s="28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  <c r="AA3395" s="15"/>
      <c r="AB3395" s="15"/>
      <c r="AC3395" s="15"/>
      <c r="AD3395" s="15"/>
      <c r="AE3395" s="15"/>
      <c r="AF3395" s="15"/>
      <c r="AG3395" s="15"/>
      <c r="AH3395" s="15"/>
      <c r="AI3395" s="15"/>
      <c r="AJ3395" s="15"/>
      <c r="AK3395" s="15"/>
      <c r="AL3395" s="15"/>
      <c r="AM3395" s="15"/>
      <c r="AN3395" s="15"/>
      <c r="AO3395" s="15"/>
      <c r="AP3395" s="15"/>
      <c r="AQ3395" s="15"/>
      <c r="AR3395" s="15"/>
      <c r="AS3395" s="15"/>
      <c r="AT3395" s="15"/>
      <c r="AU3395" s="15"/>
      <c r="AV3395" s="15"/>
      <c r="AW3395" s="15"/>
    </row>
    <row r="3396" spans="3:49" x14ac:dyDescent="0.2">
      <c r="C3396" s="15"/>
      <c r="D3396" s="15"/>
      <c r="E3396" s="15"/>
      <c r="F3396" s="15"/>
      <c r="G3396" s="15"/>
      <c r="H3396" s="15"/>
      <c r="I3396" s="15"/>
      <c r="J3396" s="15"/>
      <c r="K3396" s="15"/>
      <c r="L3396" s="28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  <c r="AA3396" s="15"/>
      <c r="AB3396" s="15"/>
      <c r="AC3396" s="15"/>
      <c r="AD3396" s="15"/>
      <c r="AE3396" s="15"/>
      <c r="AF3396" s="15"/>
      <c r="AG3396" s="15"/>
      <c r="AH3396" s="15"/>
      <c r="AI3396" s="15"/>
      <c r="AJ3396" s="15"/>
      <c r="AK3396" s="15"/>
      <c r="AL3396" s="15"/>
      <c r="AM3396" s="15"/>
      <c r="AN3396" s="15"/>
      <c r="AO3396" s="15"/>
      <c r="AP3396" s="15"/>
      <c r="AQ3396" s="15"/>
      <c r="AR3396" s="15"/>
      <c r="AS3396" s="15"/>
      <c r="AT3396" s="15"/>
      <c r="AU3396" s="15"/>
      <c r="AV3396" s="15"/>
      <c r="AW3396" s="15"/>
    </row>
    <row r="3397" spans="3:49" x14ac:dyDescent="0.2">
      <c r="C3397" s="15"/>
      <c r="D3397" s="15"/>
      <c r="E3397" s="15"/>
      <c r="F3397" s="15"/>
      <c r="G3397" s="15"/>
      <c r="H3397" s="15"/>
      <c r="I3397" s="15"/>
      <c r="J3397" s="15"/>
      <c r="K3397" s="15"/>
      <c r="L3397" s="28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  <c r="AA3397" s="15"/>
      <c r="AB3397" s="15"/>
      <c r="AC3397" s="15"/>
      <c r="AD3397" s="15"/>
      <c r="AE3397" s="15"/>
      <c r="AF3397" s="15"/>
      <c r="AG3397" s="15"/>
      <c r="AH3397" s="15"/>
      <c r="AI3397" s="15"/>
      <c r="AJ3397" s="15"/>
      <c r="AK3397" s="15"/>
      <c r="AL3397" s="15"/>
      <c r="AM3397" s="15"/>
      <c r="AN3397" s="15"/>
      <c r="AO3397" s="15"/>
      <c r="AP3397" s="15"/>
      <c r="AQ3397" s="15"/>
      <c r="AR3397" s="15"/>
      <c r="AS3397" s="15"/>
      <c r="AT3397" s="15"/>
      <c r="AU3397" s="15"/>
      <c r="AV3397" s="15"/>
      <c r="AW3397" s="15"/>
    </row>
    <row r="3398" spans="3:49" x14ac:dyDescent="0.2">
      <c r="C3398" s="15"/>
      <c r="D3398" s="15"/>
      <c r="E3398" s="15"/>
      <c r="F3398" s="15"/>
      <c r="G3398" s="15"/>
      <c r="H3398" s="15"/>
      <c r="I3398" s="15"/>
      <c r="J3398" s="15"/>
      <c r="K3398" s="15"/>
      <c r="L3398" s="28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  <c r="AA3398" s="15"/>
      <c r="AB3398" s="15"/>
      <c r="AC3398" s="15"/>
      <c r="AD3398" s="15"/>
      <c r="AE3398" s="15"/>
      <c r="AF3398" s="15"/>
      <c r="AG3398" s="15"/>
      <c r="AH3398" s="15"/>
      <c r="AI3398" s="15"/>
      <c r="AJ3398" s="15"/>
      <c r="AK3398" s="15"/>
      <c r="AL3398" s="15"/>
      <c r="AM3398" s="15"/>
      <c r="AN3398" s="15"/>
      <c r="AO3398" s="15"/>
      <c r="AP3398" s="15"/>
      <c r="AQ3398" s="15"/>
      <c r="AR3398" s="15"/>
      <c r="AS3398" s="15"/>
      <c r="AT3398" s="15"/>
      <c r="AU3398" s="15"/>
      <c r="AV3398" s="15"/>
      <c r="AW3398" s="15"/>
    </row>
    <row r="3399" spans="3:49" x14ac:dyDescent="0.2">
      <c r="C3399" s="15"/>
      <c r="D3399" s="15"/>
      <c r="E3399" s="15"/>
      <c r="F3399" s="15"/>
      <c r="G3399" s="15"/>
      <c r="H3399" s="15"/>
      <c r="I3399" s="15"/>
      <c r="J3399" s="15"/>
      <c r="K3399" s="15"/>
      <c r="L3399" s="28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  <c r="AA3399" s="15"/>
      <c r="AB3399" s="15"/>
      <c r="AC3399" s="15"/>
      <c r="AD3399" s="15"/>
      <c r="AE3399" s="15"/>
      <c r="AF3399" s="15"/>
      <c r="AG3399" s="15"/>
      <c r="AH3399" s="15"/>
      <c r="AI3399" s="15"/>
      <c r="AJ3399" s="15"/>
      <c r="AK3399" s="15"/>
      <c r="AL3399" s="15"/>
      <c r="AM3399" s="15"/>
      <c r="AN3399" s="15"/>
      <c r="AO3399" s="15"/>
      <c r="AP3399" s="15"/>
      <c r="AQ3399" s="15"/>
      <c r="AR3399" s="15"/>
      <c r="AS3399" s="15"/>
      <c r="AT3399" s="15"/>
      <c r="AU3399" s="15"/>
      <c r="AV3399" s="15"/>
      <c r="AW3399" s="15"/>
    </row>
    <row r="3400" spans="3:49" x14ac:dyDescent="0.2">
      <c r="C3400" s="15"/>
      <c r="D3400" s="15"/>
      <c r="E3400" s="15"/>
      <c r="F3400" s="15"/>
      <c r="G3400" s="15"/>
      <c r="H3400" s="15"/>
      <c r="I3400" s="15"/>
      <c r="J3400" s="15"/>
      <c r="K3400" s="15"/>
      <c r="L3400" s="28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  <c r="AA3400" s="15"/>
      <c r="AB3400" s="15"/>
      <c r="AC3400" s="15"/>
      <c r="AD3400" s="15"/>
      <c r="AE3400" s="15"/>
      <c r="AF3400" s="15"/>
      <c r="AG3400" s="15"/>
      <c r="AH3400" s="15"/>
      <c r="AI3400" s="15"/>
      <c r="AJ3400" s="15"/>
      <c r="AK3400" s="15"/>
      <c r="AL3400" s="15"/>
      <c r="AM3400" s="15"/>
      <c r="AN3400" s="15"/>
      <c r="AO3400" s="15"/>
      <c r="AP3400" s="15"/>
      <c r="AQ3400" s="15"/>
      <c r="AR3400" s="15"/>
      <c r="AS3400" s="15"/>
      <c r="AT3400" s="15"/>
      <c r="AU3400" s="15"/>
      <c r="AV3400" s="15"/>
      <c r="AW3400" s="15"/>
    </row>
    <row r="3401" spans="3:49" x14ac:dyDescent="0.2">
      <c r="C3401" s="15"/>
      <c r="D3401" s="15"/>
      <c r="E3401" s="15"/>
      <c r="F3401" s="15"/>
      <c r="G3401" s="15"/>
      <c r="H3401" s="15"/>
      <c r="I3401" s="15"/>
      <c r="J3401" s="15"/>
      <c r="K3401" s="15"/>
      <c r="L3401" s="28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  <c r="AA3401" s="15"/>
      <c r="AB3401" s="15"/>
      <c r="AC3401" s="15"/>
      <c r="AD3401" s="15"/>
      <c r="AE3401" s="15"/>
      <c r="AF3401" s="15"/>
      <c r="AG3401" s="15"/>
      <c r="AH3401" s="15"/>
      <c r="AI3401" s="15"/>
      <c r="AJ3401" s="15"/>
      <c r="AK3401" s="15"/>
      <c r="AL3401" s="15"/>
      <c r="AM3401" s="15"/>
      <c r="AN3401" s="15"/>
      <c r="AO3401" s="15"/>
      <c r="AP3401" s="15"/>
      <c r="AQ3401" s="15"/>
      <c r="AR3401" s="15"/>
      <c r="AS3401" s="15"/>
      <c r="AT3401" s="15"/>
      <c r="AU3401" s="15"/>
      <c r="AV3401" s="15"/>
      <c r="AW3401" s="15"/>
    </row>
    <row r="3402" spans="3:49" x14ac:dyDescent="0.2">
      <c r="C3402" s="15"/>
      <c r="D3402" s="15"/>
      <c r="E3402" s="15"/>
      <c r="F3402" s="15"/>
      <c r="G3402" s="15"/>
      <c r="H3402" s="15"/>
      <c r="I3402" s="15"/>
      <c r="J3402" s="15"/>
      <c r="K3402" s="15"/>
      <c r="L3402" s="28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  <c r="AA3402" s="15"/>
      <c r="AB3402" s="15"/>
      <c r="AC3402" s="15"/>
      <c r="AD3402" s="15"/>
      <c r="AE3402" s="15"/>
      <c r="AF3402" s="15"/>
      <c r="AG3402" s="15"/>
      <c r="AH3402" s="15"/>
      <c r="AI3402" s="15"/>
      <c r="AJ3402" s="15"/>
      <c r="AK3402" s="15"/>
      <c r="AL3402" s="15"/>
      <c r="AM3402" s="15"/>
      <c r="AN3402" s="15"/>
      <c r="AO3402" s="15"/>
      <c r="AP3402" s="15"/>
      <c r="AQ3402" s="15"/>
      <c r="AR3402" s="15"/>
      <c r="AS3402" s="15"/>
      <c r="AT3402" s="15"/>
      <c r="AU3402" s="15"/>
      <c r="AV3402" s="15"/>
      <c r="AW3402" s="15"/>
    </row>
    <row r="3403" spans="3:49" x14ac:dyDescent="0.2">
      <c r="C3403" s="15"/>
      <c r="D3403" s="15"/>
      <c r="E3403" s="15"/>
      <c r="F3403" s="15"/>
      <c r="G3403" s="15"/>
      <c r="H3403" s="15"/>
      <c r="I3403" s="15"/>
      <c r="J3403" s="15"/>
      <c r="K3403" s="15"/>
      <c r="L3403" s="28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  <c r="AA3403" s="15"/>
      <c r="AB3403" s="15"/>
      <c r="AC3403" s="15"/>
      <c r="AD3403" s="15"/>
      <c r="AE3403" s="15"/>
      <c r="AF3403" s="15"/>
      <c r="AG3403" s="15"/>
      <c r="AH3403" s="15"/>
      <c r="AI3403" s="15"/>
      <c r="AJ3403" s="15"/>
      <c r="AK3403" s="15"/>
      <c r="AL3403" s="15"/>
      <c r="AM3403" s="15"/>
      <c r="AN3403" s="15"/>
      <c r="AO3403" s="15"/>
      <c r="AP3403" s="15"/>
      <c r="AQ3403" s="15"/>
      <c r="AR3403" s="15"/>
      <c r="AS3403" s="15"/>
      <c r="AT3403" s="15"/>
      <c r="AU3403" s="15"/>
      <c r="AV3403" s="15"/>
      <c r="AW3403" s="15"/>
    </row>
    <row r="3404" spans="3:49" x14ac:dyDescent="0.2">
      <c r="C3404" s="15"/>
      <c r="D3404" s="15"/>
      <c r="E3404" s="15"/>
      <c r="F3404" s="15"/>
      <c r="G3404" s="15"/>
      <c r="H3404" s="15"/>
      <c r="I3404" s="15"/>
      <c r="J3404" s="15"/>
      <c r="K3404" s="15"/>
      <c r="L3404" s="28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  <c r="AA3404" s="15"/>
      <c r="AB3404" s="15"/>
      <c r="AC3404" s="15"/>
      <c r="AD3404" s="15"/>
      <c r="AE3404" s="15"/>
      <c r="AF3404" s="15"/>
      <c r="AG3404" s="15"/>
      <c r="AH3404" s="15"/>
      <c r="AI3404" s="15"/>
      <c r="AJ3404" s="15"/>
      <c r="AK3404" s="15"/>
      <c r="AL3404" s="15"/>
      <c r="AM3404" s="15"/>
      <c r="AN3404" s="15"/>
      <c r="AO3404" s="15"/>
      <c r="AP3404" s="15"/>
      <c r="AQ3404" s="15"/>
      <c r="AR3404" s="15"/>
      <c r="AS3404" s="15"/>
      <c r="AT3404" s="15"/>
      <c r="AU3404" s="15"/>
      <c r="AV3404" s="15"/>
      <c r="AW3404" s="15"/>
    </row>
    <row r="3405" spans="3:49" x14ac:dyDescent="0.2">
      <c r="C3405" s="15"/>
      <c r="D3405" s="15"/>
      <c r="E3405" s="15"/>
      <c r="F3405" s="15"/>
      <c r="G3405" s="15"/>
      <c r="H3405" s="15"/>
      <c r="I3405" s="15"/>
      <c r="J3405" s="15"/>
      <c r="K3405" s="15"/>
      <c r="L3405" s="28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  <c r="AA3405" s="15"/>
      <c r="AB3405" s="15"/>
      <c r="AC3405" s="15"/>
      <c r="AD3405" s="15"/>
      <c r="AE3405" s="15"/>
      <c r="AF3405" s="15"/>
      <c r="AG3405" s="15"/>
      <c r="AH3405" s="15"/>
      <c r="AI3405" s="15"/>
      <c r="AJ3405" s="15"/>
      <c r="AK3405" s="15"/>
      <c r="AL3405" s="15"/>
      <c r="AM3405" s="15"/>
      <c r="AN3405" s="15"/>
      <c r="AO3405" s="15"/>
      <c r="AP3405" s="15"/>
      <c r="AQ3405" s="15"/>
      <c r="AR3405" s="15"/>
      <c r="AS3405" s="15"/>
      <c r="AT3405" s="15"/>
      <c r="AU3405" s="15"/>
      <c r="AV3405" s="15"/>
      <c r="AW3405" s="15"/>
    </row>
    <row r="3406" spans="3:49" x14ac:dyDescent="0.2">
      <c r="C3406" s="15"/>
      <c r="D3406" s="15"/>
      <c r="E3406" s="15"/>
      <c r="F3406" s="15"/>
      <c r="G3406" s="15"/>
      <c r="H3406" s="15"/>
      <c r="I3406" s="15"/>
      <c r="J3406" s="15"/>
      <c r="K3406" s="15"/>
      <c r="L3406" s="28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  <c r="AA3406" s="15"/>
      <c r="AB3406" s="15"/>
      <c r="AC3406" s="15"/>
      <c r="AD3406" s="15"/>
      <c r="AE3406" s="15"/>
      <c r="AF3406" s="15"/>
      <c r="AG3406" s="15"/>
      <c r="AH3406" s="15"/>
      <c r="AI3406" s="15"/>
      <c r="AJ3406" s="15"/>
      <c r="AK3406" s="15"/>
      <c r="AL3406" s="15"/>
      <c r="AM3406" s="15"/>
      <c r="AN3406" s="15"/>
      <c r="AO3406" s="15"/>
      <c r="AP3406" s="15"/>
      <c r="AQ3406" s="15"/>
      <c r="AR3406" s="15"/>
      <c r="AS3406" s="15"/>
      <c r="AT3406" s="15"/>
      <c r="AU3406" s="15"/>
      <c r="AV3406" s="15"/>
      <c r="AW3406" s="15"/>
    </row>
    <row r="3407" spans="3:49" x14ac:dyDescent="0.2">
      <c r="C3407" s="15"/>
      <c r="D3407" s="15"/>
      <c r="E3407" s="15"/>
      <c r="F3407" s="15"/>
      <c r="G3407" s="15"/>
      <c r="H3407" s="15"/>
      <c r="I3407" s="15"/>
      <c r="J3407" s="15"/>
      <c r="K3407" s="15"/>
      <c r="L3407" s="28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  <c r="AA3407" s="15"/>
      <c r="AB3407" s="15"/>
      <c r="AC3407" s="15"/>
      <c r="AD3407" s="15"/>
      <c r="AE3407" s="15"/>
      <c r="AF3407" s="15"/>
      <c r="AG3407" s="15"/>
      <c r="AH3407" s="15"/>
      <c r="AI3407" s="15"/>
      <c r="AJ3407" s="15"/>
      <c r="AK3407" s="15"/>
      <c r="AL3407" s="15"/>
      <c r="AM3407" s="15"/>
      <c r="AN3407" s="15"/>
      <c r="AO3407" s="15"/>
      <c r="AP3407" s="15"/>
      <c r="AQ3407" s="15"/>
      <c r="AR3407" s="15"/>
      <c r="AS3407" s="15"/>
      <c r="AT3407" s="15"/>
      <c r="AU3407" s="15"/>
      <c r="AV3407" s="15"/>
      <c r="AW3407" s="15"/>
    </row>
    <row r="3408" spans="3:49" x14ac:dyDescent="0.2">
      <c r="C3408" s="15"/>
      <c r="D3408" s="15"/>
      <c r="E3408" s="15"/>
      <c r="F3408" s="15"/>
      <c r="G3408" s="15"/>
      <c r="H3408" s="15"/>
      <c r="I3408" s="15"/>
      <c r="J3408" s="15"/>
      <c r="K3408" s="15"/>
      <c r="L3408" s="28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  <c r="AA3408" s="15"/>
      <c r="AB3408" s="15"/>
      <c r="AC3408" s="15"/>
      <c r="AD3408" s="15"/>
      <c r="AE3408" s="15"/>
      <c r="AF3408" s="15"/>
      <c r="AG3408" s="15"/>
      <c r="AH3408" s="15"/>
      <c r="AI3408" s="15"/>
      <c r="AJ3408" s="15"/>
      <c r="AK3408" s="15"/>
      <c r="AL3408" s="15"/>
      <c r="AM3408" s="15"/>
      <c r="AN3408" s="15"/>
      <c r="AO3408" s="15"/>
      <c r="AP3408" s="15"/>
      <c r="AQ3408" s="15"/>
      <c r="AR3408" s="15"/>
      <c r="AS3408" s="15"/>
      <c r="AT3408" s="15"/>
      <c r="AU3408" s="15"/>
      <c r="AV3408" s="15"/>
      <c r="AW3408" s="15"/>
    </row>
    <row r="3409" spans="3:49" x14ac:dyDescent="0.2">
      <c r="C3409" s="15"/>
      <c r="D3409" s="15"/>
      <c r="E3409" s="15"/>
      <c r="F3409" s="15"/>
      <c r="G3409" s="15"/>
      <c r="H3409" s="15"/>
      <c r="I3409" s="15"/>
      <c r="J3409" s="15"/>
      <c r="K3409" s="15"/>
      <c r="L3409" s="28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  <c r="AA3409" s="15"/>
      <c r="AB3409" s="15"/>
      <c r="AC3409" s="15"/>
      <c r="AD3409" s="15"/>
      <c r="AE3409" s="15"/>
      <c r="AF3409" s="15"/>
      <c r="AG3409" s="15"/>
      <c r="AH3409" s="15"/>
      <c r="AI3409" s="15"/>
      <c r="AJ3409" s="15"/>
      <c r="AK3409" s="15"/>
      <c r="AL3409" s="15"/>
      <c r="AM3409" s="15"/>
      <c r="AN3409" s="15"/>
      <c r="AO3409" s="15"/>
      <c r="AP3409" s="15"/>
      <c r="AQ3409" s="15"/>
      <c r="AR3409" s="15"/>
      <c r="AS3409" s="15"/>
      <c r="AT3409" s="15"/>
      <c r="AU3409" s="15"/>
      <c r="AV3409" s="15"/>
      <c r="AW3409" s="15"/>
    </row>
    <row r="3410" spans="3:49" x14ac:dyDescent="0.2">
      <c r="C3410" s="15"/>
      <c r="D3410" s="15"/>
      <c r="E3410" s="15"/>
      <c r="F3410" s="15"/>
      <c r="G3410" s="15"/>
      <c r="H3410" s="15"/>
      <c r="I3410" s="15"/>
      <c r="J3410" s="15"/>
      <c r="K3410" s="15"/>
      <c r="L3410" s="28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  <c r="AA3410" s="15"/>
      <c r="AB3410" s="15"/>
      <c r="AC3410" s="15"/>
      <c r="AD3410" s="15"/>
      <c r="AE3410" s="15"/>
      <c r="AF3410" s="15"/>
      <c r="AG3410" s="15"/>
      <c r="AH3410" s="15"/>
      <c r="AI3410" s="15"/>
      <c r="AJ3410" s="15"/>
      <c r="AK3410" s="15"/>
      <c r="AL3410" s="15"/>
      <c r="AM3410" s="15"/>
      <c r="AN3410" s="15"/>
      <c r="AO3410" s="15"/>
      <c r="AP3410" s="15"/>
      <c r="AQ3410" s="15"/>
      <c r="AR3410" s="15"/>
      <c r="AS3410" s="15"/>
      <c r="AT3410" s="15"/>
      <c r="AU3410" s="15"/>
      <c r="AV3410" s="15"/>
      <c r="AW3410" s="15"/>
    </row>
    <row r="3411" spans="3:49" x14ac:dyDescent="0.2">
      <c r="C3411" s="15"/>
      <c r="D3411" s="15"/>
      <c r="E3411" s="15"/>
      <c r="F3411" s="15"/>
      <c r="G3411" s="15"/>
      <c r="H3411" s="15"/>
      <c r="I3411" s="15"/>
      <c r="J3411" s="15"/>
      <c r="K3411" s="15"/>
      <c r="L3411" s="28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  <c r="AA3411" s="15"/>
      <c r="AB3411" s="15"/>
      <c r="AC3411" s="15"/>
      <c r="AD3411" s="15"/>
      <c r="AE3411" s="15"/>
      <c r="AF3411" s="15"/>
      <c r="AG3411" s="15"/>
      <c r="AH3411" s="15"/>
      <c r="AI3411" s="15"/>
      <c r="AJ3411" s="15"/>
      <c r="AK3411" s="15"/>
      <c r="AL3411" s="15"/>
      <c r="AM3411" s="15"/>
      <c r="AN3411" s="15"/>
      <c r="AO3411" s="15"/>
      <c r="AP3411" s="15"/>
      <c r="AQ3411" s="15"/>
      <c r="AR3411" s="15"/>
      <c r="AS3411" s="15"/>
      <c r="AT3411" s="15"/>
      <c r="AU3411" s="15"/>
      <c r="AV3411" s="15"/>
      <c r="AW3411" s="15"/>
    </row>
    <row r="3412" spans="3:49" x14ac:dyDescent="0.2">
      <c r="C3412" s="15"/>
      <c r="D3412" s="15"/>
      <c r="E3412" s="15"/>
      <c r="F3412" s="15"/>
      <c r="G3412" s="15"/>
      <c r="H3412" s="15"/>
      <c r="I3412" s="15"/>
      <c r="J3412" s="15"/>
      <c r="K3412" s="15"/>
      <c r="L3412" s="28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  <c r="AA3412" s="15"/>
      <c r="AB3412" s="15"/>
      <c r="AC3412" s="15"/>
      <c r="AD3412" s="15"/>
      <c r="AE3412" s="15"/>
      <c r="AF3412" s="15"/>
      <c r="AG3412" s="15"/>
      <c r="AH3412" s="15"/>
      <c r="AI3412" s="15"/>
      <c r="AJ3412" s="15"/>
      <c r="AK3412" s="15"/>
      <c r="AL3412" s="15"/>
      <c r="AM3412" s="15"/>
      <c r="AN3412" s="15"/>
      <c r="AO3412" s="15"/>
      <c r="AP3412" s="15"/>
      <c r="AQ3412" s="15"/>
      <c r="AR3412" s="15"/>
      <c r="AS3412" s="15"/>
      <c r="AT3412" s="15"/>
      <c r="AU3412" s="15"/>
      <c r="AV3412" s="15"/>
      <c r="AW3412" s="15"/>
    </row>
    <row r="3413" spans="3:49" x14ac:dyDescent="0.2">
      <c r="C3413" s="15"/>
      <c r="D3413" s="15"/>
      <c r="E3413" s="15"/>
      <c r="F3413" s="15"/>
      <c r="G3413" s="15"/>
      <c r="H3413" s="15"/>
      <c r="I3413" s="15"/>
      <c r="J3413" s="15"/>
      <c r="K3413" s="15"/>
      <c r="L3413" s="28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  <c r="AA3413" s="15"/>
      <c r="AB3413" s="15"/>
      <c r="AC3413" s="15"/>
      <c r="AD3413" s="15"/>
      <c r="AE3413" s="15"/>
      <c r="AF3413" s="15"/>
      <c r="AG3413" s="15"/>
      <c r="AH3413" s="15"/>
      <c r="AI3413" s="15"/>
      <c r="AJ3413" s="15"/>
      <c r="AK3413" s="15"/>
      <c r="AL3413" s="15"/>
      <c r="AM3413" s="15"/>
      <c r="AN3413" s="15"/>
      <c r="AO3413" s="15"/>
      <c r="AP3413" s="15"/>
      <c r="AQ3413" s="15"/>
      <c r="AR3413" s="15"/>
      <c r="AS3413" s="15"/>
      <c r="AT3413" s="15"/>
      <c r="AU3413" s="15"/>
      <c r="AV3413" s="15"/>
      <c r="AW3413" s="15"/>
    </row>
    <row r="3414" spans="3:49" x14ac:dyDescent="0.2">
      <c r="C3414" s="15"/>
      <c r="D3414" s="15"/>
      <c r="E3414" s="15"/>
      <c r="F3414" s="15"/>
      <c r="G3414" s="15"/>
      <c r="H3414" s="15"/>
      <c r="I3414" s="15"/>
      <c r="J3414" s="15"/>
      <c r="K3414" s="15"/>
      <c r="L3414" s="28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  <c r="AA3414" s="15"/>
      <c r="AB3414" s="15"/>
      <c r="AC3414" s="15"/>
      <c r="AD3414" s="15"/>
      <c r="AE3414" s="15"/>
      <c r="AF3414" s="15"/>
      <c r="AG3414" s="15"/>
      <c r="AH3414" s="15"/>
      <c r="AI3414" s="15"/>
      <c r="AJ3414" s="15"/>
      <c r="AK3414" s="15"/>
      <c r="AL3414" s="15"/>
      <c r="AM3414" s="15"/>
      <c r="AN3414" s="15"/>
      <c r="AO3414" s="15"/>
      <c r="AP3414" s="15"/>
      <c r="AQ3414" s="15"/>
      <c r="AR3414" s="15"/>
      <c r="AS3414" s="15"/>
      <c r="AT3414" s="15"/>
      <c r="AU3414" s="15"/>
      <c r="AV3414" s="15"/>
      <c r="AW3414" s="15"/>
    </row>
    <row r="3415" spans="3:49" x14ac:dyDescent="0.2">
      <c r="C3415" s="15"/>
      <c r="D3415" s="15"/>
      <c r="E3415" s="15"/>
      <c r="F3415" s="15"/>
      <c r="G3415" s="15"/>
      <c r="H3415" s="15"/>
      <c r="I3415" s="15"/>
      <c r="J3415" s="15"/>
      <c r="K3415" s="15"/>
      <c r="L3415" s="28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  <c r="AA3415" s="15"/>
      <c r="AB3415" s="15"/>
      <c r="AC3415" s="15"/>
      <c r="AD3415" s="15"/>
      <c r="AE3415" s="15"/>
      <c r="AF3415" s="15"/>
      <c r="AG3415" s="15"/>
      <c r="AH3415" s="15"/>
      <c r="AI3415" s="15"/>
      <c r="AJ3415" s="15"/>
      <c r="AK3415" s="15"/>
      <c r="AL3415" s="15"/>
      <c r="AM3415" s="15"/>
      <c r="AN3415" s="15"/>
      <c r="AO3415" s="15"/>
      <c r="AP3415" s="15"/>
      <c r="AQ3415" s="15"/>
      <c r="AR3415" s="15"/>
      <c r="AS3415" s="15"/>
      <c r="AT3415" s="15"/>
      <c r="AU3415" s="15"/>
      <c r="AV3415" s="15"/>
      <c r="AW3415" s="15"/>
    </row>
    <row r="3416" spans="3:49" x14ac:dyDescent="0.2">
      <c r="C3416" s="15"/>
      <c r="D3416" s="15"/>
      <c r="E3416" s="15"/>
      <c r="F3416" s="15"/>
      <c r="G3416" s="15"/>
      <c r="H3416" s="15"/>
      <c r="I3416" s="15"/>
      <c r="J3416" s="15"/>
      <c r="K3416" s="15"/>
      <c r="L3416" s="28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  <c r="AA3416" s="15"/>
      <c r="AB3416" s="15"/>
      <c r="AC3416" s="15"/>
      <c r="AD3416" s="15"/>
      <c r="AE3416" s="15"/>
      <c r="AF3416" s="15"/>
      <c r="AG3416" s="15"/>
      <c r="AH3416" s="15"/>
      <c r="AI3416" s="15"/>
      <c r="AJ3416" s="15"/>
      <c r="AK3416" s="15"/>
      <c r="AL3416" s="15"/>
      <c r="AM3416" s="15"/>
      <c r="AN3416" s="15"/>
      <c r="AO3416" s="15"/>
      <c r="AP3416" s="15"/>
      <c r="AQ3416" s="15"/>
      <c r="AR3416" s="15"/>
      <c r="AS3416" s="15"/>
      <c r="AT3416" s="15"/>
      <c r="AU3416" s="15"/>
      <c r="AV3416" s="15"/>
      <c r="AW3416" s="15"/>
    </row>
    <row r="3417" spans="3:49" x14ac:dyDescent="0.2">
      <c r="C3417" s="15"/>
      <c r="D3417" s="15"/>
      <c r="E3417" s="15"/>
      <c r="F3417" s="15"/>
      <c r="G3417" s="15"/>
      <c r="H3417" s="15"/>
      <c r="I3417" s="15"/>
      <c r="J3417" s="15"/>
      <c r="K3417" s="15"/>
      <c r="L3417" s="28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  <c r="AA3417" s="15"/>
      <c r="AB3417" s="15"/>
      <c r="AC3417" s="15"/>
      <c r="AD3417" s="15"/>
      <c r="AE3417" s="15"/>
      <c r="AF3417" s="15"/>
      <c r="AG3417" s="15"/>
      <c r="AH3417" s="15"/>
      <c r="AI3417" s="15"/>
      <c r="AJ3417" s="15"/>
      <c r="AK3417" s="15"/>
      <c r="AL3417" s="15"/>
      <c r="AM3417" s="15"/>
      <c r="AN3417" s="15"/>
      <c r="AO3417" s="15"/>
      <c r="AP3417" s="15"/>
      <c r="AQ3417" s="15"/>
      <c r="AR3417" s="15"/>
      <c r="AS3417" s="15"/>
      <c r="AT3417" s="15"/>
      <c r="AU3417" s="15"/>
      <c r="AV3417" s="15"/>
      <c r="AW3417" s="15"/>
    </row>
    <row r="3418" spans="3:49" x14ac:dyDescent="0.2">
      <c r="C3418" s="15"/>
      <c r="D3418" s="15"/>
      <c r="E3418" s="15"/>
      <c r="F3418" s="15"/>
      <c r="G3418" s="15"/>
      <c r="H3418" s="15"/>
      <c r="I3418" s="15"/>
      <c r="J3418" s="15"/>
      <c r="K3418" s="15"/>
      <c r="L3418" s="28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  <c r="AA3418" s="15"/>
      <c r="AB3418" s="15"/>
      <c r="AC3418" s="15"/>
      <c r="AD3418" s="15"/>
      <c r="AE3418" s="15"/>
      <c r="AF3418" s="15"/>
      <c r="AG3418" s="15"/>
      <c r="AH3418" s="15"/>
      <c r="AI3418" s="15"/>
      <c r="AJ3418" s="15"/>
      <c r="AK3418" s="15"/>
      <c r="AL3418" s="15"/>
      <c r="AM3418" s="15"/>
      <c r="AN3418" s="15"/>
      <c r="AO3418" s="15"/>
      <c r="AP3418" s="15"/>
      <c r="AQ3418" s="15"/>
      <c r="AR3418" s="15"/>
      <c r="AS3418" s="15"/>
      <c r="AT3418" s="15"/>
      <c r="AU3418" s="15"/>
      <c r="AV3418" s="15"/>
      <c r="AW3418" s="15"/>
    </row>
    <row r="3419" spans="3:49" x14ac:dyDescent="0.2">
      <c r="C3419" s="15"/>
      <c r="D3419" s="15"/>
      <c r="E3419" s="15"/>
      <c r="F3419" s="15"/>
      <c r="G3419" s="15"/>
      <c r="H3419" s="15"/>
      <c r="I3419" s="15"/>
      <c r="J3419" s="15"/>
      <c r="K3419" s="15"/>
      <c r="L3419" s="28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  <c r="AA3419" s="15"/>
      <c r="AB3419" s="15"/>
      <c r="AC3419" s="15"/>
      <c r="AD3419" s="15"/>
      <c r="AE3419" s="15"/>
      <c r="AF3419" s="15"/>
      <c r="AG3419" s="15"/>
      <c r="AH3419" s="15"/>
      <c r="AI3419" s="15"/>
      <c r="AJ3419" s="15"/>
      <c r="AK3419" s="15"/>
      <c r="AL3419" s="15"/>
      <c r="AM3419" s="15"/>
      <c r="AN3419" s="15"/>
      <c r="AO3419" s="15"/>
      <c r="AP3419" s="15"/>
      <c r="AQ3419" s="15"/>
      <c r="AR3419" s="15"/>
      <c r="AS3419" s="15"/>
      <c r="AT3419" s="15"/>
      <c r="AU3419" s="15"/>
      <c r="AV3419" s="15"/>
      <c r="AW3419" s="15"/>
    </row>
    <row r="3420" spans="3:49" x14ac:dyDescent="0.2">
      <c r="C3420" s="15"/>
      <c r="D3420" s="15"/>
      <c r="E3420" s="15"/>
      <c r="F3420" s="15"/>
      <c r="G3420" s="15"/>
      <c r="H3420" s="15"/>
      <c r="I3420" s="15"/>
      <c r="J3420" s="15"/>
      <c r="K3420" s="15"/>
      <c r="L3420" s="28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  <c r="AA3420" s="15"/>
      <c r="AB3420" s="15"/>
      <c r="AC3420" s="15"/>
      <c r="AD3420" s="15"/>
      <c r="AE3420" s="15"/>
      <c r="AF3420" s="15"/>
      <c r="AG3420" s="15"/>
      <c r="AH3420" s="15"/>
      <c r="AI3420" s="15"/>
      <c r="AJ3420" s="15"/>
      <c r="AK3420" s="15"/>
      <c r="AL3420" s="15"/>
      <c r="AM3420" s="15"/>
      <c r="AN3420" s="15"/>
      <c r="AO3420" s="15"/>
      <c r="AP3420" s="15"/>
      <c r="AQ3420" s="15"/>
      <c r="AR3420" s="15"/>
      <c r="AS3420" s="15"/>
      <c r="AT3420" s="15"/>
      <c r="AU3420" s="15"/>
      <c r="AV3420" s="15"/>
      <c r="AW3420" s="15"/>
    </row>
    <row r="3421" spans="3:49" x14ac:dyDescent="0.2">
      <c r="C3421" s="15"/>
      <c r="D3421" s="15"/>
      <c r="E3421" s="15"/>
      <c r="F3421" s="15"/>
      <c r="G3421" s="15"/>
      <c r="H3421" s="15"/>
      <c r="I3421" s="15"/>
      <c r="J3421" s="15"/>
      <c r="K3421" s="15"/>
      <c r="L3421" s="28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  <c r="AA3421" s="15"/>
      <c r="AB3421" s="15"/>
      <c r="AC3421" s="15"/>
      <c r="AD3421" s="15"/>
      <c r="AE3421" s="15"/>
      <c r="AF3421" s="15"/>
      <c r="AG3421" s="15"/>
      <c r="AH3421" s="15"/>
      <c r="AI3421" s="15"/>
      <c r="AJ3421" s="15"/>
      <c r="AK3421" s="15"/>
      <c r="AL3421" s="15"/>
      <c r="AM3421" s="15"/>
      <c r="AN3421" s="15"/>
      <c r="AO3421" s="15"/>
      <c r="AP3421" s="15"/>
      <c r="AQ3421" s="15"/>
      <c r="AR3421" s="15"/>
      <c r="AS3421" s="15"/>
      <c r="AT3421" s="15"/>
      <c r="AU3421" s="15"/>
      <c r="AV3421" s="15"/>
      <c r="AW3421" s="15"/>
    </row>
    <row r="3422" spans="3:49" x14ac:dyDescent="0.2">
      <c r="C3422" s="15"/>
      <c r="D3422" s="15"/>
      <c r="E3422" s="15"/>
      <c r="F3422" s="15"/>
      <c r="G3422" s="15"/>
      <c r="H3422" s="15"/>
      <c r="I3422" s="15"/>
      <c r="J3422" s="15"/>
      <c r="K3422" s="15"/>
      <c r="L3422" s="28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  <c r="AA3422" s="15"/>
      <c r="AB3422" s="15"/>
      <c r="AC3422" s="15"/>
      <c r="AD3422" s="15"/>
      <c r="AE3422" s="15"/>
      <c r="AF3422" s="15"/>
      <c r="AG3422" s="15"/>
      <c r="AH3422" s="15"/>
      <c r="AI3422" s="15"/>
      <c r="AJ3422" s="15"/>
      <c r="AK3422" s="15"/>
      <c r="AL3422" s="15"/>
      <c r="AM3422" s="15"/>
      <c r="AN3422" s="15"/>
      <c r="AO3422" s="15"/>
      <c r="AP3422" s="15"/>
      <c r="AQ3422" s="15"/>
      <c r="AR3422" s="15"/>
      <c r="AS3422" s="15"/>
      <c r="AT3422" s="15"/>
      <c r="AU3422" s="15"/>
      <c r="AV3422" s="15"/>
      <c r="AW3422" s="15"/>
    </row>
    <row r="3423" spans="3:49" x14ac:dyDescent="0.2">
      <c r="C3423" s="15"/>
      <c r="D3423" s="15"/>
      <c r="E3423" s="15"/>
      <c r="F3423" s="15"/>
      <c r="G3423" s="15"/>
      <c r="H3423" s="15"/>
      <c r="I3423" s="15"/>
      <c r="J3423" s="15"/>
      <c r="K3423" s="15"/>
      <c r="L3423" s="28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  <c r="AA3423" s="15"/>
      <c r="AB3423" s="15"/>
      <c r="AC3423" s="15"/>
      <c r="AD3423" s="15"/>
      <c r="AE3423" s="15"/>
      <c r="AF3423" s="15"/>
      <c r="AG3423" s="15"/>
      <c r="AH3423" s="15"/>
      <c r="AI3423" s="15"/>
      <c r="AJ3423" s="15"/>
      <c r="AK3423" s="15"/>
      <c r="AL3423" s="15"/>
      <c r="AM3423" s="15"/>
      <c r="AN3423" s="15"/>
      <c r="AO3423" s="15"/>
      <c r="AP3423" s="15"/>
      <c r="AQ3423" s="15"/>
      <c r="AR3423" s="15"/>
      <c r="AS3423" s="15"/>
      <c r="AT3423" s="15"/>
      <c r="AU3423" s="15"/>
      <c r="AV3423" s="15"/>
      <c r="AW3423" s="15"/>
    </row>
    <row r="3424" spans="3:49" x14ac:dyDescent="0.2">
      <c r="C3424" s="15"/>
      <c r="D3424" s="15"/>
      <c r="E3424" s="15"/>
      <c r="F3424" s="15"/>
      <c r="G3424" s="15"/>
      <c r="H3424" s="15"/>
      <c r="I3424" s="15"/>
      <c r="J3424" s="15"/>
      <c r="K3424" s="15"/>
      <c r="L3424" s="28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  <c r="AA3424" s="15"/>
      <c r="AB3424" s="15"/>
      <c r="AC3424" s="15"/>
      <c r="AD3424" s="15"/>
      <c r="AE3424" s="15"/>
      <c r="AF3424" s="15"/>
      <c r="AG3424" s="15"/>
      <c r="AH3424" s="15"/>
      <c r="AI3424" s="15"/>
      <c r="AJ3424" s="15"/>
      <c r="AK3424" s="15"/>
      <c r="AL3424" s="15"/>
      <c r="AM3424" s="15"/>
      <c r="AN3424" s="15"/>
      <c r="AO3424" s="15"/>
      <c r="AP3424" s="15"/>
      <c r="AQ3424" s="15"/>
      <c r="AR3424" s="15"/>
      <c r="AS3424" s="15"/>
      <c r="AT3424" s="15"/>
      <c r="AU3424" s="15"/>
      <c r="AV3424" s="15"/>
      <c r="AW3424" s="15"/>
    </row>
    <row r="3425" spans="3:49" x14ac:dyDescent="0.2">
      <c r="C3425" s="15"/>
      <c r="D3425" s="15"/>
      <c r="E3425" s="15"/>
      <c r="F3425" s="15"/>
      <c r="G3425" s="15"/>
      <c r="H3425" s="15"/>
      <c r="I3425" s="15"/>
      <c r="J3425" s="15"/>
      <c r="K3425" s="15"/>
      <c r="L3425" s="28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  <c r="AA3425" s="15"/>
      <c r="AB3425" s="15"/>
      <c r="AC3425" s="15"/>
      <c r="AD3425" s="15"/>
      <c r="AE3425" s="15"/>
      <c r="AF3425" s="15"/>
      <c r="AG3425" s="15"/>
      <c r="AH3425" s="15"/>
      <c r="AI3425" s="15"/>
      <c r="AJ3425" s="15"/>
      <c r="AK3425" s="15"/>
      <c r="AL3425" s="15"/>
      <c r="AM3425" s="15"/>
      <c r="AN3425" s="15"/>
      <c r="AO3425" s="15"/>
      <c r="AP3425" s="15"/>
      <c r="AQ3425" s="15"/>
      <c r="AR3425" s="15"/>
      <c r="AS3425" s="15"/>
      <c r="AT3425" s="15"/>
      <c r="AU3425" s="15"/>
      <c r="AV3425" s="15"/>
      <c r="AW3425" s="15"/>
    </row>
    <row r="3426" spans="3:49" x14ac:dyDescent="0.2">
      <c r="C3426" s="15"/>
      <c r="D3426" s="15"/>
      <c r="E3426" s="15"/>
      <c r="F3426" s="15"/>
      <c r="G3426" s="15"/>
      <c r="H3426" s="15"/>
      <c r="I3426" s="15"/>
      <c r="J3426" s="15"/>
      <c r="K3426" s="15"/>
      <c r="L3426" s="28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  <c r="AA3426" s="15"/>
      <c r="AB3426" s="15"/>
      <c r="AC3426" s="15"/>
      <c r="AD3426" s="15"/>
      <c r="AE3426" s="15"/>
      <c r="AF3426" s="15"/>
      <c r="AG3426" s="15"/>
      <c r="AH3426" s="15"/>
      <c r="AI3426" s="15"/>
      <c r="AJ3426" s="15"/>
      <c r="AK3426" s="15"/>
      <c r="AL3426" s="15"/>
      <c r="AM3426" s="15"/>
      <c r="AN3426" s="15"/>
      <c r="AO3426" s="15"/>
      <c r="AP3426" s="15"/>
      <c r="AQ3426" s="15"/>
      <c r="AR3426" s="15"/>
      <c r="AS3426" s="15"/>
      <c r="AT3426" s="15"/>
      <c r="AU3426" s="15"/>
      <c r="AV3426" s="15"/>
      <c r="AW3426" s="15"/>
    </row>
    <row r="3427" spans="3:49" x14ac:dyDescent="0.2">
      <c r="C3427" s="15"/>
      <c r="D3427" s="15"/>
      <c r="E3427" s="15"/>
      <c r="F3427" s="15"/>
      <c r="G3427" s="15"/>
      <c r="H3427" s="15"/>
      <c r="I3427" s="15"/>
      <c r="J3427" s="15"/>
      <c r="K3427" s="15"/>
      <c r="L3427" s="28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  <c r="AA3427" s="15"/>
      <c r="AB3427" s="15"/>
      <c r="AC3427" s="15"/>
      <c r="AD3427" s="15"/>
      <c r="AE3427" s="15"/>
      <c r="AF3427" s="15"/>
      <c r="AG3427" s="15"/>
      <c r="AH3427" s="15"/>
      <c r="AI3427" s="15"/>
      <c r="AJ3427" s="15"/>
      <c r="AK3427" s="15"/>
      <c r="AL3427" s="15"/>
      <c r="AM3427" s="15"/>
      <c r="AN3427" s="15"/>
      <c r="AO3427" s="15"/>
      <c r="AP3427" s="15"/>
      <c r="AQ3427" s="15"/>
      <c r="AR3427" s="15"/>
      <c r="AS3427" s="15"/>
      <c r="AT3427" s="15"/>
      <c r="AU3427" s="15"/>
      <c r="AV3427" s="15"/>
      <c r="AW3427" s="15"/>
    </row>
    <row r="3428" spans="3:49" x14ac:dyDescent="0.2">
      <c r="C3428" s="15"/>
      <c r="D3428" s="15"/>
      <c r="E3428" s="15"/>
      <c r="F3428" s="15"/>
      <c r="G3428" s="15"/>
      <c r="H3428" s="15"/>
      <c r="I3428" s="15"/>
      <c r="J3428" s="15"/>
      <c r="K3428" s="15"/>
      <c r="L3428" s="28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  <c r="AA3428" s="15"/>
      <c r="AB3428" s="15"/>
      <c r="AC3428" s="15"/>
      <c r="AD3428" s="15"/>
      <c r="AE3428" s="15"/>
      <c r="AF3428" s="15"/>
      <c r="AG3428" s="15"/>
      <c r="AH3428" s="15"/>
      <c r="AI3428" s="15"/>
      <c r="AJ3428" s="15"/>
      <c r="AK3428" s="15"/>
      <c r="AL3428" s="15"/>
      <c r="AM3428" s="15"/>
      <c r="AN3428" s="15"/>
      <c r="AO3428" s="15"/>
      <c r="AP3428" s="15"/>
      <c r="AQ3428" s="15"/>
      <c r="AR3428" s="15"/>
      <c r="AS3428" s="15"/>
      <c r="AT3428" s="15"/>
      <c r="AU3428" s="15"/>
      <c r="AV3428" s="15"/>
      <c r="AW3428" s="15"/>
    </row>
    <row r="3429" spans="3:49" x14ac:dyDescent="0.2">
      <c r="C3429" s="15"/>
      <c r="D3429" s="15"/>
      <c r="E3429" s="15"/>
      <c r="F3429" s="15"/>
      <c r="G3429" s="15"/>
      <c r="H3429" s="15"/>
      <c r="I3429" s="15"/>
      <c r="J3429" s="15"/>
      <c r="K3429" s="15"/>
      <c r="L3429" s="28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  <c r="AA3429" s="15"/>
      <c r="AB3429" s="15"/>
      <c r="AC3429" s="15"/>
      <c r="AD3429" s="15"/>
      <c r="AE3429" s="15"/>
      <c r="AF3429" s="15"/>
      <c r="AG3429" s="15"/>
      <c r="AH3429" s="15"/>
      <c r="AI3429" s="15"/>
      <c r="AJ3429" s="15"/>
      <c r="AK3429" s="15"/>
      <c r="AL3429" s="15"/>
      <c r="AM3429" s="15"/>
      <c r="AN3429" s="15"/>
      <c r="AO3429" s="15"/>
      <c r="AP3429" s="15"/>
      <c r="AQ3429" s="15"/>
      <c r="AR3429" s="15"/>
      <c r="AS3429" s="15"/>
      <c r="AT3429" s="15"/>
      <c r="AU3429" s="15"/>
      <c r="AV3429" s="15"/>
      <c r="AW3429" s="15"/>
    </row>
    <row r="3430" spans="3:49" x14ac:dyDescent="0.2">
      <c r="C3430" s="15"/>
      <c r="D3430" s="15"/>
      <c r="E3430" s="15"/>
      <c r="F3430" s="15"/>
      <c r="G3430" s="15"/>
      <c r="H3430" s="15"/>
      <c r="I3430" s="15"/>
      <c r="J3430" s="15"/>
      <c r="K3430" s="15"/>
      <c r="L3430" s="28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  <c r="AA3430" s="15"/>
      <c r="AB3430" s="15"/>
      <c r="AC3430" s="15"/>
      <c r="AD3430" s="15"/>
      <c r="AE3430" s="15"/>
      <c r="AF3430" s="15"/>
      <c r="AG3430" s="15"/>
      <c r="AH3430" s="15"/>
      <c r="AI3430" s="15"/>
      <c r="AJ3430" s="15"/>
      <c r="AK3430" s="15"/>
      <c r="AL3430" s="15"/>
      <c r="AM3430" s="15"/>
      <c r="AN3430" s="15"/>
      <c r="AO3430" s="15"/>
      <c r="AP3430" s="15"/>
      <c r="AQ3430" s="15"/>
      <c r="AR3430" s="15"/>
      <c r="AS3430" s="15"/>
      <c r="AT3430" s="15"/>
      <c r="AU3430" s="15"/>
      <c r="AV3430" s="15"/>
      <c r="AW3430" s="15"/>
    </row>
    <row r="3431" spans="3:49" x14ac:dyDescent="0.2">
      <c r="C3431" s="15"/>
      <c r="D3431" s="15"/>
      <c r="E3431" s="15"/>
      <c r="F3431" s="15"/>
      <c r="G3431" s="15"/>
      <c r="H3431" s="15"/>
      <c r="I3431" s="15"/>
      <c r="J3431" s="15"/>
      <c r="K3431" s="15"/>
      <c r="L3431" s="28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  <c r="AA3431" s="15"/>
      <c r="AB3431" s="15"/>
      <c r="AC3431" s="15"/>
      <c r="AD3431" s="15"/>
      <c r="AE3431" s="15"/>
      <c r="AF3431" s="15"/>
      <c r="AG3431" s="15"/>
      <c r="AH3431" s="15"/>
      <c r="AI3431" s="15"/>
      <c r="AJ3431" s="15"/>
      <c r="AK3431" s="15"/>
      <c r="AL3431" s="15"/>
      <c r="AM3431" s="15"/>
      <c r="AN3431" s="15"/>
      <c r="AO3431" s="15"/>
      <c r="AP3431" s="15"/>
      <c r="AQ3431" s="15"/>
      <c r="AR3431" s="15"/>
      <c r="AS3431" s="15"/>
      <c r="AT3431" s="15"/>
      <c r="AU3431" s="15"/>
      <c r="AV3431" s="15"/>
      <c r="AW3431" s="15"/>
    </row>
    <row r="3432" spans="3:49" x14ac:dyDescent="0.2">
      <c r="C3432" s="15"/>
      <c r="D3432" s="15"/>
      <c r="E3432" s="15"/>
      <c r="F3432" s="15"/>
      <c r="G3432" s="15"/>
      <c r="H3432" s="15"/>
      <c r="I3432" s="15"/>
      <c r="J3432" s="15"/>
      <c r="K3432" s="15"/>
      <c r="L3432" s="28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  <c r="AA3432" s="15"/>
      <c r="AB3432" s="15"/>
      <c r="AC3432" s="15"/>
      <c r="AD3432" s="15"/>
      <c r="AE3432" s="15"/>
      <c r="AF3432" s="15"/>
      <c r="AG3432" s="15"/>
      <c r="AH3432" s="15"/>
      <c r="AI3432" s="15"/>
      <c r="AJ3432" s="15"/>
      <c r="AK3432" s="15"/>
      <c r="AL3432" s="15"/>
      <c r="AM3432" s="15"/>
      <c r="AN3432" s="15"/>
      <c r="AO3432" s="15"/>
      <c r="AP3432" s="15"/>
      <c r="AQ3432" s="15"/>
      <c r="AR3432" s="15"/>
      <c r="AS3432" s="15"/>
      <c r="AT3432" s="15"/>
      <c r="AU3432" s="15"/>
      <c r="AV3432" s="15"/>
      <c r="AW3432" s="15"/>
    </row>
    <row r="3433" spans="3:49" x14ac:dyDescent="0.2">
      <c r="C3433" s="15"/>
      <c r="D3433" s="15"/>
      <c r="E3433" s="15"/>
      <c r="F3433" s="15"/>
      <c r="G3433" s="15"/>
      <c r="H3433" s="15"/>
      <c r="I3433" s="15"/>
      <c r="J3433" s="15"/>
      <c r="K3433" s="15"/>
      <c r="L3433" s="28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  <c r="AA3433" s="15"/>
      <c r="AB3433" s="15"/>
      <c r="AC3433" s="15"/>
      <c r="AD3433" s="15"/>
      <c r="AE3433" s="15"/>
      <c r="AF3433" s="15"/>
      <c r="AG3433" s="15"/>
      <c r="AH3433" s="15"/>
      <c r="AI3433" s="15"/>
      <c r="AJ3433" s="15"/>
      <c r="AK3433" s="15"/>
      <c r="AL3433" s="15"/>
      <c r="AM3433" s="15"/>
      <c r="AN3433" s="15"/>
      <c r="AO3433" s="15"/>
      <c r="AP3433" s="15"/>
      <c r="AQ3433" s="15"/>
      <c r="AR3433" s="15"/>
      <c r="AS3433" s="15"/>
      <c r="AT3433" s="15"/>
      <c r="AU3433" s="15"/>
      <c r="AV3433" s="15"/>
      <c r="AW3433" s="15"/>
    </row>
    <row r="3434" spans="3:49" x14ac:dyDescent="0.2">
      <c r="C3434" s="15"/>
      <c r="D3434" s="15"/>
      <c r="E3434" s="15"/>
      <c r="F3434" s="15"/>
      <c r="G3434" s="15"/>
      <c r="H3434" s="15"/>
      <c r="I3434" s="15"/>
      <c r="J3434" s="15"/>
      <c r="K3434" s="15"/>
      <c r="L3434" s="28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  <c r="AA3434" s="15"/>
      <c r="AB3434" s="15"/>
      <c r="AC3434" s="15"/>
      <c r="AD3434" s="15"/>
      <c r="AE3434" s="15"/>
      <c r="AF3434" s="15"/>
      <c r="AG3434" s="15"/>
      <c r="AH3434" s="15"/>
      <c r="AI3434" s="15"/>
      <c r="AJ3434" s="15"/>
      <c r="AK3434" s="15"/>
      <c r="AL3434" s="15"/>
      <c r="AM3434" s="15"/>
      <c r="AN3434" s="15"/>
      <c r="AO3434" s="15"/>
      <c r="AP3434" s="15"/>
      <c r="AQ3434" s="15"/>
      <c r="AR3434" s="15"/>
      <c r="AS3434" s="15"/>
      <c r="AT3434" s="15"/>
      <c r="AU3434" s="15"/>
      <c r="AV3434" s="15"/>
      <c r="AW3434" s="15"/>
    </row>
    <row r="3435" spans="3:49" x14ac:dyDescent="0.2">
      <c r="C3435" s="15"/>
      <c r="D3435" s="15"/>
      <c r="E3435" s="15"/>
      <c r="F3435" s="15"/>
      <c r="G3435" s="15"/>
      <c r="H3435" s="15"/>
      <c r="I3435" s="15"/>
      <c r="J3435" s="15"/>
      <c r="K3435" s="15"/>
      <c r="L3435" s="28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  <c r="AA3435" s="15"/>
      <c r="AB3435" s="15"/>
      <c r="AC3435" s="15"/>
      <c r="AD3435" s="15"/>
      <c r="AE3435" s="15"/>
      <c r="AF3435" s="15"/>
      <c r="AG3435" s="15"/>
      <c r="AH3435" s="15"/>
      <c r="AI3435" s="15"/>
      <c r="AJ3435" s="15"/>
      <c r="AK3435" s="15"/>
      <c r="AL3435" s="15"/>
      <c r="AM3435" s="15"/>
      <c r="AN3435" s="15"/>
      <c r="AO3435" s="15"/>
      <c r="AP3435" s="15"/>
      <c r="AQ3435" s="15"/>
      <c r="AR3435" s="15"/>
      <c r="AS3435" s="15"/>
      <c r="AT3435" s="15"/>
      <c r="AU3435" s="15"/>
      <c r="AV3435" s="15"/>
      <c r="AW3435" s="15"/>
    </row>
    <row r="3436" spans="3:49" x14ac:dyDescent="0.2">
      <c r="C3436" s="15"/>
      <c r="D3436" s="15"/>
      <c r="E3436" s="15"/>
      <c r="F3436" s="15"/>
      <c r="G3436" s="15"/>
      <c r="H3436" s="15"/>
      <c r="I3436" s="15"/>
      <c r="J3436" s="15"/>
      <c r="K3436" s="15"/>
      <c r="L3436" s="28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  <c r="AA3436" s="15"/>
      <c r="AB3436" s="15"/>
      <c r="AC3436" s="15"/>
      <c r="AD3436" s="15"/>
      <c r="AE3436" s="15"/>
      <c r="AF3436" s="15"/>
      <c r="AG3436" s="15"/>
      <c r="AH3436" s="15"/>
      <c r="AI3436" s="15"/>
      <c r="AJ3436" s="15"/>
      <c r="AK3436" s="15"/>
      <c r="AL3436" s="15"/>
      <c r="AM3436" s="15"/>
      <c r="AN3436" s="15"/>
      <c r="AO3436" s="15"/>
      <c r="AP3436" s="15"/>
      <c r="AQ3436" s="15"/>
      <c r="AR3436" s="15"/>
      <c r="AS3436" s="15"/>
      <c r="AT3436" s="15"/>
      <c r="AU3436" s="15"/>
      <c r="AV3436" s="15"/>
      <c r="AW3436" s="15"/>
    </row>
    <row r="3437" spans="3:49" x14ac:dyDescent="0.2">
      <c r="C3437" s="15"/>
      <c r="D3437" s="15"/>
      <c r="E3437" s="15"/>
      <c r="F3437" s="15"/>
      <c r="G3437" s="15"/>
      <c r="H3437" s="15"/>
      <c r="I3437" s="15"/>
      <c r="J3437" s="15"/>
      <c r="K3437" s="15"/>
      <c r="L3437" s="28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  <c r="AA3437" s="15"/>
      <c r="AB3437" s="15"/>
      <c r="AC3437" s="15"/>
      <c r="AD3437" s="15"/>
      <c r="AE3437" s="15"/>
      <c r="AF3437" s="15"/>
      <c r="AG3437" s="15"/>
      <c r="AH3437" s="15"/>
      <c r="AI3437" s="15"/>
      <c r="AJ3437" s="15"/>
      <c r="AK3437" s="15"/>
      <c r="AL3437" s="15"/>
      <c r="AM3437" s="15"/>
      <c r="AN3437" s="15"/>
      <c r="AO3437" s="15"/>
      <c r="AP3437" s="15"/>
      <c r="AQ3437" s="15"/>
      <c r="AR3437" s="15"/>
      <c r="AS3437" s="15"/>
      <c r="AT3437" s="15"/>
      <c r="AU3437" s="15"/>
      <c r="AV3437" s="15"/>
      <c r="AW3437" s="15"/>
    </row>
    <row r="3438" spans="3:49" x14ac:dyDescent="0.2">
      <c r="C3438" s="15"/>
      <c r="D3438" s="15"/>
      <c r="E3438" s="15"/>
      <c r="F3438" s="15"/>
      <c r="G3438" s="15"/>
      <c r="H3438" s="15"/>
      <c r="I3438" s="15"/>
      <c r="J3438" s="15"/>
      <c r="K3438" s="15"/>
      <c r="L3438" s="28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  <c r="AA3438" s="15"/>
      <c r="AB3438" s="15"/>
      <c r="AC3438" s="15"/>
      <c r="AD3438" s="15"/>
      <c r="AE3438" s="15"/>
      <c r="AF3438" s="15"/>
      <c r="AG3438" s="15"/>
      <c r="AH3438" s="15"/>
      <c r="AI3438" s="15"/>
      <c r="AJ3438" s="15"/>
      <c r="AK3438" s="15"/>
      <c r="AL3438" s="15"/>
      <c r="AM3438" s="15"/>
      <c r="AN3438" s="15"/>
      <c r="AO3438" s="15"/>
      <c r="AP3438" s="15"/>
      <c r="AQ3438" s="15"/>
      <c r="AR3438" s="15"/>
      <c r="AS3438" s="15"/>
      <c r="AT3438" s="15"/>
      <c r="AU3438" s="15"/>
      <c r="AV3438" s="15"/>
      <c r="AW3438" s="15"/>
    </row>
    <row r="3439" spans="3:49" x14ac:dyDescent="0.2">
      <c r="C3439" s="15"/>
      <c r="D3439" s="15"/>
      <c r="E3439" s="15"/>
      <c r="F3439" s="15"/>
      <c r="G3439" s="15"/>
      <c r="H3439" s="15"/>
      <c r="I3439" s="15"/>
      <c r="J3439" s="15"/>
      <c r="K3439" s="15"/>
      <c r="L3439" s="28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  <c r="AA3439" s="15"/>
      <c r="AB3439" s="15"/>
      <c r="AC3439" s="15"/>
      <c r="AD3439" s="15"/>
      <c r="AE3439" s="15"/>
      <c r="AF3439" s="15"/>
      <c r="AG3439" s="15"/>
      <c r="AH3439" s="15"/>
      <c r="AI3439" s="15"/>
      <c r="AJ3439" s="15"/>
      <c r="AK3439" s="15"/>
      <c r="AL3439" s="15"/>
      <c r="AM3439" s="15"/>
      <c r="AN3439" s="15"/>
      <c r="AO3439" s="15"/>
      <c r="AP3439" s="15"/>
      <c r="AQ3439" s="15"/>
      <c r="AR3439" s="15"/>
      <c r="AS3439" s="15"/>
      <c r="AT3439" s="15"/>
      <c r="AU3439" s="15"/>
      <c r="AV3439" s="15"/>
      <c r="AW3439" s="15"/>
    </row>
    <row r="3440" spans="3:49" x14ac:dyDescent="0.2">
      <c r="C3440" s="15"/>
      <c r="D3440" s="15"/>
      <c r="E3440" s="15"/>
      <c r="F3440" s="15"/>
      <c r="G3440" s="15"/>
      <c r="H3440" s="15"/>
      <c r="I3440" s="15"/>
      <c r="J3440" s="15"/>
      <c r="K3440" s="15"/>
      <c r="L3440" s="28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  <c r="AA3440" s="15"/>
      <c r="AB3440" s="15"/>
      <c r="AC3440" s="15"/>
      <c r="AD3440" s="15"/>
      <c r="AE3440" s="15"/>
      <c r="AF3440" s="15"/>
      <c r="AG3440" s="15"/>
      <c r="AH3440" s="15"/>
      <c r="AI3440" s="15"/>
      <c r="AJ3440" s="15"/>
      <c r="AK3440" s="15"/>
      <c r="AL3440" s="15"/>
      <c r="AM3440" s="15"/>
      <c r="AN3440" s="15"/>
      <c r="AO3440" s="15"/>
      <c r="AP3440" s="15"/>
      <c r="AQ3440" s="15"/>
      <c r="AR3440" s="15"/>
      <c r="AS3440" s="15"/>
      <c r="AT3440" s="15"/>
      <c r="AU3440" s="15"/>
      <c r="AV3440" s="15"/>
      <c r="AW3440" s="15"/>
    </row>
    <row r="3441" spans="3:49" x14ac:dyDescent="0.2">
      <c r="C3441" s="15"/>
      <c r="D3441" s="15"/>
      <c r="E3441" s="15"/>
      <c r="F3441" s="15"/>
      <c r="G3441" s="15"/>
      <c r="H3441" s="15"/>
      <c r="I3441" s="15"/>
      <c r="J3441" s="15"/>
      <c r="K3441" s="15"/>
      <c r="L3441" s="28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  <c r="AA3441" s="15"/>
      <c r="AB3441" s="15"/>
      <c r="AC3441" s="15"/>
      <c r="AD3441" s="15"/>
      <c r="AE3441" s="15"/>
      <c r="AF3441" s="15"/>
      <c r="AG3441" s="15"/>
      <c r="AH3441" s="15"/>
      <c r="AI3441" s="15"/>
      <c r="AJ3441" s="15"/>
      <c r="AK3441" s="15"/>
      <c r="AL3441" s="15"/>
      <c r="AM3441" s="15"/>
      <c r="AN3441" s="15"/>
      <c r="AO3441" s="15"/>
      <c r="AP3441" s="15"/>
      <c r="AQ3441" s="15"/>
      <c r="AR3441" s="15"/>
      <c r="AS3441" s="15"/>
      <c r="AT3441" s="15"/>
      <c r="AU3441" s="15"/>
      <c r="AV3441" s="15"/>
      <c r="AW3441" s="15"/>
    </row>
    <row r="3442" spans="3:49" x14ac:dyDescent="0.2">
      <c r="C3442" s="15"/>
      <c r="D3442" s="15"/>
      <c r="E3442" s="15"/>
      <c r="F3442" s="15"/>
      <c r="G3442" s="15"/>
      <c r="H3442" s="15"/>
      <c r="I3442" s="15"/>
      <c r="J3442" s="15"/>
      <c r="K3442" s="15"/>
      <c r="L3442" s="28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  <c r="AA3442" s="15"/>
      <c r="AB3442" s="15"/>
      <c r="AC3442" s="15"/>
      <c r="AD3442" s="15"/>
      <c r="AE3442" s="15"/>
      <c r="AF3442" s="15"/>
      <c r="AG3442" s="15"/>
      <c r="AH3442" s="15"/>
      <c r="AI3442" s="15"/>
      <c r="AJ3442" s="15"/>
      <c r="AK3442" s="15"/>
      <c r="AL3442" s="15"/>
      <c r="AM3442" s="15"/>
      <c r="AN3442" s="15"/>
      <c r="AO3442" s="15"/>
      <c r="AP3442" s="15"/>
      <c r="AQ3442" s="15"/>
      <c r="AR3442" s="15"/>
      <c r="AS3442" s="15"/>
      <c r="AT3442" s="15"/>
      <c r="AU3442" s="15"/>
      <c r="AV3442" s="15"/>
      <c r="AW3442" s="15"/>
    </row>
    <row r="3443" spans="3:49" x14ac:dyDescent="0.2">
      <c r="C3443" s="15"/>
      <c r="D3443" s="15"/>
      <c r="E3443" s="15"/>
      <c r="F3443" s="15"/>
      <c r="G3443" s="15"/>
      <c r="H3443" s="15"/>
      <c r="I3443" s="15"/>
      <c r="J3443" s="15"/>
      <c r="K3443" s="15"/>
      <c r="L3443" s="28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  <c r="AA3443" s="15"/>
      <c r="AB3443" s="15"/>
      <c r="AC3443" s="15"/>
      <c r="AD3443" s="15"/>
      <c r="AE3443" s="15"/>
      <c r="AF3443" s="15"/>
      <c r="AG3443" s="15"/>
      <c r="AH3443" s="15"/>
      <c r="AI3443" s="15"/>
      <c r="AJ3443" s="15"/>
      <c r="AK3443" s="15"/>
      <c r="AL3443" s="15"/>
      <c r="AM3443" s="15"/>
      <c r="AN3443" s="15"/>
      <c r="AO3443" s="15"/>
      <c r="AP3443" s="15"/>
      <c r="AQ3443" s="15"/>
      <c r="AR3443" s="15"/>
      <c r="AS3443" s="15"/>
      <c r="AT3443" s="15"/>
      <c r="AU3443" s="15"/>
      <c r="AV3443" s="15"/>
      <c r="AW3443" s="15"/>
    </row>
    <row r="3444" spans="3:49" x14ac:dyDescent="0.2">
      <c r="C3444" s="15"/>
      <c r="D3444" s="15"/>
      <c r="E3444" s="15"/>
      <c r="F3444" s="15"/>
      <c r="G3444" s="15"/>
      <c r="H3444" s="15"/>
      <c r="I3444" s="15"/>
      <c r="J3444" s="15"/>
      <c r="K3444" s="15"/>
      <c r="L3444" s="28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  <c r="AA3444" s="15"/>
      <c r="AB3444" s="15"/>
      <c r="AC3444" s="15"/>
      <c r="AD3444" s="15"/>
      <c r="AE3444" s="15"/>
      <c r="AF3444" s="15"/>
      <c r="AG3444" s="15"/>
      <c r="AH3444" s="15"/>
      <c r="AI3444" s="15"/>
      <c r="AJ3444" s="15"/>
      <c r="AK3444" s="15"/>
      <c r="AL3444" s="15"/>
      <c r="AM3444" s="15"/>
      <c r="AN3444" s="15"/>
      <c r="AO3444" s="15"/>
      <c r="AP3444" s="15"/>
      <c r="AQ3444" s="15"/>
      <c r="AR3444" s="15"/>
      <c r="AS3444" s="15"/>
      <c r="AT3444" s="15"/>
      <c r="AU3444" s="15"/>
      <c r="AV3444" s="15"/>
      <c r="AW3444" s="15"/>
    </row>
    <row r="3445" spans="3:49" x14ac:dyDescent="0.2">
      <c r="C3445" s="15"/>
      <c r="D3445" s="15"/>
      <c r="E3445" s="15"/>
      <c r="F3445" s="15"/>
      <c r="G3445" s="15"/>
      <c r="H3445" s="15"/>
      <c r="I3445" s="15"/>
      <c r="J3445" s="15"/>
      <c r="K3445" s="15"/>
      <c r="L3445" s="28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  <c r="AA3445" s="15"/>
      <c r="AB3445" s="15"/>
      <c r="AC3445" s="15"/>
      <c r="AD3445" s="15"/>
      <c r="AE3445" s="15"/>
      <c r="AF3445" s="15"/>
      <c r="AG3445" s="15"/>
      <c r="AH3445" s="15"/>
      <c r="AI3445" s="15"/>
      <c r="AJ3445" s="15"/>
      <c r="AK3445" s="15"/>
      <c r="AL3445" s="15"/>
      <c r="AM3445" s="15"/>
      <c r="AN3445" s="15"/>
      <c r="AO3445" s="15"/>
      <c r="AP3445" s="15"/>
      <c r="AQ3445" s="15"/>
      <c r="AR3445" s="15"/>
      <c r="AS3445" s="15"/>
      <c r="AT3445" s="15"/>
      <c r="AU3445" s="15"/>
      <c r="AV3445" s="15"/>
      <c r="AW3445" s="15"/>
    </row>
    <row r="3446" spans="3:49" x14ac:dyDescent="0.2">
      <c r="C3446" s="15"/>
      <c r="D3446" s="15"/>
      <c r="E3446" s="15"/>
      <c r="F3446" s="15"/>
      <c r="G3446" s="15"/>
      <c r="H3446" s="15"/>
      <c r="I3446" s="15"/>
      <c r="J3446" s="15"/>
      <c r="K3446" s="15"/>
      <c r="L3446" s="28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  <c r="AA3446" s="15"/>
      <c r="AB3446" s="15"/>
      <c r="AC3446" s="15"/>
      <c r="AD3446" s="15"/>
      <c r="AE3446" s="15"/>
      <c r="AF3446" s="15"/>
      <c r="AG3446" s="15"/>
      <c r="AH3446" s="15"/>
      <c r="AI3446" s="15"/>
      <c r="AJ3446" s="15"/>
      <c r="AK3446" s="15"/>
      <c r="AL3446" s="15"/>
      <c r="AM3446" s="15"/>
      <c r="AN3446" s="15"/>
      <c r="AO3446" s="15"/>
      <c r="AP3446" s="15"/>
      <c r="AQ3446" s="15"/>
      <c r="AR3446" s="15"/>
      <c r="AS3446" s="15"/>
      <c r="AT3446" s="15"/>
      <c r="AU3446" s="15"/>
      <c r="AV3446" s="15"/>
      <c r="AW3446" s="15"/>
    </row>
    <row r="3447" spans="3:49" x14ac:dyDescent="0.2">
      <c r="C3447" s="15"/>
      <c r="D3447" s="15"/>
      <c r="E3447" s="15"/>
      <c r="F3447" s="15"/>
      <c r="G3447" s="15"/>
      <c r="H3447" s="15"/>
      <c r="I3447" s="15"/>
      <c r="J3447" s="15"/>
      <c r="K3447" s="15"/>
      <c r="L3447" s="28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  <c r="AA3447" s="15"/>
      <c r="AB3447" s="15"/>
      <c r="AC3447" s="15"/>
      <c r="AD3447" s="15"/>
      <c r="AE3447" s="15"/>
      <c r="AF3447" s="15"/>
      <c r="AG3447" s="15"/>
      <c r="AH3447" s="15"/>
      <c r="AI3447" s="15"/>
      <c r="AJ3447" s="15"/>
      <c r="AK3447" s="15"/>
      <c r="AL3447" s="15"/>
      <c r="AM3447" s="15"/>
      <c r="AN3447" s="15"/>
      <c r="AO3447" s="15"/>
      <c r="AP3447" s="15"/>
      <c r="AQ3447" s="15"/>
      <c r="AR3447" s="15"/>
      <c r="AS3447" s="15"/>
      <c r="AT3447" s="15"/>
      <c r="AU3447" s="15"/>
      <c r="AV3447" s="15"/>
      <c r="AW3447" s="15"/>
    </row>
    <row r="3448" spans="3:49" x14ac:dyDescent="0.2">
      <c r="C3448" s="15"/>
      <c r="D3448" s="15"/>
      <c r="E3448" s="15"/>
      <c r="F3448" s="15"/>
      <c r="G3448" s="15"/>
      <c r="H3448" s="15"/>
      <c r="I3448" s="15"/>
      <c r="J3448" s="15"/>
      <c r="K3448" s="15"/>
      <c r="L3448" s="28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  <c r="AA3448" s="15"/>
      <c r="AB3448" s="15"/>
      <c r="AC3448" s="15"/>
      <c r="AD3448" s="15"/>
      <c r="AE3448" s="15"/>
      <c r="AF3448" s="15"/>
      <c r="AG3448" s="15"/>
      <c r="AH3448" s="15"/>
      <c r="AI3448" s="15"/>
      <c r="AJ3448" s="15"/>
      <c r="AK3448" s="15"/>
      <c r="AL3448" s="15"/>
      <c r="AM3448" s="15"/>
      <c r="AN3448" s="15"/>
      <c r="AO3448" s="15"/>
      <c r="AP3448" s="15"/>
      <c r="AQ3448" s="15"/>
      <c r="AR3448" s="15"/>
      <c r="AS3448" s="15"/>
      <c r="AT3448" s="15"/>
      <c r="AU3448" s="15"/>
      <c r="AV3448" s="15"/>
      <c r="AW3448" s="15"/>
    </row>
    <row r="3449" spans="3:49" x14ac:dyDescent="0.2">
      <c r="C3449" s="15"/>
      <c r="D3449" s="15"/>
      <c r="E3449" s="15"/>
      <c r="F3449" s="15"/>
      <c r="G3449" s="15"/>
      <c r="H3449" s="15"/>
      <c r="I3449" s="15"/>
      <c r="J3449" s="15"/>
      <c r="K3449" s="15"/>
      <c r="L3449" s="28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  <c r="AA3449" s="15"/>
      <c r="AB3449" s="15"/>
      <c r="AC3449" s="15"/>
      <c r="AD3449" s="15"/>
      <c r="AE3449" s="15"/>
      <c r="AF3449" s="15"/>
      <c r="AG3449" s="15"/>
      <c r="AH3449" s="15"/>
      <c r="AI3449" s="15"/>
      <c r="AJ3449" s="15"/>
      <c r="AK3449" s="15"/>
      <c r="AL3449" s="15"/>
      <c r="AM3449" s="15"/>
      <c r="AN3449" s="15"/>
      <c r="AO3449" s="15"/>
      <c r="AP3449" s="15"/>
      <c r="AQ3449" s="15"/>
      <c r="AR3449" s="15"/>
      <c r="AS3449" s="15"/>
      <c r="AT3449" s="15"/>
      <c r="AU3449" s="15"/>
      <c r="AV3449" s="15"/>
      <c r="AW3449" s="15"/>
    </row>
    <row r="3450" spans="3:49" x14ac:dyDescent="0.2">
      <c r="C3450" s="15"/>
      <c r="D3450" s="15"/>
      <c r="E3450" s="15"/>
      <c r="F3450" s="15"/>
      <c r="G3450" s="15"/>
      <c r="H3450" s="15"/>
      <c r="I3450" s="15"/>
      <c r="J3450" s="15"/>
      <c r="K3450" s="15"/>
      <c r="L3450" s="28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  <c r="AA3450" s="15"/>
      <c r="AB3450" s="15"/>
      <c r="AC3450" s="15"/>
      <c r="AD3450" s="15"/>
      <c r="AE3450" s="15"/>
      <c r="AF3450" s="15"/>
      <c r="AG3450" s="15"/>
      <c r="AH3450" s="15"/>
      <c r="AI3450" s="15"/>
      <c r="AJ3450" s="15"/>
      <c r="AK3450" s="15"/>
      <c r="AL3450" s="15"/>
      <c r="AM3450" s="15"/>
      <c r="AN3450" s="15"/>
      <c r="AO3450" s="15"/>
      <c r="AP3450" s="15"/>
      <c r="AQ3450" s="15"/>
      <c r="AR3450" s="15"/>
      <c r="AS3450" s="15"/>
      <c r="AT3450" s="15"/>
      <c r="AU3450" s="15"/>
      <c r="AV3450" s="15"/>
      <c r="AW3450" s="15"/>
    </row>
    <row r="3451" spans="3:49" x14ac:dyDescent="0.2">
      <c r="C3451" s="15"/>
      <c r="D3451" s="15"/>
      <c r="E3451" s="15"/>
      <c r="F3451" s="15"/>
      <c r="G3451" s="15"/>
      <c r="H3451" s="15"/>
      <c r="I3451" s="15"/>
      <c r="J3451" s="15"/>
      <c r="K3451" s="15"/>
      <c r="L3451" s="28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  <c r="AA3451" s="15"/>
      <c r="AB3451" s="15"/>
      <c r="AC3451" s="15"/>
      <c r="AD3451" s="15"/>
      <c r="AE3451" s="15"/>
      <c r="AF3451" s="15"/>
      <c r="AG3451" s="15"/>
      <c r="AH3451" s="15"/>
      <c r="AI3451" s="15"/>
      <c r="AJ3451" s="15"/>
      <c r="AK3451" s="15"/>
      <c r="AL3451" s="15"/>
      <c r="AM3451" s="15"/>
      <c r="AN3451" s="15"/>
      <c r="AO3451" s="15"/>
      <c r="AP3451" s="15"/>
      <c r="AQ3451" s="15"/>
      <c r="AR3451" s="15"/>
      <c r="AS3451" s="15"/>
      <c r="AT3451" s="15"/>
      <c r="AU3451" s="15"/>
      <c r="AV3451" s="15"/>
      <c r="AW3451" s="15"/>
    </row>
    <row r="3452" spans="3:49" x14ac:dyDescent="0.2">
      <c r="C3452" s="15"/>
      <c r="D3452" s="15"/>
      <c r="E3452" s="15"/>
      <c r="F3452" s="15"/>
      <c r="G3452" s="15"/>
      <c r="H3452" s="15"/>
      <c r="I3452" s="15"/>
      <c r="J3452" s="15"/>
      <c r="K3452" s="15"/>
      <c r="L3452" s="28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  <c r="AA3452" s="15"/>
      <c r="AB3452" s="15"/>
      <c r="AC3452" s="15"/>
      <c r="AD3452" s="15"/>
      <c r="AE3452" s="15"/>
      <c r="AF3452" s="15"/>
      <c r="AG3452" s="15"/>
      <c r="AH3452" s="15"/>
      <c r="AI3452" s="15"/>
      <c r="AJ3452" s="15"/>
      <c r="AK3452" s="15"/>
      <c r="AL3452" s="15"/>
      <c r="AM3452" s="15"/>
      <c r="AN3452" s="15"/>
      <c r="AO3452" s="15"/>
      <c r="AP3452" s="15"/>
      <c r="AQ3452" s="15"/>
      <c r="AR3452" s="15"/>
      <c r="AS3452" s="15"/>
      <c r="AT3452" s="15"/>
      <c r="AU3452" s="15"/>
      <c r="AV3452" s="15"/>
      <c r="AW3452" s="15"/>
    </row>
    <row r="3453" spans="3:49" x14ac:dyDescent="0.2">
      <c r="C3453" s="15"/>
      <c r="D3453" s="15"/>
      <c r="E3453" s="15"/>
      <c r="F3453" s="15"/>
      <c r="G3453" s="15"/>
      <c r="H3453" s="15"/>
      <c r="I3453" s="15"/>
      <c r="J3453" s="15"/>
      <c r="K3453" s="15"/>
      <c r="L3453" s="28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  <c r="AA3453" s="15"/>
      <c r="AB3453" s="15"/>
      <c r="AC3453" s="15"/>
      <c r="AD3453" s="15"/>
      <c r="AE3453" s="15"/>
      <c r="AF3453" s="15"/>
      <c r="AG3453" s="15"/>
      <c r="AH3453" s="15"/>
      <c r="AI3453" s="15"/>
      <c r="AJ3453" s="15"/>
      <c r="AK3453" s="15"/>
      <c r="AL3453" s="15"/>
      <c r="AM3453" s="15"/>
      <c r="AN3453" s="15"/>
      <c r="AO3453" s="15"/>
      <c r="AP3453" s="15"/>
      <c r="AQ3453" s="15"/>
      <c r="AR3453" s="15"/>
      <c r="AS3453" s="15"/>
      <c r="AT3453" s="15"/>
      <c r="AU3453" s="15"/>
      <c r="AV3453" s="15"/>
      <c r="AW3453" s="15"/>
    </row>
    <row r="3454" spans="3:49" x14ac:dyDescent="0.2">
      <c r="C3454" s="15"/>
      <c r="D3454" s="15"/>
      <c r="E3454" s="15"/>
      <c r="F3454" s="15"/>
      <c r="G3454" s="15"/>
      <c r="H3454" s="15"/>
      <c r="I3454" s="15"/>
      <c r="J3454" s="15"/>
      <c r="K3454" s="15"/>
      <c r="L3454" s="28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  <c r="AA3454" s="15"/>
      <c r="AB3454" s="15"/>
      <c r="AC3454" s="15"/>
      <c r="AD3454" s="15"/>
      <c r="AE3454" s="15"/>
      <c r="AF3454" s="15"/>
      <c r="AG3454" s="15"/>
      <c r="AH3454" s="15"/>
      <c r="AI3454" s="15"/>
      <c r="AJ3454" s="15"/>
      <c r="AK3454" s="15"/>
      <c r="AL3454" s="15"/>
      <c r="AM3454" s="15"/>
      <c r="AN3454" s="15"/>
      <c r="AO3454" s="15"/>
      <c r="AP3454" s="15"/>
      <c r="AQ3454" s="15"/>
      <c r="AR3454" s="15"/>
      <c r="AS3454" s="15"/>
      <c r="AT3454" s="15"/>
      <c r="AU3454" s="15"/>
      <c r="AV3454" s="15"/>
      <c r="AW3454" s="15"/>
    </row>
    <row r="3455" spans="3:49" x14ac:dyDescent="0.2">
      <c r="C3455" s="15"/>
      <c r="D3455" s="15"/>
      <c r="E3455" s="15"/>
      <c r="F3455" s="15"/>
      <c r="G3455" s="15"/>
      <c r="H3455" s="15"/>
      <c r="I3455" s="15"/>
      <c r="J3455" s="15"/>
      <c r="K3455" s="15"/>
      <c r="L3455" s="28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  <c r="AA3455" s="15"/>
      <c r="AB3455" s="15"/>
      <c r="AC3455" s="15"/>
      <c r="AD3455" s="15"/>
      <c r="AE3455" s="15"/>
      <c r="AF3455" s="15"/>
      <c r="AG3455" s="15"/>
      <c r="AH3455" s="15"/>
      <c r="AI3455" s="15"/>
      <c r="AJ3455" s="15"/>
      <c r="AK3455" s="15"/>
      <c r="AL3455" s="15"/>
      <c r="AM3455" s="15"/>
      <c r="AN3455" s="15"/>
      <c r="AO3455" s="15"/>
      <c r="AP3455" s="15"/>
      <c r="AQ3455" s="15"/>
      <c r="AR3455" s="15"/>
      <c r="AS3455" s="15"/>
      <c r="AT3455" s="15"/>
      <c r="AU3455" s="15"/>
      <c r="AV3455" s="15"/>
      <c r="AW3455" s="15"/>
    </row>
    <row r="3456" spans="3:49" x14ac:dyDescent="0.2">
      <c r="C3456" s="15"/>
      <c r="D3456" s="15"/>
      <c r="E3456" s="15"/>
      <c r="F3456" s="15"/>
      <c r="G3456" s="15"/>
      <c r="H3456" s="15"/>
      <c r="I3456" s="15"/>
      <c r="J3456" s="15"/>
      <c r="K3456" s="15"/>
      <c r="L3456" s="28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  <c r="AA3456" s="15"/>
      <c r="AB3456" s="15"/>
      <c r="AC3456" s="15"/>
      <c r="AD3456" s="15"/>
      <c r="AE3456" s="15"/>
      <c r="AF3456" s="15"/>
      <c r="AG3456" s="15"/>
      <c r="AH3456" s="15"/>
      <c r="AI3456" s="15"/>
      <c r="AJ3456" s="15"/>
      <c r="AK3456" s="15"/>
      <c r="AL3456" s="15"/>
      <c r="AM3456" s="15"/>
      <c r="AN3456" s="15"/>
      <c r="AO3456" s="15"/>
      <c r="AP3456" s="15"/>
      <c r="AQ3456" s="15"/>
      <c r="AR3456" s="15"/>
      <c r="AS3456" s="15"/>
      <c r="AT3456" s="15"/>
      <c r="AU3456" s="15"/>
      <c r="AV3456" s="15"/>
      <c r="AW3456" s="15"/>
    </row>
    <row r="3457" spans="3:49" x14ac:dyDescent="0.2">
      <c r="C3457" s="15"/>
      <c r="D3457" s="15"/>
      <c r="E3457" s="15"/>
      <c r="F3457" s="15"/>
      <c r="G3457" s="15"/>
      <c r="H3457" s="15"/>
      <c r="I3457" s="15"/>
      <c r="J3457" s="15"/>
      <c r="K3457" s="15"/>
      <c r="L3457" s="28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  <c r="AA3457" s="15"/>
      <c r="AB3457" s="15"/>
      <c r="AC3457" s="15"/>
      <c r="AD3457" s="15"/>
      <c r="AE3457" s="15"/>
      <c r="AF3457" s="15"/>
      <c r="AG3457" s="15"/>
      <c r="AH3457" s="15"/>
      <c r="AI3457" s="15"/>
      <c r="AJ3457" s="15"/>
      <c r="AK3457" s="15"/>
      <c r="AL3457" s="15"/>
      <c r="AM3457" s="15"/>
      <c r="AN3457" s="15"/>
      <c r="AO3457" s="15"/>
      <c r="AP3457" s="15"/>
      <c r="AQ3457" s="15"/>
      <c r="AR3457" s="15"/>
      <c r="AS3457" s="15"/>
      <c r="AT3457" s="15"/>
      <c r="AU3457" s="15"/>
      <c r="AV3457" s="15"/>
      <c r="AW3457" s="15"/>
    </row>
    <row r="3458" spans="3:49" x14ac:dyDescent="0.2">
      <c r="C3458" s="15"/>
      <c r="D3458" s="15"/>
      <c r="E3458" s="15"/>
      <c r="F3458" s="15"/>
      <c r="G3458" s="15"/>
      <c r="H3458" s="15"/>
      <c r="I3458" s="15"/>
      <c r="J3458" s="15"/>
      <c r="K3458" s="15"/>
      <c r="L3458" s="28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  <c r="AA3458" s="15"/>
      <c r="AB3458" s="15"/>
      <c r="AC3458" s="15"/>
      <c r="AD3458" s="15"/>
      <c r="AE3458" s="15"/>
      <c r="AF3458" s="15"/>
      <c r="AG3458" s="15"/>
      <c r="AH3458" s="15"/>
      <c r="AI3458" s="15"/>
      <c r="AJ3458" s="15"/>
      <c r="AK3458" s="15"/>
      <c r="AL3458" s="15"/>
      <c r="AM3458" s="15"/>
      <c r="AN3458" s="15"/>
      <c r="AO3458" s="15"/>
      <c r="AP3458" s="15"/>
      <c r="AQ3458" s="15"/>
      <c r="AR3458" s="15"/>
      <c r="AS3458" s="15"/>
      <c r="AT3458" s="15"/>
      <c r="AU3458" s="15"/>
      <c r="AV3458" s="15"/>
      <c r="AW3458" s="15"/>
    </row>
    <row r="3459" spans="3:49" x14ac:dyDescent="0.2">
      <c r="C3459" s="15"/>
      <c r="D3459" s="15"/>
      <c r="E3459" s="15"/>
      <c r="F3459" s="15"/>
      <c r="G3459" s="15"/>
      <c r="H3459" s="15"/>
      <c r="I3459" s="15"/>
      <c r="J3459" s="15"/>
      <c r="K3459" s="15"/>
      <c r="L3459" s="28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  <c r="AA3459" s="15"/>
      <c r="AB3459" s="15"/>
      <c r="AC3459" s="15"/>
      <c r="AD3459" s="15"/>
      <c r="AE3459" s="15"/>
      <c r="AF3459" s="15"/>
      <c r="AG3459" s="15"/>
      <c r="AH3459" s="15"/>
      <c r="AI3459" s="15"/>
      <c r="AJ3459" s="15"/>
      <c r="AK3459" s="15"/>
      <c r="AL3459" s="15"/>
      <c r="AM3459" s="15"/>
      <c r="AN3459" s="15"/>
      <c r="AO3459" s="15"/>
      <c r="AP3459" s="15"/>
      <c r="AQ3459" s="15"/>
      <c r="AR3459" s="15"/>
      <c r="AS3459" s="15"/>
      <c r="AT3459" s="15"/>
      <c r="AU3459" s="15"/>
      <c r="AV3459" s="15"/>
      <c r="AW3459" s="15"/>
    </row>
    <row r="3460" spans="3:49" x14ac:dyDescent="0.2">
      <c r="C3460" s="15"/>
      <c r="D3460" s="15"/>
      <c r="E3460" s="15"/>
      <c r="F3460" s="15"/>
      <c r="G3460" s="15"/>
      <c r="H3460" s="15"/>
      <c r="I3460" s="15"/>
      <c r="J3460" s="15"/>
      <c r="K3460" s="15"/>
      <c r="L3460" s="28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  <c r="AA3460" s="15"/>
      <c r="AB3460" s="15"/>
      <c r="AC3460" s="15"/>
      <c r="AD3460" s="15"/>
      <c r="AE3460" s="15"/>
      <c r="AF3460" s="15"/>
      <c r="AG3460" s="15"/>
      <c r="AH3460" s="15"/>
      <c r="AI3460" s="15"/>
      <c r="AJ3460" s="15"/>
      <c r="AK3460" s="15"/>
      <c r="AL3460" s="15"/>
      <c r="AM3460" s="15"/>
      <c r="AN3460" s="15"/>
      <c r="AO3460" s="15"/>
      <c r="AP3460" s="15"/>
      <c r="AQ3460" s="15"/>
      <c r="AR3460" s="15"/>
      <c r="AS3460" s="15"/>
      <c r="AT3460" s="15"/>
      <c r="AU3460" s="15"/>
      <c r="AV3460" s="15"/>
      <c r="AW3460" s="15"/>
    </row>
    <row r="3461" spans="3:49" x14ac:dyDescent="0.2">
      <c r="C3461" s="15"/>
      <c r="D3461" s="15"/>
      <c r="E3461" s="15"/>
      <c r="F3461" s="15"/>
      <c r="G3461" s="15"/>
      <c r="H3461" s="15"/>
      <c r="I3461" s="15"/>
      <c r="J3461" s="15"/>
      <c r="K3461" s="15"/>
      <c r="L3461" s="28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  <c r="AA3461" s="15"/>
      <c r="AB3461" s="15"/>
      <c r="AC3461" s="15"/>
      <c r="AD3461" s="15"/>
      <c r="AE3461" s="15"/>
      <c r="AF3461" s="15"/>
      <c r="AG3461" s="15"/>
      <c r="AH3461" s="15"/>
      <c r="AI3461" s="15"/>
      <c r="AJ3461" s="15"/>
      <c r="AK3461" s="15"/>
      <c r="AL3461" s="15"/>
      <c r="AM3461" s="15"/>
      <c r="AN3461" s="15"/>
      <c r="AO3461" s="15"/>
      <c r="AP3461" s="15"/>
      <c r="AQ3461" s="15"/>
      <c r="AR3461" s="15"/>
      <c r="AS3461" s="15"/>
      <c r="AT3461" s="15"/>
      <c r="AU3461" s="15"/>
      <c r="AV3461" s="15"/>
      <c r="AW3461" s="15"/>
    </row>
    <row r="3462" spans="3:49" x14ac:dyDescent="0.2">
      <c r="C3462" s="15"/>
      <c r="D3462" s="15"/>
      <c r="E3462" s="15"/>
      <c r="F3462" s="15"/>
      <c r="G3462" s="15"/>
      <c r="H3462" s="15"/>
      <c r="I3462" s="15"/>
      <c r="J3462" s="15"/>
      <c r="K3462" s="15"/>
      <c r="L3462" s="28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  <c r="AA3462" s="15"/>
      <c r="AB3462" s="15"/>
      <c r="AC3462" s="15"/>
      <c r="AD3462" s="15"/>
      <c r="AE3462" s="15"/>
      <c r="AF3462" s="15"/>
      <c r="AG3462" s="15"/>
      <c r="AH3462" s="15"/>
      <c r="AI3462" s="15"/>
      <c r="AJ3462" s="15"/>
      <c r="AK3462" s="15"/>
      <c r="AL3462" s="15"/>
      <c r="AM3462" s="15"/>
      <c r="AN3462" s="15"/>
      <c r="AO3462" s="15"/>
      <c r="AP3462" s="15"/>
      <c r="AQ3462" s="15"/>
      <c r="AR3462" s="15"/>
      <c r="AS3462" s="15"/>
      <c r="AT3462" s="15"/>
      <c r="AU3462" s="15"/>
      <c r="AV3462" s="15"/>
      <c r="AW3462" s="15"/>
    </row>
    <row r="3463" spans="3:49" x14ac:dyDescent="0.2">
      <c r="C3463" s="15"/>
      <c r="D3463" s="15"/>
      <c r="E3463" s="15"/>
      <c r="F3463" s="15"/>
      <c r="G3463" s="15"/>
      <c r="H3463" s="15"/>
      <c r="I3463" s="15"/>
      <c r="J3463" s="15"/>
      <c r="K3463" s="15"/>
      <c r="L3463" s="28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  <c r="AA3463" s="15"/>
      <c r="AB3463" s="15"/>
      <c r="AC3463" s="15"/>
      <c r="AD3463" s="15"/>
      <c r="AE3463" s="15"/>
      <c r="AF3463" s="15"/>
      <c r="AG3463" s="15"/>
      <c r="AH3463" s="15"/>
      <c r="AI3463" s="15"/>
      <c r="AJ3463" s="15"/>
      <c r="AK3463" s="15"/>
      <c r="AL3463" s="15"/>
      <c r="AM3463" s="15"/>
      <c r="AN3463" s="15"/>
      <c r="AO3463" s="15"/>
      <c r="AP3463" s="15"/>
      <c r="AQ3463" s="15"/>
      <c r="AR3463" s="15"/>
      <c r="AS3463" s="15"/>
      <c r="AT3463" s="15"/>
      <c r="AU3463" s="15"/>
      <c r="AV3463" s="15"/>
      <c r="AW3463" s="15"/>
    </row>
    <row r="3464" spans="3:49" x14ac:dyDescent="0.2">
      <c r="C3464" s="15"/>
      <c r="D3464" s="15"/>
      <c r="E3464" s="15"/>
      <c r="F3464" s="15"/>
      <c r="G3464" s="15"/>
      <c r="H3464" s="15"/>
      <c r="I3464" s="15"/>
      <c r="J3464" s="15"/>
      <c r="K3464" s="15"/>
      <c r="L3464" s="28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  <c r="AA3464" s="15"/>
      <c r="AB3464" s="15"/>
      <c r="AC3464" s="15"/>
      <c r="AD3464" s="15"/>
      <c r="AE3464" s="15"/>
      <c r="AF3464" s="15"/>
      <c r="AG3464" s="15"/>
      <c r="AH3464" s="15"/>
      <c r="AI3464" s="15"/>
      <c r="AJ3464" s="15"/>
      <c r="AK3464" s="15"/>
      <c r="AL3464" s="15"/>
      <c r="AM3464" s="15"/>
      <c r="AN3464" s="15"/>
      <c r="AO3464" s="15"/>
      <c r="AP3464" s="15"/>
      <c r="AQ3464" s="15"/>
      <c r="AR3464" s="15"/>
      <c r="AS3464" s="15"/>
      <c r="AT3464" s="15"/>
      <c r="AU3464" s="15"/>
      <c r="AV3464" s="15"/>
      <c r="AW3464" s="15"/>
    </row>
    <row r="3465" spans="3:49" x14ac:dyDescent="0.2">
      <c r="C3465" s="15"/>
      <c r="D3465" s="15"/>
      <c r="E3465" s="15"/>
      <c r="F3465" s="15"/>
      <c r="G3465" s="15"/>
      <c r="H3465" s="15"/>
      <c r="I3465" s="15"/>
      <c r="J3465" s="15"/>
      <c r="K3465" s="15"/>
      <c r="L3465" s="28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  <c r="AA3465" s="15"/>
      <c r="AB3465" s="15"/>
      <c r="AC3465" s="15"/>
      <c r="AD3465" s="15"/>
      <c r="AE3465" s="15"/>
      <c r="AF3465" s="15"/>
      <c r="AG3465" s="15"/>
      <c r="AH3465" s="15"/>
      <c r="AI3465" s="15"/>
      <c r="AJ3465" s="15"/>
      <c r="AK3465" s="15"/>
      <c r="AL3465" s="15"/>
      <c r="AM3465" s="15"/>
      <c r="AN3465" s="15"/>
      <c r="AO3465" s="15"/>
      <c r="AP3465" s="15"/>
      <c r="AQ3465" s="15"/>
      <c r="AR3465" s="15"/>
      <c r="AS3465" s="15"/>
      <c r="AT3465" s="15"/>
      <c r="AU3465" s="15"/>
      <c r="AV3465" s="15"/>
      <c r="AW3465" s="15"/>
    </row>
    <row r="3466" spans="3:49" x14ac:dyDescent="0.2">
      <c r="C3466" s="15"/>
      <c r="D3466" s="15"/>
      <c r="E3466" s="15"/>
      <c r="F3466" s="15"/>
      <c r="G3466" s="15"/>
      <c r="H3466" s="15"/>
      <c r="I3466" s="15"/>
      <c r="J3466" s="15"/>
      <c r="K3466" s="15"/>
      <c r="L3466" s="28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  <c r="AA3466" s="15"/>
      <c r="AB3466" s="15"/>
      <c r="AC3466" s="15"/>
      <c r="AD3466" s="15"/>
      <c r="AE3466" s="15"/>
      <c r="AF3466" s="15"/>
      <c r="AG3466" s="15"/>
      <c r="AH3466" s="15"/>
      <c r="AI3466" s="15"/>
      <c r="AJ3466" s="15"/>
      <c r="AK3466" s="15"/>
      <c r="AL3466" s="15"/>
      <c r="AM3466" s="15"/>
      <c r="AN3466" s="15"/>
      <c r="AO3466" s="15"/>
      <c r="AP3466" s="15"/>
      <c r="AQ3466" s="15"/>
      <c r="AR3466" s="15"/>
      <c r="AS3466" s="15"/>
      <c r="AT3466" s="15"/>
      <c r="AU3466" s="15"/>
      <c r="AV3466" s="15"/>
      <c r="AW3466" s="15"/>
    </row>
    <row r="3467" spans="3:49" x14ac:dyDescent="0.2">
      <c r="C3467" s="15"/>
      <c r="D3467" s="15"/>
      <c r="E3467" s="15"/>
      <c r="F3467" s="15"/>
      <c r="G3467" s="15"/>
      <c r="H3467" s="15"/>
      <c r="I3467" s="15"/>
      <c r="J3467" s="15"/>
      <c r="K3467" s="15"/>
      <c r="L3467" s="28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  <c r="AA3467" s="15"/>
      <c r="AB3467" s="15"/>
      <c r="AC3467" s="15"/>
      <c r="AD3467" s="15"/>
      <c r="AE3467" s="15"/>
      <c r="AF3467" s="15"/>
      <c r="AG3467" s="15"/>
      <c r="AH3467" s="15"/>
      <c r="AI3467" s="15"/>
      <c r="AJ3467" s="15"/>
      <c r="AK3467" s="15"/>
      <c r="AL3467" s="15"/>
      <c r="AM3467" s="15"/>
      <c r="AN3467" s="15"/>
      <c r="AO3467" s="15"/>
      <c r="AP3467" s="15"/>
      <c r="AQ3467" s="15"/>
      <c r="AR3467" s="15"/>
      <c r="AS3467" s="15"/>
      <c r="AT3467" s="15"/>
      <c r="AU3467" s="15"/>
      <c r="AV3467" s="15"/>
      <c r="AW3467" s="15"/>
    </row>
    <row r="3468" spans="3:49" x14ac:dyDescent="0.2">
      <c r="C3468" s="15"/>
      <c r="D3468" s="15"/>
      <c r="E3468" s="15"/>
      <c r="F3468" s="15"/>
      <c r="G3468" s="15"/>
      <c r="H3468" s="15"/>
      <c r="I3468" s="15"/>
      <c r="J3468" s="15"/>
      <c r="K3468" s="15"/>
      <c r="L3468" s="28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  <c r="AA3468" s="15"/>
      <c r="AB3468" s="15"/>
      <c r="AC3468" s="15"/>
      <c r="AD3468" s="15"/>
      <c r="AE3468" s="15"/>
      <c r="AF3468" s="15"/>
      <c r="AG3468" s="15"/>
      <c r="AH3468" s="15"/>
      <c r="AI3468" s="15"/>
      <c r="AJ3468" s="15"/>
      <c r="AK3468" s="15"/>
      <c r="AL3468" s="15"/>
      <c r="AM3468" s="15"/>
      <c r="AN3468" s="15"/>
      <c r="AO3468" s="15"/>
      <c r="AP3468" s="15"/>
      <c r="AQ3468" s="15"/>
      <c r="AR3468" s="15"/>
      <c r="AS3468" s="15"/>
      <c r="AT3468" s="15"/>
      <c r="AU3468" s="15"/>
      <c r="AV3468" s="15"/>
      <c r="AW3468" s="15"/>
    </row>
    <row r="3469" spans="3:49" x14ac:dyDescent="0.2">
      <c r="C3469" s="15"/>
      <c r="D3469" s="15"/>
      <c r="E3469" s="15"/>
      <c r="F3469" s="15"/>
      <c r="G3469" s="15"/>
      <c r="H3469" s="15"/>
      <c r="I3469" s="15"/>
      <c r="J3469" s="15"/>
      <c r="K3469" s="15"/>
      <c r="L3469" s="28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  <c r="AA3469" s="15"/>
      <c r="AB3469" s="15"/>
      <c r="AC3469" s="15"/>
      <c r="AD3469" s="15"/>
      <c r="AE3469" s="15"/>
      <c r="AF3469" s="15"/>
      <c r="AG3469" s="15"/>
      <c r="AH3469" s="15"/>
      <c r="AI3469" s="15"/>
      <c r="AJ3469" s="15"/>
      <c r="AK3469" s="15"/>
      <c r="AL3469" s="15"/>
      <c r="AM3469" s="15"/>
      <c r="AN3469" s="15"/>
      <c r="AO3469" s="15"/>
      <c r="AP3469" s="15"/>
      <c r="AQ3469" s="15"/>
      <c r="AR3469" s="15"/>
      <c r="AS3469" s="15"/>
      <c r="AT3469" s="15"/>
      <c r="AU3469" s="15"/>
      <c r="AV3469" s="15"/>
      <c r="AW3469" s="15"/>
    </row>
    <row r="3470" spans="3:49" x14ac:dyDescent="0.2">
      <c r="C3470" s="15"/>
      <c r="D3470" s="15"/>
      <c r="E3470" s="15"/>
      <c r="F3470" s="15"/>
      <c r="G3470" s="15"/>
      <c r="H3470" s="15"/>
      <c r="I3470" s="15"/>
      <c r="J3470" s="15"/>
      <c r="K3470" s="15"/>
      <c r="L3470" s="28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  <c r="AA3470" s="15"/>
      <c r="AB3470" s="15"/>
      <c r="AC3470" s="15"/>
      <c r="AD3470" s="15"/>
      <c r="AE3470" s="15"/>
      <c r="AF3470" s="15"/>
      <c r="AG3470" s="15"/>
      <c r="AH3470" s="15"/>
      <c r="AI3470" s="15"/>
      <c r="AJ3470" s="15"/>
      <c r="AK3470" s="15"/>
      <c r="AL3470" s="15"/>
      <c r="AM3470" s="15"/>
      <c r="AN3470" s="15"/>
      <c r="AO3470" s="15"/>
      <c r="AP3470" s="15"/>
      <c r="AQ3470" s="15"/>
      <c r="AR3470" s="15"/>
      <c r="AS3470" s="15"/>
      <c r="AT3470" s="15"/>
      <c r="AU3470" s="15"/>
      <c r="AV3470" s="15"/>
      <c r="AW3470" s="15"/>
    </row>
    <row r="3471" spans="3:49" x14ac:dyDescent="0.2">
      <c r="C3471" s="15"/>
      <c r="D3471" s="15"/>
      <c r="E3471" s="15"/>
      <c r="F3471" s="15"/>
      <c r="G3471" s="15"/>
      <c r="H3471" s="15"/>
      <c r="I3471" s="15"/>
      <c r="J3471" s="15"/>
      <c r="K3471" s="15"/>
      <c r="L3471" s="28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  <c r="AA3471" s="15"/>
      <c r="AB3471" s="15"/>
      <c r="AC3471" s="15"/>
      <c r="AD3471" s="15"/>
      <c r="AE3471" s="15"/>
      <c r="AF3471" s="15"/>
      <c r="AG3471" s="15"/>
      <c r="AH3471" s="15"/>
      <c r="AI3471" s="15"/>
      <c r="AJ3471" s="15"/>
      <c r="AK3471" s="15"/>
      <c r="AL3471" s="15"/>
      <c r="AM3471" s="15"/>
      <c r="AN3471" s="15"/>
      <c r="AO3471" s="15"/>
      <c r="AP3471" s="15"/>
      <c r="AQ3471" s="15"/>
      <c r="AR3471" s="15"/>
      <c r="AS3471" s="15"/>
      <c r="AT3471" s="15"/>
      <c r="AU3471" s="15"/>
      <c r="AV3471" s="15"/>
      <c r="AW3471" s="15"/>
    </row>
    <row r="3472" spans="3:49" x14ac:dyDescent="0.2">
      <c r="C3472" s="15"/>
      <c r="D3472" s="15"/>
      <c r="E3472" s="15"/>
      <c r="F3472" s="15"/>
      <c r="G3472" s="15"/>
      <c r="H3472" s="15"/>
      <c r="I3472" s="15"/>
      <c r="J3472" s="15"/>
      <c r="K3472" s="15"/>
      <c r="L3472" s="28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  <c r="AA3472" s="15"/>
      <c r="AB3472" s="15"/>
      <c r="AC3472" s="15"/>
      <c r="AD3472" s="15"/>
      <c r="AE3472" s="15"/>
      <c r="AF3472" s="15"/>
      <c r="AG3472" s="15"/>
      <c r="AH3472" s="15"/>
      <c r="AI3472" s="15"/>
      <c r="AJ3472" s="15"/>
      <c r="AK3472" s="15"/>
      <c r="AL3472" s="15"/>
      <c r="AM3472" s="15"/>
      <c r="AN3472" s="15"/>
      <c r="AO3472" s="15"/>
      <c r="AP3472" s="15"/>
      <c r="AQ3472" s="15"/>
      <c r="AR3472" s="15"/>
      <c r="AS3472" s="15"/>
      <c r="AT3472" s="15"/>
      <c r="AU3472" s="15"/>
      <c r="AV3472" s="15"/>
      <c r="AW3472" s="15"/>
    </row>
    <row r="3473" spans="3:49" x14ac:dyDescent="0.2">
      <c r="C3473" s="15"/>
      <c r="D3473" s="15"/>
      <c r="E3473" s="15"/>
      <c r="F3473" s="15"/>
      <c r="G3473" s="15"/>
      <c r="H3473" s="15"/>
      <c r="I3473" s="15"/>
      <c r="J3473" s="15"/>
      <c r="K3473" s="15"/>
      <c r="L3473" s="28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  <c r="AA3473" s="15"/>
      <c r="AB3473" s="15"/>
      <c r="AC3473" s="15"/>
      <c r="AD3473" s="15"/>
      <c r="AE3473" s="15"/>
      <c r="AF3473" s="15"/>
      <c r="AG3473" s="15"/>
      <c r="AH3473" s="15"/>
      <c r="AI3473" s="15"/>
      <c r="AJ3473" s="15"/>
      <c r="AK3473" s="15"/>
      <c r="AL3473" s="15"/>
      <c r="AM3473" s="15"/>
      <c r="AN3473" s="15"/>
      <c r="AO3473" s="15"/>
      <c r="AP3473" s="15"/>
      <c r="AQ3473" s="15"/>
      <c r="AR3473" s="15"/>
      <c r="AS3473" s="15"/>
      <c r="AT3473" s="15"/>
      <c r="AU3473" s="15"/>
      <c r="AV3473" s="15"/>
      <c r="AW3473" s="15"/>
    </row>
    <row r="3474" spans="3:49" x14ac:dyDescent="0.2">
      <c r="C3474" s="15"/>
      <c r="D3474" s="15"/>
      <c r="E3474" s="15"/>
      <c r="F3474" s="15"/>
      <c r="G3474" s="15"/>
      <c r="H3474" s="15"/>
      <c r="I3474" s="15"/>
      <c r="J3474" s="15"/>
      <c r="K3474" s="15"/>
      <c r="L3474" s="28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  <c r="AA3474" s="15"/>
      <c r="AB3474" s="15"/>
      <c r="AC3474" s="15"/>
      <c r="AD3474" s="15"/>
      <c r="AE3474" s="15"/>
      <c r="AF3474" s="15"/>
      <c r="AG3474" s="15"/>
      <c r="AH3474" s="15"/>
      <c r="AI3474" s="15"/>
      <c r="AJ3474" s="15"/>
      <c r="AK3474" s="15"/>
      <c r="AL3474" s="15"/>
      <c r="AM3474" s="15"/>
      <c r="AN3474" s="15"/>
      <c r="AO3474" s="15"/>
      <c r="AP3474" s="15"/>
      <c r="AQ3474" s="15"/>
      <c r="AR3474" s="15"/>
      <c r="AS3474" s="15"/>
      <c r="AT3474" s="15"/>
      <c r="AU3474" s="15"/>
      <c r="AV3474" s="15"/>
      <c r="AW3474" s="15"/>
    </row>
    <row r="3475" spans="3:49" x14ac:dyDescent="0.2">
      <c r="C3475" s="15"/>
      <c r="D3475" s="15"/>
      <c r="E3475" s="15"/>
      <c r="F3475" s="15"/>
      <c r="G3475" s="15"/>
      <c r="H3475" s="15"/>
      <c r="I3475" s="15"/>
      <c r="J3475" s="15"/>
      <c r="K3475" s="15"/>
      <c r="L3475" s="28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  <c r="AA3475" s="15"/>
      <c r="AB3475" s="15"/>
      <c r="AC3475" s="15"/>
      <c r="AD3475" s="15"/>
      <c r="AE3475" s="15"/>
      <c r="AF3475" s="15"/>
      <c r="AG3475" s="15"/>
      <c r="AH3475" s="15"/>
      <c r="AI3475" s="15"/>
      <c r="AJ3475" s="15"/>
      <c r="AK3475" s="15"/>
      <c r="AL3475" s="15"/>
      <c r="AM3475" s="15"/>
      <c r="AN3475" s="15"/>
      <c r="AO3475" s="15"/>
      <c r="AP3475" s="15"/>
      <c r="AQ3475" s="15"/>
      <c r="AR3475" s="15"/>
      <c r="AS3475" s="15"/>
      <c r="AT3475" s="15"/>
      <c r="AU3475" s="15"/>
      <c r="AV3475" s="15"/>
      <c r="AW3475" s="15"/>
    </row>
    <row r="3476" spans="3:49" x14ac:dyDescent="0.2">
      <c r="C3476" s="15"/>
      <c r="D3476" s="15"/>
      <c r="E3476" s="15"/>
      <c r="F3476" s="15"/>
      <c r="G3476" s="15"/>
      <c r="H3476" s="15"/>
      <c r="I3476" s="15"/>
      <c r="J3476" s="15"/>
      <c r="K3476" s="15"/>
      <c r="L3476" s="28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  <c r="AA3476" s="15"/>
      <c r="AB3476" s="15"/>
      <c r="AC3476" s="15"/>
      <c r="AD3476" s="15"/>
      <c r="AE3476" s="15"/>
      <c r="AF3476" s="15"/>
      <c r="AG3476" s="15"/>
      <c r="AH3476" s="15"/>
      <c r="AI3476" s="15"/>
      <c r="AJ3476" s="15"/>
      <c r="AK3476" s="15"/>
      <c r="AL3476" s="15"/>
      <c r="AM3476" s="15"/>
      <c r="AN3476" s="15"/>
      <c r="AO3476" s="15"/>
      <c r="AP3476" s="15"/>
      <c r="AQ3476" s="15"/>
      <c r="AR3476" s="15"/>
      <c r="AS3476" s="15"/>
      <c r="AT3476" s="15"/>
      <c r="AU3476" s="15"/>
      <c r="AV3476" s="15"/>
      <c r="AW3476" s="15"/>
    </row>
    <row r="3477" spans="3:49" x14ac:dyDescent="0.2">
      <c r="C3477" s="15"/>
      <c r="D3477" s="15"/>
      <c r="E3477" s="15"/>
      <c r="F3477" s="15"/>
      <c r="G3477" s="15"/>
      <c r="H3477" s="15"/>
      <c r="I3477" s="15"/>
      <c r="J3477" s="15"/>
      <c r="K3477" s="15"/>
      <c r="L3477" s="28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  <c r="AA3477" s="15"/>
      <c r="AB3477" s="15"/>
      <c r="AC3477" s="15"/>
      <c r="AD3477" s="15"/>
      <c r="AE3477" s="15"/>
      <c r="AF3477" s="15"/>
      <c r="AG3477" s="15"/>
      <c r="AH3477" s="15"/>
      <c r="AI3477" s="15"/>
      <c r="AJ3477" s="15"/>
      <c r="AK3477" s="15"/>
      <c r="AL3477" s="15"/>
      <c r="AM3477" s="15"/>
      <c r="AN3477" s="15"/>
      <c r="AO3477" s="15"/>
      <c r="AP3477" s="15"/>
      <c r="AQ3477" s="15"/>
      <c r="AR3477" s="15"/>
      <c r="AS3477" s="15"/>
      <c r="AT3477" s="15"/>
      <c r="AU3477" s="15"/>
      <c r="AV3477" s="15"/>
      <c r="AW3477" s="15"/>
    </row>
    <row r="3478" spans="3:49" x14ac:dyDescent="0.2">
      <c r="C3478" s="15"/>
      <c r="D3478" s="15"/>
      <c r="E3478" s="15"/>
      <c r="F3478" s="15"/>
      <c r="G3478" s="15"/>
      <c r="H3478" s="15"/>
      <c r="I3478" s="15"/>
      <c r="J3478" s="15"/>
      <c r="K3478" s="15"/>
      <c r="L3478" s="28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  <c r="AA3478" s="15"/>
      <c r="AB3478" s="15"/>
      <c r="AC3478" s="15"/>
      <c r="AD3478" s="15"/>
      <c r="AE3478" s="15"/>
      <c r="AF3478" s="15"/>
      <c r="AG3478" s="15"/>
      <c r="AH3478" s="15"/>
      <c r="AI3478" s="15"/>
      <c r="AJ3478" s="15"/>
      <c r="AK3478" s="15"/>
      <c r="AL3478" s="15"/>
      <c r="AM3478" s="15"/>
      <c r="AN3478" s="15"/>
      <c r="AO3478" s="15"/>
      <c r="AP3478" s="15"/>
      <c r="AQ3478" s="15"/>
      <c r="AR3478" s="15"/>
      <c r="AS3478" s="15"/>
      <c r="AT3478" s="15"/>
      <c r="AU3478" s="15"/>
      <c r="AV3478" s="15"/>
      <c r="AW3478" s="15"/>
    </row>
    <row r="3479" spans="3:49" x14ac:dyDescent="0.2">
      <c r="C3479" s="15"/>
      <c r="D3479" s="15"/>
      <c r="E3479" s="15"/>
      <c r="F3479" s="15"/>
      <c r="G3479" s="15"/>
      <c r="H3479" s="15"/>
      <c r="I3479" s="15"/>
      <c r="J3479" s="15"/>
      <c r="K3479" s="15"/>
      <c r="L3479" s="28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  <c r="AA3479" s="15"/>
      <c r="AB3479" s="15"/>
      <c r="AC3479" s="15"/>
      <c r="AD3479" s="15"/>
      <c r="AE3479" s="15"/>
      <c r="AF3479" s="15"/>
      <c r="AG3479" s="15"/>
      <c r="AH3479" s="15"/>
      <c r="AI3479" s="15"/>
      <c r="AJ3479" s="15"/>
      <c r="AK3479" s="15"/>
      <c r="AL3479" s="15"/>
      <c r="AM3479" s="15"/>
      <c r="AN3479" s="15"/>
      <c r="AO3479" s="15"/>
      <c r="AP3479" s="15"/>
      <c r="AQ3479" s="15"/>
      <c r="AR3479" s="15"/>
      <c r="AS3479" s="15"/>
      <c r="AT3479" s="15"/>
      <c r="AU3479" s="15"/>
      <c r="AV3479" s="15"/>
      <c r="AW3479" s="15"/>
    </row>
    <row r="3480" spans="3:49" x14ac:dyDescent="0.2">
      <c r="C3480" s="15"/>
      <c r="D3480" s="15"/>
      <c r="E3480" s="15"/>
      <c r="F3480" s="15"/>
      <c r="G3480" s="15"/>
      <c r="H3480" s="15"/>
      <c r="I3480" s="15"/>
      <c r="J3480" s="15"/>
      <c r="K3480" s="15"/>
      <c r="L3480" s="28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  <c r="AA3480" s="15"/>
      <c r="AB3480" s="15"/>
      <c r="AC3480" s="15"/>
      <c r="AD3480" s="15"/>
      <c r="AE3480" s="15"/>
      <c r="AF3480" s="15"/>
      <c r="AG3480" s="15"/>
      <c r="AH3480" s="15"/>
      <c r="AI3480" s="15"/>
      <c r="AJ3480" s="15"/>
      <c r="AK3480" s="15"/>
      <c r="AL3480" s="15"/>
      <c r="AM3480" s="15"/>
      <c r="AN3480" s="15"/>
      <c r="AO3480" s="15"/>
      <c r="AP3480" s="15"/>
      <c r="AQ3480" s="15"/>
      <c r="AR3480" s="15"/>
      <c r="AS3480" s="15"/>
      <c r="AT3480" s="15"/>
      <c r="AU3480" s="15"/>
      <c r="AV3480" s="15"/>
      <c r="AW3480" s="15"/>
    </row>
    <row r="3481" spans="3:49" x14ac:dyDescent="0.2">
      <c r="C3481" s="15"/>
      <c r="D3481" s="15"/>
      <c r="E3481" s="15"/>
      <c r="F3481" s="15"/>
      <c r="G3481" s="15"/>
      <c r="H3481" s="15"/>
      <c r="I3481" s="15"/>
      <c r="J3481" s="15"/>
      <c r="K3481" s="15"/>
      <c r="L3481" s="28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  <c r="AA3481" s="15"/>
      <c r="AB3481" s="15"/>
      <c r="AC3481" s="15"/>
      <c r="AD3481" s="15"/>
      <c r="AE3481" s="15"/>
      <c r="AF3481" s="15"/>
      <c r="AG3481" s="15"/>
      <c r="AH3481" s="15"/>
      <c r="AI3481" s="15"/>
      <c r="AJ3481" s="15"/>
      <c r="AK3481" s="15"/>
      <c r="AL3481" s="15"/>
      <c r="AM3481" s="15"/>
      <c r="AN3481" s="15"/>
      <c r="AO3481" s="15"/>
      <c r="AP3481" s="15"/>
      <c r="AQ3481" s="15"/>
      <c r="AR3481" s="15"/>
      <c r="AS3481" s="15"/>
      <c r="AT3481" s="15"/>
      <c r="AU3481" s="15"/>
      <c r="AV3481" s="15"/>
      <c r="AW3481" s="15"/>
    </row>
    <row r="3482" spans="3:49" x14ac:dyDescent="0.2">
      <c r="C3482" s="15"/>
      <c r="D3482" s="15"/>
      <c r="E3482" s="15"/>
      <c r="F3482" s="15"/>
      <c r="G3482" s="15"/>
      <c r="H3482" s="15"/>
      <c r="I3482" s="15"/>
      <c r="J3482" s="15"/>
      <c r="K3482" s="15"/>
      <c r="L3482" s="28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  <c r="AA3482" s="15"/>
      <c r="AB3482" s="15"/>
      <c r="AC3482" s="15"/>
      <c r="AD3482" s="15"/>
      <c r="AE3482" s="15"/>
      <c r="AF3482" s="15"/>
      <c r="AG3482" s="15"/>
      <c r="AH3482" s="15"/>
      <c r="AI3482" s="15"/>
      <c r="AJ3482" s="15"/>
      <c r="AK3482" s="15"/>
      <c r="AL3482" s="15"/>
      <c r="AM3482" s="15"/>
      <c r="AN3482" s="15"/>
      <c r="AO3482" s="15"/>
      <c r="AP3482" s="15"/>
      <c r="AQ3482" s="15"/>
      <c r="AR3482" s="15"/>
      <c r="AS3482" s="15"/>
      <c r="AT3482" s="15"/>
      <c r="AU3482" s="15"/>
      <c r="AV3482" s="15"/>
      <c r="AW3482" s="15"/>
    </row>
    <row r="3483" spans="3:49" x14ac:dyDescent="0.2">
      <c r="C3483" s="15"/>
      <c r="D3483" s="15"/>
      <c r="E3483" s="15"/>
      <c r="F3483" s="15"/>
      <c r="G3483" s="15"/>
      <c r="H3483" s="15"/>
      <c r="I3483" s="15"/>
      <c r="J3483" s="15"/>
      <c r="K3483" s="15"/>
      <c r="L3483" s="28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  <c r="AA3483" s="15"/>
      <c r="AB3483" s="15"/>
      <c r="AC3483" s="15"/>
      <c r="AD3483" s="15"/>
      <c r="AE3483" s="15"/>
      <c r="AF3483" s="15"/>
      <c r="AG3483" s="15"/>
      <c r="AH3483" s="15"/>
      <c r="AI3483" s="15"/>
      <c r="AJ3483" s="15"/>
      <c r="AK3483" s="15"/>
      <c r="AL3483" s="15"/>
      <c r="AM3483" s="15"/>
      <c r="AN3483" s="15"/>
      <c r="AO3483" s="15"/>
      <c r="AP3483" s="15"/>
      <c r="AQ3483" s="15"/>
      <c r="AR3483" s="15"/>
      <c r="AS3483" s="15"/>
      <c r="AT3483" s="15"/>
      <c r="AU3483" s="15"/>
      <c r="AV3483" s="15"/>
      <c r="AW3483" s="15"/>
    </row>
    <row r="3484" spans="3:49" x14ac:dyDescent="0.2">
      <c r="C3484" s="15"/>
      <c r="D3484" s="15"/>
      <c r="E3484" s="15"/>
      <c r="F3484" s="15"/>
      <c r="G3484" s="15"/>
      <c r="H3484" s="15"/>
      <c r="I3484" s="15"/>
      <c r="J3484" s="15"/>
      <c r="K3484" s="15"/>
      <c r="L3484" s="28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  <c r="AA3484" s="15"/>
      <c r="AB3484" s="15"/>
      <c r="AC3484" s="15"/>
      <c r="AD3484" s="15"/>
      <c r="AE3484" s="15"/>
      <c r="AF3484" s="15"/>
      <c r="AG3484" s="15"/>
      <c r="AH3484" s="15"/>
      <c r="AI3484" s="15"/>
      <c r="AJ3484" s="15"/>
      <c r="AK3484" s="15"/>
      <c r="AL3484" s="15"/>
      <c r="AM3484" s="15"/>
      <c r="AN3484" s="15"/>
      <c r="AO3484" s="15"/>
      <c r="AP3484" s="15"/>
      <c r="AQ3484" s="15"/>
      <c r="AR3484" s="15"/>
      <c r="AS3484" s="15"/>
      <c r="AT3484" s="15"/>
      <c r="AU3484" s="15"/>
      <c r="AV3484" s="15"/>
      <c r="AW3484" s="15"/>
    </row>
    <row r="3485" spans="3:49" x14ac:dyDescent="0.2">
      <c r="C3485" s="15"/>
      <c r="D3485" s="15"/>
      <c r="E3485" s="15"/>
      <c r="F3485" s="15"/>
      <c r="G3485" s="15"/>
      <c r="H3485" s="15"/>
      <c r="I3485" s="15"/>
      <c r="J3485" s="15"/>
      <c r="K3485" s="15"/>
      <c r="L3485" s="28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  <c r="AA3485" s="15"/>
      <c r="AB3485" s="15"/>
      <c r="AC3485" s="15"/>
      <c r="AD3485" s="15"/>
      <c r="AE3485" s="15"/>
      <c r="AF3485" s="15"/>
      <c r="AG3485" s="15"/>
      <c r="AH3485" s="15"/>
      <c r="AI3485" s="15"/>
      <c r="AJ3485" s="15"/>
      <c r="AK3485" s="15"/>
      <c r="AL3485" s="15"/>
      <c r="AM3485" s="15"/>
      <c r="AN3485" s="15"/>
      <c r="AO3485" s="15"/>
      <c r="AP3485" s="15"/>
      <c r="AQ3485" s="15"/>
      <c r="AR3485" s="15"/>
      <c r="AS3485" s="15"/>
      <c r="AT3485" s="15"/>
      <c r="AU3485" s="15"/>
      <c r="AV3485" s="15"/>
      <c r="AW3485" s="15"/>
    </row>
    <row r="3486" spans="3:49" x14ac:dyDescent="0.2">
      <c r="C3486" s="15"/>
      <c r="D3486" s="15"/>
      <c r="E3486" s="15"/>
      <c r="F3486" s="15"/>
      <c r="G3486" s="15"/>
      <c r="H3486" s="15"/>
      <c r="I3486" s="15"/>
      <c r="J3486" s="15"/>
      <c r="K3486" s="15"/>
      <c r="L3486" s="28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  <c r="AA3486" s="15"/>
      <c r="AB3486" s="15"/>
      <c r="AC3486" s="15"/>
      <c r="AD3486" s="15"/>
      <c r="AE3486" s="15"/>
      <c r="AF3486" s="15"/>
      <c r="AG3486" s="15"/>
      <c r="AH3486" s="15"/>
      <c r="AI3486" s="15"/>
      <c r="AJ3486" s="15"/>
      <c r="AK3486" s="15"/>
      <c r="AL3486" s="15"/>
      <c r="AM3486" s="15"/>
      <c r="AN3486" s="15"/>
      <c r="AO3486" s="15"/>
      <c r="AP3486" s="15"/>
      <c r="AQ3486" s="15"/>
      <c r="AR3486" s="15"/>
      <c r="AS3486" s="15"/>
      <c r="AT3486" s="15"/>
      <c r="AU3486" s="15"/>
      <c r="AV3486" s="15"/>
      <c r="AW3486" s="15"/>
    </row>
    <row r="3487" spans="3:49" x14ac:dyDescent="0.2">
      <c r="C3487" s="15"/>
      <c r="D3487" s="15"/>
      <c r="E3487" s="15"/>
      <c r="F3487" s="15"/>
      <c r="G3487" s="15"/>
      <c r="H3487" s="15"/>
      <c r="I3487" s="15"/>
      <c r="J3487" s="15"/>
      <c r="K3487" s="15"/>
      <c r="L3487" s="28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  <c r="AA3487" s="15"/>
      <c r="AB3487" s="15"/>
      <c r="AC3487" s="15"/>
      <c r="AD3487" s="15"/>
      <c r="AE3487" s="15"/>
      <c r="AF3487" s="15"/>
      <c r="AG3487" s="15"/>
      <c r="AH3487" s="15"/>
      <c r="AI3487" s="15"/>
      <c r="AJ3487" s="15"/>
      <c r="AK3487" s="15"/>
      <c r="AL3487" s="15"/>
      <c r="AM3487" s="15"/>
      <c r="AN3487" s="15"/>
      <c r="AO3487" s="15"/>
      <c r="AP3487" s="15"/>
      <c r="AQ3487" s="15"/>
      <c r="AR3487" s="15"/>
      <c r="AS3487" s="15"/>
      <c r="AT3487" s="15"/>
      <c r="AU3487" s="15"/>
      <c r="AV3487" s="15"/>
      <c r="AW3487" s="15"/>
    </row>
    <row r="3488" spans="3:49" x14ac:dyDescent="0.2">
      <c r="C3488" s="15"/>
      <c r="D3488" s="15"/>
      <c r="E3488" s="15"/>
      <c r="F3488" s="15"/>
      <c r="G3488" s="15"/>
      <c r="H3488" s="15"/>
      <c r="I3488" s="15"/>
      <c r="J3488" s="15"/>
      <c r="K3488" s="15"/>
      <c r="L3488" s="28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  <c r="AA3488" s="15"/>
      <c r="AB3488" s="15"/>
      <c r="AC3488" s="15"/>
      <c r="AD3488" s="15"/>
      <c r="AE3488" s="15"/>
      <c r="AF3488" s="15"/>
      <c r="AG3488" s="15"/>
      <c r="AH3488" s="15"/>
      <c r="AI3488" s="15"/>
      <c r="AJ3488" s="15"/>
      <c r="AK3488" s="15"/>
      <c r="AL3488" s="15"/>
      <c r="AM3488" s="15"/>
      <c r="AN3488" s="15"/>
      <c r="AO3488" s="15"/>
      <c r="AP3488" s="15"/>
      <c r="AQ3488" s="15"/>
      <c r="AR3488" s="15"/>
      <c r="AS3488" s="15"/>
      <c r="AT3488" s="15"/>
      <c r="AU3488" s="15"/>
      <c r="AV3488" s="15"/>
      <c r="AW3488" s="15"/>
    </row>
    <row r="3489" spans="3:49" x14ac:dyDescent="0.2">
      <c r="C3489" s="15"/>
      <c r="D3489" s="15"/>
      <c r="E3489" s="15"/>
      <c r="F3489" s="15"/>
      <c r="G3489" s="15"/>
      <c r="H3489" s="15"/>
      <c r="I3489" s="15"/>
      <c r="J3489" s="15"/>
      <c r="K3489" s="15"/>
      <c r="L3489" s="28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  <c r="AA3489" s="15"/>
      <c r="AB3489" s="15"/>
      <c r="AC3489" s="15"/>
      <c r="AD3489" s="15"/>
      <c r="AE3489" s="15"/>
      <c r="AF3489" s="15"/>
      <c r="AG3489" s="15"/>
      <c r="AH3489" s="15"/>
      <c r="AI3489" s="15"/>
      <c r="AJ3489" s="15"/>
      <c r="AK3489" s="15"/>
      <c r="AL3489" s="15"/>
      <c r="AM3489" s="15"/>
      <c r="AN3489" s="15"/>
      <c r="AO3489" s="15"/>
      <c r="AP3489" s="15"/>
      <c r="AQ3489" s="15"/>
      <c r="AR3489" s="15"/>
      <c r="AS3489" s="15"/>
      <c r="AT3489" s="15"/>
      <c r="AU3489" s="15"/>
      <c r="AV3489" s="15"/>
      <c r="AW3489" s="15"/>
    </row>
    <row r="3490" spans="3:49" x14ac:dyDescent="0.2">
      <c r="C3490" s="15"/>
      <c r="D3490" s="15"/>
      <c r="E3490" s="15"/>
      <c r="F3490" s="15"/>
      <c r="G3490" s="15"/>
      <c r="H3490" s="15"/>
      <c r="I3490" s="15"/>
      <c r="J3490" s="15"/>
      <c r="K3490" s="15"/>
      <c r="L3490" s="28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  <c r="AA3490" s="15"/>
      <c r="AB3490" s="15"/>
      <c r="AC3490" s="15"/>
      <c r="AD3490" s="15"/>
      <c r="AE3490" s="15"/>
      <c r="AF3490" s="15"/>
      <c r="AG3490" s="15"/>
      <c r="AH3490" s="15"/>
      <c r="AI3490" s="15"/>
      <c r="AJ3490" s="15"/>
      <c r="AK3490" s="15"/>
      <c r="AL3490" s="15"/>
      <c r="AM3490" s="15"/>
      <c r="AN3490" s="15"/>
      <c r="AO3490" s="15"/>
      <c r="AP3490" s="15"/>
      <c r="AQ3490" s="15"/>
      <c r="AR3490" s="15"/>
      <c r="AS3490" s="15"/>
      <c r="AT3490" s="15"/>
      <c r="AU3490" s="15"/>
      <c r="AV3490" s="15"/>
      <c r="AW3490" s="15"/>
    </row>
    <row r="3491" spans="3:49" x14ac:dyDescent="0.2">
      <c r="C3491" s="15"/>
      <c r="D3491" s="15"/>
      <c r="E3491" s="15"/>
      <c r="F3491" s="15"/>
      <c r="G3491" s="15"/>
      <c r="H3491" s="15"/>
      <c r="I3491" s="15"/>
      <c r="J3491" s="15"/>
      <c r="K3491" s="15"/>
      <c r="L3491" s="28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  <c r="AA3491" s="15"/>
      <c r="AB3491" s="15"/>
      <c r="AC3491" s="15"/>
      <c r="AD3491" s="15"/>
      <c r="AE3491" s="15"/>
      <c r="AF3491" s="15"/>
      <c r="AG3491" s="15"/>
      <c r="AH3491" s="15"/>
      <c r="AI3491" s="15"/>
      <c r="AJ3491" s="15"/>
      <c r="AK3491" s="15"/>
      <c r="AL3491" s="15"/>
      <c r="AM3491" s="15"/>
      <c r="AN3491" s="15"/>
      <c r="AO3491" s="15"/>
      <c r="AP3491" s="15"/>
      <c r="AQ3491" s="15"/>
      <c r="AR3491" s="15"/>
      <c r="AS3491" s="15"/>
      <c r="AT3491" s="15"/>
      <c r="AU3491" s="15"/>
      <c r="AV3491" s="15"/>
      <c r="AW3491" s="15"/>
    </row>
    <row r="3492" spans="3:49" x14ac:dyDescent="0.2">
      <c r="C3492" s="15"/>
      <c r="D3492" s="15"/>
      <c r="E3492" s="15"/>
      <c r="F3492" s="15"/>
      <c r="G3492" s="15"/>
      <c r="H3492" s="15"/>
      <c r="I3492" s="15"/>
      <c r="J3492" s="15"/>
      <c r="K3492" s="15"/>
      <c r="L3492" s="28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  <c r="AA3492" s="15"/>
      <c r="AB3492" s="15"/>
      <c r="AC3492" s="15"/>
      <c r="AD3492" s="15"/>
      <c r="AE3492" s="15"/>
      <c r="AF3492" s="15"/>
      <c r="AG3492" s="15"/>
      <c r="AH3492" s="15"/>
      <c r="AI3492" s="15"/>
      <c r="AJ3492" s="15"/>
      <c r="AK3492" s="15"/>
      <c r="AL3492" s="15"/>
      <c r="AM3492" s="15"/>
      <c r="AN3492" s="15"/>
      <c r="AO3492" s="15"/>
      <c r="AP3492" s="15"/>
      <c r="AQ3492" s="15"/>
      <c r="AR3492" s="15"/>
      <c r="AS3492" s="15"/>
      <c r="AT3492" s="15"/>
      <c r="AU3492" s="15"/>
      <c r="AV3492" s="15"/>
      <c r="AW3492" s="15"/>
    </row>
    <row r="3493" spans="3:49" x14ac:dyDescent="0.2">
      <c r="C3493" s="15"/>
      <c r="D3493" s="15"/>
      <c r="E3493" s="15"/>
      <c r="F3493" s="15"/>
      <c r="G3493" s="15"/>
      <c r="H3493" s="15"/>
      <c r="I3493" s="15"/>
      <c r="J3493" s="15"/>
      <c r="K3493" s="15"/>
      <c r="L3493" s="28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  <c r="AA3493" s="15"/>
      <c r="AB3493" s="15"/>
      <c r="AC3493" s="15"/>
      <c r="AD3493" s="15"/>
      <c r="AE3493" s="15"/>
      <c r="AF3493" s="15"/>
      <c r="AG3493" s="15"/>
      <c r="AH3493" s="15"/>
      <c r="AI3493" s="15"/>
      <c r="AJ3493" s="15"/>
      <c r="AK3493" s="15"/>
      <c r="AL3493" s="15"/>
      <c r="AM3493" s="15"/>
      <c r="AN3493" s="15"/>
      <c r="AO3493" s="15"/>
      <c r="AP3493" s="15"/>
      <c r="AQ3493" s="15"/>
      <c r="AR3493" s="15"/>
      <c r="AS3493" s="15"/>
      <c r="AT3493" s="15"/>
      <c r="AU3493" s="15"/>
      <c r="AV3493" s="15"/>
      <c r="AW3493" s="15"/>
    </row>
    <row r="3494" spans="3:49" x14ac:dyDescent="0.2">
      <c r="C3494" s="15"/>
      <c r="D3494" s="15"/>
      <c r="E3494" s="15"/>
      <c r="F3494" s="15"/>
      <c r="G3494" s="15"/>
      <c r="H3494" s="15"/>
      <c r="I3494" s="15"/>
      <c r="J3494" s="15"/>
      <c r="K3494" s="15"/>
      <c r="L3494" s="28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  <c r="AA3494" s="15"/>
      <c r="AB3494" s="15"/>
      <c r="AC3494" s="15"/>
      <c r="AD3494" s="15"/>
      <c r="AE3494" s="15"/>
      <c r="AF3494" s="15"/>
      <c r="AG3494" s="15"/>
      <c r="AH3494" s="15"/>
      <c r="AI3494" s="15"/>
      <c r="AJ3494" s="15"/>
      <c r="AK3494" s="15"/>
      <c r="AL3494" s="15"/>
      <c r="AM3494" s="15"/>
      <c r="AN3494" s="15"/>
      <c r="AO3494" s="15"/>
      <c r="AP3494" s="15"/>
      <c r="AQ3494" s="15"/>
      <c r="AR3494" s="15"/>
      <c r="AS3494" s="15"/>
      <c r="AT3494" s="15"/>
      <c r="AU3494" s="15"/>
      <c r="AV3494" s="15"/>
      <c r="AW3494" s="15"/>
    </row>
    <row r="3495" spans="3:49" x14ac:dyDescent="0.2">
      <c r="C3495" s="15"/>
      <c r="D3495" s="15"/>
      <c r="E3495" s="15"/>
      <c r="F3495" s="15"/>
      <c r="G3495" s="15"/>
      <c r="H3495" s="15"/>
      <c r="I3495" s="15"/>
      <c r="J3495" s="15"/>
      <c r="K3495" s="15"/>
      <c r="L3495" s="28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  <c r="AA3495" s="15"/>
      <c r="AB3495" s="15"/>
      <c r="AC3495" s="15"/>
      <c r="AD3495" s="15"/>
      <c r="AE3495" s="15"/>
      <c r="AF3495" s="15"/>
      <c r="AG3495" s="15"/>
      <c r="AH3495" s="15"/>
      <c r="AI3495" s="15"/>
      <c r="AJ3495" s="15"/>
      <c r="AK3495" s="15"/>
      <c r="AL3495" s="15"/>
      <c r="AM3495" s="15"/>
      <c r="AN3495" s="15"/>
      <c r="AO3495" s="15"/>
      <c r="AP3495" s="15"/>
      <c r="AQ3495" s="15"/>
      <c r="AR3495" s="15"/>
      <c r="AS3495" s="15"/>
      <c r="AT3495" s="15"/>
      <c r="AU3495" s="15"/>
      <c r="AV3495" s="15"/>
      <c r="AW3495" s="15"/>
    </row>
    <row r="3496" spans="3:49" x14ac:dyDescent="0.2">
      <c r="C3496" s="15"/>
      <c r="D3496" s="15"/>
      <c r="E3496" s="15"/>
      <c r="F3496" s="15"/>
      <c r="G3496" s="15"/>
      <c r="H3496" s="15"/>
      <c r="I3496" s="15"/>
      <c r="J3496" s="15"/>
      <c r="K3496" s="15"/>
      <c r="L3496" s="28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  <c r="AA3496" s="15"/>
      <c r="AB3496" s="15"/>
      <c r="AC3496" s="15"/>
      <c r="AD3496" s="15"/>
      <c r="AE3496" s="15"/>
      <c r="AF3496" s="15"/>
      <c r="AG3496" s="15"/>
      <c r="AH3496" s="15"/>
      <c r="AI3496" s="15"/>
      <c r="AJ3496" s="15"/>
      <c r="AK3496" s="15"/>
      <c r="AL3496" s="15"/>
      <c r="AM3496" s="15"/>
      <c r="AN3496" s="15"/>
      <c r="AO3496" s="15"/>
      <c r="AP3496" s="15"/>
      <c r="AQ3496" s="15"/>
      <c r="AR3496" s="15"/>
      <c r="AS3496" s="15"/>
      <c r="AT3496" s="15"/>
      <c r="AU3496" s="15"/>
      <c r="AV3496" s="15"/>
      <c r="AW3496" s="15"/>
    </row>
    <row r="3497" spans="3:49" x14ac:dyDescent="0.2">
      <c r="C3497" s="15"/>
      <c r="D3497" s="15"/>
      <c r="E3497" s="15"/>
      <c r="F3497" s="15"/>
      <c r="G3497" s="15"/>
      <c r="H3497" s="15"/>
      <c r="I3497" s="15"/>
      <c r="J3497" s="15"/>
      <c r="K3497" s="15"/>
      <c r="L3497" s="28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  <c r="AA3497" s="15"/>
      <c r="AB3497" s="15"/>
      <c r="AC3497" s="15"/>
      <c r="AD3497" s="15"/>
      <c r="AE3497" s="15"/>
      <c r="AF3497" s="15"/>
      <c r="AG3497" s="15"/>
      <c r="AH3497" s="15"/>
      <c r="AI3497" s="15"/>
      <c r="AJ3497" s="15"/>
      <c r="AK3497" s="15"/>
      <c r="AL3497" s="15"/>
      <c r="AM3497" s="15"/>
      <c r="AN3497" s="15"/>
      <c r="AO3497" s="15"/>
      <c r="AP3497" s="15"/>
      <c r="AQ3497" s="15"/>
      <c r="AR3497" s="15"/>
      <c r="AS3497" s="15"/>
      <c r="AT3497" s="15"/>
      <c r="AU3497" s="15"/>
      <c r="AV3497" s="15"/>
      <c r="AW3497" s="15"/>
    </row>
    <row r="3498" spans="3:49" x14ac:dyDescent="0.2">
      <c r="C3498" s="15"/>
      <c r="D3498" s="15"/>
      <c r="E3498" s="15"/>
      <c r="F3498" s="15"/>
      <c r="G3498" s="15"/>
      <c r="H3498" s="15"/>
      <c r="I3498" s="15"/>
      <c r="J3498" s="15"/>
      <c r="K3498" s="15"/>
      <c r="L3498" s="28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  <c r="AA3498" s="15"/>
      <c r="AB3498" s="15"/>
      <c r="AC3498" s="15"/>
      <c r="AD3498" s="15"/>
      <c r="AE3498" s="15"/>
      <c r="AF3498" s="15"/>
      <c r="AG3498" s="15"/>
      <c r="AH3498" s="15"/>
      <c r="AI3498" s="15"/>
      <c r="AJ3498" s="15"/>
      <c r="AK3498" s="15"/>
      <c r="AL3498" s="15"/>
      <c r="AM3498" s="15"/>
      <c r="AN3498" s="15"/>
      <c r="AO3498" s="15"/>
      <c r="AP3498" s="15"/>
      <c r="AQ3498" s="15"/>
      <c r="AR3498" s="15"/>
      <c r="AS3498" s="15"/>
      <c r="AT3498" s="15"/>
      <c r="AU3498" s="15"/>
      <c r="AV3498" s="15"/>
      <c r="AW3498" s="15"/>
    </row>
    <row r="3499" spans="3:49" x14ac:dyDescent="0.2">
      <c r="C3499" s="15"/>
      <c r="D3499" s="15"/>
      <c r="E3499" s="15"/>
      <c r="F3499" s="15"/>
      <c r="G3499" s="15"/>
      <c r="H3499" s="15"/>
      <c r="I3499" s="15"/>
      <c r="J3499" s="15"/>
      <c r="K3499" s="15"/>
      <c r="L3499" s="28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  <c r="AA3499" s="15"/>
      <c r="AB3499" s="15"/>
      <c r="AC3499" s="15"/>
      <c r="AD3499" s="15"/>
      <c r="AE3499" s="15"/>
      <c r="AF3499" s="15"/>
      <c r="AG3499" s="15"/>
      <c r="AH3499" s="15"/>
      <c r="AI3499" s="15"/>
      <c r="AJ3499" s="15"/>
      <c r="AK3499" s="15"/>
      <c r="AL3499" s="15"/>
      <c r="AM3499" s="15"/>
      <c r="AN3499" s="15"/>
      <c r="AO3499" s="15"/>
      <c r="AP3499" s="15"/>
      <c r="AQ3499" s="15"/>
      <c r="AR3499" s="15"/>
      <c r="AS3499" s="15"/>
      <c r="AT3499" s="15"/>
      <c r="AU3499" s="15"/>
      <c r="AV3499" s="15"/>
      <c r="AW3499" s="15"/>
    </row>
    <row r="3500" spans="3:49" x14ac:dyDescent="0.2">
      <c r="C3500" s="15"/>
      <c r="D3500" s="15"/>
      <c r="E3500" s="15"/>
      <c r="F3500" s="15"/>
      <c r="G3500" s="15"/>
      <c r="H3500" s="15"/>
      <c r="I3500" s="15"/>
      <c r="J3500" s="15"/>
      <c r="K3500" s="15"/>
      <c r="L3500" s="28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  <c r="AA3500" s="15"/>
      <c r="AB3500" s="15"/>
      <c r="AC3500" s="15"/>
      <c r="AD3500" s="15"/>
      <c r="AE3500" s="15"/>
      <c r="AF3500" s="15"/>
      <c r="AG3500" s="15"/>
      <c r="AH3500" s="15"/>
      <c r="AI3500" s="15"/>
      <c r="AJ3500" s="15"/>
      <c r="AK3500" s="15"/>
      <c r="AL3500" s="15"/>
      <c r="AM3500" s="15"/>
      <c r="AN3500" s="15"/>
      <c r="AO3500" s="15"/>
      <c r="AP3500" s="15"/>
      <c r="AQ3500" s="15"/>
      <c r="AR3500" s="15"/>
      <c r="AS3500" s="15"/>
      <c r="AT3500" s="15"/>
      <c r="AU3500" s="15"/>
      <c r="AV3500" s="15"/>
      <c r="AW3500" s="15"/>
    </row>
    <row r="3501" spans="3:49" x14ac:dyDescent="0.2">
      <c r="C3501" s="15"/>
      <c r="D3501" s="15"/>
      <c r="E3501" s="15"/>
      <c r="F3501" s="15"/>
      <c r="G3501" s="15"/>
      <c r="H3501" s="15"/>
      <c r="I3501" s="15"/>
      <c r="J3501" s="15"/>
      <c r="K3501" s="15"/>
      <c r="L3501" s="28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  <c r="AA3501" s="15"/>
      <c r="AB3501" s="15"/>
      <c r="AC3501" s="15"/>
      <c r="AD3501" s="15"/>
      <c r="AE3501" s="15"/>
      <c r="AF3501" s="15"/>
      <c r="AG3501" s="15"/>
      <c r="AH3501" s="15"/>
      <c r="AI3501" s="15"/>
      <c r="AJ3501" s="15"/>
      <c r="AK3501" s="15"/>
      <c r="AL3501" s="15"/>
      <c r="AM3501" s="15"/>
      <c r="AN3501" s="15"/>
      <c r="AO3501" s="15"/>
      <c r="AP3501" s="15"/>
      <c r="AQ3501" s="15"/>
      <c r="AR3501" s="15"/>
      <c r="AS3501" s="15"/>
      <c r="AT3501" s="15"/>
      <c r="AU3501" s="15"/>
      <c r="AV3501" s="15"/>
      <c r="AW3501" s="15"/>
    </row>
    <row r="3502" spans="3:49" x14ac:dyDescent="0.2">
      <c r="C3502" s="15"/>
      <c r="D3502" s="15"/>
      <c r="E3502" s="15"/>
      <c r="F3502" s="15"/>
      <c r="G3502" s="15"/>
      <c r="H3502" s="15"/>
      <c r="I3502" s="15"/>
      <c r="J3502" s="15"/>
      <c r="K3502" s="15"/>
      <c r="L3502" s="28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  <c r="AA3502" s="15"/>
      <c r="AB3502" s="15"/>
      <c r="AC3502" s="15"/>
      <c r="AD3502" s="15"/>
      <c r="AE3502" s="15"/>
      <c r="AF3502" s="15"/>
      <c r="AG3502" s="15"/>
      <c r="AH3502" s="15"/>
      <c r="AI3502" s="15"/>
      <c r="AJ3502" s="15"/>
      <c r="AK3502" s="15"/>
      <c r="AL3502" s="15"/>
      <c r="AM3502" s="15"/>
      <c r="AN3502" s="15"/>
      <c r="AO3502" s="15"/>
      <c r="AP3502" s="15"/>
      <c r="AQ3502" s="15"/>
      <c r="AR3502" s="15"/>
      <c r="AS3502" s="15"/>
      <c r="AT3502" s="15"/>
      <c r="AU3502" s="15"/>
      <c r="AV3502" s="15"/>
      <c r="AW3502" s="15"/>
    </row>
    <row r="3503" spans="3:49" x14ac:dyDescent="0.2">
      <c r="C3503" s="15"/>
      <c r="D3503" s="15"/>
      <c r="E3503" s="15"/>
      <c r="F3503" s="15"/>
      <c r="G3503" s="15"/>
      <c r="H3503" s="15"/>
      <c r="I3503" s="15"/>
      <c r="J3503" s="15"/>
      <c r="K3503" s="15"/>
      <c r="L3503" s="28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  <c r="AA3503" s="15"/>
      <c r="AB3503" s="15"/>
      <c r="AC3503" s="15"/>
      <c r="AD3503" s="15"/>
      <c r="AE3503" s="15"/>
      <c r="AF3503" s="15"/>
      <c r="AG3503" s="15"/>
      <c r="AH3503" s="15"/>
      <c r="AI3503" s="15"/>
      <c r="AJ3503" s="15"/>
      <c r="AK3503" s="15"/>
      <c r="AL3503" s="15"/>
      <c r="AM3503" s="15"/>
      <c r="AN3503" s="15"/>
      <c r="AO3503" s="15"/>
      <c r="AP3503" s="15"/>
      <c r="AQ3503" s="15"/>
      <c r="AR3503" s="15"/>
      <c r="AS3503" s="15"/>
      <c r="AT3503" s="15"/>
      <c r="AU3503" s="15"/>
      <c r="AV3503" s="15"/>
      <c r="AW3503" s="15"/>
    </row>
    <row r="3504" spans="3:49" x14ac:dyDescent="0.2">
      <c r="C3504" s="15"/>
      <c r="D3504" s="15"/>
      <c r="E3504" s="15"/>
      <c r="F3504" s="15"/>
      <c r="G3504" s="15"/>
      <c r="H3504" s="15"/>
      <c r="I3504" s="15"/>
      <c r="J3504" s="15"/>
      <c r="K3504" s="15"/>
      <c r="L3504" s="28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  <c r="AA3504" s="15"/>
      <c r="AB3504" s="15"/>
      <c r="AC3504" s="15"/>
      <c r="AD3504" s="15"/>
      <c r="AE3504" s="15"/>
      <c r="AF3504" s="15"/>
      <c r="AG3504" s="15"/>
      <c r="AH3504" s="15"/>
      <c r="AI3504" s="15"/>
      <c r="AJ3504" s="15"/>
      <c r="AK3504" s="15"/>
      <c r="AL3504" s="15"/>
      <c r="AM3504" s="15"/>
      <c r="AN3504" s="15"/>
      <c r="AO3504" s="15"/>
      <c r="AP3504" s="15"/>
      <c r="AQ3504" s="15"/>
      <c r="AR3504" s="15"/>
      <c r="AS3504" s="15"/>
      <c r="AT3504" s="15"/>
      <c r="AU3504" s="15"/>
      <c r="AV3504" s="15"/>
      <c r="AW3504" s="15"/>
    </row>
    <row r="3505" spans="3:49" x14ac:dyDescent="0.2">
      <c r="C3505" s="15"/>
      <c r="D3505" s="15"/>
      <c r="E3505" s="15"/>
      <c r="F3505" s="15"/>
      <c r="G3505" s="15"/>
      <c r="H3505" s="15"/>
      <c r="I3505" s="15"/>
      <c r="J3505" s="15"/>
      <c r="K3505" s="15"/>
      <c r="L3505" s="28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  <c r="AA3505" s="15"/>
      <c r="AB3505" s="15"/>
      <c r="AC3505" s="15"/>
      <c r="AD3505" s="15"/>
      <c r="AE3505" s="15"/>
      <c r="AF3505" s="15"/>
      <c r="AG3505" s="15"/>
      <c r="AH3505" s="15"/>
      <c r="AI3505" s="15"/>
      <c r="AJ3505" s="15"/>
      <c r="AK3505" s="15"/>
      <c r="AL3505" s="15"/>
      <c r="AM3505" s="15"/>
      <c r="AN3505" s="15"/>
      <c r="AO3505" s="15"/>
      <c r="AP3505" s="15"/>
      <c r="AQ3505" s="15"/>
      <c r="AR3505" s="15"/>
      <c r="AS3505" s="15"/>
      <c r="AT3505" s="15"/>
      <c r="AU3505" s="15"/>
      <c r="AV3505" s="15"/>
      <c r="AW3505" s="15"/>
    </row>
    <row r="3506" spans="3:49" x14ac:dyDescent="0.2">
      <c r="C3506" s="15"/>
      <c r="D3506" s="15"/>
      <c r="E3506" s="15"/>
      <c r="F3506" s="15"/>
      <c r="G3506" s="15"/>
      <c r="H3506" s="15"/>
      <c r="I3506" s="15"/>
      <c r="J3506" s="15"/>
      <c r="K3506" s="15"/>
      <c r="L3506" s="28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  <c r="AA3506" s="15"/>
      <c r="AB3506" s="15"/>
      <c r="AC3506" s="15"/>
      <c r="AD3506" s="15"/>
      <c r="AE3506" s="15"/>
      <c r="AF3506" s="15"/>
      <c r="AG3506" s="15"/>
      <c r="AH3506" s="15"/>
      <c r="AI3506" s="15"/>
      <c r="AJ3506" s="15"/>
      <c r="AK3506" s="15"/>
      <c r="AL3506" s="15"/>
      <c r="AM3506" s="15"/>
      <c r="AN3506" s="15"/>
      <c r="AO3506" s="15"/>
      <c r="AP3506" s="15"/>
      <c r="AQ3506" s="15"/>
      <c r="AR3506" s="15"/>
      <c r="AS3506" s="15"/>
      <c r="AT3506" s="15"/>
      <c r="AU3506" s="15"/>
      <c r="AV3506" s="15"/>
      <c r="AW3506" s="15"/>
    </row>
    <row r="3507" spans="3:49" x14ac:dyDescent="0.2">
      <c r="C3507" s="15"/>
      <c r="D3507" s="15"/>
      <c r="E3507" s="15"/>
      <c r="F3507" s="15"/>
      <c r="G3507" s="15"/>
      <c r="H3507" s="15"/>
      <c r="I3507" s="15"/>
      <c r="J3507" s="15"/>
      <c r="K3507" s="15"/>
      <c r="L3507" s="28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  <c r="AA3507" s="15"/>
      <c r="AB3507" s="15"/>
      <c r="AC3507" s="15"/>
      <c r="AD3507" s="15"/>
      <c r="AE3507" s="15"/>
      <c r="AF3507" s="15"/>
      <c r="AG3507" s="15"/>
      <c r="AH3507" s="15"/>
      <c r="AI3507" s="15"/>
      <c r="AJ3507" s="15"/>
      <c r="AK3507" s="15"/>
      <c r="AL3507" s="15"/>
      <c r="AM3507" s="15"/>
      <c r="AN3507" s="15"/>
      <c r="AO3507" s="15"/>
      <c r="AP3507" s="15"/>
      <c r="AQ3507" s="15"/>
      <c r="AR3507" s="15"/>
      <c r="AS3507" s="15"/>
      <c r="AT3507" s="15"/>
      <c r="AU3507" s="15"/>
      <c r="AV3507" s="15"/>
      <c r="AW3507" s="15"/>
    </row>
    <row r="3508" spans="3:49" x14ac:dyDescent="0.2">
      <c r="C3508" s="15"/>
      <c r="D3508" s="15"/>
      <c r="E3508" s="15"/>
      <c r="F3508" s="15"/>
      <c r="G3508" s="15"/>
      <c r="H3508" s="15"/>
      <c r="I3508" s="15"/>
      <c r="J3508" s="15"/>
      <c r="K3508" s="15"/>
      <c r="L3508" s="28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  <c r="AA3508" s="15"/>
      <c r="AB3508" s="15"/>
      <c r="AC3508" s="15"/>
      <c r="AD3508" s="15"/>
      <c r="AE3508" s="15"/>
      <c r="AF3508" s="15"/>
      <c r="AG3508" s="15"/>
      <c r="AH3508" s="15"/>
      <c r="AI3508" s="15"/>
      <c r="AJ3508" s="15"/>
      <c r="AK3508" s="15"/>
      <c r="AL3508" s="15"/>
      <c r="AM3508" s="15"/>
      <c r="AN3508" s="15"/>
      <c r="AO3508" s="15"/>
      <c r="AP3508" s="15"/>
      <c r="AQ3508" s="15"/>
      <c r="AR3508" s="15"/>
      <c r="AS3508" s="15"/>
      <c r="AT3508" s="15"/>
      <c r="AU3508" s="15"/>
      <c r="AV3508" s="15"/>
      <c r="AW3508" s="15"/>
    </row>
    <row r="3509" spans="3:49" x14ac:dyDescent="0.2">
      <c r="C3509" s="15"/>
      <c r="D3509" s="15"/>
      <c r="E3509" s="15"/>
      <c r="F3509" s="15"/>
      <c r="G3509" s="15"/>
      <c r="H3509" s="15"/>
      <c r="I3509" s="15"/>
      <c r="J3509" s="15"/>
      <c r="K3509" s="15"/>
      <c r="L3509" s="28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  <c r="AA3509" s="15"/>
      <c r="AB3509" s="15"/>
      <c r="AC3509" s="15"/>
      <c r="AD3509" s="15"/>
      <c r="AE3509" s="15"/>
      <c r="AF3509" s="15"/>
      <c r="AG3509" s="15"/>
      <c r="AH3509" s="15"/>
      <c r="AI3509" s="15"/>
      <c r="AJ3509" s="15"/>
      <c r="AK3509" s="15"/>
      <c r="AL3509" s="15"/>
      <c r="AM3509" s="15"/>
      <c r="AN3509" s="15"/>
      <c r="AO3509" s="15"/>
      <c r="AP3509" s="15"/>
      <c r="AQ3509" s="15"/>
      <c r="AR3509" s="15"/>
      <c r="AS3509" s="15"/>
      <c r="AT3509" s="15"/>
      <c r="AU3509" s="15"/>
      <c r="AV3509" s="15"/>
      <c r="AW3509" s="15"/>
    </row>
    <row r="3510" spans="3:49" x14ac:dyDescent="0.2">
      <c r="C3510" s="15"/>
      <c r="D3510" s="15"/>
      <c r="E3510" s="15"/>
      <c r="F3510" s="15"/>
      <c r="G3510" s="15"/>
      <c r="H3510" s="15"/>
      <c r="I3510" s="15"/>
      <c r="J3510" s="15"/>
      <c r="K3510" s="15"/>
      <c r="L3510" s="28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  <c r="AA3510" s="15"/>
      <c r="AB3510" s="15"/>
      <c r="AC3510" s="15"/>
      <c r="AD3510" s="15"/>
      <c r="AE3510" s="15"/>
      <c r="AF3510" s="15"/>
      <c r="AG3510" s="15"/>
      <c r="AH3510" s="15"/>
      <c r="AI3510" s="15"/>
      <c r="AJ3510" s="15"/>
      <c r="AK3510" s="15"/>
      <c r="AL3510" s="15"/>
      <c r="AM3510" s="15"/>
      <c r="AN3510" s="15"/>
      <c r="AO3510" s="15"/>
      <c r="AP3510" s="15"/>
      <c r="AQ3510" s="15"/>
      <c r="AR3510" s="15"/>
      <c r="AS3510" s="15"/>
      <c r="AT3510" s="15"/>
      <c r="AU3510" s="15"/>
      <c r="AV3510" s="15"/>
      <c r="AW3510" s="15"/>
    </row>
    <row r="3511" spans="3:49" x14ac:dyDescent="0.2">
      <c r="C3511" s="15"/>
      <c r="D3511" s="15"/>
      <c r="E3511" s="15"/>
      <c r="F3511" s="15"/>
      <c r="G3511" s="15"/>
      <c r="H3511" s="15"/>
      <c r="I3511" s="15"/>
      <c r="J3511" s="15"/>
      <c r="K3511" s="15"/>
      <c r="L3511" s="28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  <c r="AA3511" s="15"/>
      <c r="AB3511" s="15"/>
      <c r="AC3511" s="15"/>
      <c r="AD3511" s="15"/>
      <c r="AE3511" s="15"/>
      <c r="AF3511" s="15"/>
      <c r="AG3511" s="15"/>
      <c r="AH3511" s="15"/>
      <c r="AI3511" s="15"/>
      <c r="AJ3511" s="15"/>
      <c r="AK3511" s="15"/>
      <c r="AL3511" s="15"/>
      <c r="AM3511" s="15"/>
      <c r="AN3511" s="15"/>
      <c r="AO3511" s="15"/>
      <c r="AP3511" s="15"/>
      <c r="AQ3511" s="15"/>
      <c r="AR3511" s="15"/>
      <c r="AS3511" s="15"/>
      <c r="AT3511" s="15"/>
      <c r="AU3511" s="15"/>
      <c r="AV3511" s="15"/>
      <c r="AW3511" s="15"/>
    </row>
    <row r="3512" spans="3:49" x14ac:dyDescent="0.2">
      <c r="C3512" s="15"/>
      <c r="D3512" s="15"/>
      <c r="E3512" s="15"/>
      <c r="F3512" s="15"/>
      <c r="G3512" s="15"/>
      <c r="H3512" s="15"/>
      <c r="I3512" s="15"/>
      <c r="J3512" s="15"/>
      <c r="K3512" s="15"/>
      <c r="L3512" s="28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  <c r="AA3512" s="15"/>
      <c r="AB3512" s="15"/>
      <c r="AC3512" s="15"/>
      <c r="AD3512" s="15"/>
      <c r="AE3512" s="15"/>
      <c r="AF3512" s="15"/>
      <c r="AG3512" s="15"/>
      <c r="AH3512" s="15"/>
      <c r="AI3512" s="15"/>
      <c r="AJ3512" s="15"/>
      <c r="AK3512" s="15"/>
      <c r="AL3512" s="15"/>
      <c r="AM3512" s="15"/>
      <c r="AN3512" s="15"/>
      <c r="AO3512" s="15"/>
      <c r="AP3512" s="15"/>
      <c r="AQ3512" s="15"/>
      <c r="AR3512" s="15"/>
      <c r="AS3512" s="15"/>
      <c r="AT3512" s="15"/>
      <c r="AU3512" s="15"/>
      <c r="AV3512" s="15"/>
      <c r="AW3512" s="15"/>
    </row>
    <row r="3513" spans="3:49" x14ac:dyDescent="0.2">
      <c r="C3513" s="15"/>
      <c r="D3513" s="15"/>
      <c r="E3513" s="15"/>
      <c r="F3513" s="15"/>
      <c r="G3513" s="15"/>
      <c r="H3513" s="15"/>
      <c r="I3513" s="15"/>
      <c r="J3513" s="15"/>
      <c r="K3513" s="15"/>
      <c r="L3513" s="28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  <c r="AA3513" s="15"/>
      <c r="AB3513" s="15"/>
      <c r="AC3513" s="15"/>
      <c r="AD3513" s="15"/>
      <c r="AE3513" s="15"/>
      <c r="AF3513" s="15"/>
      <c r="AG3513" s="15"/>
      <c r="AH3513" s="15"/>
      <c r="AI3513" s="15"/>
      <c r="AJ3513" s="15"/>
      <c r="AK3513" s="15"/>
      <c r="AL3513" s="15"/>
      <c r="AM3513" s="15"/>
      <c r="AN3513" s="15"/>
      <c r="AO3513" s="15"/>
      <c r="AP3513" s="15"/>
      <c r="AQ3513" s="15"/>
      <c r="AR3513" s="15"/>
      <c r="AS3513" s="15"/>
      <c r="AT3513" s="15"/>
      <c r="AU3513" s="15"/>
      <c r="AV3513" s="15"/>
      <c r="AW3513" s="15"/>
    </row>
    <row r="3514" spans="3:49" x14ac:dyDescent="0.2">
      <c r="C3514" s="15"/>
      <c r="D3514" s="15"/>
      <c r="E3514" s="15"/>
      <c r="F3514" s="15"/>
      <c r="G3514" s="15"/>
      <c r="H3514" s="15"/>
      <c r="I3514" s="15"/>
      <c r="J3514" s="15"/>
      <c r="K3514" s="15"/>
      <c r="L3514" s="28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  <c r="AA3514" s="15"/>
      <c r="AB3514" s="15"/>
      <c r="AC3514" s="15"/>
      <c r="AD3514" s="15"/>
      <c r="AE3514" s="15"/>
      <c r="AF3514" s="15"/>
      <c r="AG3514" s="15"/>
      <c r="AH3514" s="15"/>
      <c r="AI3514" s="15"/>
      <c r="AJ3514" s="15"/>
      <c r="AK3514" s="15"/>
      <c r="AL3514" s="15"/>
      <c r="AM3514" s="15"/>
      <c r="AN3514" s="15"/>
      <c r="AO3514" s="15"/>
      <c r="AP3514" s="15"/>
      <c r="AQ3514" s="15"/>
      <c r="AR3514" s="15"/>
      <c r="AS3514" s="15"/>
      <c r="AT3514" s="15"/>
      <c r="AU3514" s="15"/>
      <c r="AV3514" s="15"/>
      <c r="AW3514" s="15"/>
    </row>
    <row r="3515" spans="3:49" x14ac:dyDescent="0.2">
      <c r="C3515" s="15"/>
      <c r="D3515" s="15"/>
      <c r="E3515" s="15"/>
      <c r="F3515" s="15"/>
      <c r="G3515" s="15"/>
      <c r="H3515" s="15"/>
      <c r="I3515" s="15"/>
      <c r="J3515" s="15"/>
      <c r="K3515" s="15"/>
      <c r="L3515" s="28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  <c r="AA3515" s="15"/>
      <c r="AB3515" s="15"/>
      <c r="AC3515" s="15"/>
      <c r="AD3515" s="15"/>
      <c r="AE3515" s="15"/>
      <c r="AF3515" s="15"/>
      <c r="AG3515" s="15"/>
      <c r="AH3515" s="15"/>
      <c r="AI3515" s="15"/>
      <c r="AJ3515" s="15"/>
      <c r="AK3515" s="15"/>
      <c r="AL3515" s="15"/>
      <c r="AM3515" s="15"/>
      <c r="AN3515" s="15"/>
      <c r="AO3515" s="15"/>
      <c r="AP3515" s="15"/>
      <c r="AQ3515" s="15"/>
      <c r="AR3515" s="15"/>
      <c r="AS3515" s="15"/>
      <c r="AT3515" s="15"/>
      <c r="AU3515" s="15"/>
      <c r="AV3515" s="15"/>
      <c r="AW3515" s="15"/>
    </row>
    <row r="3516" spans="3:49" x14ac:dyDescent="0.2">
      <c r="C3516" s="15"/>
      <c r="D3516" s="15"/>
      <c r="E3516" s="15"/>
      <c r="F3516" s="15"/>
      <c r="G3516" s="15"/>
      <c r="H3516" s="15"/>
      <c r="I3516" s="15"/>
      <c r="J3516" s="15"/>
      <c r="K3516" s="15"/>
      <c r="L3516" s="28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  <c r="AA3516" s="15"/>
      <c r="AB3516" s="15"/>
      <c r="AC3516" s="15"/>
      <c r="AD3516" s="15"/>
      <c r="AE3516" s="15"/>
      <c r="AF3516" s="15"/>
      <c r="AG3516" s="15"/>
      <c r="AH3516" s="15"/>
      <c r="AI3516" s="15"/>
      <c r="AJ3516" s="15"/>
      <c r="AK3516" s="15"/>
      <c r="AL3516" s="15"/>
      <c r="AM3516" s="15"/>
      <c r="AN3516" s="15"/>
      <c r="AO3516" s="15"/>
      <c r="AP3516" s="15"/>
      <c r="AQ3516" s="15"/>
      <c r="AR3516" s="15"/>
      <c r="AS3516" s="15"/>
      <c r="AT3516" s="15"/>
      <c r="AU3516" s="15"/>
      <c r="AV3516" s="15"/>
      <c r="AW3516" s="15"/>
    </row>
    <row r="3517" spans="3:49" x14ac:dyDescent="0.2">
      <c r="C3517" s="15"/>
      <c r="D3517" s="15"/>
      <c r="E3517" s="15"/>
      <c r="F3517" s="15"/>
      <c r="G3517" s="15"/>
      <c r="H3517" s="15"/>
      <c r="I3517" s="15"/>
      <c r="J3517" s="15"/>
      <c r="K3517" s="15"/>
      <c r="L3517" s="28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  <c r="AA3517" s="15"/>
      <c r="AB3517" s="15"/>
      <c r="AC3517" s="15"/>
      <c r="AD3517" s="15"/>
      <c r="AE3517" s="15"/>
      <c r="AF3517" s="15"/>
      <c r="AG3517" s="15"/>
      <c r="AH3517" s="15"/>
      <c r="AI3517" s="15"/>
      <c r="AJ3517" s="15"/>
      <c r="AK3517" s="15"/>
      <c r="AL3517" s="15"/>
      <c r="AM3517" s="15"/>
      <c r="AN3517" s="15"/>
      <c r="AO3517" s="15"/>
      <c r="AP3517" s="15"/>
      <c r="AQ3517" s="15"/>
      <c r="AR3517" s="15"/>
      <c r="AS3517" s="15"/>
      <c r="AT3517" s="15"/>
      <c r="AU3517" s="15"/>
      <c r="AV3517" s="15"/>
      <c r="AW3517" s="15"/>
    </row>
    <row r="3518" spans="3:49" x14ac:dyDescent="0.2">
      <c r="C3518" s="15"/>
      <c r="D3518" s="15"/>
      <c r="E3518" s="15"/>
      <c r="F3518" s="15"/>
      <c r="G3518" s="15"/>
      <c r="H3518" s="15"/>
      <c r="I3518" s="15"/>
      <c r="J3518" s="15"/>
      <c r="K3518" s="15"/>
      <c r="L3518" s="28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  <c r="AA3518" s="15"/>
      <c r="AB3518" s="15"/>
      <c r="AC3518" s="15"/>
      <c r="AD3518" s="15"/>
      <c r="AE3518" s="15"/>
      <c r="AF3518" s="15"/>
      <c r="AG3518" s="15"/>
      <c r="AH3518" s="15"/>
      <c r="AI3518" s="15"/>
      <c r="AJ3518" s="15"/>
      <c r="AK3518" s="15"/>
      <c r="AL3518" s="15"/>
      <c r="AM3518" s="15"/>
      <c r="AN3518" s="15"/>
      <c r="AO3518" s="15"/>
      <c r="AP3518" s="15"/>
      <c r="AQ3518" s="15"/>
      <c r="AR3518" s="15"/>
      <c r="AS3518" s="15"/>
      <c r="AT3518" s="15"/>
      <c r="AU3518" s="15"/>
      <c r="AV3518" s="15"/>
      <c r="AW3518" s="15"/>
    </row>
    <row r="3519" spans="3:49" x14ac:dyDescent="0.2">
      <c r="C3519" s="15"/>
      <c r="D3519" s="15"/>
      <c r="E3519" s="15"/>
      <c r="F3519" s="15"/>
      <c r="G3519" s="15"/>
      <c r="H3519" s="15"/>
      <c r="I3519" s="15"/>
      <c r="J3519" s="15"/>
      <c r="K3519" s="15"/>
      <c r="L3519" s="28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  <c r="AA3519" s="15"/>
      <c r="AB3519" s="15"/>
      <c r="AC3519" s="15"/>
      <c r="AD3519" s="15"/>
      <c r="AE3519" s="15"/>
      <c r="AF3519" s="15"/>
      <c r="AG3519" s="15"/>
      <c r="AH3519" s="15"/>
      <c r="AI3519" s="15"/>
      <c r="AJ3519" s="15"/>
      <c r="AK3519" s="15"/>
      <c r="AL3519" s="15"/>
      <c r="AM3519" s="15"/>
      <c r="AN3519" s="15"/>
      <c r="AO3519" s="15"/>
      <c r="AP3519" s="15"/>
      <c r="AQ3519" s="15"/>
      <c r="AR3519" s="15"/>
      <c r="AS3519" s="15"/>
      <c r="AT3519" s="15"/>
      <c r="AU3519" s="15"/>
      <c r="AV3519" s="15"/>
      <c r="AW3519" s="15"/>
    </row>
    <row r="3520" spans="3:49" x14ac:dyDescent="0.2">
      <c r="C3520" s="15"/>
      <c r="D3520" s="15"/>
      <c r="E3520" s="15"/>
      <c r="F3520" s="15"/>
      <c r="G3520" s="15"/>
      <c r="H3520" s="15"/>
      <c r="I3520" s="15"/>
      <c r="J3520" s="15"/>
      <c r="K3520" s="15"/>
      <c r="L3520" s="28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  <c r="AA3520" s="15"/>
      <c r="AB3520" s="15"/>
      <c r="AC3520" s="15"/>
      <c r="AD3520" s="15"/>
      <c r="AE3520" s="15"/>
      <c r="AF3520" s="15"/>
      <c r="AG3520" s="15"/>
      <c r="AH3520" s="15"/>
      <c r="AI3520" s="15"/>
      <c r="AJ3520" s="15"/>
      <c r="AK3520" s="15"/>
      <c r="AL3520" s="15"/>
      <c r="AM3520" s="15"/>
      <c r="AN3520" s="15"/>
      <c r="AO3520" s="15"/>
      <c r="AP3520" s="15"/>
      <c r="AQ3520" s="15"/>
      <c r="AR3520" s="15"/>
      <c r="AS3520" s="15"/>
      <c r="AT3520" s="15"/>
      <c r="AU3520" s="15"/>
      <c r="AV3520" s="15"/>
      <c r="AW3520" s="15"/>
    </row>
    <row r="3521" spans="3:49" x14ac:dyDescent="0.2">
      <c r="C3521" s="15"/>
      <c r="D3521" s="15"/>
      <c r="E3521" s="15"/>
      <c r="F3521" s="15"/>
      <c r="G3521" s="15"/>
      <c r="H3521" s="15"/>
      <c r="I3521" s="15"/>
      <c r="J3521" s="15"/>
      <c r="K3521" s="15"/>
      <c r="L3521" s="28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  <c r="AA3521" s="15"/>
      <c r="AB3521" s="15"/>
      <c r="AC3521" s="15"/>
      <c r="AD3521" s="15"/>
      <c r="AE3521" s="15"/>
      <c r="AF3521" s="15"/>
      <c r="AG3521" s="15"/>
      <c r="AH3521" s="15"/>
      <c r="AI3521" s="15"/>
      <c r="AJ3521" s="15"/>
      <c r="AK3521" s="15"/>
      <c r="AL3521" s="15"/>
      <c r="AM3521" s="15"/>
      <c r="AN3521" s="15"/>
      <c r="AO3521" s="15"/>
      <c r="AP3521" s="15"/>
      <c r="AQ3521" s="15"/>
      <c r="AR3521" s="15"/>
      <c r="AS3521" s="15"/>
      <c r="AT3521" s="15"/>
      <c r="AU3521" s="15"/>
      <c r="AV3521" s="15"/>
      <c r="AW3521" s="15"/>
    </row>
    <row r="3522" spans="3:49" x14ac:dyDescent="0.2">
      <c r="C3522" s="15"/>
      <c r="D3522" s="15"/>
      <c r="E3522" s="15"/>
      <c r="F3522" s="15"/>
      <c r="G3522" s="15"/>
      <c r="H3522" s="15"/>
      <c r="I3522" s="15"/>
      <c r="J3522" s="15"/>
      <c r="K3522" s="15"/>
      <c r="L3522" s="28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  <c r="AA3522" s="15"/>
      <c r="AB3522" s="15"/>
      <c r="AC3522" s="15"/>
      <c r="AD3522" s="15"/>
      <c r="AE3522" s="15"/>
      <c r="AF3522" s="15"/>
      <c r="AG3522" s="15"/>
      <c r="AH3522" s="15"/>
      <c r="AI3522" s="15"/>
      <c r="AJ3522" s="15"/>
      <c r="AK3522" s="15"/>
      <c r="AL3522" s="15"/>
      <c r="AM3522" s="15"/>
      <c r="AN3522" s="15"/>
      <c r="AO3522" s="15"/>
      <c r="AP3522" s="15"/>
      <c r="AQ3522" s="15"/>
      <c r="AR3522" s="15"/>
      <c r="AS3522" s="15"/>
      <c r="AT3522" s="15"/>
      <c r="AU3522" s="15"/>
      <c r="AV3522" s="15"/>
      <c r="AW3522" s="15"/>
    </row>
    <row r="3523" spans="3:49" x14ac:dyDescent="0.2">
      <c r="C3523" s="15"/>
      <c r="D3523" s="15"/>
      <c r="E3523" s="15"/>
      <c r="F3523" s="15"/>
      <c r="G3523" s="15"/>
      <c r="H3523" s="15"/>
      <c r="I3523" s="15"/>
      <c r="J3523" s="15"/>
      <c r="K3523" s="15"/>
      <c r="L3523" s="28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  <c r="AA3523" s="15"/>
      <c r="AB3523" s="15"/>
      <c r="AC3523" s="15"/>
      <c r="AD3523" s="15"/>
      <c r="AE3523" s="15"/>
      <c r="AF3523" s="15"/>
      <c r="AG3523" s="15"/>
      <c r="AH3523" s="15"/>
      <c r="AI3523" s="15"/>
      <c r="AJ3523" s="15"/>
      <c r="AK3523" s="15"/>
      <c r="AL3523" s="15"/>
      <c r="AM3523" s="15"/>
      <c r="AN3523" s="15"/>
      <c r="AO3523" s="15"/>
      <c r="AP3523" s="15"/>
      <c r="AQ3523" s="15"/>
      <c r="AR3523" s="15"/>
      <c r="AS3523" s="15"/>
      <c r="AT3523" s="15"/>
      <c r="AU3523" s="15"/>
      <c r="AV3523" s="15"/>
      <c r="AW3523" s="15"/>
    </row>
    <row r="3524" spans="3:49" x14ac:dyDescent="0.2">
      <c r="C3524" s="15"/>
      <c r="D3524" s="15"/>
      <c r="E3524" s="15"/>
      <c r="F3524" s="15"/>
      <c r="G3524" s="15"/>
      <c r="H3524" s="15"/>
      <c r="I3524" s="15"/>
      <c r="J3524" s="15"/>
      <c r="K3524" s="15"/>
      <c r="L3524" s="28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  <c r="AA3524" s="15"/>
      <c r="AB3524" s="15"/>
      <c r="AC3524" s="15"/>
      <c r="AD3524" s="15"/>
      <c r="AE3524" s="15"/>
      <c r="AF3524" s="15"/>
      <c r="AG3524" s="15"/>
      <c r="AH3524" s="15"/>
      <c r="AI3524" s="15"/>
      <c r="AJ3524" s="15"/>
      <c r="AK3524" s="15"/>
      <c r="AL3524" s="15"/>
      <c r="AM3524" s="15"/>
      <c r="AN3524" s="15"/>
      <c r="AO3524" s="15"/>
      <c r="AP3524" s="15"/>
      <c r="AQ3524" s="15"/>
      <c r="AR3524" s="15"/>
      <c r="AS3524" s="15"/>
      <c r="AT3524" s="15"/>
      <c r="AU3524" s="15"/>
      <c r="AV3524" s="15"/>
      <c r="AW3524" s="15"/>
    </row>
    <row r="3525" spans="3:49" x14ac:dyDescent="0.2">
      <c r="C3525" s="15"/>
      <c r="D3525" s="15"/>
      <c r="E3525" s="15"/>
      <c r="F3525" s="15"/>
      <c r="G3525" s="15"/>
      <c r="H3525" s="15"/>
      <c r="I3525" s="15"/>
      <c r="J3525" s="15"/>
      <c r="K3525" s="15"/>
      <c r="L3525" s="28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  <c r="AA3525" s="15"/>
      <c r="AB3525" s="15"/>
      <c r="AC3525" s="15"/>
      <c r="AD3525" s="15"/>
      <c r="AE3525" s="15"/>
      <c r="AF3525" s="15"/>
      <c r="AG3525" s="15"/>
      <c r="AH3525" s="15"/>
      <c r="AI3525" s="15"/>
      <c r="AJ3525" s="15"/>
      <c r="AK3525" s="15"/>
      <c r="AL3525" s="15"/>
      <c r="AM3525" s="15"/>
      <c r="AN3525" s="15"/>
      <c r="AO3525" s="15"/>
      <c r="AP3525" s="15"/>
      <c r="AQ3525" s="15"/>
      <c r="AR3525" s="15"/>
      <c r="AS3525" s="15"/>
      <c r="AT3525" s="15"/>
      <c r="AU3525" s="15"/>
      <c r="AV3525" s="15"/>
      <c r="AW3525" s="15"/>
    </row>
    <row r="3526" spans="3:49" x14ac:dyDescent="0.2">
      <c r="C3526" s="15"/>
      <c r="D3526" s="15"/>
      <c r="E3526" s="15"/>
      <c r="F3526" s="15"/>
      <c r="G3526" s="15"/>
      <c r="H3526" s="15"/>
      <c r="I3526" s="15"/>
      <c r="J3526" s="15"/>
      <c r="K3526" s="15"/>
      <c r="L3526" s="28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  <c r="AA3526" s="15"/>
      <c r="AB3526" s="15"/>
      <c r="AC3526" s="15"/>
      <c r="AD3526" s="15"/>
      <c r="AE3526" s="15"/>
      <c r="AF3526" s="15"/>
      <c r="AG3526" s="15"/>
      <c r="AH3526" s="15"/>
      <c r="AI3526" s="15"/>
      <c r="AJ3526" s="15"/>
      <c r="AK3526" s="15"/>
      <c r="AL3526" s="15"/>
      <c r="AM3526" s="15"/>
      <c r="AN3526" s="15"/>
      <c r="AO3526" s="15"/>
      <c r="AP3526" s="15"/>
      <c r="AQ3526" s="15"/>
      <c r="AR3526" s="15"/>
      <c r="AS3526" s="15"/>
      <c r="AT3526" s="15"/>
      <c r="AU3526" s="15"/>
      <c r="AV3526" s="15"/>
      <c r="AW3526" s="15"/>
    </row>
    <row r="3527" spans="3:49" x14ac:dyDescent="0.2">
      <c r="C3527" s="15"/>
      <c r="D3527" s="15"/>
      <c r="E3527" s="15"/>
      <c r="F3527" s="15"/>
      <c r="G3527" s="15"/>
      <c r="H3527" s="15"/>
      <c r="I3527" s="15"/>
      <c r="J3527" s="15"/>
      <c r="K3527" s="15"/>
      <c r="L3527" s="28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  <c r="AA3527" s="15"/>
      <c r="AB3527" s="15"/>
      <c r="AC3527" s="15"/>
      <c r="AD3527" s="15"/>
      <c r="AE3527" s="15"/>
      <c r="AF3527" s="15"/>
      <c r="AG3527" s="15"/>
      <c r="AH3527" s="15"/>
      <c r="AI3527" s="15"/>
      <c r="AJ3527" s="15"/>
      <c r="AK3527" s="15"/>
      <c r="AL3527" s="15"/>
      <c r="AM3527" s="15"/>
      <c r="AN3527" s="15"/>
      <c r="AO3527" s="15"/>
      <c r="AP3527" s="15"/>
      <c r="AQ3527" s="15"/>
      <c r="AR3527" s="15"/>
      <c r="AS3527" s="15"/>
      <c r="AT3527" s="15"/>
      <c r="AU3527" s="15"/>
      <c r="AV3527" s="15"/>
      <c r="AW3527" s="15"/>
    </row>
    <row r="3528" spans="3:49" x14ac:dyDescent="0.2">
      <c r="C3528" s="15"/>
      <c r="D3528" s="15"/>
      <c r="E3528" s="15"/>
      <c r="F3528" s="15"/>
      <c r="G3528" s="15"/>
      <c r="H3528" s="15"/>
      <c r="I3528" s="15"/>
      <c r="J3528" s="15"/>
      <c r="K3528" s="15"/>
      <c r="L3528" s="28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  <c r="AA3528" s="15"/>
      <c r="AB3528" s="15"/>
      <c r="AC3528" s="15"/>
      <c r="AD3528" s="15"/>
      <c r="AE3528" s="15"/>
      <c r="AF3528" s="15"/>
      <c r="AG3528" s="15"/>
      <c r="AH3528" s="15"/>
      <c r="AI3528" s="15"/>
      <c r="AJ3528" s="15"/>
      <c r="AK3528" s="15"/>
      <c r="AL3528" s="15"/>
      <c r="AM3528" s="15"/>
      <c r="AN3528" s="15"/>
      <c r="AO3528" s="15"/>
      <c r="AP3528" s="15"/>
      <c r="AQ3528" s="15"/>
      <c r="AR3528" s="15"/>
      <c r="AS3528" s="15"/>
      <c r="AT3528" s="15"/>
      <c r="AU3528" s="15"/>
      <c r="AV3528" s="15"/>
      <c r="AW3528" s="15"/>
    </row>
    <row r="3529" spans="3:49" x14ac:dyDescent="0.2">
      <c r="C3529" s="15"/>
      <c r="D3529" s="15"/>
      <c r="E3529" s="15"/>
      <c r="F3529" s="15"/>
      <c r="G3529" s="15"/>
      <c r="H3529" s="15"/>
      <c r="I3529" s="15"/>
      <c r="J3529" s="15"/>
      <c r="K3529" s="15"/>
      <c r="L3529" s="28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  <c r="AA3529" s="15"/>
      <c r="AB3529" s="15"/>
      <c r="AC3529" s="15"/>
      <c r="AD3529" s="15"/>
      <c r="AE3529" s="15"/>
      <c r="AF3529" s="15"/>
      <c r="AG3529" s="15"/>
      <c r="AH3529" s="15"/>
      <c r="AI3529" s="15"/>
      <c r="AJ3529" s="15"/>
      <c r="AK3529" s="15"/>
      <c r="AL3529" s="15"/>
      <c r="AM3529" s="15"/>
      <c r="AN3529" s="15"/>
      <c r="AO3529" s="15"/>
      <c r="AP3529" s="15"/>
      <c r="AQ3529" s="15"/>
      <c r="AR3529" s="15"/>
      <c r="AS3529" s="15"/>
      <c r="AT3529" s="15"/>
      <c r="AU3529" s="15"/>
      <c r="AV3529" s="15"/>
      <c r="AW3529" s="15"/>
    </row>
    <row r="3530" spans="3:49" x14ac:dyDescent="0.2">
      <c r="C3530" s="15"/>
      <c r="D3530" s="15"/>
      <c r="E3530" s="15"/>
      <c r="F3530" s="15"/>
      <c r="G3530" s="15"/>
      <c r="H3530" s="15"/>
      <c r="I3530" s="15"/>
      <c r="J3530" s="15"/>
      <c r="K3530" s="15"/>
      <c r="L3530" s="28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  <c r="AA3530" s="15"/>
      <c r="AB3530" s="15"/>
      <c r="AC3530" s="15"/>
      <c r="AD3530" s="15"/>
      <c r="AE3530" s="15"/>
      <c r="AF3530" s="15"/>
      <c r="AG3530" s="15"/>
      <c r="AH3530" s="15"/>
      <c r="AI3530" s="15"/>
      <c r="AJ3530" s="15"/>
      <c r="AK3530" s="15"/>
      <c r="AL3530" s="15"/>
      <c r="AM3530" s="15"/>
      <c r="AN3530" s="15"/>
      <c r="AO3530" s="15"/>
      <c r="AP3530" s="15"/>
      <c r="AQ3530" s="15"/>
      <c r="AR3530" s="15"/>
      <c r="AS3530" s="15"/>
      <c r="AT3530" s="15"/>
      <c r="AU3530" s="15"/>
      <c r="AV3530" s="15"/>
      <c r="AW3530" s="15"/>
    </row>
    <row r="3531" spans="3:49" x14ac:dyDescent="0.2">
      <c r="C3531" s="15"/>
      <c r="D3531" s="15"/>
      <c r="E3531" s="15"/>
      <c r="F3531" s="15"/>
      <c r="G3531" s="15"/>
      <c r="H3531" s="15"/>
      <c r="I3531" s="15"/>
      <c r="J3531" s="15"/>
      <c r="K3531" s="15"/>
      <c r="L3531" s="28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  <c r="AA3531" s="15"/>
      <c r="AB3531" s="15"/>
      <c r="AC3531" s="15"/>
      <c r="AD3531" s="15"/>
      <c r="AE3531" s="15"/>
      <c r="AF3531" s="15"/>
      <c r="AG3531" s="15"/>
      <c r="AH3531" s="15"/>
      <c r="AI3531" s="15"/>
      <c r="AJ3531" s="15"/>
      <c r="AK3531" s="15"/>
      <c r="AL3531" s="15"/>
      <c r="AM3531" s="15"/>
      <c r="AN3531" s="15"/>
      <c r="AO3531" s="15"/>
      <c r="AP3531" s="15"/>
      <c r="AQ3531" s="15"/>
      <c r="AR3531" s="15"/>
      <c r="AS3531" s="15"/>
      <c r="AT3531" s="15"/>
      <c r="AU3531" s="15"/>
      <c r="AV3531" s="15"/>
      <c r="AW3531" s="15"/>
    </row>
    <row r="3532" spans="3:49" x14ac:dyDescent="0.2">
      <c r="C3532" s="15"/>
      <c r="D3532" s="15"/>
      <c r="E3532" s="15"/>
      <c r="F3532" s="15"/>
      <c r="G3532" s="15"/>
      <c r="H3532" s="15"/>
      <c r="I3532" s="15"/>
      <c r="J3532" s="15"/>
      <c r="K3532" s="15"/>
      <c r="L3532" s="28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  <c r="AA3532" s="15"/>
      <c r="AB3532" s="15"/>
      <c r="AC3532" s="15"/>
      <c r="AD3532" s="15"/>
      <c r="AE3532" s="15"/>
      <c r="AF3532" s="15"/>
      <c r="AG3532" s="15"/>
      <c r="AH3532" s="15"/>
      <c r="AI3532" s="15"/>
      <c r="AJ3532" s="15"/>
      <c r="AK3532" s="15"/>
      <c r="AL3532" s="15"/>
      <c r="AM3532" s="15"/>
      <c r="AN3532" s="15"/>
      <c r="AO3532" s="15"/>
      <c r="AP3532" s="15"/>
      <c r="AQ3532" s="15"/>
      <c r="AR3532" s="15"/>
      <c r="AS3532" s="15"/>
      <c r="AT3532" s="15"/>
      <c r="AU3532" s="15"/>
      <c r="AV3532" s="15"/>
      <c r="AW3532" s="15"/>
    </row>
    <row r="3533" spans="3:49" x14ac:dyDescent="0.2">
      <c r="C3533" s="15"/>
      <c r="D3533" s="15"/>
      <c r="E3533" s="15"/>
      <c r="F3533" s="15"/>
      <c r="G3533" s="15"/>
      <c r="H3533" s="15"/>
      <c r="I3533" s="15"/>
      <c r="J3533" s="15"/>
      <c r="K3533" s="15"/>
      <c r="L3533" s="28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  <c r="AA3533" s="15"/>
      <c r="AB3533" s="15"/>
      <c r="AC3533" s="15"/>
      <c r="AD3533" s="15"/>
      <c r="AE3533" s="15"/>
      <c r="AF3533" s="15"/>
      <c r="AG3533" s="15"/>
      <c r="AH3533" s="15"/>
      <c r="AI3533" s="15"/>
      <c r="AJ3533" s="15"/>
      <c r="AK3533" s="15"/>
      <c r="AL3533" s="15"/>
      <c r="AM3533" s="15"/>
      <c r="AN3533" s="15"/>
      <c r="AO3533" s="15"/>
      <c r="AP3533" s="15"/>
      <c r="AQ3533" s="15"/>
      <c r="AR3533" s="15"/>
      <c r="AS3533" s="15"/>
      <c r="AT3533" s="15"/>
      <c r="AU3533" s="15"/>
      <c r="AV3533" s="15"/>
      <c r="AW3533" s="15"/>
    </row>
    <row r="3534" spans="3:49" x14ac:dyDescent="0.2">
      <c r="C3534" s="15"/>
      <c r="D3534" s="15"/>
      <c r="E3534" s="15"/>
      <c r="F3534" s="15"/>
      <c r="G3534" s="15"/>
      <c r="H3534" s="15"/>
      <c r="I3534" s="15"/>
      <c r="J3534" s="15"/>
      <c r="K3534" s="15"/>
      <c r="L3534" s="28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  <c r="AA3534" s="15"/>
      <c r="AB3534" s="15"/>
      <c r="AC3534" s="15"/>
      <c r="AD3534" s="15"/>
      <c r="AE3534" s="15"/>
      <c r="AF3534" s="15"/>
      <c r="AG3534" s="15"/>
      <c r="AH3534" s="15"/>
      <c r="AI3534" s="15"/>
      <c r="AJ3534" s="15"/>
      <c r="AK3534" s="15"/>
      <c r="AL3534" s="15"/>
      <c r="AM3534" s="15"/>
      <c r="AN3534" s="15"/>
      <c r="AO3534" s="15"/>
      <c r="AP3534" s="15"/>
      <c r="AQ3534" s="15"/>
      <c r="AR3534" s="15"/>
      <c r="AS3534" s="15"/>
      <c r="AT3534" s="15"/>
      <c r="AU3534" s="15"/>
      <c r="AV3534" s="15"/>
      <c r="AW3534" s="15"/>
    </row>
    <row r="3535" spans="3:49" x14ac:dyDescent="0.2">
      <c r="C3535" s="15"/>
      <c r="D3535" s="15"/>
      <c r="E3535" s="15"/>
      <c r="F3535" s="15"/>
      <c r="G3535" s="15"/>
      <c r="H3535" s="15"/>
      <c r="I3535" s="15"/>
      <c r="J3535" s="15"/>
      <c r="K3535" s="15"/>
      <c r="L3535" s="28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  <c r="AA3535" s="15"/>
      <c r="AB3535" s="15"/>
      <c r="AC3535" s="15"/>
      <c r="AD3535" s="15"/>
      <c r="AE3535" s="15"/>
      <c r="AF3535" s="15"/>
      <c r="AG3535" s="15"/>
      <c r="AH3535" s="15"/>
      <c r="AI3535" s="15"/>
      <c r="AJ3535" s="15"/>
      <c r="AK3535" s="15"/>
      <c r="AL3535" s="15"/>
      <c r="AM3535" s="15"/>
      <c r="AN3535" s="15"/>
      <c r="AO3535" s="15"/>
      <c r="AP3535" s="15"/>
      <c r="AQ3535" s="15"/>
      <c r="AR3535" s="15"/>
      <c r="AS3535" s="15"/>
      <c r="AT3535" s="15"/>
      <c r="AU3535" s="15"/>
      <c r="AV3535" s="15"/>
      <c r="AW3535" s="15"/>
    </row>
    <row r="3536" spans="3:49" x14ac:dyDescent="0.2">
      <c r="C3536" s="15"/>
      <c r="D3536" s="15"/>
      <c r="E3536" s="15"/>
      <c r="F3536" s="15"/>
      <c r="G3536" s="15"/>
      <c r="H3536" s="15"/>
      <c r="I3536" s="15"/>
      <c r="J3536" s="15"/>
      <c r="K3536" s="15"/>
      <c r="L3536" s="28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  <c r="AA3536" s="15"/>
      <c r="AB3536" s="15"/>
      <c r="AC3536" s="15"/>
      <c r="AD3536" s="15"/>
      <c r="AE3536" s="15"/>
      <c r="AF3536" s="15"/>
      <c r="AG3536" s="15"/>
      <c r="AH3536" s="15"/>
      <c r="AI3536" s="15"/>
      <c r="AJ3536" s="15"/>
      <c r="AK3536" s="15"/>
      <c r="AL3536" s="15"/>
      <c r="AM3536" s="15"/>
      <c r="AN3536" s="15"/>
      <c r="AO3536" s="15"/>
      <c r="AP3536" s="15"/>
      <c r="AQ3536" s="15"/>
      <c r="AR3536" s="15"/>
      <c r="AS3536" s="15"/>
      <c r="AT3536" s="15"/>
      <c r="AU3536" s="15"/>
      <c r="AV3536" s="15"/>
      <c r="AW3536" s="15"/>
    </row>
    <row r="3537" spans="3:49" x14ac:dyDescent="0.2">
      <c r="C3537" s="15"/>
      <c r="D3537" s="15"/>
      <c r="E3537" s="15"/>
      <c r="F3537" s="15"/>
      <c r="G3537" s="15"/>
      <c r="H3537" s="15"/>
      <c r="I3537" s="15"/>
      <c r="J3537" s="15"/>
      <c r="K3537" s="15"/>
      <c r="L3537" s="28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  <c r="AA3537" s="15"/>
      <c r="AB3537" s="15"/>
      <c r="AC3537" s="15"/>
      <c r="AD3537" s="15"/>
      <c r="AE3537" s="15"/>
      <c r="AF3537" s="15"/>
      <c r="AG3537" s="15"/>
      <c r="AH3537" s="15"/>
      <c r="AI3537" s="15"/>
      <c r="AJ3537" s="15"/>
      <c r="AK3537" s="15"/>
      <c r="AL3537" s="15"/>
      <c r="AM3537" s="15"/>
      <c r="AN3537" s="15"/>
      <c r="AO3537" s="15"/>
      <c r="AP3537" s="15"/>
      <c r="AQ3537" s="15"/>
      <c r="AR3537" s="15"/>
      <c r="AS3537" s="15"/>
      <c r="AT3537" s="15"/>
      <c r="AU3537" s="15"/>
      <c r="AV3537" s="15"/>
      <c r="AW3537" s="15"/>
    </row>
    <row r="3538" spans="3:49" x14ac:dyDescent="0.2">
      <c r="C3538" s="15"/>
      <c r="D3538" s="15"/>
      <c r="E3538" s="15"/>
      <c r="F3538" s="15"/>
      <c r="G3538" s="15"/>
      <c r="H3538" s="15"/>
      <c r="I3538" s="15"/>
      <c r="J3538" s="15"/>
      <c r="K3538" s="15"/>
      <c r="L3538" s="28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  <c r="AA3538" s="15"/>
      <c r="AB3538" s="15"/>
      <c r="AC3538" s="15"/>
      <c r="AD3538" s="15"/>
      <c r="AE3538" s="15"/>
      <c r="AF3538" s="15"/>
      <c r="AG3538" s="15"/>
      <c r="AH3538" s="15"/>
      <c r="AI3538" s="15"/>
      <c r="AJ3538" s="15"/>
      <c r="AK3538" s="15"/>
      <c r="AL3538" s="15"/>
      <c r="AM3538" s="15"/>
      <c r="AN3538" s="15"/>
      <c r="AO3538" s="15"/>
      <c r="AP3538" s="15"/>
      <c r="AQ3538" s="15"/>
      <c r="AR3538" s="15"/>
      <c r="AS3538" s="15"/>
      <c r="AT3538" s="15"/>
      <c r="AU3538" s="15"/>
      <c r="AV3538" s="15"/>
      <c r="AW3538" s="15"/>
    </row>
    <row r="3539" spans="3:49" x14ac:dyDescent="0.2">
      <c r="C3539" s="15"/>
      <c r="D3539" s="15"/>
      <c r="E3539" s="15"/>
      <c r="F3539" s="15"/>
      <c r="G3539" s="15"/>
      <c r="H3539" s="15"/>
      <c r="I3539" s="15"/>
      <c r="J3539" s="15"/>
      <c r="K3539" s="15"/>
      <c r="L3539" s="28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  <c r="AA3539" s="15"/>
      <c r="AB3539" s="15"/>
      <c r="AC3539" s="15"/>
      <c r="AD3539" s="15"/>
      <c r="AE3539" s="15"/>
      <c r="AF3539" s="15"/>
      <c r="AG3539" s="15"/>
      <c r="AH3539" s="15"/>
      <c r="AI3539" s="15"/>
      <c r="AJ3539" s="15"/>
      <c r="AK3539" s="15"/>
      <c r="AL3539" s="15"/>
      <c r="AM3539" s="15"/>
      <c r="AN3539" s="15"/>
      <c r="AO3539" s="15"/>
      <c r="AP3539" s="15"/>
      <c r="AQ3539" s="15"/>
      <c r="AR3539" s="15"/>
      <c r="AS3539" s="15"/>
      <c r="AT3539" s="15"/>
      <c r="AU3539" s="15"/>
      <c r="AV3539" s="15"/>
      <c r="AW3539" s="15"/>
    </row>
    <row r="3540" spans="3:49" x14ac:dyDescent="0.2">
      <c r="C3540" s="15"/>
      <c r="D3540" s="15"/>
      <c r="E3540" s="15"/>
      <c r="F3540" s="15"/>
      <c r="G3540" s="15"/>
      <c r="H3540" s="15"/>
      <c r="I3540" s="15"/>
      <c r="J3540" s="15"/>
      <c r="K3540" s="15"/>
      <c r="L3540" s="28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  <c r="AA3540" s="15"/>
      <c r="AB3540" s="15"/>
      <c r="AC3540" s="15"/>
      <c r="AD3540" s="15"/>
      <c r="AE3540" s="15"/>
      <c r="AF3540" s="15"/>
      <c r="AG3540" s="15"/>
      <c r="AH3540" s="15"/>
      <c r="AI3540" s="15"/>
      <c r="AJ3540" s="15"/>
      <c r="AK3540" s="15"/>
      <c r="AL3540" s="15"/>
      <c r="AM3540" s="15"/>
      <c r="AN3540" s="15"/>
      <c r="AO3540" s="15"/>
      <c r="AP3540" s="15"/>
      <c r="AQ3540" s="15"/>
      <c r="AR3540" s="15"/>
      <c r="AS3540" s="15"/>
      <c r="AT3540" s="15"/>
      <c r="AU3540" s="15"/>
      <c r="AV3540" s="15"/>
      <c r="AW3540" s="15"/>
    </row>
    <row r="3541" spans="3:49" x14ac:dyDescent="0.2">
      <c r="C3541" s="15"/>
      <c r="D3541" s="15"/>
      <c r="E3541" s="15"/>
      <c r="F3541" s="15"/>
      <c r="G3541" s="15"/>
      <c r="H3541" s="15"/>
      <c r="I3541" s="15"/>
      <c r="J3541" s="15"/>
      <c r="K3541" s="15"/>
      <c r="L3541" s="28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  <c r="AA3541" s="15"/>
      <c r="AB3541" s="15"/>
      <c r="AC3541" s="15"/>
      <c r="AD3541" s="15"/>
      <c r="AE3541" s="15"/>
      <c r="AF3541" s="15"/>
      <c r="AG3541" s="15"/>
      <c r="AH3541" s="15"/>
      <c r="AI3541" s="15"/>
      <c r="AJ3541" s="15"/>
      <c r="AK3541" s="15"/>
      <c r="AL3541" s="15"/>
      <c r="AM3541" s="15"/>
      <c r="AN3541" s="15"/>
      <c r="AO3541" s="15"/>
      <c r="AP3541" s="15"/>
      <c r="AQ3541" s="15"/>
      <c r="AR3541" s="15"/>
      <c r="AS3541" s="15"/>
      <c r="AT3541" s="15"/>
      <c r="AU3541" s="15"/>
      <c r="AV3541" s="15"/>
      <c r="AW3541" s="15"/>
    </row>
    <row r="3542" spans="3:49" x14ac:dyDescent="0.2">
      <c r="C3542" s="15"/>
      <c r="D3542" s="15"/>
      <c r="E3542" s="15"/>
      <c r="F3542" s="15"/>
      <c r="G3542" s="15"/>
      <c r="H3542" s="15"/>
      <c r="I3542" s="15"/>
      <c r="J3542" s="15"/>
      <c r="K3542" s="15"/>
      <c r="L3542" s="28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  <c r="AA3542" s="15"/>
      <c r="AB3542" s="15"/>
      <c r="AC3542" s="15"/>
      <c r="AD3542" s="15"/>
      <c r="AE3542" s="15"/>
      <c r="AF3542" s="15"/>
      <c r="AG3542" s="15"/>
      <c r="AH3542" s="15"/>
      <c r="AI3542" s="15"/>
      <c r="AJ3542" s="15"/>
      <c r="AK3542" s="15"/>
      <c r="AL3542" s="15"/>
      <c r="AM3542" s="15"/>
      <c r="AN3542" s="15"/>
      <c r="AO3542" s="15"/>
      <c r="AP3542" s="15"/>
      <c r="AQ3542" s="15"/>
      <c r="AR3542" s="15"/>
      <c r="AS3542" s="15"/>
      <c r="AT3542" s="15"/>
      <c r="AU3542" s="15"/>
      <c r="AV3542" s="15"/>
      <c r="AW3542" s="15"/>
    </row>
    <row r="3543" spans="3:49" x14ac:dyDescent="0.2">
      <c r="C3543" s="15"/>
      <c r="D3543" s="15"/>
      <c r="E3543" s="15"/>
      <c r="F3543" s="15"/>
      <c r="G3543" s="15"/>
      <c r="H3543" s="15"/>
      <c r="I3543" s="15"/>
      <c r="J3543" s="15"/>
      <c r="K3543" s="15"/>
      <c r="L3543" s="28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  <c r="AA3543" s="15"/>
      <c r="AB3543" s="15"/>
      <c r="AC3543" s="15"/>
      <c r="AD3543" s="15"/>
      <c r="AE3543" s="15"/>
      <c r="AF3543" s="15"/>
      <c r="AG3543" s="15"/>
      <c r="AH3543" s="15"/>
      <c r="AI3543" s="15"/>
      <c r="AJ3543" s="15"/>
      <c r="AK3543" s="15"/>
      <c r="AL3543" s="15"/>
      <c r="AM3543" s="15"/>
      <c r="AN3543" s="15"/>
      <c r="AO3543" s="15"/>
      <c r="AP3543" s="15"/>
      <c r="AQ3543" s="15"/>
      <c r="AR3543" s="15"/>
      <c r="AS3543" s="15"/>
      <c r="AT3543" s="15"/>
      <c r="AU3543" s="15"/>
      <c r="AV3543" s="15"/>
      <c r="AW3543" s="15"/>
    </row>
    <row r="3544" spans="3:49" x14ac:dyDescent="0.2">
      <c r="C3544" s="15"/>
      <c r="D3544" s="15"/>
      <c r="E3544" s="15"/>
      <c r="F3544" s="15"/>
      <c r="G3544" s="15"/>
      <c r="H3544" s="15"/>
      <c r="I3544" s="15"/>
      <c r="J3544" s="15"/>
      <c r="K3544" s="15"/>
      <c r="L3544" s="28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  <c r="AA3544" s="15"/>
      <c r="AB3544" s="15"/>
      <c r="AC3544" s="15"/>
      <c r="AD3544" s="15"/>
      <c r="AE3544" s="15"/>
      <c r="AF3544" s="15"/>
      <c r="AG3544" s="15"/>
      <c r="AH3544" s="15"/>
      <c r="AI3544" s="15"/>
      <c r="AJ3544" s="15"/>
      <c r="AK3544" s="15"/>
      <c r="AL3544" s="15"/>
      <c r="AM3544" s="15"/>
      <c r="AN3544" s="15"/>
      <c r="AO3544" s="15"/>
      <c r="AP3544" s="15"/>
      <c r="AQ3544" s="15"/>
      <c r="AR3544" s="15"/>
      <c r="AS3544" s="15"/>
      <c r="AT3544" s="15"/>
      <c r="AU3544" s="15"/>
      <c r="AV3544" s="15"/>
      <c r="AW3544" s="15"/>
    </row>
    <row r="3545" spans="3:49" x14ac:dyDescent="0.2">
      <c r="C3545" s="15"/>
      <c r="D3545" s="15"/>
      <c r="E3545" s="15"/>
      <c r="F3545" s="15"/>
      <c r="G3545" s="15"/>
      <c r="H3545" s="15"/>
      <c r="I3545" s="15"/>
      <c r="J3545" s="15"/>
      <c r="K3545" s="15"/>
      <c r="L3545" s="28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  <c r="AA3545" s="15"/>
      <c r="AB3545" s="15"/>
      <c r="AC3545" s="15"/>
      <c r="AD3545" s="15"/>
      <c r="AE3545" s="15"/>
      <c r="AF3545" s="15"/>
      <c r="AG3545" s="15"/>
      <c r="AH3545" s="15"/>
      <c r="AI3545" s="15"/>
      <c r="AJ3545" s="15"/>
      <c r="AK3545" s="15"/>
      <c r="AL3545" s="15"/>
      <c r="AM3545" s="15"/>
      <c r="AN3545" s="15"/>
      <c r="AO3545" s="15"/>
      <c r="AP3545" s="15"/>
      <c r="AQ3545" s="15"/>
      <c r="AR3545" s="15"/>
      <c r="AS3545" s="15"/>
      <c r="AT3545" s="15"/>
      <c r="AU3545" s="15"/>
      <c r="AV3545" s="15"/>
      <c r="AW3545" s="15"/>
    </row>
    <row r="3546" spans="3:49" x14ac:dyDescent="0.2">
      <c r="C3546" s="15"/>
      <c r="D3546" s="15"/>
      <c r="E3546" s="15"/>
      <c r="F3546" s="15"/>
      <c r="G3546" s="15"/>
      <c r="H3546" s="15"/>
      <c r="I3546" s="15"/>
      <c r="J3546" s="15"/>
      <c r="K3546" s="15"/>
      <c r="L3546" s="28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  <c r="AA3546" s="15"/>
      <c r="AB3546" s="15"/>
      <c r="AC3546" s="15"/>
      <c r="AD3546" s="15"/>
      <c r="AE3546" s="15"/>
      <c r="AF3546" s="15"/>
      <c r="AG3546" s="15"/>
      <c r="AH3546" s="15"/>
      <c r="AI3546" s="15"/>
      <c r="AJ3546" s="15"/>
      <c r="AK3546" s="15"/>
      <c r="AL3546" s="15"/>
      <c r="AM3546" s="15"/>
      <c r="AN3546" s="15"/>
      <c r="AO3546" s="15"/>
      <c r="AP3546" s="15"/>
      <c r="AQ3546" s="15"/>
      <c r="AR3546" s="15"/>
      <c r="AS3546" s="15"/>
      <c r="AT3546" s="15"/>
      <c r="AU3546" s="15"/>
      <c r="AV3546" s="15"/>
      <c r="AW3546" s="15"/>
    </row>
    <row r="3547" spans="3:49" x14ac:dyDescent="0.2">
      <c r="C3547" s="15"/>
      <c r="D3547" s="15"/>
      <c r="E3547" s="15"/>
      <c r="F3547" s="15"/>
      <c r="G3547" s="15"/>
      <c r="H3547" s="15"/>
      <c r="I3547" s="15"/>
      <c r="J3547" s="15"/>
      <c r="K3547" s="15"/>
      <c r="L3547" s="28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  <c r="AA3547" s="15"/>
      <c r="AB3547" s="15"/>
      <c r="AC3547" s="15"/>
      <c r="AD3547" s="15"/>
      <c r="AE3547" s="15"/>
      <c r="AF3547" s="15"/>
      <c r="AG3547" s="15"/>
      <c r="AH3547" s="15"/>
      <c r="AI3547" s="15"/>
      <c r="AJ3547" s="15"/>
      <c r="AK3547" s="15"/>
      <c r="AL3547" s="15"/>
      <c r="AM3547" s="15"/>
      <c r="AN3547" s="15"/>
      <c r="AO3547" s="15"/>
      <c r="AP3547" s="15"/>
      <c r="AQ3547" s="15"/>
      <c r="AR3547" s="15"/>
      <c r="AS3547" s="15"/>
      <c r="AT3547" s="15"/>
      <c r="AU3547" s="15"/>
      <c r="AV3547" s="15"/>
      <c r="AW3547" s="15"/>
    </row>
    <row r="3548" spans="3:49" x14ac:dyDescent="0.2">
      <c r="C3548" s="15"/>
      <c r="D3548" s="15"/>
      <c r="E3548" s="15"/>
      <c r="F3548" s="15"/>
      <c r="G3548" s="15"/>
      <c r="H3548" s="15"/>
      <c r="I3548" s="15"/>
      <c r="J3548" s="15"/>
      <c r="K3548" s="15"/>
      <c r="L3548" s="28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  <c r="AA3548" s="15"/>
      <c r="AB3548" s="15"/>
      <c r="AC3548" s="15"/>
      <c r="AD3548" s="15"/>
      <c r="AE3548" s="15"/>
      <c r="AF3548" s="15"/>
      <c r="AG3548" s="15"/>
      <c r="AH3548" s="15"/>
      <c r="AI3548" s="15"/>
      <c r="AJ3548" s="15"/>
      <c r="AK3548" s="15"/>
      <c r="AL3548" s="15"/>
      <c r="AM3548" s="15"/>
      <c r="AN3548" s="15"/>
      <c r="AO3548" s="15"/>
      <c r="AP3548" s="15"/>
      <c r="AQ3548" s="15"/>
      <c r="AR3548" s="15"/>
      <c r="AS3548" s="15"/>
      <c r="AT3548" s="15"/>
      <c r="AU3548" s="15"/>
      <c r="AV3548" s="15"/>
      <c r="AW3548" s="15"/>
    </row>
    <row r="3549" spans="3:49" x14ac:dyDescent="0.2">
      <c r="C3549" s="15"/>
      <c r="D3549" s="15"/>
      <c r="E3549" s="15"/>
      <c r="F3549" s="15"/>
      <c r="G3549" s="15"/>
      <c r="H3549" s="15"/>
      <c r="I3549" s="15"/>
      <c r="J3549" s="15"/>
      <c r="K3549" s="15"/>
      <c r="L3549" s="28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  <c r="AA3549" s="15"/>
      <c r="AB3549" s="15"/>
      <c r="AC3549" s="15"/>
      <c r="AD3549" s="15"/>
      <c r="AE3549" s="15"/>
      <c r="AF3549" s="15"/>
      <c r="AG3549" s="15"/>
      <c r="AH3549" s="15"/>
      <c r="AI3549" s="15"/>
      <c r="AJ3549" s="15"/>
      <c r="AK3549" s="15"/>
      <c r="AL3549" s="15"/>
      <c r="AM3549" s="15"/>
      <c r="AN3549" s="15"/>
      <c r="AO3549" s="15"/>
      <c r="AP3549" s="15"/>
      <c r="AQ3549" s="15"/>
      <c r="AR3549" s="15"/>
      <c r="AS3549" s="15"/>
      <c r="AT3549" s="15"/>
      <c r="AU3549" s="15"/>
      <c r="AV3549" s="15"/>
      <c r="AW3549" s="15"/>
    </row>
    <row r="3550" spans="3:49" x14ac:dyDescent="0.2">
      <c r="C3550" s="15"/>
      <c r="D3550" s="15"/>
      <c r="E3550" s="15"/>
      <c r="F3550" s="15"/>
      <c r="G3550" s="15"/>
      <c r="H3550" s="15"/>
      <c r="I3550" s="15"/>
      <c r="J3550" s="15"/>
      <c r="K3550" s="15"/>
      <c r="L3550" s="28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  <c r="AA3550" s="15"/>
      <c r="AB3550" s="15"/>
      <c r="AC3550" s="15"/>
      <c r="AD3550" s="15"/>
      <c r="AE3550" s="15"/>
      <c r="AF3550" s="15"/>
      <c r="AG3550" s="15"/>
      <c r="AH3550" s="15"/>
      <c r="AI3550" s="15"/>
      <c r="AJ3550" s="15"/>
      <c r="AK3550" s="15"/>
      <c r="AL3550" s="15"/>
      <c r="AM3550" s="15"/>
      <c r="AN3550" s="15"/>
      <c r="AO3550" s="15"/>
      <c r="AP3550" s="15"/>
      <c r="AQ3550" s="15"/>
      <c r="AR3550" s="15"/>
      <c r="AS3550" s="15"/>
      <c r="AT3550" s="15"/>
      <c r="AU3550" s="15"/>
      <c r="AV3550" s="15"/>
      <c r="AW3550" s="15"/>
    </row>
    <row r="3551" spans="3:49" x14ac:dyDescent="0.2">
      <c r="C3551" s="15"/>
      <c r="D3551" s="15"/>
      <c r="E3551" s="15"/>
      <c r="F3551" s="15"/>
      <c r="G3551" s="15"/>
      <c r="H3551" s="15"/>
      <c r="I3551" s="15"/>
      <c r="J3551" s="15"/>
      <c r="K3551" s="15"/>
      <c r="L3551" s="28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  <c r="AA3551" s="15"/>
      <c r="AB3551" s="15"/>
      <c r="AC3551" s="15"/>
      <c r="AD3551" s="15"/>
      <c r="AE3551" s="15"/>
      <c r="AF3551" s="15"/>
      <c r="AG3551" s="15"/>
      <c r="AH3551" s="15"/>
      <c r="AI3551" s="15"/>
      <c r="AJ3551" s="15"/>
      <c r="AK3551" s="15"/>
      <c r="AL3551" s="15"/>
      <c r="AM3551" s="15"/>
      <c r="AN3551" s="15"/>
      <c r="AO3551" s="15"/>
      <c r="AP3551" s="15"/>
      <c r="AQ3551" s="15"/>
      <c r="AR3551" s="15"/>
      <c r="AS3551" s="15"/>
      <c r="AT3551" s="15"/>
      <c r="AU3551" s="15"/>
      <c r="AV3551" s="15"/>
      <c r="AW3551" s="15"/>
    </row>
    <row r="3552" spans="3:49" x14ac:dyDescent="0.2">
      <c r="C3552" s="15"/>
      <c r="D3552" s="15"/>
      <c r="E3552" s="15"/>
      <c r="F3552" s="15"/>
      <c r="G3552" s="15"/>
      <c r="H3552" s="15"/>
      <c r="I3552" s="15"/>
      <c r="J3552" s="15"/>
      <c r="K3552" s="15"/>
      <c r="L3552" s="28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  <c r="AA3552" s="15"/>
      <c r="AB3552" s="15"/>
      <c r="AC3552" s="15"/>
      <c r="AD3552" s="15"/>
      <c r="AE3552" s="15"/>
      <c r="AF3552" s="15"/>
      <c r="AG3552" s="15"/>
      <c r="AH3552" s="15"/>
      <c r="AI3552" s="15"/>
      <c r="AJ3552" s="15"/>
      <c r="AK3552" s="15"/>
      <c r="AL3552" s="15"/>
      <c r="AM3552" s="15"/>
      <c r="AN3552" s="15"/>
      <c r="AO3552" s="15"/>
      <c r="AP3552" s="15"/>
      <c r="AQ3552" s="15"/>
      <c r="AR3552" s="15"/>
      <c r="AS3552" s="15"/>
      <c r="AT3552" s="15"/>
      <c r="AU3552" s="15"/>
      <c r="AV3552" s="15"/>
      <c r="AW3552" s="15"/>
    </row>
    <row r="3553" spans="3:49" x14ac:dyDescent="0.2">
      <c r="C3553" s="15"/>
      <c r="D3553" s="15"/>
      <c r="E3553" s="15"/>
      <c r="F3553" s="15"/>
      <c r="G3553" s="15"/>
      <c r="H3553" s="15"/>
      <c r="I3553" s="15"/>
      <c r="J3553" s="15"/>
      <c r="K3553" s="15"/>
      <c r="L3553" s="28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  <c r="AA3553" s="15"/>
      <c r="AB3553" s="15"/>
      <c r="AC3553" s="15"/>
      <c r="AD3553" s="15"/>
      <c r="AE3553" s="15"/>
      <c r="AF3553" s="15"/>
      <c r="AG3553" s="15"/>
      <c r="AH3553" s="15"/>
      <c r="AI3553" s="15"/>
      <c r="AJ3553" s="15"/>
      <c r="AK3553" s="15"/>
      <c r="AL3553" s="15"/>
      <c r="AM3553" s="15"/>
      <c r="AN3553" s="15"/>
      <c r="AO3553" s="15"/>
      <c r="AP3553" s="15"/>
      <c r="AQ3553" s="15"/>
      <c r="AR3553" s="15"/>
      <c r="AS3553" s="15"/>
      <c r="AT3553" s="15"/>
      <c r="AU3553" s="15"/>
      <c r="AV3553" s="15"/>
      <c r="AW3553" s="15"/>
    </row>
    <row r="3554" spans="3:49" x14ac:dyDescent="0.2">
      <c r="C3554" s="15"/>
      <c r="D3554" s="15"/>
      <c r="E3554" s="15"/>
      <c r="F3554" s="15"/>
      <c r="G3554" s="15"/>
      <c r="H3554" s="15"/>
      <c r="I3554" s="15"/>
      <c r="J3554" s="15"/>
      <c r="K3554" s="15"/>
      <c r="L3554" s="28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  <c r="AA3554" s="15"/>
      <c r="AB3554" s="15"/>
      <c r="AC3554" s="15"/>
      <c r="AD3554" s="15"/>
      <c r="AE3554" s="15"/>
      <c r="AF3554" s="15"/>
      <c r="AG3554" s="15"/>
      <c r="AH3554" s="15"/>
      <c r="AI3554" s="15"/>
      <c r="AJ3554" s="15"/>
      <c r="AK3554" s="15"/>
      <c r="AL3554" s="15"/>
      <c r="AM3554" s="15"/>
      <c r="AN3554" s="15"/>
      <c r="AO3554" s="15"/>
      <c r="AP3554" s="15"/>
      <c r="AQ3554" s="15"/>
      <c r="AR3554" s="15"/>
      <c r="AS3554" s="15"/>
      <c r="AT3554" s="15"/>
      <c r="AU3554" s="15"/>
      <c r="AV3554" s="15"/>
      <c r="AW3554" s="15"/>
    </row>
    <row r="3555" spans="3:49" x14ac:dyDescent="0.2">
      <c r="C3555" s="15"/>
      <c r="D3555" s="15"/>
      <c r="E3555" s="15"/>
      <c r="F3555" s="15"/>
      <c r="G3555" s="15"/>
      <c r="H3555" s="15"/>
      <c r="I3555" s="15"/>
      <c r="J3555" s="15"/>
      <c r="K3555" s="15"/>
      <c r="L3555" s="28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  <c r="AA3555" s="15"/>
      <c r="AB3555" s="15"/>
      <c r="AC3555" s="15"/>
      <c r="AD3555" s="15"/>
      <c r="AE3555" s="15"/>
      <c r="AF3555" s="15"/>
      <c r="AG3555" s="15"/>
      <c r="AH3555" s="15"/>
      <c r="AI3555" s="15"/>
      <c r="AJ3555" s="15"/>
      <c r="AK3555" s="15"/>
      <c r="AL3555" s="15"/>
      <c r="AM3555" s="15"/>
      <c r="AN3555" s="15"/>
      <c r="AO3555" s="15"/>
      <c r="AP3555" s="15"/>
      <c r="AQ3555" s="15"/>
      <c r="AR3555" s="15"/>
      <c r="AS3555" s="15"/>
      <c r="AT3555" s="15"/>
      <c r="AU3555" s="15"/>
      <c r="AV3555" s="15"/>
      <c r="AW3555" s="15"/>
    </row>
    <row r="3556" spans="3:49" x14ac:dyDescent="0.2">
      <c r="C3556" s="15"/>
      <c r="D3556" s="15"/>
      <c r="E3556" s="15"/>
      <c r="F3556" s="15"/>
      <c r="G3556" s="15"/>
      <c r="H3556" s="15"/>
      <c r="I3556" s="15"/>
      <c r="J3556" s="15"/>
      <c r="K3556" s="15"/>
      <c r="L3556" s="28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  <c r="AA3556" s="15"/>
      <c r="AB3556" s="15"/>
      <c r="AC3556" s="15"/>
      <c r="AD3556" s="15"/>
      <c r="AE3556" s="15"/>
      <c r="AF3556" s="15"/>
      <c r="AG3556" s="15"/>
      <c r="AH3556" s="15"/>
      <c r="AI3556" s="15"/>
      <c r="AJ3556" s="15"/>
      <c r="AK3556" s="15"/>
      <c r="AL3556" s="15"/>
      <c r="AM3556" s="15"/>
      <c r="AN3556" s="15"/>
      <c r="AO3556" s="15"/>
      <c r="AP3556" s="15"/>
      <c r="AQ3556" s="15"/>
      <c r="AR3556" s="15"/>
      <c r="AS3556" s="15"/>
      <c r="AT3556" s="15"/>
      <c r="AU3556" s="15"/>
      <c r="AV3556" s="15"/>
      <c r="AW3556" s="15"/>
    </row>
    <row r="3557" spans="3:49" x14ac:dyDescent="0.2">
      <c r="C3557" s="15"/>
      <c r="D3557" s="15"/>
      <c r="E3557" s="15"/>
      <c r="F3557" s="15"/>
      <c r="G3557" s="15"/>
      <c r="H3557" s="15"/>
      <c r="I3557" s="15"/>
      <c r="J3557" s="15"/>
      <c r="K3557" s="15"/>
      <c r="L3557" s="28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  <c r="AA3557" s="15"/>
      <c r="AB3557" s="15"/>
      <c r="AC3557" s="15"/>
      <c r="AD3557" s="15"/>
      <c r="AE3557" s="15"/>
      <c r="AF3557" s="15"/>
      <c r="AG3557" s="15"/>
      <c r="AH3557" s="15"/>
      <c r="AI3557" s="15"/>
      <c r="AJ3557" s="15"/>
      <c r="AK3557" s="15"/>
      <c r="AL3557" s="15"/>
      <c r="AM3557" s="15"/>
      <c r="AN3557" s="15"/>
      <c r="AO3557" s="15"/>
      <c r="AP3557" s="15"/>
      <c r="AQ3557" s="15"/>
      <c r="AR3557" s="15"/>
      <c r="AS3557" s="15"/>
      <c r="AT3557" s="15"/>
      <c r="AU3557" s="15"/>
      <c r="AV3557" s="15"/>
      <c r="AW3557" s="15"/>
    </row>
    <row r="3558" spans="3:49" x14ac:dyDescent="0.2">
      <c r="C3558" s="15"/>
      <c r="D3558" s="15"/>
      <c r="E3558" s="15"/>
      <c r="F3558" s="15"/>
      <c r="G3558" s="15"/>
      <c r="H3558" s="15"/>
      <c r="I3558" s="15"/>
      <c r="J3558" s="15"/>
      <c r="K3558" s="15"/>
      <c r="L3558" s="28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  <c r="AA3558" s="15"/>
      <c r="AB3558" s="15"/>
      <c r="AC3558" s="15"/>
      <c r="AD3558" s="15"/>
      <c r="AE3558" s="15"/>
      <c r="AF3558" s="15"/>
      <c r="AG3558" s="15"/>
      <c r="AH3558" s="15"/>
      <c r="AI3558" s="15"/>
      <c r="AJ3558" s="15"/>
      <c r="AK3558" s="15"/>
      <c r="AL3558" s="15"/>
      <c r="AM3558" s="15"/>
      <c r="AN3558" s="15"/>
      <c r="AO3558" s="15"/>
      <c r="AP3558" s="15"/>
      <c r="AQ3558" s="15"/>
      <c r="AR3558" s="15"/>
      <c r="AS3558" s="15"/>
      <c r="AT3558" s="15"/>
      <c r="AU3558" s="15"/>
      <c r="AV3558" s="15"/>
      <c r="AW3558" s="15"/>
    </row>
    <row r="3559" spans="3:49" x14ac:dyDescent="0.2">
      <c r="C3559" s="15"/>
      <c r="D3559" s="15"/>
      <c r="E3559" s="15"/>
      <c r="F3559" s="15"/>
      <c r="G3559" s="15"/>
      <c r="H3559" s="15"/>
      <c r="I3559" s="15"/>
      <c r="J3559" s="15"/>
      <c r="K3559" s="15"/>
      <c r="L3559" s="28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  <c r="AA3559" s="15"/>
      <c r="AB3559" s="15"/>
      <c r="AC3559" s="15"/>
      <c r="AD3559" s="15"/>
      <c r="AE3559" s="15"/>
      <c r="AF3559" s="15"/>
      <c r="AG3559" s="15"/>
      <c r="AH3559" s="15"/>
      <c r="AI3559" s="15"/>
      <c r="AJ3559" s="15"/>
      <c r="AK3559" s="15"/>
      <c r="AL3559" s="15"/>
      <c r="AM3559" s="15"/>
      <c r="AN3559" s="15"/>
      <c r="AO3559" s="15"/>
      <c r="AP3559" s="15"/>
      <c r="AQ3559" s="15"/>
      <c r="AR3559" s="15"/>
      <c r="AS3559" s="15"/>
      <c r="AT3559" s="15"/>
      <c r="AU3559" s="15"/>
      <c r="AV3559" s="15"/>
      <c r="AW3559" s="15"/>
    </row>
    <row r="3560" spans="3:49" x14ac:dyDescent="0.2">
      <c r="C3560" s="15"/>
      <c r="D3560" s="15"/>
      <c r="E3560" s="15"/>
      <c r="F3560" s="15"/>
      <c r="G3560" s="15"/>
      <c r="H3560" s="15"/>
      <c r="I3560" s="15"/>
      <c r="J3560" s="15"/>
      <c r="K3560" s="15"/>
      <c r="L3560" s="28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  <c r="AA3560" s="15"/>
      <c r="AB3560" s="15"/>
      <c r="AC3560" s="15"/>
      <c r="AD3560" s="15"/>
      <c r="AE3560" s="15"/>
      <c r="AF3560" s="15"/>
      <c r="AG3560" s="15"/>
      <c r="AH3560" s="15"/>
      <c r="AI3560" s="15"/>
      <c r="AJ3560" s="15"/>
      <c r="AK3560" s="15"/>
      <c r="AL3560" s="15"/>
      <c r="AM3560" s="15"/>
      <c r="AN3560" s="15"/>
      <c r="AO3560" s="15"/>
      <c r="AP3560" s="15"/>
      <c r="AQ3560" s="15"/>
      <c r="AR3560" s="15"/>
      <c r="AS3560" s="15"/>
      <c r="AT3560" s="15"/>
      <c r="AU3560" s="15"/>
      <c r="AV3560" s="15"/>
      <c r="AW3560" s="15"/>
    </row>
    <row r="3561" spans="3:49" x14ac:dyDescent="0.2">
      <c r="C3561" s="15"/>
      <c r="D3561" s="15"/>
      <c r="E3561" s="15"/>
      <c r="F3561" s="15"/>
      <c r="G3561" s="15"/>
      <c r="H3561" s="15"/>
      <c r="I3561" s="15"/>
      <c r="J3561" s="15"/>
      <c r="K3561" s="15"/>
      <c r="L3561" s="28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  <c r="AA3561" s="15"/>
      <c r="AB3561" s="15"/>
      <c r="AC3561" s="15"/>
      <c r="AD3561" s="15"/>
      <c r="AE3561" s="15"/>
      <c r="AF3561" s="15"/>
      <c r="AG3561" s="15"/>
      <c r="AH3561" s="15"/>
      <c r="AI3561" s="15"/>
      <c r="AJ3561" s="15"/>
      <c r="AK3561" s="15"/>
      <c r="AL3561" s="15"/>
      <c r="AM3561" s="15"/>
      <c r="AN3561" s="15"/>
      <c r="AO3561" s="15"/>
      <c r="AP3561" s="15"/>
      <c r="AQ3561" s="15"/>
      <c r="AR3561" s="15"/>
      <c r="AS3561" s="15"/>
      <c r="AT3561" s="15"/>
      <c r="AU3561" s="15"/>
      <c r="AV3561" s="15"/>
      <c r="AW3561" s="15"/>
    </row>
    <row r="3562" spans="3:49" x14ac:dyDescent="0.2">
      <c r="C3562" s="15"/>
      <c r="D3562" s="15"/>
      <c r="E3562" s="15"/>
      <c r="F3562" s="15"/>
      <c r="G3562" s="15"/>
      <c r="H3562" s="15"/>
      <c r="I3562" s="15"/>
      <c r="J3562" s="15"/>
      <c r="K3562" s="15"/>
      <c r="L3562" s="28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  <c r="AA3562" s="15"/>
      <c r="AB3562" s="15"/>
      <c r="AC3562" s="15"/>
      <c r="AD3562" s="15"/>
      <c r="AE3562" s="15"/>
      <c r="AF3562" s="15"/>
      <c r="AG3562" s="15"/>
      <c r="AH3562" s="15"/>
      <c r="AI3562" s="15"/>
      <c r="AJ3562" s="15"/>
      <c r="AK3562" s="15"/>
      <c r="AL3562" s="15"/>
      <c r="AM3562" s="15"/>
      <c r="AN3562" s="15"/>
      <c r="AO3562" s="15"/>
      <c r="AP3562" s="15"/>
      <c r="AQ3562" s="15"/>
      <c r="AR3562" s="15"/>
      <c r="AS3562" s="15"/>
      <c r="AT3562" s="15"/>
      <c r="AU3562" s="15"/>
      <c r="AV3562" s="15"/>
      <c r="AW3562" s="15"/>
    </row>
    <row r="3563" spans="3:49" x14ac:dyDescent="0.2">
      <c r="C3563" s="15"/>
      <c r="D3563" s="15"/>
      <c r="E3563" s="15"/>
      <c r="F3563" s="15"/>
      <c r="G3563" s="15"/>
      <c r="H3563" s="15"/>
      <c r="I3563" s="15"/>
      <c r="J3563" s="15"/>
      <c r="K3563" s="15"/>
      <c r="L3563" s="28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  <c r="AA3563" s="15"/>
      <c r="AB3563" s="15"/>
      <c r="AC3563" s="15"/>
      <c r="AD3563" s="15"/>
      <c r="AE3563" s="15"/>
      <c r="AF3563" s="15"/>
      <c r="AG3563" s="15"/>
      <c r="AH3563" s="15"/>
      <c r="AI3563" s="15"/>
      <c r="AJ3563" s="15"/>
      <c r="AK3563" s="15"/>
      <c r="AL3563" s="15"/>
      <c r="AM3563" s="15"/>
      <c r="AN3563" s="15"/>
      <c r="AO3563" s="15"/>
      <c r="AP3563" s="15"/>
      <c r="AQ3563" s="15"/>
      <c r="AR3563" s="15"/>
      <c r="AS3563" s="15"/>
      <c r="AT3563" s="15"/>
      <c r="AU3563" s="15"/>
      <c r="AV3563" s="15"/>
      <c r="AW3563" s="15"/>
    </row>
    <row r="3564" spans="3:49" x14ac:dyDescent="0.2">
      <c r="C3564" s="15"/>
      <c r="D3564" s="15"/>
      <c r="E3564" s="15"/>
      <c r="F3564" s="15"/>
      <c r="G3564" s="15"/>
      <c r="H3564" s="15"/>
      <c r="I3564" s="15"/>
      <c r="J3564" s="15"/>
      <c r="K3564" s="15"/>
      <c r="L3564" s="28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  <c r="AA3564" s="15"/>
      <c r="AB3564" s="15"/>
      <c r="AC3564" s="15"/>
      <c r="AD3564" s="15"/>
      <c r="AE3564" s="15"/>
      <c r="AF3564" s="15"/>
      <c r="AG3564" s="15"/>
      <c r="AH3564" s="15"/>
      <c r="AI3564" s="15"/>
      <c r="AJ3564" s="15"/>
      <c r="AK3564" s="15"/>
      <c r="AL3564" s="15"/>
      <c r="AM3564" s="15"/>
      <c r="AN3564" s="15"/>
      <c r="AO3564" s="15"/>
      <c r="AP3564" s="15"/>
      <c r="AQ3564" s="15"/>
      <c r="AR3564" s="15"/>
      <c r="AS3564" s="15"/>
      <c r="AT3564" s="15"/>
      <c r="AU3564" s="15"/>
      <c r="AV3564" s="15"/>
      <c r="AW3564" s="15"/>
    </row>
    <row r="3565" spans="3:49" x14ac:dyDescent="0.2">
      <c r="C3565" s="15"/>
      <c r="D3565" s="15"/>
      <c r="E3565" s="15"/>
      <c r="F3565" s="15"/>
      <c r="G3565" s="15"/>
      <c r="H3565" s="15"/>
      <c r="I3565" s="15"/>
      <c r="J3565" s="15"/>
      <c r="K3565" s="15"/>
      <c r="L3565" s="28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  <c r="AA3565" s="15"/>
      <c r="AB3565" s="15"/>
      <c r="AC3565" s="15"/>
      <c r="AD3565" s="15"/>
      <c r="AE3565" s="15"/>
      <c r="AF3565" s="15"/>
      <c r="AG3565" s="15"/>
      <c r="AH3565" s="15"/>
      <c r="AI3565" s="15"/>
      <c r="AJ3565" s="15"/>
      <c r="AK3565" s="15"/>
      <c r="AL3565" s="15"/>
      <c r="AM3565" s="15"/>
      <c r="AN3565" s="15"/>
      <c r="AO3565" s="15"/>
      <c r="AP3565" s="15"/>
      <c r="AQ3565" s="15"/>
      <c r="AR3565" s="15"/>
      <c r="AS3565" s="15"/>
      <c r="AT3565" s="15"/>
      <c r="AU3565" s="15"/>
      <c r="AV3565" s="15"/>
      <c r="AW3565" s="15"/>
    </row>
    <row r="3566" spans="3:49" x14ac:dyDescent="0.2">
      <c r="C3566" s="15"/>
      <c r="D3566" s="15"/>
      <c r="E3566" s="15"/>
      <c r="F3566" s="15"/>
      <c r="G3566" s="15"/>
      <c r="H3566" s="15"/>
      <c r="I3566" s="15"/>
      <c r="J3566" s="15"/>
      <c r="K3566" s="15"/>
      <c r="L3566" s="28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  <c r="AA3566" s="15"/>
      <c r="AB3566" s="15"/>
      <c r="AC3566" s="15"/>
      <c r="AD3566" s="15"/>
      <c r="AE3566" s="15"/>
      <c r="AF3566" s="15"/>
      <c r="AG3566" s="15"/>
      <c r="AH3566" s="15"/>
      <c r="AI3566" s="15"/>
      <c r="AJ3566" s="15"/>
      <c r="AK3566" s="15"/>
      <c r="AL3566" s="15"/>
      <c r="AM3566" s="15"/>
      <c r="AN3566" s="15"/>
      <c r="AO3566" s="15"/>
      <c r="AP3566" s="15"/>
      <c r="AQ3566" s="15"/>
      <c r="AR3566" s="15"/>
      <c r="AS3566" s="15"/>
      <c r="AT3566" s="15"/>
      <c r="AU3566" s="15"/>
      <c r="AV3566" s="15"/>
      <c r="AW3566" s="15"/>
    </row>
    <row r="3567" spans="3:49" x14ac:dyDescent="0.2">
      <c r="C3567" s="15"/>
      <c r="D3567" s="15"/>
      <c r="E3567" s="15"/>
      <c r="F3567" s="15"/>
      <c r="G3567" s="15"/>
      <c r="H3567" s="15"/>
      <c r="I3567" s="15"/>
      <c r="J3567" s="15"/>
      <c r="K3567" s="15"/>
      <c r="L3567" s="28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  <c r="AA3567" s="15"/>
      <c r="AB3567" s="15"/>
      <c r="AC3567" s="15"/>
      <c r="AD3567" s="15"/>
      <c r="AE3567" s="15"/>
      <c r="AF3567" s="15"/>
      <c r="AG3567" s="15"/>
      <c r="AH3567" s="15"/>
      <c r="AI3567" s="15"/>
      <c r="AJ3567" s="15"/>
      <c r="AK3567" s="15"/>
      <c r="AL3567" s="15"/>
      <c r="AM3567" s="15"/>
      <c r="AN3567" s="15"/>
      <c r="AO3567" s="15"/>
      <c r="AP3567" s="15"/>
      <c r="AQ3567" s="15"/>
      <c r="AR3567" s="15"/>
      <c r="AS3567" s="15"/>
      <c r="AT3567" s="15"/>
      <c r="AU3567" s="15"/>
      <c r="AV3567" s="15"/>
      <c r="AW3567" s="15"/>
    </row>
    <row r="3568" spans="3:49" x14ac:dyDescent="0.2">
      <c r="C3568" s="15"/>
      <c r="D3568" s="15"/>
      <c r="E3568" s="15"/>
      <c r="F3568" s="15"/>
      <c r="G3568" s="15"/>
      <c r="H3568" s="15"/>
      <c r="I3568" s="15"/>
      <c r="J3568" s="15"/>
      <c r="K3568" s="15"/>
      <c r="L3568" s="28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  <c r="AA3568" s="15"/>
      <c r="AB3568" s="15"/>
      <c r="AC3568" s="15"/>
      <c r="AD3568" s="15"/>
      <c r="AE3568" s="15"/>
      <c r="AF3568" s="15"/>
      <c r="AG3568" s="15"/>
      <c r="AH3568" s="15"/>
      <c r="AI3568" s="15"/>
      <c r="AJ3568" s="15"/>
      <c r="AK3568" s="15"/>
      <c r="AL3568" s="15"/>
      <c r="AM3568" s="15"/>
      <c r="AN3568" s="15"/>
      <c r="AO3568" s="15"/>
      <c r="AP3568" s="15"/>
      <c r="AQ3568" s="15"/>
      <c r="AR3568" s="15"/>
      <c r="AS3568" s="15"/>
      <c r="AT3568" s="15"/>
      <c r="AU3568" s="15"/>
      <c r="AV3568" s="15"/>
      <c r="AW3568" s="15"/>
    </row>
    <row r="3569" spans="3:49" x14ac:dyDescent="0.2">
      <c r="C3569" s="15"/>
      <c r="D3569" s="15"/>
      <c r="E3569" s="15"/>
      <c r="F3569" s="15"/>
      <c r="G3569" s="15"/>
      <c r="H3569" s="15"/>
      <c r="I3569" s="15"/>
      <c r="J3569" s="15"/>
      <c r="K3569" s="15"/>
      <c r="L3569" s="28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  <c r="AA3569" s="15"/>
      <c r="AB3569" s="15"/>
      <c r="AC3569" s="15"/>
      <c r="AD3569" s="15"/>
      <c r="AE3569" s="15"/>
      <c r="AF3569" s="15"/>
      <c r="AG3569" s="15"/>
      <c r="AH3569" s="15"/>
      <c r="AI3569" s="15"/>
      <c r="AJ3569" s="15"/>
      <c r="AK3569" s="15"/>
      <c r="AL3569" s="15"/>
      <c r="AM3569" s="15"/>
      <c r="AN3569" s="15"/>
      <c r="AO3569" s="15"/>
      <c r="AP3569" s="15"/>
      <c r="AQ3569" s="15"/>
      <c r="AR3569" s="15"/>
      <c r="AS3569" s="15"/>
      <c r="AT3569" s="15"/>
      <c r="AU3569" s="15"/>
      <c r="AV3569" s="15"/>
      <c r="AW3569" s="15"/>
    </row>
    <row r="3570" spans="3:49" x14ac:dyDescent="0.2">
      <c r="C3570" s="15"/>
      <c r="D3570" s="15"/>
      <c r="E3570" s="15"/>
      <c r="F3570" s="15"/>
      <c r="G3570" s="15"/>
      <c r="H3570" s="15"/>
      <c r="I3570" s="15"/>
      <c r="J3570" s="15"/>
      <c r="K3570" s="15"/>
      <c r="L3570" s="28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  <c r="AA3570" s="15"/>
      <c r="AB3570" s="15"/>
      <c r="AC3570" s="15"/>
      <c r="AD3570" s="15"/>
      <c r="AE3570" s="15"/>
      <c r="AF3570" s="15"/>
      <c r="AG3570" s="15"/>
      <c r="AH3570" s="15"/>
      <c r="AI3570" s="15"/>
      <c r="AJ3570" s="15"/>
      <c r="AK3570" s="15"/>
      <c r="AL3570" s="15"/>
      <c r="AM3570" s="15"/>
      <c r="AN3570" s="15"/>
      <c r="AO3570" s="15"/>
      <c r="AP3570" s="15"/>
      <c r="AQ3570" s="15"/>
      <c r="AR3570" s="15"/>
      <c r="AS3570" s="15"/>
      <c r="AT3570" s="15"/>
      <c r="AU3570" s="15"/>
      <c r="AV3570" s="15"/>
      <c r="AW3570" s="15"/>
    </row>
    <row r="3571" spans="3:49" x14ac:dyDescent="0.2">
      <c r="C3571" s="15"/>
      <c r="D3571" s="15"/>
      <c r="E3571" s="15"/>
      <c r="F3571" s="15"/>
      <c r="G3571" s="15"/>
      <c r="H3571" s="15"/>
      <c r="I3571" s="15"/>
      <c r="J3571" s="15"/>
      <c r="K3571" s="15"/>
      <c r="L3571" s="28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  <c r="AA3571" s="15"/>
      <c r="AB3571" s="15"/>
      <c r="AC3571" s="15"/>
      <c r="AD3571" s="15"/>
      <c r="AE3571" s="15"/>
      <c r="AF3571" s="15"/>
      <c r="AG3571" s="15"/>
      <c r="AH3571" s="15"/>
      <c r="AI3571" s="15"/>
      <c r="AJ3571" s="15"/>
      <c r="AK3571" s="15"/>
      <c r="AL3571" s="15"/>
      <c r="AM3571" s="15"/>
      <c r="AN3571" s="15"/>
      <c r="AO3571" s="15"/>
      <c r="AP3571" s="15"/>
      <c r="AQ3571" s="15"/>
      <c r="AR3571" s="15"/>
      <c r="AS3571" s="15"/>
      <c r="AT3571" s="15"/>
      <c r="AU3571" s="15"/>
      <c r="AV3571" s="15"/>
      <c r="AW3571" s="15"/>
    </row>
    <row r="3572" spans="3:49" x14ac:dyDescent="0.2">
      <c r="C3572" s="15"/>
      <c r="D3572" s="15"/>
      <c r="E3572" s="15"/>
      <c r="F3572" s="15"/>
      <c r="G3572" s="15"/>
      <c r="H3572" s="15"/>
      <c r="I3572" s="15"/>
      <c r="J3572" s="15"/>
      <c r="K3572" s="15"/>
      <c r="L3572" s="28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  <c r="AA3572" s="15"/>
      <c r="AB3572" s="15"/>
      <c r="AC3572" s="15"/>
      <c r="AD3572" s="15"/>
      <c r="AE3572" s="15"/>
      <c r="AF3572" s="15"/>
      <c r="AG3572" s="15"/>
      <c r="AH3572" s="15"/>
      <c r="AI3572" s="15"/>
      <c r="AJ3572" s="15"/>
      <c r="AK3572" s="15"/>
      <c r="AL3572" s="15"/>
      <c r="AM3572" s="15"/>
      <c r="AN3572" s="15"/>
      <c r="AO3572" s="15"/>
      <c r="AP3572" s="15"/>
      <c r="AQ3572" s="15"/>
      <c r="AR3572" s="15"/>
      <c r="AS3572" s="15"/>
      <c r="AT3572" s="15"/>
      <c r="AU3572" s="15"/>
      <c r="AV3572" s="15"/>
      <c r="AW3572" s="15"/>
    </row>
    <row r="3573" spans="3:49" x14ac:dyDescent="0.2">
      <c r="C3573" s="15"/>
      <c r="D3573" s="15"/>
      <c r="E3573" s="15"/>
      <c r="F3573" s="15"/>
      <c r="G3573" s="15"/>
      <c r="H3573" s="15"/>
      <c r="I3573" s="15"/>
      <c r="J3573" s="15"/>
      <c r="K3573" s="15"/>
      <c r="L3573" s="28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  <c r="AA3573" s="15"/>
      <c r="AB3573" s="15"/>
      <c r="AC3573" s="15"/>
      <c r="AD3573" s="15"/>
      <c r="AE3573" s="15"/>
      <c r="AF3573" s="15"/>
      <c r="AG3573" s="15"/>
      <c r="AH3573" s="15"/>
      <c r="AI3573" s="15"/>
      <c r="AJ3573" s="15"/>
      <c r="AK3573" s="15"/>
      <c r="AL3573" s="15"/>
      <c r="AM3573" s="15"/>
      <c r="AN3573" s="15"/>
      <c r="AO3573" s="15"/>
      <c r="AP3573" s="15"/>
      <c r="AQ3573" s="15"/>
      <c r="AR3573" s="15"/>
      <c r="AS3573" s="15"/>
      <c r="AT3573" s="15"/>
      <c r="AU3573" s="15"/>
      <c r="AV3573" s="15"/>
      <c r="AW3573" s="15"/>
    </row>
    <row r="3574" spans="3:49" x14ac:dyDescent="0.2">
      <c r="C3574" s="15"/>
      <c r="D3574" s="15"/>
      <c r="E3574" s="15"/>
      <c r="F3574" s="15"/>
      <c r="G3574" s="15"/>
      <c r="H3574" s="15"/>
      <c r="I3574" s="15"/>
      <c r="J3574" s="15"/>
      <c r="K3574" s="15"/>
      <c r="L3574" s="28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  <c r="AA3574" s="15"/>
      <c r="AB3574" s="15"/>
      <c r="AC3574" s="15"/>
      <c r="AD3574" s="15"/>
      <c r="AE3574" s="15"/>
      <c r="AF3574" s="15"/>
      <c r="AG3574" s="15"/>
      <c r="AH3574" s="15"/>
      <c r="AI3574" s="15"/>
      <c r="AJ3574" s="15"/>
      <c r="AK3574" s="15"/>
      <c r="AL3574" s="15"/>
      <c r="AM3574" s="15"/>
      <c r="AN3574" s="15"/>
      <c r="AO3574" s="15"/>
      <c r="AP3574" s="15"/>
      <c r="AQ3574" s="15"/>
      <c r="AR3574" s="15"/>
      <c r="AS3574" s="15"/>
      <c r="AT3574" s="15"/>
      <c r="AU3574" s="15"/>
      <c r="AV3574" s="15"/>
      <c r="AW3574" s="15"/>
    </row>
    <row r="3575" spans="3:49" x14ac:dyDescent="0.2">
      <c r="C3575" s="15"/>
      <c r="D3575" s="15"/>
      <c r="E3575" s="15"/>
      <c r="F3575" s="15"/>
      <c r="G3575" s="15"/>
      <c r="H3575" s="15"/>
      <c r="I3575" s="15"/>
      <c r="J3575" s="15"/>
      <c r="K3575" s="15"/>
      <c r="L3575" s="28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  <c r="AA3575" s="15"/>
      <c r="AB3575" s="15"/>
      <c r="AC3575" s="15"/>
      <c r="AD3575" s="15"/>
      <c r="AE3575" s="15"/>
      <c r="AF3575" s="15"/>
      <c r="AG3575" s="15"/>
      <c r="AH3575" s="15"/>
      <c r="AI3575" s="15"/>
      <c r="AJ3575" s="15"/>
      <c r="AK3575" s="15"/>
      <c r="AL3575" s="15"/>
      <c r="AM3575" s="15"/>
      <c r="AN3575" s="15"/>
      <c r="AO3575" s="15"/>
      <c r="AP3575" s="15"/>
      <c r="AQ3575" s="15"/>
      <c r="AR3575" s="15"/>
      <c r="AS3575" s="15"/>
      <c r="AT3575" s="15"/>
      <c r="AU3575" s="15"/>
      <c r="AV3575" s="15"/>
      <c r="AW3575" s="15"/>
    </row>
    <row r="3576" spans="3:49" x14ac:dyDescent="0.2">
      <c r="C3576" s="15"/>
      <c r="D3576" s="15"/>
      <c r="E3576" s="15"/>
      <c r="F3576" s="15"/>
      <c r="G3576" s="15"/>
      <c r="H3576" s="15"/>
      <c r="I3576" s="15"/>
      <c r="J3576" s="15"/>
      <c r="K3576" s="15"/>
      <c r="L3576" s="28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  <c r="AA3576" s="15"/>
      <c r="AB3576" s="15"/>
      <c r="AC3576" s="15"/>
      <c r="AD3576" s="15"/>
      <c r="AE3576" s="15"/>
      <c r="AF3576" s="15"/>
      <c r="AG3576" s="15"/>
      <c r="AH3576" s="15"/>
      <c r="AI3576" s="15"/>
      <c r="AJ3576" s="15"/>
      <c r="AK3576" s="15"/>
      <c r="AL3576" s="15"/>
      <c r="AM3576" s="15"/>
      <c r="AN3576" s="15"/>
      <c r="AO3576" s="15"/>
      <c r="AP3576" s="15"/>
      <c r="AQ3576" s="15"/>
      <c r="AR3576" s="15"/>
      <c r="AS3576" s="15"/>
      <c r="AT3576" s="15"/>
      <c r="AU3576" s="15"/>
      <c r="AV3576" s="15"/>
      <c r="AW3576" s="15"/>
    </row>
    <row r="3577" spans="3:49" x14ac:dyDescent="0.2">
      <c r="C3577" s="15"/>
      <c r="D3577" s="15"/>
      <c r="E3577" s="15"/>
      <c r="F3577" s="15"/>
      <c r="G3577" s="15"/>
      <c r="H3577" s="15"/>
      <c r="I3577" s="15"/>
      <c r="J3577" s="15"/>
      <c r="K3577" s="15"/>
      <c r="L3577" s="28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  <c r="AA3577" s="15"/>
      <c r="AB3577" s="15"/>
      <c r="AC3577" s="15"/>
      <c r="AD3577" s="15"/>
      <c r="AE3577" s="15"/>
      <c r="AF3577" s="15"/>
      <c r="AG3577" s="15"/>
      <c r="AH3577" s="15"/>
      <c r="AI3577" s="15"/>
      <c r="AJ3577" s="15"/>
      <c r="AK3577" s="15"/>
      <c r="AL3577" s="15"/>
      <c r="AM3577" s="15"/>
      <c r="AN3577" s="15"/>
      <c r="AO3577" s="15"/>
      <c r="AP3577" s="15"/>
      <c r="AQ3577" s="15"/>
      <c r="AR3577" s="15"/>
      <c r="AS3577" s="15"/>
      <c r="AT3577" s="15"/>
      <c r="AU3577" s="15"/>
      <c r="AV3577" s="15"/>
      <c r="AW3577" s="15"/>
    </row>
    <row r="3578" spans="3:49" x14ac:dyDescent="0.2">
      <c r="C3578" s="15"/>
      <c r="D3578" s="15"/>
      <c r="E3578" s="15"/>
      <c r="F3578" s="15"/>
      <c r="G3578" s="15"/>
      <c r="H3578" s="15"/>
      <c r="I3578" s="15"/>
      <c r="J3578" s="15"/>
      <c r="K3578" s="15"/>
      <c r="L3578" s="28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  <c r="AA3578" s="15"/>
      <c r="AB3578" s="15"/>
      <c r="AC3578" s="15"/>
      <c r="AD3578" s="15"/>
      <c r="AE3578" s="15"/>
      <c r="AF3578" s="15"/>
      <c r="AG3578" s="15"/>
      <c r="AH3578" s="15"/>
      <c r="AI3578" s="15"/>
      <c r="AJ3578" s="15"/>
      <c r="AK3578" s="15"/>
      <c r="AL3578" s="15"/>
      <c r="AM3578" s="15"/>
      <c r="AN3578" s="15"/>
      <c r="AO3578" s="15"/>
      <c r="AP3578" s="15"/>
      <c r="AQ3578" s="15"/>
      <c r="AR3578" s="15"/>
      <c r="AS3578" s="15"/>
      <c r="AT3578" s="15"/>
      <c r="AU3578" s="15"/>
      <c r="AV3578" s="15"/>
      <c r="AW3578" s="15"/>
    </row>
    <row r="3579" spans="3:49" x14ac:dyDescent="0.2">
      <c r="C3579" s="15"/>
      <c r="D3579" s="15"/>
      <c r="E3579" s="15"/>
      <c r="F3579" s="15"/>
      <c r="G3579" s="15"/>
      <c r="H3579" s="15"/>
      <c r="I3579" s="15"/>
      <c r="J3579" s="15"/>
      <c r="K3579" s="15"/>
      <c r="L3579" s="28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  <c r="AA3579" s="15"/>
      <c r="AB3579" s="15"/>
      <c r="AC3579" s="15"/>
      <c r="AD3579" s="15"/>
      <c r="AE3579" s="15"/>
      <c r="AF3579" s="15"/>
      <c r="AG3579" s="15"/>
      <c r="AH3579" s="15"/>
      <c r="AI3579" s="15"/>
      <c r="AJ3579" s="15"/>
      <c r="AK3579" s="15"/>
      <c r="AL3579" s="15"/>
      <c r="AM3579" s="15"/>
      <c r="AN3579" s="15"/>
      <c r="AO3579" s="15"/>
      <c r="AP3579" s="15"/>
      <c r="AQ3579" s="15"/>
      <c r="AR3579" s="15"/>
      <c r="AS3579" s="15"/>
      <c r="AT3579" s="15"/>
      <c r="AU3579" s="15"/>
      <c r="AV3579" s="15"/>
      <c r="AW3579" s="15"/>
    </row>
    <row r="3580" spans="3:49" x14ac:dyDescent="0.2">
      <c r="C3580" s="15"/>
      <c r="D3580" s="15"/>
      <c r="E3580" s="15"/>
      <c r="F3580" s="15"/>
      <c r="G3580" s="15"/>
      <c r="H3580" s="15"/>
      <c r="I3580" s="15"/>
      <c r="J3580" s="15"/>
      <c r="K3580" s="15"/>
      <c r="L3580" s="28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  <c r="AA3580" s="15"/>
      <c r="AB3580" s="15"/>
      <c r="AC3580" s="15"/>
      <c r="AD3580" s="15"/>
      <c r="AE3580" s="15"/>
      <c r="AF3580" s="15"/>
      <c r="AG3580" s="15"/>
      <c r="AH3580" s="15"/>
      <c r="AI3580" s="15"/>
      <c r="AJ3580" s="15"/>
      <c r="AK3580" s="15"/>
      <c r="AL3580" s="15"/>
      <c r="AM3580" s="15"/>
      <c r="AN3580" s="15"/>
      <c r="AO3580" s="15"/>
      <c r="AP3580" s="15"/>
      <c r="AQ3580" s="15"/>
      <c r="AR3580" s="15"/>
      <c r="AS3580" s="15"/>
      <c r="AT3580" s="15"/>
      <c r="AU3580" s="15"/>
      <c r="AV3580" s="15"/>
      <c r="AW3580" s="15"/>
    </row>
    <row r="3581" spans="3:49" x14ac:dyDescent="0.2">
      <c r="C3581" s="15"/>
      <c r="D3581" s="15"/>
      <c r="E3581" s="15"/>
      <c r="F3581" s="15"/>
      <c r="G3581" s="15"/>
      <c r="H3581" s="15"/>
      <c r="I3581" s="15"/>
      <c r="J3581" s="15"/>
      <c r="K3581" s="15"/>
      <c r="L3581" s="28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  <c r="AA3581" s="15"/>
      <c r="AB3581" s="15"/>
      <c r="AC3581" s="15"/>
      <c r="AD3581" s="15"/>
      <c r="AE3581" s="15"/>
      <c r="AF3581" s="15"/>
      <c r="AG3581" s="15"/>
      <c r="AH3581" s="15"/>
      <c r="AI3581" s="15"/>
      <c r="AJ3581" s="15"/>
      <c r="AK3581" s="15"/>
      <c r="AL3581" s="15"/>
      <c r="AM3581" s="15"/>
      <c r="AN3581" s="15"/>
      <c r="AO3581" s="15"/>
      <c r="AP3581" s="15"/>
      <c r="AQ3581" s="15"/>
      <c r="AR3581" s="15"/>
      <c r="AS3581" s="15"/>
      <c r="AT3581" s="15"/>
      <c r="AU3581" s="15"/>
      <c r="AV3581" s="15"/>
      <c r="AW3581" s="15"/>
    </row>
    <row r="3582" spans="3:49" x14ac:dyDescent="0.2">
      <c r="C3582" s="15"/>
      <c r="D3582" s="15"/>
      <c r="E3582" s="15"/>
      <c r="F3582" s="15"/>
      <c r="G3582" s="15"/>
      <c r="H3582" s="15"/>
      <c r="I3582" s="15"/>
      <c r="J3582" s="15"/>
      <c r="K3582" s="15"/>
      <c r="L3582" s="28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  <c r="AA3582" s="15"/>
      <c r="AB3582" s="15"/>
      <c r="AC3582" s="15"/>
      <c r="AD3582" s="15"/>
      <c r="AE3582" s="15"/>
      <c r="AF3582" s="15"/>
      <c r="AG3582" s="15"/>
      <c r="AH3582" s="15"/>
      <c r="AI3582" s="15"/>
      <c r="AJ3582" s="15"/>
      <c r="AK3582" s="15"/>
      <c r="AL3582" s="15"/>
      <c r="AM3582" s="15"/>
      <c r="AN3582" s="15"/>
      <c r="AO3582" s="15"/>
      <c r="AP3582" s="15"/>
      <c r="AQ3582" s="15"/>
      <c r="AR3582" s="15"/>
      <c r="AS3582" s="15"/>
      <c r="AT3582" s="15"/>
      <c r="AU3582" s="15"/>
      <c r="AV3582" s="15"/>
      <c r="AW3582" s="15"/>
    </row>
    <row r="3583" spans="3:49" x14ac:dyDescent="0.2">
      <c r="C3583" s="15"/>
      <c r="D3583" s="15"/>
      <c r="E3583" s="15"/>
      <c r="F3583" s="15"/>
      <c r="G3583" s="15"/>
      <c r="H3583" s="15"/>
      <c r="I3583" s="15"/>
      <c r="J3583" s="15"/>
      <c r="K3583" s="15"/>
      <c r="L3583" s="28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  <c r="AA3583" s="15"/>
      <c r="AB3583" s="15"/>
      <c r="AC3583" s="15"/>
      <c r="AD3583" s="15"/>
      <c r="AE3583" s="15"/>
      <c r="AF3583" s="15"/>
      <c r="AG3583" s="15"/>
      <c r="AH3583" s="15"/>
      <c r="AI3583" s="15"/>
      <c r="AJ3583" s="15"/>
      <c r="AK3583" s="15"/>
      <c r="AL3583" s="15"/>
      <c r="AM3583" s="15"/>
      <c r="AN3583" s="15"/>
      <c r="AO3583" s="15"/>
      <c r="AP3583" s="15"/>
      <c r="AQ3583" s="15"/>
      <c r="AR3583" s="15"/>
      <c r="AS3583" s="15"/>
      <c r="AT3583" s="15"/>
      <c r="AU3583" s="15"/>
      <c r="AV3583" s="15"/>
      <c r="AW3583" s="15"/>
    </row>
    <row r="3584" spans="3:49" x14ac:dyDescent="0.2">
      <c r="C3584" s="15"/>
      <c r="D3584" s="15"/>
      <c r="E3584" s="15"/>
      <c r="F3584" s="15"/>
      <c r="G3584" s="15"/>
      <c r="H3584" s="15"/>
      <c r="I3584" s="15"/>
      <c r="J3584" s="15"/>
      <c r="K3584" s="15"/>
      <c r="L3584" s="28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  <c r="AA3584" s="15"/>
      <c r="AB3584" s="15"/>
      <c r="AC3584" s="15"/>
      <c r="AD3584" s="15"/>
      <c r="AE3584" s="15"/>
      <c r="AF3584" s="15"/>
      <c r="AG3584" s="15"/>
      <c r="AH3584" s="15"/>
      <c r="AI3584" s="15"/>
      <c r="AJ3584" s="15"/>
      <c r="AK3584" s="15"/>
      <c r="AL3584" s="15"/>
      <c r="AM3584" s="15"/>
      <c r="AN3584" s="15"/>
      <c r="AO3584" s="15"/>
      <c r="AP3584" s="15"/>
      <c r="AQ3584" s="15"/>
      <c r="AR3584" s="15"/>
      <c r="AS3584" s="15"/>
      <c r="AT3584" s="15"/>
      <c r="AU3584" s="15"/>
      <c r="AV3584" s="15"/>
      <c r="AW3584" s="15"/>
    </row>
    <row r="3585" spans="3:49" x14ac:dyDescent="0.2">
      <c r="C3585" s="15"/>
      <c r="D3585" s="15"/>
      <c r="E3585" s="15"/>
      <c r="F3585" s="15"/>
      <c r="G3585" s="15"/>
      <c r="H3585" s="15"/>
      <c r="I3585" s="15"/>
      <c r="J3585" s="15"/>
      <c r="K3585" s="15"/>
      <c r="L3585" s="28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  <c r="AA3585" s="15"/>
      <c r="AB3585" s="15"/>
      <c r="AC3585" s="15"/>
      <c r="AD3585" s="15"/>
      <c r="AE3585" s="15"/>
      <c r="AF3585" s="15"/>
      <c r="AG3585" s="15"/>
      <c r="AH3585" s="15"/>
      <c r="AI3585" s="15"/>
      <c r="AJ3585" s="15"/>
      <c r="AK3585" s="15"/>
      <c r="AL3585" s="15"/>
      <c r="AM3585" s="15"/>
      <c r="AN3585" s="15"/>
      <c r="AO3585" s="15"/>
      <c r="AP3585" s="15"/>
      <c r="AQ3585" s="15"/>
      <c r="AR3585" s="15"/>
      <c r="AS3585" s="15"/>
      <c r="AT3585" s="15"/>
      <c r="AU3585" s="15"/>
      <c r="AV3585" s="15"/>
      <c r="AW3585" s="15"/>
    </row>
    <row r="3586" spans="3:49" x14ac:dyDescent="0.2">
      <c r="C3586" s="15"/>
      <c r="D3586" s="15"/>
      <c r="E3586" s="15"/>
      <c r="F3586" s="15"/>
      <c r="G3586" s="15"/>
      <c r="H3586" s="15"/>
      <c r="I3586" s="15"/>
      <c r="J3586" s="15"/>
      <c r="K3586" s="15"/>
      <c r="L3586" s="28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  <c r="AA3586" s="15"/>
      <c r="AB3586" s="15"/>
      <c r="AC3586" s="15"/>
      <c r="AD3586" s="15"/>
      <c r="AE3586" s="15"/>
      <c r="AF3586" s="15"/>
      <c r="AG3586" s="15"/>
      <c r="AH3586" s="15"/>
      <c r="AI3586" s="15"/>
      <c r="AJ3586" s="15"/>
      <c r="AK3586" s="15"/>
      <c r="AL3586" s="15"/>
      <c r="AM3586" s="15"/>
      <c r="AN3586" s="15"/>
      <c r="AO3586" s="15"/>
      <c r="AP3586" s="15"/>
      <c r="AQ3586" s="15"/>
      <c r="AR3586" s="15"/>
      <c r="AS3586" s="15"/>
      <c r="AT3586" s="15"/>
      <c r="AU3586" s="15"/>
      <c r="AV3586" s="15"/>
      <c r="AW3586" s="15"/>
    </row>
    <row r="3587" spans="3:49" x14ac:dyDescent="0.2">
      <c r="C3587" s="15"/>
      <c r="D3587" s="15"/>
      <c r="E3587" s="15"/>
      <c r="F3587" s="15"/>
      <c r="G3587" s="15"/>
      <c r="H3587" s="15"/>
      <c r="I3587" s="15"/>
      <c r="J3587" s="15"/>
      <c r="K3587" s="15"/>
      <c r="L3587" s="28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  <c r="AA3587" s="15"/>
      <c r="AB3587" s="15"/>
      <c r="AC3587" s="15"/>
      <c r="AD3587" s="15"/>
      <c r="AE3587" s="15"/>
      <c r="AF3587" s="15"/>
      <c r="AG3587" s="15"/>
      <c r="AH3587" s="15"/>
      <c r="AI3587" s="15"/>
      <c r="AJ3587" s="15"/>
      <c r="AK3587" s="15"/>
      <c r="AL3587" s="15"/>
      <c r="AM3587" s="15"/>
      <c r="AN3587" s="15"/>
      <c r="AO3587" s="15"/>
      <c r="AP3587" s="15"/>
      <c r="AQ3587" s="15"/>
      <c r="AR3587" s="15"/>
      <c r="AS3587" s="15"/>
      <c r="AT3587" s="15"/>
      <c r="AU3587" s="15"/>
      <c r="AV3587" s="15"/>
      <c r="AW3587" s="15"/>
    </row>
    <row r="3588" spans="3:49" x14ac:dyDescent="0.2">
      <c r="C3588" s="15"/>
      <c r="D3588" s="15"/>
      <c r="E3588" s="15"/>
      <c r="F3588" s="15"/>
      <c r="G3588" s="15"/>
      <c r="H3588" s="15"/>
      <c r="I3588" s="15"/>
      <c r="J3588" s="15"/>
      <c r="K3588" s="15"/>
      <c r="L3588" s="28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  <c r="AA3588" s="15"/>
      <c r="AB3588" s="15"/>
      <c r="AC3588" s="15"/>
      <c r="AD3588" s="15"/>
      <c r="AE3588" s="15"/>
      <c r="AF3588" s="15"/>
      <c r="AG3588" s="15"/>
      <c r="AH3588" s="15"/>
      <c r="AI3588" s="15"/>
      <c r="AJ3588" s="15"/>
      <c r="AK3588" s="15"/>
      <c r="AL3588" s="15"/>
      <c r="AM3588" s="15"/>
      <c r="AN3588" s="15"/>
      <c r="AO3588" s="15"/>
      <c r="AP3588" s="15"/>
      <c r="AQ3588" s="15"/>
      <c r="AR3588" s="15"/>
      <c r="AS3588" s="15"/>
      <c r="AT3588" s="15"/>
      <c r="AU3588" s="15"/>
      <c r="AV3588" s="15"/>
      <c r="AW3588" s="15"/>
    </row>
    <row r="3589" spans="3:49" x14ac:dyDescent="0.2">
      <c r="C3589" s="15"/>
      <c r="D3589" s="15"/>
      <c r="E3589" s="15"/>
      <c r="F3589" s="15"/>
      <c r="G3589" s="15"/>
      <c r="H3589" s="15"/>
      <c r="I3589" s="15"/>
      <c r="J3589" s="15"/>
      <c r="K3589" s="15"/>
      <c r="L3589" s="28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  <c r="AA3589" s="15"/>
      <c r="AB3589" s="15"/>
      <c r="AC3589" s="15"/>
      <c r="AD3589" s="15"/>
      <c r="AE3589" s="15"/>
      <c r="AF3589" s="15"/>
      <c r="AG3589" s="15"/>
      <c r="AH3589" s="15"/>
      <c r="AI3589" s="15"/>
      <c r="AJ3589" s="15"/>
      <c r="AK3589" s="15"/>
      <c r="AL3589" s="15"/>
      <c r="AM3589" s="15"/>
      <c r="AN3589" s="15"/>
      <c r="AO3589" s="15"/>
      <c r="AP3589" s="15"/>
      <c r="AQ3589" s="15"/>
      <c r="AR3589" s="15"/>
      <c r="AS3589" s="15"/>
      <c r="AT3589" s="15"/>
      <c r="AU3589" s="15"/>
      <c r="AV3589" s="15"/>
      <c r="AW3589" s="15"/>
    </row>
    <row r="3590" spans="3:49" x14ac:dyDescent="0.2">
      <c r="C3590" s="15"/>
      <c r="D3590" s="15"/>
      <c r="E3590" s="15"/>
      <c r="F3590" s="15"/>
      <c r="G3590" s="15"/>
      <c r="H3590" s="15"/>
      <c r="I3590" s="15"/>
      <c r="J3590" s="15"/>
      <c r="K3590" s="15"/>
      <c r="L3590" s="28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  <c r="AA3590" s="15"/>
      <c r="AB3590" s="15"/>
      <c r="AC3590" s="15"/>
      <c r="AD3590" s="15"/>
      <c r="AE3590" s="15"/>
      <c r="AF3590" s="15"/>
      <c r="AG3590" s="15"/>
      <c r="AH3590" s="15"/>
      <c r="AI3590" s="15"/>
      <c r="AJ3590" s="15"/>
      <c r="AK3590" s="15"/>
      <c r="AL3590" s="15"/>
      <c r="AM3590" s="15"/>
      <c r="AN3590" s="15"/>
      <c r="AO3590" s="15"/>
      <c r="AP3590" s="15"/>
      <c r="AQ3590" s="15"/>
      <c r="AR3590" s="15"/>
      <c r="AS3590" s="15"/>
      <c r="AT3590" s="15"/>
      <c r="AU3590" s="15"/>
      <c r="AV3590" s="15"/>
      <c r="AW3590" s="15"/>
    </row>
    <row r="3591" spans="3:49" x14ac:dyDescent="0.2">
      <c r="C3591" s="15"/>
      <c r="D3591" s="15"/>
      <c r="E3591" s="15"/>
      <c r="F3591" s="15"/>
      <c r="G3591" s="15"/>
      <c r="H3591" s="15"/>
      <c r="I3591" s="15"/>
      <c r="J3591" s="15"/>
      <c r="K3591" s="15"/>
      <c r="L3591" s="28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  <c r="AA3591" s="15"/>
      <c r="AB3591" s="15"/>
      <c r="AC3591" s="15"/>
      <c r="AD3591" s="15"/>
      <c r="AE3591" s="15"/>
      <c r="AF3591" s="15"/>
      <c r="AG3591" s="15"/>
      <c r="AH3591" s="15"/>
      <c r="AI3591" s="15"/>
      <c r="AJ3591" s="15"/>
      <c r="AK3591" s="15"/>
      <c r="AL3591" s="15"/>
      <c r="AM3591" s="15"/>
      <c r="AN3591" s="15"/>
      <c r="AO3591" s="15"/>
      <c r="AP3591" s="15"/>
      <c r="AQ3591" s="15"/>
      <c r="AR3591" s="15"/>
      <c r="AS3591" s="15"/>
      <c r="AT3591" s="15"/>
      <c r="AU3591" s="15"/>
      <c r="AV3591" s="15"/>
      <c r="AW3591" s="15"/>
    </row>
    <row r="3592" spans="3:49" x14ac:dyDescent="0.2">
      <c r="C3592" s="15"/>
      <c r="D3592" s="15"/>
      <c r="E3592" s="15"/>
      <c r="F3592" s="15"/>
      <c r="G3592" s="15"/>
      <c r="H3592" s="15"/>
      <c r="I3592" s="15"/>
      <c r="J3592" s="15"/>
      <c r="K3592" s="15"/>
      <c r="L3592" s="28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  <c r="AA3592" s="15"/>
      <c r="AB3592" s="15"/>
      <c r="AC3592" s="15"/>
      <c r="AD3592" s="15"/>
      <c r="AE3592" s="15"/>
      <c r="AF3592" s="15"/>
      <c r="AG3592" s="15"/>
      <c r="AH3592" s="15"/>
      <c r="AI3592" s="15"/>
      <c r="AJ3592" s="15"/>
      <c r="AK3592" s="15"/>
      <c r="AL3592" s="15"/>
      <c r="AM3592" s="15"/>
      <c r="AN3592" s="15"/>
      <c r="AO3592" s="15"/>
      <c r="AP3592" s="15"/>
      <c r="AQ3592" s="15"/>
      <c r="AR3592" s="15"/>
      <c r="AS3592" s="15"/>
      <c r="AT3592" s="15"/>
      <c r="AU3592" s="15"/>
      <c r="AV3592" s="15"/>
      <c r="AW3592" s="15"/>
    </row>
    <row r="3593" spans="3:49" x14ac:dyDescent="0.2">
      <c r="C3593" s="15"/>
      <c r="D3593" s="15"/>
      <c r="E3593" s="15"/>
      <c r="F3593" s="15"/>
      <c r="G3593" s="15"/>
      <c r="H3593" s="15"/>
      <c r="I3593" s="15"/>
      <c r="J3593" s="15"/>
      <c r="K3593" s="15"/>
      <c r="L3593" s="28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  <c r="AA3593" s="15"/>
      <c r="AB3593" s="15"/>
      <c r="AC3593" s="15"/>
      <c r="AD3593" s="15"/>
      <c r="AE3593" s="15"/>
      <c r="AF3593" s="15"/>
      <c r="AG3593" s="15"/>
      <c r="AH3593" s="15"/>
      <c r="AI3593" s="15"/>
      <c r="AJ3593" s="15"/>
      <c r="AK3593" s="15"/>
      <c r="AL3593" s="15"/>
      <c r="AM3593" s="15"/>
      <c r="AN3593" s="15"/>
      <c r="AO3593" s="15"/>
      <c r="AP3593" s="15"/>
      <c r="AQ3593" s="15"/>
      <c r="AR3593" s="15"/>
      <c r="AS3593" s="15"/>
      <c r="AT3593" s="15"/>
      <c r="AU3593" s="15"/>
      <c r="AV3593" s="15"/>
      <c r="AW3593" s="15"/>
    </row>
    <row r="3594" spans="3:49" x14ac:dyDescent="0.2">
      <c r="C3594" s="15"/>
      <c r="D3594" s="15"/>
      <c r="E3594" s="15"/>
      <c r="F3594" s="15"/>
      <c r="G3594" s="15"/>
      <c r="H3594" s="15"/>
      <c r="I3594" s="15"/>
      <c r="J3594" s="15"/>
      <c r="K3594" s="15"/>
      <c r="L3594" s="28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  <c r="AA3594" s="15"/>
      <c r="AB3594" s="15"/>
      <c r="AC3594" s="15"/>
      <c r="AD3594" s="15"/>
      <c r="AE3594" s="15"/>
      <c r="AF3594" s="15"/>
      <c r="AG3594" s="15"/>
      <c r="AH3594" s="15"/>
      <c r="AI3594" s="15"/>
      <c r="AJ3594" s="15"/>
      <c r="AK3594" s="15"/>
      <c r="AL3594" s="15"/>
      <c r="AM3594" s="15"/>
      <c r="AN3594" s="15"/>
      <c r="AO3594" s="15"/>
      <c r="AP3594" s="15"/>
      <c r="AQ3594" s="15"/>
      <c r="AR3594" s="15"/>
      <c r="AS3594" s="15"/>
      <c r="AT3594" s="15"/>
      <c r="AU3594" s="15"/>
      <c r="AV3594" s="15"/>
      <c r="AW3594" s="15"/>
    </row>
    <row r="3595" spans="3:49" x14ac:dyDescent="0.2">
      <c r="C3595" s="15"/>
      <c r="D3595" s="15"/>
      <c r="E3595" s="15"/>
      <c r="F3595" s="15"/>
      <c r="G3595" s="15"/>
      <c r="H3595" s="15"/>
      <c r="I3595" s="15"/>
      <c r="J3595" s="15"/>
      <c r="K3595" s="15"/>
      <c r="L3595" s="28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  <c r="AA3595" s="15"/>
      <c r="AB3595" s="15"/>
      <c r="AC3595" s="15"/>
      <c r="AD3595" s="15"/>
      <c r="AE3595" s="15"/>
      <c r="AF3595" s="15"/>
      <c r="AG3595" s="15"/>
      <c r="AH3595" s="15"/>
      <c r="AI3595" s="15"/>
      <c r="AJ3595" s="15"/>
      <c r="AK3595" s="15"/>
      <c r="AL3595" s="15"/>
      <c r="AM3595" s="15"/>
      <c r="AN3595" s="15"/>
      <c r="AO3595" s="15"/>
      <c r="AP3595" s="15"/>
      <c r="AQ3595" s="15"/>
      <c r="AR3595" s="15"/>
      <c r="AS3595" s="15"/>
      <c r="AT3595" s="15"/>
      <c r="AU3595" s="15"/>
      <c r="AV3595" s="15"/>
      <c r="AW3595" s="15"/>
    </row>
    <row r="3596" spans="3:49" x14ac:dyDescent="0.2">
      <c r="C3596" s="15"/>
      <c r="D3596" s="15"/>
      <c r="E3596" s="15"/>
      <c r="F3596" s="15"/>
      <c r="G3596" s="15"/>
      <c r="H3596" s="15"/>
      <c r="I3596" s="15"/>
      <c r="J3596" s="15"/>
      <c r="K3596" s="15"/>
      <c r="L3596" s="28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  <c r="AA3596" s="15"/>
      <c r="AB3596" s="15"/>
      <c r="AC3596" s="15"/>
      <c r="AD3596" s="15"/>
      <c r="AE3596" s="15"/>
      <c r="AF3596" s="15"/>
      <c r="AG3596" s="15"/>
      <c r="AH3596" s="15"/>
      <c r="AI3596" s="15"/>
      <c r="AJ3596" s="15"/>
      <c r="AK3596" s="15"/>
      <c r="AL3596" s="15"/>
      <c r="AM3596" s="15"/>
      <c r="AN3596" s="15"/>
      <c r="AO3596" s="15"/>
      <c r="AP3596" s="15"/>
      <c r="AQ3596" s="15"/>
      <c r="AR3596" s="15"/>
      <c r="AS3596" s="15"/>
      <c r="AT3596" s="15"/>
      <c r="AU3596" s="15"/>
      <c r="AV3596" s="15"/>
      <c r="AW3596" s="15"/>
    </row>
    <row r="3597" spans="3:49" x14ac:dyDescent="0.2">
      <c r="C3597" s="15"/>
      <c r="D3597" s="15"/>
      <c r="E3597" s="15"/>
      <c r="F3597" s="15"/>
      <c r="G3597" s="15"/>
      <c r="H3597" s="15"/>
      <c r="I3597" s="15"/>
      <c r="J3597" s="15"/>
      <c r="K3597" s="15"/>
      <c r="L3597" s="28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  <c r="AA3597" s="15"/>
      <c r="AB3597" s="15"/>
      <c r="AC3597" s="15"/>
      <c r="AD3597" s="15"/>
      <c r="AE3597" s="15"/>
      <c r="AF3597" s="15"/>
      <c r="AG3597" s="15"/>
      <c r="AH3597" s="15"/>
      <c r="AI3597" s="15"/>
      <c r="AJ3597" s="15"/>
      <c r="AK3597" s="15"/>
      <c r="AL3597" s="15"/>
      <c r="AM3597" s="15"/>
      <c r="AN3597" s="15"/>
      <c r="AO3597" s="15"/>
      <c r="AP3597" s="15"/>
      <c r="AQ3597" s="15"/>
      <c r="AR3597" s="15"/>
      <c r="AS3597" s="15"/>
      <c r="AT3597" s="15"/>
      <c r="AU3597" s="15"/>
      <c r="AV3597" s="15"/>
      <c r="AW3597" s="15"/>
    </row>
    <row r="3598" spans="3:49" x14ac:dyDescent="0.2">
      <c r="C3598" s="15"/>
      <c r="D3598" s="15"/>
      <c r="E3598" s="15"/>
      <c r="F3598" s="15"/>
      <c r="G3598" s="15"/>
      <c r="H3598" s="15"/>
      <c r="I3598" s="15"/>
      <c r="J3598" s="15"/>
      <c r="K3598" s="15"/>
      <c r="L3598" s="28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  <c r="AA3598" s="15"/>
      <c r="AB3598" s="15"/>
      <c r="AC3598" s="15"/>
      <c r="AD3598" s="15"/>
      <c r="AE3598" s="15"/>
      <c r="AF3598" s="15"/>
      <c r="AG3598" s="15"/>
      <c r="AH3598" s="15"/>
      <c r="AI3598" s="15"/>
      <c r="AJ3598" s="15"/>
      <c r="AK3598" s="15"/>
      <c r="AL3598" s="15"/>
      <c r="AM3598" s="15"/>
      <c r="AN3598" s="15"/>
      <c r="AO3598" s="15"/>
      <c r="AP3598" s="15"/>
      <c r="AQ3598" s="15"/>
      <c r="AR3598" s="15"/>
      <c r="AS3598" s="15"/>
      <c r="AT3598" s="15"/>
      <c r="AU3598" s="15"/>
      <c r="AV3598" s="15"/>
      <c r="AW3598" s="15"/>
    </row>
    <row r="3599" spans="3:49" x14ac:dyDescent="0.2">
      <c r="C3599" s="15"/>
      <c r="D3599" s="15"/>
      <c r="E3599" s="15"/>
      <c r="F3599" s="15"/>
      <c r="G3599" s="15"/>
      <c r="H3599" s="15"/>
      <c r="I3599" s="15"/>
      <c r="J3599" s="15"/>
      <c r="K3599" s="15"/>
      <c r="L3599" s="28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  <c r="AA3599" s="15"/>
      <c r="AB3599" s="15"/>
      <c r="AC3599" s="15"/>
      <c r="AD3599" s="15"/>
      <c r="AE3599" s="15"/>
      <c r="AF3599" s="15"/>
      <c r="AG3599" s="15"/>
      <c r="AH3599" s="15"/>
      <c r="AI3599" s="15"/>
      <c r="AJ3599" s="15"/>
      <c r="AK3599" s="15"/>
      <c r="AL3599" s="15"/>
      <c r="AM3599" s="15"/>
      <c r="AN3599" s="15"/>
      <c r="AO3599" s="15"/>
      <c r="AP3599" s="15"/>
      <c r="AQ3599" s="15"/>
      <c r="AR3599" s="15"/>
      <c r="AS3599" s="15"/>
      <c r="AT3599" s="15"/>
      <c r="AU3599" s="15"/>
      <c r="AV3599" s="15"/>
      <c r="AW3599" s="15"/>
    </row>
    <row r="3600" spans="3:49" x14ac:dyDescent="0.2">
      <c r="C3600" s="15"/>
      <c r="D3600" s="15"/>
      <c r="E3600" s="15"/>
      <c r="F3600" s="15"/>
      <c r="G3600" s="15"/>
      <c r="H3600" s="15"/>
      <c r="I3600" s="15"/>
      <c r="J3600" s="15"/>
      <c r="K3600" s="15"/>
      <c r="L3600" s="28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  <c r="AA3600" s="15"/>
      <c r="AB3600" s="15"/>
      <c r="AC3600" s="15"/>
      <c r="AD3600" s="15"/>
      <c r="AE3600" s="15"/>
      <c r="AF3600" s="15"/>
      <c r="AG3600" s="15"/>
      <c r="AH3600" s="15"/>
      <c r="AI3600" s="15"/>
      <c r="AJ3600" s="15"/>
      <c r="AK3600" s="15"/>
      <c r="AL3600" s="15"/>
      <c r="AM3600" s="15"/>
      <c r="AN3600" s="15"/>
      <c r="AO3600" s="15"/>
      <c r="AP3600" s="15"/>
      <c r="AQ3600" s="15"/>
      <c r="AR3600" s="15"/>
      <c r="AS3600" s="15"/>
      <c r="AT3600" s="15"/>
      <c r="AU3600" s="15"/>
      <c r="AV3600" s="15"/>
      <c r="AW3600" s="15"/>
    </row>
    <row r="3601" spans="3:49" x14ac:dyDescent="0.2">
      <c r="C3601" s="15"/>
      <c r="D3601" s="15"/>
      <c r="E3601" s="15"/>
      <c r="F3601" s="15"/>
      <c r="G3601" s="15"/>
      <c r="H3601" s="15"/>
      <c r="I3601" s="15"/>
      <c r="J3601" s="15"/>
      <c r="K3601" s="15"/>
      <c r="L3601" s="28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  <c r="AA3601" s="15"/>
      <c r="AB3601" s="15"/>
      <c r="AC3601" s="15"/>
      <c r="AD3601" s="15"/>
      <c r="AE3601" s="15"/>
      <c r="AF3601" s="15"/>
      <c r="AG3601" s="15"/>
      <c r="AH3601" s="15"/>
      <c r="AI3601" s="15"/>
      <c r="AJ3601" s="15"/>
      <c r="AK3601" s="15"/>
      <c r="AL3601" s="15"/>
      <c r="AM3601" s="15"/>
      <c r="AN3601" s="15"/>
      <c r="AO3601" s="15"/>
      <c r="AP3601" s="15"/>
      <c r="AQ3601" s="15"/>
      <c r="AR3601" s="15"/>
      <c r="AS3601" s="15"/>
      <c r="AT3601" s="15"/>
      <c r="AU3601" s="15"/>
      <c r="AV3601" s="15"/>
      <c r="AW3601" s="15"/>
    </row>
    <row r="3602" spans="3:49" x14ac:dyDescent="0.2">
      <c r="C3602" s="15"/>
      <c r="D3602" s="15"/>
      <c r="E3602" s="15"/>
      <c r="F3602" s="15"/>
      <c r="G3602" s="15"/>
      <c r="H3602" s="15"/>
      <c r="I3602" s="15"/>
      <c r="J3602" s="15"/>
      <c r="K3602" s="15"/>
      <c r="L3602" s="28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  <c r="AA3602" s="15"/>
      <c r="AB3602" s="15"/>
      <c r="AC3602" s="15"/>
      <c r="AD3602" s="15"/>
      <c r="AE3602" s="15"/>
      <c r="AF3602" s="15"/>
      <c r="AG3602" s="15"/>
      <c r="AH3602" s="15"/>
      <c r="AI3602" s="15"/>
      <c r="AJ3602" s="15"/>
      <c r="AK3602" s="15"/>
      <c r="AL3602" s="15"/>
      <c r="AM3602" s="15"/>
      <c r="AN3602" s="15"/>
      <c r="AO3602" s="15"/>
      <c r="AP3602" s="15"/>
      <c r="AQ3602" s="15"/>
      <c r="AR3602" s="15"/>
      <c r="AS3602" s="15"/>
      <c r="AT3602" s="15"/>
      <c r="AU3602" s="15"/>
      <c r="AV3602" s="15"/>
      <c r="AW3602" s="15"/>
    </row>
    <row r="3603" spans="3:49" x14ac:dyDescent="0.2">
      <c r="C3603" s="15"/>
      <c r="D3603" s="15"/>
      <c r="E3603" s="15"/>
      <c r="F3603" s="15"/>
      <c r="G3603" s="15"/>
      <c r="H3603" s="15"/>
      <c r="I3603" s="15"/>
      <c r="J3603" s="15"/>
      <c r="K3603" s="15"/>
      <c r="L3603" s="28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  <c r="AA3603" s="15"/>
      <c r="AB3603" s="15"/>
      <c r="AC3603" s="15"/>
      <c r="AD3603" s="15"/>
      <c r="AE3603" s="15"/>
      <c r="AF3603" s="15"/>
      <c r="AG3603" s="15"/>
      <c r="AH3603" s="15"/>
      <c r="AI3603" s="15"/>
      <c r="AJ3603" s="15"/>
      <c r="AK3603" s="15"/>
      <c r="AL3603" s="15"/>
      <c r="AM3603" s="15"/>
      <c r="AN3603" s="15"/>
      <c r="AO3603" s="15"/>
      <c r="AP3603" s="15"/>
      <c r="AQ3603" s="15"/>
      <c r="AR3603" s="15"/>
      <c r="AS3603" s="15"/>
      <c r="AT3603" s="15"/>
      <c r="AU3603" s="15"/>
      <c r="AV3603" s="15"/>
      <c r="AW3603" s="15"/>
    </row>
    <row r="3604" spans="3:49" x14ac:dyDescent="0.2">
      <c r="C3604" s="15"/>
      <c r="D3604" s="15"/>
      <c r="E3604" s="15"/>
      <c r="F3604" s="15"/>
      <c r="G3604" s="15"/>
      <c r="H3604" s="15"/>
      <c r="I3604" s="15"/>
      <c r="J3604" s="15"/>
      <c r="K3604" s="15"/>
      <c r="L3604" s="28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  <c r="AA3604" s="15"/>
      <c r="AB3604" s="15"/>
      <c r="AC3604" s="15"/>
      <c r="AD3604" s="15"/>
      <c r="AE3604" s="15"/>
      <c r="AF3604" s="15"/>
      <c r="AG3604" s="15"/>
      <c r="AH3604" s="15"/>
      <c r="AI3604" s="15"/>
      <c r="AJ3604" s="15"/>
      <c r="AK3604" s="15"/>
      <c r="AL3604" s="15"/>
      <c r="AM3604" s="15"/>
      <c r="AN3604" s="15"/>
      <c r="AO3604" s="15"/>
      <c r="AP3604" s="15"/>
      <c r="AQ3604" s="15"/>
      <c r="AR3604" s="15"/>
      <c r="AS3604" s="15"/>
      <c r="AT3604" s="15"/>
      <c r="AU3604" s="15"/>
      <c r="AV3604" s="15"/>
      <c r="AW3604" s="15"/>
    </row>
    <row r="3605" spans="3:49" x14ac:dyDescent="0.2">
      <c r="C3605" s="15"/>
      <c r="D3605" s="15"/>
      <c r="E3605" s="15"/>
      <c r="F3605" s="15"/>
      <c r="G3605" s="15"/>
      <c r="H3605" s="15"/>
      <c r="I3605" s="15"/>
      <c r="J3605" s="15"/>
      <c r="K3605" s="15"/>
      <c r="L3605" s="28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  <c r="AA3605" s="15"/>
      <c r="AB3605" s="15"/>
      <c r="AC3605" s="15"/>
      <c r="AD3605" s="15"/>
      <c r="AE3605" s="15"/>
      <c r="AF3605" s="15"/>
      <c r="AG3605" s="15"/>
      <c r="AH3605" s="15"/>
      <c r="AI3605" s="15"/>
      <c r="AJ3605" s="15"/>
      <c r="AK3605" s="15"/>
      <c r="AL3605" s="15"/>
      <c r="AM3605" s="15"/>
      <c r="AN3605" s="15"/>
      <c r="AO3605" s="15"/>
      <c r="AP3605" s="15"/>
      <c r="AQ3605" s="15"/>
      <c r="AR3605" s="15"/>
      <c r="AS3605" s="15"/>
      <c r="AT3605" s="15"/>
      <c r="AU3605" s="15"/>
      <c r="AV3605" s="15"/>
      <c r="AW3605" s="15"/>
    </row>
    <row r="3606" spans="3:49" x14ac:dyDescent="0.2">
      <c r="C3606" s="15"/>
      <c r="D3606" s="15"/>
      <c r="E3606" s="15"/>
      <c r="F3606" s="15"/>
      <c r="G3606" s="15"/>
      <c r="H3606" s="15"/>
      <c r="I3606" s="15"/>
      <c r="J3606" s="15"/>
      <c r="K3606" s="15"/>
      <c r="L3606" s="28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  <c r="AA3606" s="15"/>
      <c r="AB3606" s="15"/>
      <c r="AC3606" s="15"/>
      <c r="AD3606" s="15"/>
      <c r="AE3606" s="15"/>
      <c r="AF3606" s="15"/>
      <c r="AG3606" s="15"/>
      <c r="AH3606" s="15"/>
      <c r="AI3606" s="15"/>
      <c r="AJ3606" s="15"/>
      <c r="AK3606" s="15"/>
      <c r="AL3606" s="15"/>
      <c r="AM3606" s="15"/>
      <c r="AN3606" s="15"/>
      <c r="AO3606" s="15"/>
      <c r="AP3606" s="15"/>
      <c r="AQ3606" s="15"/>
      <c r="AR3606" s="15"/>
      <c r="AS3606" s="15"/>
      <c r="AT3606" s="15"/>
      <c r="AU3606" s="15"/>
      <c r="AV3606" s="15"/>
      <c r="AW3606" s="15"/>
    </row>
    <row r="3607" spans="3:49" x14ac:dyDescent="0.2">
      <c r="C3607" s="15"/>
      <c r="D3607" s="15"/>
      <c r="E3607" s="15"/>
      <c r="F3607" s="15"/>
      <c r="G3607" s="15"/>
      <c r="H3607" s="15"/>
      <c r="I3607" s="15"/>
      <c r="J3607" s="15"/>
      <c r="K3607" s="15"/>
      <c r="L3607" s="28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  <c r="AA3607" s="15"/>
      <c r="AB3607" s="15"/>
      <c r="AC3607" s="15"/>
      <c r="AD3607" s="15"/>
      <c r="AE3607" s="15"/>
      <c r="AF3607" s="15"/>
      <c r="AG3607" s="15"/>
      <c r="AH3607" s="15"/>
      <c r="AI3607" s="15"/>
      <c r="AJ3607" s="15"/>
      <c r="AK3607" s="15"/>
      <c r="AL3607" s="15"/>
      <c r="AM3607" s="15"/>
      <c r="AN3607" s="15"/>
      <c r="AO3607" s="15"/>
      <c r="AP3607" s="15"/>
      <c r="AQ3607" s="15"/>
      <c r="AR3607" s="15"/>
      <c r="AS3607" s="15"/>
      <c r="AT3607" s="15"/>
      <c r="AU3607" s="15"/>
      <c r="AV3607" s="15"/>
      <c r="AW3607" s="15"/>
    </row>
    <row r="3608" spans="3:49" x14ac:dyDescent="0.2">
      <c r="C3608" s="15"/>
      <c r="D3608" s="15"/>
      <c r="E3608" s="15"/>
      <c r="F3608" s="15"/>
      <c r="G3608" s="15"/>
      <c r="H3608" s="15"/>
      <c r="I3608" s="15"/>
      <c r="J3608" s="15"/>
      <c r="K3608" s="15"/>
      <c r="L3608" s="28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  <c r="AA3608" s="15"/>
      <c r="AB3608" s="15"/>
      <c r="AC3608" s="15"/>
      <c r="AD3608" s="15"/>
      <c r="AE3608" s="15"/>
      <c r="AF3608" s="15"/>
      <c r="AG3608" s="15"/>
      <c r="AH3608" s="15"/>
      <c r="AI3608" s="15"/>
      <c r="AJ3608" s="15"/>
      <c r="AK3608" s="15"/>
      <c r="AL3608" s="15"/>
      <c r="AM3608" s="15"/>
      <c r="AN3608" s="15"/>
      <c r="AO3608" s="15"/>
      <c r="AP3608" s="15"/>
      <c r="AQ3608" s="15"/>
      <c r="AR3608" s="15"/>
      <c r="AS3608" s="15"/>
      <c r="AT3608" s="15"/>
      <c r="AU3608" s="15"/>
      <c r="AV3608" s="15"/>
      <c r="AW3608" s="15"/>
    </row>
    <row r="3609" spans="3:49" x14ac:dyDescent="0.2">
      <c r="C3609" s="15"/>
      <c r="D3609" s="15"/>
      <c r="E3609" s="15"/>
      <c r="F3609" s="15"/>
      <c r="G3609" s="15"/>
      <c r="H3609" s="15"/>
      <c r="I3609" s="15"/>
      <c r="J3609" s="15"/>
      <c r="K3609" s="15"/>
      <c r="L3609" s="28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  <c r="AA3609" s="15"/>
      <c r="AB3609" s="15"/>
      <c r="AC3609" s="15"/>
      <c r="AD3609" s="15"/>
      <c r="AE3609" s="15"/>
      <c r="AF3609" s="15"/>
      <c r="AG3609" s="15"/>
      <c r="AH3609" s="15"/>
      <c r="AI3609" s="15"/>
      <c r="AJ3609" s="15"/>
      <c r="AK3609" s="15"/>
      <c r="AL3609" s="15"/>
      <c r="AM3609" s="15"/>
      <c r="AN3609" s="15"/>
      <c r="AO3609" s="15"/>
      <c r="AP3609" s="15"/>
      <c r="AQ3609" s="15"/>
      <c r="AR3609" s="15"/>
      <c r="AS3609" s="15"/>
      <c r="AT3609" s="15"/>
      <c r="AU3609" s="15"/>
      <c r="AV3609" s="15"/>
      <c r="AW3609" s="15"/>
    </row>
    <row r="3610" spans="3:49" x14ac:dyDescent="0.2">
      <c r="C3610" s="15"/>
      <c r="D3610" s="15"/>
      <c r="E3610" s="15"/>
      <c r="F3610" s="15"/>
      <c r="G3610" s="15"/>
      <c r="H3610" s="15"/>
      <c r="I3610" s="15"/>
      <c r="J3610" s="15"/>
      <c r="K3610" s="15"/>
      <c r="L3610" s="28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  <c r="AA3610" s="15"/>
      <c r="AB3610" s="15"/>
      <c r="AC3610" s="15"/>
      <c r="AD3610" s="15"/>
      <c r="AE3610" s="15"/>
      <c r="AF3610" s="15"/>
      <c r="AG3610" s="15"/>
      <c r="AH3610" s="15"/>
      <c r="AI3610" s="15"/>
      <c r="AJ3610" s="15"/>
      <c r="AK3610" s="15"/>
      <c r="AL3610" s="15"/>
      <c r="AM3610" s="15"/>
      <c r="AN3610" s="15"/>
      <c r="AO3610" s="15"/>
      <c r="AP3610" s="15"/>
      <c r="AQ3610" s="15"/>
      <c r="AR3610" s="15"/>
      <c r="AS3610" s="15"/>
      <c r="AT3610" s="15"/>
      <c r="AU3610" s="15"/>
      <c r="AV3610" s="15"/>
      <c r="AW3610" s="15"/>
    </row>
    <row r="3611" spans="3:49" x14ac:dyDescent="0.2">
      <c r="C3611" s="15"/>
      <c r="D3611" s="15"/>
      <c r="E3611" s="15"/>
      <c r="F3611" s="15"/>
      <c r="G3611" s="15"/>
      <c r="H3611" s="15"/>
      <c r="I3611" s="15"/>
      <c r="J3611" s="15"/>
      <c r="K3611" s="15"/>
      <c r="L3611" s="28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  <c r="AA3611" s="15"/>
      <c r="AB3611" s="15"/>
      <c r="AC3611" s="15"/>
      <c r="AD3611" s="15"/>
      <c r="AE3611" s="15"/>
      <c r="AF3611" s="15"/>
      <c r="AG3611" s="15"/>
      <c r="AH3611" s="15"/>
      <c r="AI3611" s="15"/>
      <c r="AJ3611" s="15"/>
      <c r="AK3611" s="15"/>
      <c r="AL3611" s="15"/>
      <c r="AM3611" s="15"/>
      <c r="AN3611" s="15"/>
      <c r="AO3611" s="15"/>
      <c r="AP3611" s="15"/>
      <c r="AQ3611" s="15"/>
      <c r="AR3611" s="15"/>
      <c r="AS3611" s="15"/>
      <c r="AT3611" s="15"/>
      <c r="AU3611" s="15"/>
      <c r="AV3611" s="15"/>
      <c r="AW3611" s="15"/>
    </row>
    <row r="3612" spans="3:49" x14ac:dyDescent="0.2">
      <c r="C3612" s="15"/>
      <c r="D3612" s="15"/>
      <c r="E3612" s="15"/>
      <c r="F3612" s="15"/>
      <c r="G3612" s="15"/>
      <c r="H3612" s="15"/>
      <c r="I3612" s="15"/>
      <c r="J3612" s="15"/>
      <c r="K3612" s="15"/>
      <c r="L3612" s="28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  <c r="AA3612" s="15"/>
      <c r="AB3612" s="15"/>
      <c r="AC3612" s="15"/>
      <c r="AD3612" s="15"/>
      <c r="AE3612" s="15"/>
      <c r="AF3612" s="15"/>
      <c r="AG3612" s="15"/>
      <c r="AH3612" s="15"/>
      <c r="AI3612" s="15"/>
      <c r="AJ3612" s="15"/>
      <c r="AK3612" s="15"/>
      <c r="AL3612" s="15"/>
      <c r="AM3612" s="15"/>
      <c r="AN3612" s="15"/>
      <c r="AO3612" s="15"/>
      <c r="AP3612" s="15"/>
      <c r="AQ3612" s="15"/>
      <c r="AR3612" s="15"/>
      <c r="AS3612" s="15"/>
      <c r="AT3612" s="15"/>
      <c r="AU3612" s="15"/>
      <c r="AV3612" s="15"/>
      <c r="AW3612" s="15"/>
    </row>
    <row r="3613" spans="3:49" x14ac:dyDescent="0.2">
      <c r="C3613" s="15"/>
      <c r="D3613" s="15"/>
      <c r="E3613" s="15"/>
      <c r="F3613" s="15"/>
      <c r="G3613" s="15"/>
      <c r="H3613" s="15"/>
      <c r="I3613" s="15"/>
      <c r="J3613" s="15"/>
      <c r="K3613" s="15"/>
      <c r="L3613" s="28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  <c r="AA3613" s="15"/>
      <c r="AB3613" s="15"/>
      <c r="AC3613" s="15"/>
      <c r="AD3613" s="15"/>
      <c r="AE3613" s="15"/>
      <c r="AF3613" s="15"/>
      <c r="AG3613" s="15"/>
      <c r="AH3613" s="15"/>
      <c r="AI3613" s="15"/>
      <c r="AJ3613" s="15"/>
      <c r="AK3613" s="15"/>
      <c r="AL3613" s="15"/>
      <c r="AM3613" s="15"/>
      <c r="AN3613" s="15"/>
      <c r="AO3613" s="15"/>
      <c r="AP3613" s="15"/>
      <c r="AQ3613" s="15"/>
      <c r="AR3613" s="15"/>
      <c r="AS3613" s="15"/>
      <c r="AT3613" s="15"/>
      <c r="AU3613" s="15"/>
      <c r="AV3613" s="15"/>
      <c r="AW3613" s="15"/>
    </row>
    <row r="3614" spans="3:49" x14ac:dyDescent="0.2">
      <c r="C3614" s="15"/>
      <c r="D3614" s="15"/>
      <c r="E3614" s="15"/>
      <c r="F3614" s="15"/>
      <c r="G3614" s="15"/>
      <c r="H3614" s="15"/>
      <c r="I3614" s="15"/>
      <c r="J3614" s="15"/>
      <c r="K3614" s="15"/>
      <c r="L3614" s="28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  <c r="AA3614" s="15"/>
      <c r="AB3614" s="15"/>
      <c r="AC3614" s="15"/>
      <c r="AD3614" s="15"/>
      <c r="AE3614" s="15"/>
      <c r="AF3614" s="15"/>
      <c r="AG3614" s="15"/>
      <c r="AH3614" s="15"/>
      <c r="AI3614" s="15"/>
      <c r="AJ3614" s="15"/>
      <c r="AK3614" s="15"/>
      <c r="AL3614" s="15"/>
      <c r="AM3614" s="15"/>
      <c r="AN3614" s="15"/>
      <c r="AO3614" s="15"/>
      <c r="AP3614" s="15"/>
      <c r="AQ3614" s="15"/>
      <c r="AR3614" s="15"/>
      <c r="AS3614" s="15"/>
      <c r="AT3614" s="15"/>
      <c r="AU3614" s="15"/>
      <c r="AV3614" s="15"/>
      <c r="AW3614" s="15"/>
    </row>
    <row r="3615" spans="3:49" x14ac:dyDescent="0.2">
      <c r="C3615" s="15"/>
      <c r="D3615" s="15"/>
      <c r="E3615" s="15"/>
      <c r="F3615" s="15"/>
      <c r="G3615" s="15"/>
      <c r="H3615" s="15"/>
      <c r="I3615" s="15"/>
      <c r="J3615" s="15"/>
      <c r="K3615" s="15"/>
      <c r="L3615" s="28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  <c r="AA3615" s="15"/>
      <c r="AB3615" s="15"/>
      <c r="AC3615" s="15"/>
      <c r="AD3615" s="15"/>
      <c r="AE3615" s="15"/>
      <c r="AF3615" s="15"/>
      <c r="AG3615" s="15"/>
      <c r="AH3615" s="15"/>
      <c r="AI3615" s="15"/>
      <c r="AJ3615" s="15"/>
      <c r="AK3615" s="15"/>
      <c r="AL3615" s="15"/>
      <c r="AM3615" s="15"/>
      <c r="AN3615" s="15"/>
      <c r="AO3615" s="15"/>
      <c r="AP3615" s="15"/>
      <c r="AQ3615" s="15"/>
      <c r="AR3615" s="15"/>
      <c r="AS3615" s="15"/>
      <c r="AT3615" s="15"/>
      <c r="AU3615" s="15"/>
      <c r="AV3615" s="15"/>
      <c r="AW3615" s="15"/>
    </row>
    <row r="3616" spans="3:49" x14ac:dyDescent="0.2">
      <c r="C3616" s="15"/>
      <c r="D3616" s="15"/>
      <c r="E3616" s="15"/>
      <c r="F3616" s="15"/>
      <c r="G3616" s="15"/>
      <c r="H3616" s="15"/>
      <c r="I3616" s="15"/>
      <c r="J3616" s="15"/>
      <c r="K3616" s="15"/>
      <c r="L3616" s="28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  <c r="AA3616" s="15"/>
      <c r="AB3616" s="15"/>
      <c r="AC3616" s="15"/>
      <c r="AD3616" s="15"/>
      <c r="AE3616" s="15"/>
      <c r="AF3616" s="15"/>
      <c r="AG3616" s="15"/>
      <c r="AH3616" s="15"/>
      <c r="AI3616" s="15"/>
      <c r="AJ3616" s="15"/>
      <c r="AK3616" s="15"/>
      <c r="AL3616" s="15"/>
      <c r="AM3616" s="15"/>
      <c r="AN3616" s="15"/>
      <c r="AO3616" s="15"/>
      <c r="AP3616" s="15"/>
      <c r="AQ3616" s="15"/>
      <c r="AR3616" s="15"/>
      <c r="AS3616" s="15"/>
      <c r="AT3616" s="15"/>
      <c r="AU3616" s="15"/>
      <c r="AV3616" s="15"/>
      <c r="AW3616" s="15"/>
    </row>
    <row r="3617" spans="3:49" x14ac:dyDescent="0.2">
      <c r="C3617" s="15"/>
      <c r="D3617" s="15"/>
      <c r="E3617" s="15"/>
      <c r="F3617" s="15"/>
      <c r="G3617" s="15"/>
      <c r="H3617" s="15"/>
      <c r="I3617" s="15"/>
      <c r="J3617" s="15"/>
      <c r="K3617" s="15"/>
      <c r="L3617" s="28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  <c r="AA3617" s="15"/>
      <c r="AB3617" s="15"/>
      <c r="AC3617" s="15"/>
      <c r="AD3617" s="15"/>
      <c r="AE3617" s="15"/>
      <c r="AF3617" s="15"/>
      <c r="AG3617" s="15"/>
      <c r="AH3617" s="15"/>
      <c r="AI3617" s="15"/>
      <c r="AJ3617" s="15"/>
      <c r="AK3617" s="15"/>
      <c r="AL3617" s="15"/>
      <c r="AM3617" s="15"/>
      <c r="AN3617" s="15"/>
      <c r="AO3617" s="15"/>
      <c r="AP3617" s="15"/>
      <c r="AQ3617" s="15"/>
      <c r="AR3617" s="15"/>
      <c r="AS3617" s="15"/>
      <c r="AT3617" s="15"/>
      <c r="AU3617" s="15"/>
      <c r="AV3617" s="15"/>
      <c r="AW3617" s="15"/>
    </row>
    <row r="3618" spans="3:49" x14ac:dyDescent="0.2">
      <c r="C3618" s="15"/>
      <c r="D3618" s="15"/>
      <c r="E3618" s="15"/>
      <c r="F3618" s="15"/>
      <c r="G3618" s="15"/>
      <c r="H3618" s="15"/>
      <c r="I3618" s="15"/>
      <c r="J3618" s="15"/>
      <c r="K3618" s="15"/>
      <c r="L3618" s="28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  <c r="AA3618" s="15"/>
      <c r="AB3618" s="15"/>
      <c r="AC3618" s="15"/>
      <c r="AD3618" s="15"/>
      <c r="AE3618" s="15"/>
      <c r="AF3618" s="15"/>
      <c r="AG3618" s="15"/>
      <c r="AH3618" s="15"/>
      <c r="AI3618" s="15"/>
      <c r="AJ3618" s="15"/>
      <c r="AK3618" s="15"/>
      <c r="AL3618" s="15"/>
      <c r="AM3618" s="15"/>
      <c r="AN3618" s="15"/>
      <c r="AO3618" s="15"/>
      <c r="AP3618" s="15"/>
      <c r="AQ3618" s="15"/>
      <c r="AR3618" s="15"/>
      <c r="AS3618" s="15"/>
      <c r="AT3618" s="15"/>
      <c r="AU3618" s="15"/>
      <c r="AV3618" s="15"/>
      <c r="AW3618" s="15"/>
    </row>
    <row r="3619" spans="3:49" x14ac:dyDescent="0.2">
      <c r="C3619" s="15"/>
      <c r="D3619" s="15"/>
      <c r="E3619" s="15"/>
      <c r="F3619" s="15"/>
      <c r="G3619" s="15"/>
      <c r="H3619" s="15"/>
      <c r="I3619" s="15"/>
      <c r="J3619" s="15"/>
      <c r="K3619" s="15"/>
      <c r="L3619" s="28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  <c r="AA3619" s="15"/>
      <c r="AB3619" s="15"/>
      <c r="AC3619" s="15"/>
      <c r="AD3619" s="15"/>
      <c r="AE3619" s="15"/>
      <c r="AF3619" s="15"/>
      <c r="AG3619" s="15"/>
      <c r="AH3619" s="15"/>
      <c r="AI3619" s="15"/>
      <c r="AJ3619" s="15"/>
      <c r="AK3619" s="15"/>
      <c r="AL3619" s="15"/>
      <c r="AM3619" s="15"/>
      <c r="AN3619" s="15"/>
      <c r="AO3619" s="15"/>
      <c r="AP3619" s="15"/>
      <c r="AQ3619" s="15"/>
      <c r="AR3619" s="15"/>
      <c r="AS3619" s="15"/>
      <c r="AT3619" s="15"/>
      <c r="AU3619" s="15"/>
      <c r="AV3619" s="15"/>
      <c r="AW3619" s="15"/>
    </row>
    <row r="3620" spans="3:49" x14ac:dyDescent="0.2">
      <c r="C3620" s="15"/>
      <c r="D3620" s="15"/>
      <c r="E3620" s="15"/>
      <c r="F3620" s="15"/>
      <c r="G3620" s="15"/>
      <c r="H3620" s="15"/>
      <c r="I3620" s="15"/>
      <c r="J3620" s="15"/>
      <c r="K3620" s="15"/>
      <c r="L3620" s="28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  <c r="AA3620" s="15"/>
      <c r="AB3620" s="15"/>
      <c r="AC3620" s="15"/>
      <c r="AD3620" s="15"/>
      <c r="AE3620" s="15"/>
      <c r="AF3620" s="15"/>
      <c r="AG3620" s="15"/>
      <c r="AH3620" s="15"/>
      <c r="AI3620" s="15"/>
      <c r="AJ3620" s="15"/>
      <c r="AK3620" s="15"/>
      <c r="AL3620" s="15"/>
      <c r="AM3620" s="15"/>
      <c r="AN3620" s="15"/>
      <c r="AO3620" s="15"/>
      <c r="AP3620" s="15"/>
      <c r="AQ3620" s="15"/>
      <c r="AR3620" s="15"/>
      <c r="AS3620" s="15"/>
      <c r="AT3620" s="15"/>
      <c r="AU3620" s="15"/>
      <c r="AV3620" s="15"/>
      <c r="AW3620" s="15"/>
    </row>
    <row r="3621" spans="3:49" x14ac:dyDescent="0.2">
      <c r="C3621" s="15"/>
      <c r="D3621" s="15"/>
      <c r="E3621" s="15"/>
      <c r="F3621" s="15"/>
      <c r="G3621" s="15"/>
      <c r="H3621" s="15"/>
      <c r="I3621" s="15"/>
      <c r="J3621" s="15"/>
      <c r="K3621" s="15"/>
      <c r="L3621" s="28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  <c r="AA3621" s="15"/>
      <c r="AB3621" s="15"/>
      <c r="AC3621" s="15"/>
      <c r="AD3621" s="15"/>
      <c r="AE3621" s="15"/>
      <c r="AF3621" s="15"/>
      <c r="AG3621" s="15"/>
      <c r="AH3621" s="15"/>
      <c r="AI3621" s="15"/>
      <c r="AJ3621" s="15"/>
      <c r="AK3621" s="15"/>
      <c r="AL3621" s="15"/>
      <c r="AM3621" s="15"/>
      <c r="AN3621" s="15"/>
      <c r="AO3621" s="15"/>
      <c r="AP3621" s="15"/>
      <c r="AQ3621" s="15"/>
      <c r="AR3621" s="15"/>
      <c r="AS3621" s="15"/>
      <c r="AT3621" s="15"/>
      <c r="AU3621" s="15"/>
      <c r="AV3621" s="15"/>
      <c r="AW3621" s="15"/>
    </row>
    <row r="3622" spans="3:49" x14ac:dyDescent="0.2">
      <c r="C3622" s="15"/>
      <c r="D3622" s="15"/>
      <c r="E3622" s="15"/>
      <c r="F3622" s="15"/>
      <c r="G3622" s="15"/>
      <c r="H3622" s="15"/>
      <c r="I3622" s="15"/>
      <c r="J3622" s="15"/>
      <c r="K3622" s="15"/>
      <c r="L3622" s="28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  <c r="AA3622" s="15"/>
      <c r="AB3622" s="15"/>
      <c r="AC3622" s="15"/>
      <c r="AD3622" s="15"/>
      <c r="AE3622" s="15"/>
      <c r="AF3622" s="15"/>
      <c r="AG3622" s="15"/>
      <c r="AH3622" s="15"/>
      <c r="AI3622" s="15"/>
      <c r="AJ3622" s="15"/>
      <c r="AK3622" s="15"/>
      <c r="AL3622" s="15"/>
      <c r="AM3622" s="15"/>
      <c r="AN3622" s="15"/>
      <c r="AO3622" s="15"/>
      <c r="AP3622" s="15"/>
      <c r="AQ3622" s="15"/>
      <c r="AR3622" s="15"/>
      <c r="AS3622" s="15"/>
      <c r="AT3622" s="15"/>
      <c r="AU3622" s="15"/>
      <c r="AV3622" s="15"/>
      <c r="AW3622" s="15"/>
    </row>
    <row r="3623" spans="3:49" x14ac:dyDescent="0.2">
      <c r="C3623" s="15"/>
      <c r="D3623" s="15"/>
      <c r="E3623" s="15"/>
      <c r="F3623" s="15"/>
      <c r="G3623" s="15"/>
      <c r="H3623" s="15"/>
      <c r="I3623" s="15"/>
      <c r="J3623" s="15"/>
      <c r="K3623" s="15"/>
      <c r="L3623" s="28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  <c r="AA3623" s="15"/>
      <c r="AB3623" s="15"/>
      <c r="AC3623" s="15"/>
      <c r="AD3623" s="15"/>
      <c r="AE3623" s="15"/>
      <c r="AF3623" s="15"/>
      <c r="AG3623" s="15"/>
      <c r="AH3623" s="15"/>
      <c r="AI3623" s="15"/>
      <c r="AJ3623" s="15"/>
      <c r="AK3623" s="15"/>
      <c r="AL3623" s="15"/>
      <c r="AM3623" s="15"/>
      <c r="AN3623" s="15"/>
      <c r="AO3623" s="15"/>
      <c r="AP3623" s="15"/>
      <c r="AQ3623" s="15"/>
      <c r="AR3623" s="15"/>
      <c r="AS3623" s="15"/>
      <c r="AT3623" s="15"/>
      <c r="AU3623" s="15"/>
      <c r="AV3623" s="15"/>
      <c r="AW3623" s="15"/>
    </row>
    <row r="3624" spans="3:49" x14ac:dyDescent="0.2">
      <c r="C3624" s="15"/>
      <c r="D3624" s="15"/>
      <c r="E3624" s="15"/>
      <c r="F3624" s="15"/>
      <c r="G3624" s="15"/>
      <c r="H3624" s="15"/>
      <c r="I3624" s="15"/>
      <c r="J3624" s="15"/>
      <c r="K3624" s="15"/>
      <c r="L3624" s="28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  <c r="AA3624" s="15"/>
      <c r="AB3624" s="15"/>
      <c r="AC3624" s="15"/>
      <c r="AD3624" s="15"/>
      <c r="AE3624" s="15"/>
      <c r="AF3624" s="15"/>
      <c r="AG3624" s="15"/>
      <c r="AH3624" s="15"/>
      <c r="AI3624" s="15"/>
      <c r="AJ3624" s="15"/>
      <c r="AK3624" s="15"/>
      <c r="AL3624" s="15"/>
      <c r="AM3624" s="15"/>
      <c r="AN3624" s="15"/>
      <c r="AO3624" s="15"/>
      <c r="AP3624" s="15"/>
      <c r="AQ3624" s="15"/>
      <c r="AR3624" s="15"/>
      <c r="AS3624" s="15"/>
      <c r="AT3624" s="15"/>
      <c r="AU3624" s="15"/>
      <c r="AV3624" s="15"/>
      <c r="AW3624" s="15"/>
    </row>
    <row r="3625" spans="3:49" x14ac:dyDescent="0.2">
      <c r="C3625" s="15"/>
      <c r="D3625" s="15"/>
      <c r="E3625" s="15"/>
      <c r="F3625" s="15"/>
      <c r="G3625" s="15"/>
      <c r="H3625" s="15"/>
      <c r="I3625" s="15"/>
      <c r="J3625" s="15"/>
      <c r="K3625" s="15"/>
      <c r="L3625" s="28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  <c r="AA3625" s="15"/>
      <c r="AB3625" s="15"/>
      <c r="AC3625" s="15"/>
      <c r="AD3625" s="15"/>
      <c r="AE3625" s="15"/>
      <c r="AF3625" s="15"/>
      <c r="AG3625" s="15"/>
      <c r="AH3625" s="15"/>
      <c r="AI3625" s="15"/>
      <c r="AJ3625" s="15"/>
      <c r="AK3625" s="15"/>
      <c r="AL3625" s="15"/>
      <c r="AM3625" s="15"/>
      <c r="AN3625" s="15"/>
      <c r="AO3625" s="15"/>
      <c r="AP3625" s="15"/>
      <c r="AQ3625" s="15"/>
      <c r="AR3625" s="15"/>
      <c r="AS3625" s="15"/>
      <c r="AT3625" s="15"/>
      <c r="AU3625" s="15"/>
      <c r="AV3625" s="15"/>
      <c r="AW3625" s="15"/>
    </row>
    <row r="3626" spans="3:49" x14ac:dyDescent="0.2">
      <c r="C3626" s="15"/>
      <c r="D3626" s="15"/>
      <c r="E3626" s="15"/>
      <c r="F3626" s="15"/>
      <c r="G3626" s="15"/>
      <c r="H3626" s="15"/>
      <c r="I3626" s="15"/>
      <c r="J3626" s="15"/>
      <c r="K3626" s="15"/>
      <c r="L3626" s="28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  <c r="AA3626" s="15"/>
      <c r="AB3626" s="15"/>
      <c r="AC3626" s="15"/>
      <c r="AD3626" s="15"/>
      <c r="AE3626" s="15"/>
      <c r="AF3626" s="15"/>
      <c r="AG3626" s="15"/>
      <c r="AH3626" s="15"/>
      <c r="AI3626" s="15"/>
      <c r="AJ3626" s="15"/>
      <c r="AK3626" s="15"/>
      <c r="AL3626" s="15"/>
      <c r="AM3626" s="15"/>
      <c r="AN3626" s="15"/>
      <c r="AO3626" s="15"/>
      <c r="AP3626" s="15"/>
      <c r="AQ3626" s="15"/>
      <c r="AR3626" s="15"/>
      <c r="AS3626" s="15"/>
      <c r="AT3626" s="15"/>
      <c r="AU3626" s="15"/>
      <c r="AV3626" s="15"/>
      <c r="AW3626" s="15"/>
    </row>
    <row r="3627" spans="3:49" x14ac:dyDescent="0.2">
      <c r="C3627" s="15"/>
      <c r="D3627" s="15"/>
      <c r="E3627" s="15"/>
      <c r="F3627" s="15"/>
      <c r="G3627" s="15"/>
      <c r="H3627" s="15"/>
      <c r="I3627" s="15"/>
      <c r="J3627" s="15"/>
      <c r="K3627" s="15"/>
      <c r="L3627" s="28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  <c r="AA3627" s="15"/>
      <c r="AB3627" s="15"/>
      <c r="AC3627" s="15"/>
      <c r="AD3627" s="15"/>
      <c r="AE3627" s="15"/>
      <c r="AF3627" s="15"/>
      <c r="AG3627" s="15"/>
      <c r="AH3627" s="15"/>
      <c r="AI3627" s="15"/>
      <c r="AJ3627" s="15"/>
      <c r="AK3627" s="15"/>
      <c r="AL3627" s="15"/>
      <c r="AM3627" s="15"/>
      <c r="AN3627" s="15"/>
      <c r="AO3627" s="15"/>
      <c r="AP3627" s="15"/>
      <c r="AQ3627" s="15"/>
      <c r="AR3627" s="15"/>
      <c r="AS3627" s="15"/>
      <c r="AT3627" s="15"/>
      <c r="AU3627" s="15"/>
      <c r="AV3627" s="15"/>
      <c r="AW3627" s="15"/>
    </row>
    <row r="3628" spans="3:49" x14ac:dyDescent="0.2">
      <c r="C3628" s="15"/>
      <c r="D3628" s="15"/>
      <c r="E3628" s="15"/>
      <c r="F3628" s="15"/>
      <c r="G3628" s="15"/>
      <c r="H3628" s="15"/>
      <c r="I3628" s="15"/>
      <c r="J3628" s="15"/>
      <c r="K3628" s="15"/>
      <c r="L3628" s="28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  <c r="AA3628" s="15"/>
      <c r="AB3628" s="15"/>
      <c r="AC3628" s="15"/>
      <c r="AD3628" s="15"/>
      <c r="AE3628" s="15"/>
      <c r="AF3628" s="15"/>
      <c r="AG3628" s="15"/>
      <c r="AH3628" s="15"/>
      <c r="AI3628" s="15"/>
      <c r="AJ3628" s="15"/>
      <c r="AK3628" s="15"/>
      <c r="AL3628" s="15"/>
      <c r="AM3628" s="15"/>
      <c r="AN3628" s="15"/>
      <c r="AO3628" s="15"/>
      <c r="AP3628" s="15"/>
      <c r="AQ3628" s="15"/>
      <c r="AR3628" s="15"/>
      <c r="AS3628" s="15"/>
      <c r="AT3628" s="15"/>
      <c r="AU3628" s="15"/>
      <c r="AV3628" s="15"/>
      <c r="AW3628" s="15"/>
    </row>
    <row r="3629" spans="3:49" x14ac:dyDescent="0.2">
      <c r="C3629" s="15"/>
      <c r="D3629" s="15"/>
      <c r="E3629" s="15"/>
      <c r="F3629" s="15"/>
      <c r="G3629" s="15"/>
      <c r="H3629" s="15"/>
      <c r="I3629" s="15"/>
      <c r="J3629" s="15"/>
      <c r="K3629" s="15"/>
      <c r="L3629" s="28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  <c r="AA3629" s="15"/>
      <c r="AB3629" s="15"/>
      <c r="AC3629" s="15"/>
      <c r="AD3629" s="15"/>
      <c r="AE3629" s="15"/>
      <c r="AF3629" s="15"/>
      <c r="AG3629" s="15"/>
      <c r="AH3629" s="15"/>
      <c r="AI3629" s="15"/>
      <c r="AJ3629" s="15"/>
      <c r="AK3629" s="15"/>
      <c r="AL3629" s="15"/>
      <c r="AM3629" s="15"/>
      <c r="AN3629" s="15"/>
      <c r="AO3629" s="15"/>
      <c r="AP3629" s="15"/>
      <c r="AQ3629" s="15"/>
      <c r="AR3629" s="15"/>
      <c r="AS3629" s="15"/>
      <c r="AT3629" s="15"/>
      <c r="AU3629" s="15"/>
      <c r="AV3629" s="15"/>
      <c r="AW3629" s="15"/>
    </row>
    <row r="3630" spans="3:49" x14ac:dyDescent="0.2">
      <c r="C3630" s="15"/>
      <c r="D3630" s="15"/>
      <c r="E3630" s="15"/>
      <c r="F3630" s="15"/>
      <c r="G3630" s="15"/>
      <c r="H3630" s="15"/>
      <c r="I3630" s="15"/>
      <c r="J3630" s="15"/>
      <c r="K3630" s="15"/>
      <c r="L3630" s="28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  <c r="AA3630" s="15"/>
      <c r="AB3630" s="15"/>
      <c r="AC3630" s="15"/>
      <c r="AD3630" s="15"/>
      <c r="AE3630" s="15"/>
      <c r="AF3630" s="15"/>
      <c r="AG3630" s="15"/>
      <c r="AH3630" s="15"/>
      <c r="AI3630" s="15"/>
      <c r="AJ3630" s="15"/>
      <c r="AK3630" s="15"/>
      <c r="AL3630" s="15"/>
      <c r="AM3630" s="15"/>
      <c r="AN3630" s="15"/>
      <c r="AO3630" s="15"/>
      <c r="AP3630" s="15"/>
      <c r="AQ3630" s="15"/>
      <c r="AR3630" s="15"/>
      <c r="AS3630" s="15"/>
      <c r="AT3630" s="15"/>
      <c r="AU3630" s="15"/>
      <c r="AV3630" s="15"/>
      <c r="AW3630" s="15"/>
    </row>
    <row r="3631" spans="3:49" x14ac:dyDescent="0.2">
      <c r="C3631" s="15"/>
      <c r="D3631" s="15"/>
      <c r="E3631" s="15"/>
      <c r="F3631" s="15"/>
      <c r="G3631" s="15"/>
      <c r="H3631" s="15"/>
      <c r="I3631" s="15"/>
      <c r="J3631" s="15"/>
      <c r="K3631" s="15"/>
      <c r="L3631" s="28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  <c r="AA3631" s="15"/>
      <c r="AB3631" s="15"/>
      <c r="AC3631" s="15"/>
      <c r="AD3631" s="15"/>
      <c r="AE3631" s="15"/>
      <c r="AF3631" s="15"/>
      <c r="AG3631" s="15"/>
      <c r="AH3631" s="15"/>
      <c r="AI3631" s="15"/>
      <c r="AJ3631" s="15"/>
      <c r="AK3631" s="15"/>
      <c r="AL3631" s="15"/>
      <c r="AM3631" s="15"/>
      <c r="AN3631" s="15"/>
      <c r="AO3631" s="15"/>
      <c r="AP3631" s="15"/>
      <c r="AQ3631" s="15"/>
      <c r="AR3631" s="15"/>
      <c r="AS3631" s="15"/>
      <c r="AT3631" s="15"/>
      <c r="AU3631" s="15"/>
      <c r="AV3631" s="15"/>
      <c r="AW3631" s="15"/>
    </row>
    <row r="3632" spans="3:49" x14ac:dyDescent="0.2">
      <c r="C3632" s="15"/>
      <c r="D3632" s="15"/>
      <c r="E3632" s="15"/>
      <c r="F3632" s="15"/>
      <c r="G3632" s="15"/>
      <c r="H3632" s="15"/>
      <c r="I3632" s="15"/>
      <c r="J3632" s="15"/>
      <c r="K3632" s="15"/>
      <c r="L3632" s="28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  <c r="AA3632" s="15"/>
      <c r="AB3632" s="15"/>
      <c r="AC3632" s="15"/>
      <c r="AD3632" s="15"/>
      <c r="AE3632" s="15"/>
      <c r="AF3632" s="15"/>
      <c r="AG3632" s="15"/>
      <c r="AH3632" s="15"/>
      <c r="AI3632" s="15"/>
      <c r="AJ3632" s="15"/>
      <c r="AK3632" s="15"/>
      <c r="AL3632" s="15"/>
      <c r="AM3632" s="15"/>
      <c r="AN3632" s="15"/>
      <c r="AO3632" s="15"/>
      <c r="AP3632" s="15"/>
      <c r="AQ3632" s="15"/>
      <c r="AR3632" s="15"/>
      <c r="AS3632" s="15"/>
      <c r="AT3632" s="15"/>
      <c r="AU3632" s="15"/>
      <c r="AV3632" s="15"/>
      <c r="AW3632" s="15"/>
    </row>
    <row r="3633" spans="3:49" x14ac:dyDescent="0.2">
      <c r="C3633" s="15"/>
      <c r="D3633" s="15"/>
      <c r="E3633" s="15"/>
      <c r="F3633" s="15"/>
      <c r="G3633" s="15"/>
      <c r="H3633" s="15"/>
      <c r="I3633" s="15"/>
      <c r="J3633" s="15"/>
      <c r="K3633" s="15"/>
      <c r="L3633" s="28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  <c r="AA3633" s="15"/>
      <c r="AB3633" s="15"/>
      <c r="AC3633" s="15"/>
      <c r="AD3633" s="15"/>
      <c r="AE3633" s="15"/>
      <c r="AF3633" s="15"/>
      <c r="AG3633" s="15"/>
      <c r="AH3633" s="15"/>
      <c r="AI3633" s="15"/>
      <c r="AJ3633" s="15"/>
      <c r="AK3633" s="15"/>
      <c r="AL3633" s="15"/>
      <c r="AM3633" s="15"/>
      <c r="AN3633" s="15"/>
      <c r="AO3633" s="15"/>
      <c r="AP3633" s="15"/>
      <c r="AQ3633" s="15"/>
      <c r="AR3633" s="15"/>
      <c r="AS3633" s="15"/>
      <c r="AT3633" s="15"/>
      <c r="AU3633" s="15"/>
      <c r="AV3633" s="15"/>
      <c r="AW3633" s="15"/>
    </row>
    <row r="3634" spans="3:49" x14ac:dyDescent="0.2">
      <c r="C3634" s="15"/>
      <c r="D3634" s="15"/>
      <c r="E3634" s="15"/>
      <c r="F3634" s="15"/>
      <c r="G3634" s="15"/>
      <c r="H3634" s="15"/>
      <c r="I3634" s="15"/>
      <c r="J3634" s="15"/>
      <c r="K3634" s="15"/>
      <c r="L3634" s="28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  <c r="AA3634" s="15"/>
      <c r="AB3634" s="15"/>
      <c r="AC3634" s="15"/>
      <c r="AD3634" s="15"/>
      <c r="AE3634" s="15"/>
      <c r="AF3634" s="15"/>
      <c r="AG3634" s="15"/>
      <c r="AH3634" s="15"/>
      <c r="AI3634" s="15"/>
      <c r="AJ3634" s="15"/>
      <c r="AK3634" s="15"/>
      <c r="AL3634" s="15"/>
      <c r="AM3634" s="15"/>
      <c r="AN3634" s="15"/>
      <c r="AO3634" s="15"/>
      <c r="AP3634" s="15"/>
      <c r="AQ3634" s="15"/>
      <c r="AR3634" s="15"/>
      <c r="AS3634" s="15"/>
      <c r="AT3634" s="15"/>
      <c r="AU3634" s="15"/>
      <c r="AV3634" s="15"/>
      <c r="AW3634" s="15"/>
    </row>
    <row r="3635" spans="3:49" x14ac:dyDescent="0.2">
      <c r="C3635" s="15"/>
      <c r="D3635" s="15"/>
      <c r="E3635" s="15"/>
      <c r="F3635" s="15"/>
      <c r="G3635" s="15"/>
      <c r="H3635" s="15"/>
      <c r="I3635" s="15"/>
      <c r="J3635" s="15"/>
      <c r="K3635" s="15"/>
      <c r="L3635" s="28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  <c r="AA3635" s="15"/>
      <c r="AB3635" s="15"/>
      <c r="AC3635" s="15"/>
      <c r="AD3635" s="15"/>
      <c r="AE3635" s="15"/>
      <c r="AF3635" s="15"/>
      <c r="AG3635" s="15"/>
      <c r="AH3635" s="15"/>
      <c r="AI3635" s="15"/>
      <c r="AJ3635" s="15"/>
      <c r="AK3635" s="15"/>
      <c r="AL3635" s="15"/>
      <c r="AM3635" s="15"/>
      <c r="AN3635" s="15"/>
      <c r="AO3635" s="15"/>
      <c r="AP3635" s="15"/>
      <c r="AQ3635" s="15"/>
      <c r="AR3635" s="15"/>
      <c r="AS3635" s="15"/>
      <c r="AT3635" s="15"/>
      <c r="AU3635" s="15"/>
      <c r="AV3635" s="15"/>
      <c r="AW3635" s="15"/>
    </row>
    <row r="3636" spans="3:49" x14ac:dyDescent="0.2">
      <c r="C3636" s="15"/>
      <c r="D3636" s="15"/>
      <c r="E3636" s="15"/>
      <c r="F3636" s="15"/>
      <c r="G3636" s="15"/>
      <c r="H3636" s="15"/>
      <c r="I3636" s="15"/>
      <c r="J3636" s="15"/>
      <c r="K3636" s="15"/>
      <c r="L3636" s="28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  <c r="AA3636" s="15"/>
      <c r="AB3636" s="15"/>
      <c r="AC3636" s="15"/>
      <c r="AD3636" s="15"/>
      <c r="AE3636" s="15"/>
      <c r="AF3636" s="15"/>
      <c r="AG3636" s="15"/>
      <c r="AH3636" s="15"/>
      <c r="AI3636" s="15"/>
      <c r="AJ3636" s="15"/>
      <c r="AK3636" s="15"/>
      <c r="AL3636" s="15"/>
      <c r="AM3636" s="15"/>
      <c r="AN3636" s="15"/>
      <c r="AO3636" s="15"/>
      <c r="AP3636" s="15"/>
      <c r="AQ3636" s="15"/>
      <c r="AR3636" s="15"/>
      <c r="AS3636" s="15"/>
      <c r="AT3636" s="15"/>
      <c r="AU3636" s="15"/>
      <c r="AV3636" s="15"/>
      <c r="AW3636" s="15"/>
    </row>
    <row r="3637" spans="3:49" x14ac:dyDescent="0.2">
      <c r="C3637" s="15"/>
      <c r="D3637" s="15"/>
      <c r="E3637" s="15"/>
      <c r="F3637" s="15"/>
      <c r="G3637" s="15"/>
      <c r="H3637" s="15"/>
      <c r="I3637" s="15"/>
      <c r="J3637" s="15"/>
      <c r="K3637" s="15"/>
      <c r="L3637" s="28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  <c r="AA3637" s="15"/>
      <c r="AB3637" s="15"/>
      <c r="AC3637" s="15"/>
      <c r="AD3637" s="15"/>
      <c r="AE3637" s="15"/>
      <c r="AF3637" s="15"/>
      <c r="AG3637" s="15"/>
      <c r="AH3637" s="15"/>
      <c r="AI3637" s="15"/>
      <c r="AJ3637" s="15"/>
      <c r="AK3637" s="15"/>
      <c r="AL3637" s="15"/>
      <c r="AM3637" s="15"/>
      <c r="AN3637" s="15"/>
      <c r="AO3637" s="15"/>
      <c r="AP3637" s="15"/>
      <c r="AQ3637" s="15"/>
      <c r="AR3637" s="15"/>
      <c r="AS3637" s="15"/>
      <c r="AT3637" s="15"/>
      <c r="AU3637" s="15"/>
      <c r="AV3637" s="15"/>
      <c r="AW3637" s="15"/>
    </row>
    <row r="3638" spans="3:49" x14ac:dyDescent="0.2">
      <c r="C3638" s="15"/>
      <c r="D3638" s="15"/>
      <c r="E3638" s="15"/>
      <c r="F3638" s="15"/>
      <c r="G3638" s="15"/>
      <c r="H3638" s="15"/>
      <c r="I3638" s="15"/>
      <c r="J3638" s="15"/>
      <c r="K3638" s="15"/>
      <c r="L3638" s="28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  <c r="AA3638" s="15"/>
      <c r="AB3638" s="15"/>
      <c r="AC3638" s="15"/>
      <c r="AD3638" s="15"/>
      <c r="AE3638" s="15"/>
      <c r="AF3638" s="15"/>
      <c r="AG3638" s="15"/>
      <c r="AH3638" s="15"/>
      <c r="AI3638" s="15"/>
      <c r="AJ3638" s="15"/>
      <c r="AK3638" s="15"/>
      <c r="AL3638" s="15"/>
      <c r="AM3638" s="15"/>
      <c r="AN3638" s="15"/>
      <c r="AO3638" s="15"/>
      <c r="AP3638" s="15"/>
      <c r="AQ3638" s="15"/>
      <c r="AR3638" s="15"/>
      <c r="AS3638" s="15"/>
      <c r="AT3638" s="15"/>
      <c r="AU3638" s="15"/>
      <c r="AV3638" s="15"/>
      <c r="AW3638" s="15"/>
    </row>
    <row r="3639" spans="3:49" x14ac:dyDescent="0.2">
      <c r="C3639" s="15"/>
      <c r="D3639" s="15"/>
      <c r="E3639" s="15"/>
      <c r="F3639" s="15"/>
      <c r="G3639" s="15"/>
      <c r="H3639" s="15"/>
      <c r="I3639" s="15"/>
      <c r="J3639" s="15"/>
      <c r="K3639" s="15"/>
      <c r="L3639" s="28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  <c r="AA3639" s="15"/>
      <c r="AB3639" s="15"/>
      <c r="AC3639" s="15"/>
      <c r="AD3639" s="15"/>
      <c r="AE3639" s="15"/>
      <c r="AF3639" s="15"/>
      <c r="AG3639" s="15"/>
      <c r="AH3639" s="15"/>
      <c r="AI3639" s="15"/>
      <c r="AJ3639" s="15"/>
      <c r="AK3639" s="15"/>
      <c r="AL3639" s="15"/>
      <c r="AM3639" s="15"/>
      <c r="AN3639" s="15"/>
      <c r="AO3639" s="15"/>
      <c r="AP3639" s="15"/>
      <c r="AQ3639" s="15"/>
      <c r="AR3639" s="15"/>
      <c r="AS3639" s="15"/>
      <c r="AT3639" s="15"/>
      <c r="AU3639" s="15"/>
      <c r="AV3639" s="15"/>
      <c r="AW3639" s="15"/>
    </row>
    <row r="3640" spans="3:49" x14ac:dyDescent="0.2">
      <c r="C3640" s="15"/>
      <c r="D3640" s="15"/>
      <c r="E3640" s="15"/>
      <c r="F3640" s="15"/>
      <c r="G3640" s="15"/>
      <c r="H3640" s="15"/>
      <c r="I3640" s="15"/>
      <c r="J3640" s="15"/>
      <c r="K3640" s="15"/>
      <c r="L3640" s="28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  <c r="AA3640" s="15"/>
      <c r="AB3640" s="15"/>
      <c r="AC3640" s="15"/>
      <c r="AD3640" s="15"/>
      <c r="AE3640" s="15"/>
      <c r="AF3640" s="15"/>
      <c r="AG3640" s="15"/>
      <c r="AH3640" s="15"/>
      <c r="AI3640" s="15"/>
      <c r="AJ3640" s="15"/>
      <c r="AK3640" s="15"/>
      <c r="AL3640" s="15"/>
      <c r="AM3640" s="15"/>
      <c r="AN3640" s="15"/>
      <c r="AO3640" s="15"/>
      <c r="AP3640" s="15"/>
      <c r="AQ3640" s="15"/>
      <c r="AR3640" s="15"/>
      <c r="AS3640" s="15"/>
      <c r="AT3640" s="15"/>
      <c r="AU3640" s="15"/>
      <c r="AV3640" s="15"/>
      <c r="AW3640" s="15"/>
    </row>
    <row r="3641" spans="3:49" x14ac:dyDescent="0.2">
      <c r="C3641" s="15"/>
      <c r="D3641" s="15"/>
      <c r="E3641" s="15"/>
      <c r="F3641" s="15"/>
      <c r="G3641" s="15"/>
      <c r="H3641" s="15"/>
      <c r="I3641" s="15"/>
      <c r="J3641" s="15"/>
      <c r="K3641" s="15"/>
      <c r="L3641" s="28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  <c r="AA3641" s="15"/>
      <c r="AB3641" s="15"/>
      <c r="AC3641" s="15"/>
      <c r="AD3641" s="15"/>
      <c r="AE3641" s="15"/>
      <c r="AF3641" s="15"/>
      <c r="AG3641" s="15"/>
      <c r="AH3641" s="15"/>
      <c r="AI3641" s="15"/>
      <c r="AJ3641" s="15"/>
      <c r="AK3641" s="15"/>
      <c r="AL3641" s="15"/>
      <c r="AM3641" s="15"/>
      <c r="AN3641" s="15"/>
      <c r="AO3641" s="15"/>
      <c r="AP3641" s="15"/>
      <c r="AQ3641" s="15"/>
      <c r="AR3641" s="15"/>
      <c r="AS3641" s="15"/>
      <c r="AT3641" s="15"/>
      <c r="AU3641" s="15"/>
      <c r="AV3641" s="15"/>
      <c r="AW3641" s="15"/>
    </row>
    <row r="3642" spans="3:49" x14ac:dyDescent="0.2">
      <c r="C3642" s="15"/>
      <c r="D3642" s="15"/>
      <c r="E3642" s="15"/>
      <c r="F3642" s="15"/>
      <c r="G3642" s="15"/>
      <c r="H3642" s="15"/>
      <c r="I3642" s="15"/>
      <c r="J3642" s="15"/>
      <c r="K3642" s="15"/>
      <c r="L3642" s="28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  <c r="AA3642" s="15"/>
      <c r="AB3642" s="15"/>
      <c r="AC3642" s="15"/>
      <c r="AD3642" s="15"/>
      <c r="AE3642" s="15"/>
      <c r="AF3642" s="15"/>
      <c r="AG3642" s="15"/>
      <c r="AH3642" s="15"/>
      <c r="AI3642" s="15"/>
      <c r="AJ3642" s="15"/>
      <c r="AK3642" s="15"/>
      <c r="AL3642" s="15"/>
      <c r="AM3642" s="15"/>
      <c r="AN3642" s="15"/>
      <c r="AO3642" s="15"/>
      <c r="AP3642" s="15"/>
      <c r="AQ3642" s="15"/>
      <c r="AR3642" s="15"/>
      <c r="AS3642" s="15"/>
      <c r="AT3642" s="15"/>
      <c r="AU3642" s="15"/>
      <c r="AV3642" s="15"/>
      <c r="AW3642" s="15"/>
    </row>
    <row r="3643" spans="3:49" x14ac:dyDescent="0.2">
      <c r="C3643" s="15"/>
      <c r="D3643" s="15"/>
      <c r="E3643" s="15"/>
      <c r="F3643" s="15"/>
      <c r="G3643" s="15"/>
      <c r="H3643" s="15"/>
      <c r="I3643" s="15"/>
      <c r="J3643" s="15"/>
      <c r="K3643" s="15"/>
      <c r="L3643" s="28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  <c r="AA3643" s="15"/>
      <c r="AB3643" s="15"/>
      <c r="AC3643" s="15"/>
      <c r="AD3643" s="15"/>
      <c r="AE3643" s="15"/>
      <c r="AF3643" s="15"/>
      <c r="AG3643" s="15"/>
      <c r="AH3643" s="15"/>
      <c r="AI3643" s="15"/>
      <c r="AJ3643" s="15"/>
      <c r="AK3643" s="15"/>
      <c r="AL3643" s="15"/>
      <c r="AM3643" s="15"/>
      <c r="AN3643" s="15"/>
      <c r="AO3643" s="15"/>
      <c r="AP3643" s="15"/>
      <c r="AQ3643" s="15"/>
      <c r="AR3643" s="15"/>
      <c r="AS3643" s="15"/>
      <c r="AT3643" s="15"/>
      <c r="AU3643" s="15"/>
      <c r="AV3643" s="15"/>
      <c r="AW3643" s="15"/>
    </row>
    <row r="3644" spans="3:49" x14ac:dyDescent="0.2">
      <c r="C3644" s="15"/>
      <c r="D3644" s="15"/>
      <c r="E3644" s="15"/>
      <c r="F3644" s="15"/>
      <c r="G3644" s="15"/>
      <c r="H3644" s="15"/>
      <c r="I3644" s="15"/>
      <c r="J3644" s="15"/>
      <c r="K3644" s="15"/>
      <c r="L3644" s="28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  <c r="AA3644" s="15"/>
      <c r="AB3644" s="15"/>
      <c r="AC3644" s="15"/>
      <c r="AD3644" s="15"/>
      <c r="AE3644" s="15"/>
      <c r="AF3644" s="15"/>
      <c r="AG3644" s="15"/>
      <c r="AH3644" s="15"/>
      <c r="AI3644" s="15"/>
      <c r="AJ3644" s="15"/>
      <c r="AK3644" s="15"/>
      <c r="AL3644" s="15"/>
      <c r="AM3644" s="15"/>
      <c r="AN3644" s="15"/>
      <c r="AO3644" s="15"/>
      <c r="AP3644" s="15"/>
      <c r="AQ3644" s="15"/>
      <c r="AR3644" s="15"/>
      <c r="AS3644" s="15"/>
      <c r="AT3644" s="15"/>
      <c r="AU3644" s="15"/>
      <c r="AV3644" s="15"/>
      <c r="AW3644" s="15"/>
    </row>
    <row r="3645" spans="3:49" x14ac:dyDescent="0.2">
      <c r="C3645" s="15"/>
      <c r="D3645" s="15"/>
      <c r="E3645" s="15"/>
      <c r="F3645" s="15"/>
      <c r="G3645" s="15"/>
      <c r="H3645" s="15"/>
      <c r="I3645" s="15"/>
      <c r="J3645" s="15"/>
      <c r="K3645" s="15"/>
      <c r="L3645" s="28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  <c r="AA3645" s="15"/>
      <c r="AB3645" s="15"/>
      <c r="AC3645" s="15"/>
      <c r="AD3645" s="15"/>
      <c r="AE3645" s="15"/>
      <c r="AF3645" s="15"/>
      <c r="AG3645" s="15"/>
      <c r="AH3645" s="15"/>
      <c r="AI3645" s="15"/>
      <c r="AJ3645" s="15"/>
      <c r="AK3645" s="15"/>
      <c r="AL3645" s="15"/>
      <c r="AM3645" s="15"/>
      <c r="AN3645" s="15"/>
      <c r="AO3645" s="15"/>
      <c r="AP3645" s="15"/>
      <c r="AQ3645" s="15"/>
      <c r="AR3645" s="15"/>
      <c r="AS3645" s="15"/>
      <c r="AT3645" s="15"/>
      <c r="AU3645" s="15"/>
      <c r="AV3645" s="15"/>
      <c r="AW3645" s="15"/>
    </row>
    <row r="3646" spans="3:49" x14ac:dyDescent="0.2">
      <c r="C3646" s="15"/>
      <c r="D3646" s="15"/>
      <c r="E3646" s="15"/>
      <c r="F3646" s="15"/>
      <c r="G3646" s="15"/>
      <c r="H3646" s="15"/>
      <c r="I3646" s="15"/>
      <c r="J3646" s="15"/>
      <c r="K3646" s="15"/>
      <c r="L3646" s="28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  <c r="AA3646" s="15"/>
      <c r="AB3646" s="15"/>
      <c r="AC3646" s="15"/>
      <c r="AD3646" s="15"/>
      <c r="AE3646" s="15"/>
      <c r="AF3646" s="15"/>
      <c r="AG3646" s="15"/>
      <c r="AH3646" s="15"/>
      <c r="AI3646" s="15"/>
      <c r="AJ3646" s="15"/>
      <c r="AK3646" s="15"/>
      <c r="AL3646" s="15"/>
      <c r="AM3646" s="15"/>
      <c r="AN3646" s="15"/>
      <c r="AO3646" s="15"/>
      <c r="AP3646" s="15"/>
      <c r="AQ3646" s="15"/>
      <c r="AR3646" s="15"/>
      <c r="AS3646" s="15"/>
      <c r="AT3646" s="15"/>
      <c r="AU3646" s="15"/>
      <c r="AV3646" s="15"/>
      <c r="AW3646" s="15"/>
    </row>
    <row r="3647" spans="3:49" x14ac:dyDescent="0.2">
      <c r="C3647" s="15"/>
      <c r="D3647" s="15"/>
      <c r="E3647" s="15"/>
      <c r="F3647" s="15"/>
      <c r="G3647" s="15"/>
      <c r="H3647" s="15"/>
      <c r="I3647" s="15"/>
      <c r="J3647" s="15"/>
      <c r="K3647" s="15"/>
      <c r="L3647" s="28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  <c r="AA3647" s="15"/>
      <c r="AB3647" s="15"/>
      <c r="AC3647" s="15"/>
      <c r="AD3647" s="15"/>
      <c r="AE3647" s="15"/>
      <c r="AF3647" s="15"/>
      <c r="AG3647" s="15"/>
      <c r="AH3647" s="15"/>
      <c r="AI3647" s="15"/>
      <c r="AJ3647" s="15"/>
      <c r="AK3647" s="15"/>
      <c r="AL3647" s="15"/>
      <c r="AM3647" s="15"/>
      <c r="AN3647" s="15"/>
      <c r="AO3647" s="15"/>
      <c r="AP3647" s="15"/>
      <c r="AQ3647" s="15"/>
      <c r="AR3647" s="15"/>
      <c r="AS3647" s="15"/>
      <c r="AT3647" s="15"/>
      <c r="AU3647" s="15"/>
      <c r="AV3647" s="15"/>
      <c r="AW3647" s="15"/>
    </row>
    <row r="3648" spans="3:49" x14ac:dyDescent="0.2">
      <c r="C3648" s="15"/>
      <c r="D3648" s="15"/>
      <c r="E3648" s="15"/>
      <c r="F3648" s="15"/>
      <c r="G3648" s="15"/>
      <c r="H3648" s="15"/>
      <c r="I3648" s="15"/>
      <c r="J3648" s="15"/>
      <c r="K3648" s="15"/>
      <c r="L3648" s="28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  <c r="AA3648" s="15"/>
      <c r="AB3648" s="15"/>
      <c r="AC3648" s="15"/>
      <c r="AD3648" s="15"/>
      <c r="AE3648" s="15"/>
      <c r="AF3648" s="15"/>
      <c r="AG3648" s="15"/>
      <c r="AH3648" s="15"/>
      <c r="AI3648" s="15"/>
      <c r="AJ3648" s="15"/>
      <c r="AK3648" s="15"/>
      <c r="AL3648" s="15"/>
      <c r="AM3648" s="15"/>
      <c r="AN3648" s="15"/>
      <c r="AO3648" s="15"/>
      <c r="AP3648" s="15"/>
      <c r="AQ3648" s="15"/>
      <c r="AR3648" s="15"/>
      <c r="AS3648" s="15"/>
      <c r="AT3648" s="15"/>
      <c r="AU3648" s="15"/>
      <c r="AV3648" s="15"/>
      <c r="AW3648" s="15"/>
    </row>
    <row r="3649" spans="3:49" x14ac:dyDescent="0.2">
      <c r="C3649" s="15"/>
      <c r="D3649" s="15"/>
      <c r="E3649" s="15"/>
      <c r="F3649" s="15"/>
      <c r="G3649" s="15"/>
      <c r="H3649" s="15"/>
      <c r="I3649" s="15"/>
      <c r="J3649" s="15"/>
      <c r="K3649" s="15"/>
      <c r="L3649" s="28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  <c r="AA3649" s="15"/>
      <c r="AB3649" s="15"/>
      <c r="AC3649" s="15"/>
      <c r="AD3649" s="15"/>
      <c r="AE3649" s="15"/>
      <c r="AF3649" s="15"/>
      <c r="AG3649" s="15"/>
      <c r="AH3649" s="15"/>
      <c r="AI3649" s="15"/>
      <c r="AJ3649" s="15"/>
      <c r="AK3649" s="15"/>
      <c r="AL3649" s="15"/>
      <c r="AM3649" s="15"/>
      <c r="AN3649" s="15"/>
      <c r="AO3649" s="15"/>
      <c r="AP3649" s="15"/>
      <c r="AQ3649" s="15"/>
      <c r="AR3649" s="15"/>
      <c r="AS3649" s="15"/>
      <c r="AT3649" s="15"/>
      <c r="AU3649" s="15"/>
      <c r="AV3649" s="15"/>
      <c r="AW3649" s="15"/>
    </row>
    <row r="3650" spans="3:49" x14ac:dyDescent="0.2">
      <c r="C3650" s="15"/>
      <c r="D3650" s="15"/>
      <c r="E3650" s="15"/>
      <c r="F3650" s="15"/>
      <c r="G3650" s="15"/>
      <c r="H3650" s="15"/>
      <c r="I3650" s="15"/>
      <c r="J3650" s="15"/>
      <c r="K3650" s="15"/>
      <c r="L3650" s="28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  <c r="AA3650" s="15"/>
      <c r="AB3650" s="15"/>
      <c r="AC3650" s="15"/>
      <c r="AD3650" s="15"/>
      <c r="AE3650" s="15"/>
      <c r="AF3650" s="15"/>
      <c r="AG3650" s="15"/>
      <c r="AH3650" s="15"/>
      <c r="AI3650" s="15"/>
      <c r="AJ3650" s="15"/>
      <c r="AK3650" s="15"/>
      <c r="AL3650" s="15"/>
      <c r="AM3650" s="15"/>
      <c r="AN3650" s="15"/>
      <c r="AO3650" s="15"/>
      <c r="AP3650" s="15"/>
      <c r="AQ3650" s="15"/>
      <c r="AR3650" s="15"/>
      <c r="AS3650" s="15"/>
      <c r="AT3650" s="15"/>
      <c r="AU3650" s="15"/>
      <c r="AV3650" s="15"/>
      <c r="AW3650" s="15"/>
    </row>
    <row r="3651" spans="3:49" x14ac:dyDescent="0.2">
      <c r="C3651" s="15"/>
      <c r="D3651" s="15"/>
      <c r="E3651" s="15"/>
      <c r="F3651" s="15"/>
      <c r="G3651" s="15"/>
      <c r="H3651" s="15"/>
      <c r="I3651" s="15"/>
      <c r="J3651" s="15"/>
      <c r="K3651" s="15"/>
      <c r="L3651" s="28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  <c r="AA3651" s="15"/>
      <c r="AB3651" s="15"/>
      <c r="AC3651" s="15"/>
      <c r="AD3651" s="15"/>
      <c r="AE3651" s="15"/>
      <c r="AF3651" s="15"/>
      <c r="AG3651" s="15"/>
      <c r="AH3651" s="15"/>
      <c r="AI3651" s="15"/>
      <c r="AJ3651" s="15"/>
      <c r="AK3651" s="15"/>
      <c r="AL3651" s="15"/>
      <c r="AM3651" s="15"/>
      <c r="AN3651" s="15"/>
      <c r="AO3651" s="15"/>
      <c r="AP3651" s="15"/>
      <c r="AQ3651" s="15"/>
      <c r="AR3651" s="15"/>
      <c r="AS3651" s="15"/>
      <c r="AT3651" s="15"/>
      <c r="AU3651" s="15"/>
      <c r="AV3651" s="15"/>
      <c r="AW3651" s="15"/>
    </row>
    <row r="3652" spans="3:49" x14ac:dyDescent="0.2">
      <c r="C3652" s="15"/>
      <c r="D3652" s="15"/>
      <c r="E3652" s="15"/>
      <c r="F3652" s="15"/>
      <c r="G3652" s="15"/>
      <c r="H3652" s="15"/>
      <c r="I3652" s="15"/>
      <c r="J3652" s="15"/>
      <c r="K3652" s="15"/>
      <c r="L3652" s="28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  <c r="AA3652" s="15"/>
      <c r="AB3652" s="15"/>
      <c r="AC3652" s="15"/>
      <c r="AD3652" s="15"/>
      <c r="AE3652" s="15"/>
      <c r="AF3652" s="15"/>
      <c r="AG3652" s="15"/>
      <c r="AH3652" s="15"/>
      <c r="AI3652" s="15"/>
      <c r="AJ3652" s="15"/>
      <c r="AK3652" s="15"/>
      <c r="AL3652" s="15"/>
      <c r="AM3652" s="15"/>
      <c r="AN3652" s="15"/>
      <c r="AO3652" s="15"/>
      <c r="AP3652" s="15"/>
      <c r="AQ3652" s="15"/>
      <c r="AR3652" s="15"/>
      <c r="AS3652" s="15"/>
      <c r="AT3652" s="15"/>
      <c r="AU3652" s="15"/>
      <c r="AV3652" s="15"/>
      <c r="AW3652" s="15"/>
    </row>
    <row r="3653" spans="3:49" x14ac:dyDescent="0.2">
      <c r="C3653" s="15"/>
      <c r="D3653" s="15"/>
      <c r="E3653" s="15"/>
      <c r="F3653" s="15"/>
      <c r="G3653" s="15"/>
      <c r="H3653" s="15"/>
      <c r="I3653" s="15"/>
      <c r="J3653" s="15"/>
      <c r="K3653" s="15"/>
      <c r="L3653" s="28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  <c r="AA3653" s="15"/>
      <c r="AB3653" s="15"/>
      <c r="AC3653" s="15"/>
      <c r="AD3653" s="15"/>
      <c r="AE3653" s="15"/>
      <c r="AF3653" s="15"/>
      <c r="AG3653" s="15"/>
      <c r="AH3653" s="15"/>
      <c r="AI3653" s="15"/>
      <c r="AJ3653" s="15"/>
      <c r="AK3653" s="15"/>
      <c r="AL3653" s="15"/>
      <c r="AM3653" s="15"/>
      <c r="AN3653" s="15"/>
      <c r="AO3653" s="15"/>
      <c r="AP3653" s="15"/>
      <c r="AQ3653" s="15"/>
      <c r="AR3653" s="15"/>
      <c r="AS3653" s="15"/>
      <c r="AT3653" s="15"/>
      <c r="AU3653" s="15"/>
      <c r="AV3653" s="15"/>
      <c r="AW3653" s="15"/>
    </row>
    <row r="3654" spans="3:49" x14ac:dyDescent="0.2">
      <c r="C3654" s="15"/>
      <c r="D3654" s="15"/>
      <c r="E3654" s="15"/>
      <c r="F3654" s="15"/>
      <c r="G3654" s="15"/>
      <c r="H3654" s="15"/>
      <c r="I3654" s="15"/>
      <c r="J3654" s="15"/>
      <c r="K3654" s="15"/>
      <c r="L3654" s="28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  <c r="AA3654" s="15"/>
      <c r="AB3654" s="15"/>
      <c r="AC3654" s="15"/>
      <c r="AD3654" s="15"/>
      <c r="AE3654" s="15"/>
      <c r="AF3654" s="15"/>
      <c r="AG3654" s="15"/>
      <c r="AH3654" s="15"/>
      <c r="AI3654" s="15"/>
      <c r="AJ3654" s="15"/>
      <c r="AK3654" s="15"/>
      <c r="AL3654" s="15"/>
      <c r="AM3654" s="15"/>
      <c r="AN3654" s="15"/>
      <c r="AO3654" s="15"/>
      <c r="AP3654" s="15"/>
      <c r="AQ3654" s="15"/>
      <c r="AR3654" s="15"/>
      <c r="AS3654" s="15"/>
      <c r="AT3654" s="15"/>
      <c r="AU3654" s="15"/>
      <c r="AV3654" s="15"/>
      <c r="AW3654" s="15"/>
    </row>
    <row r="3655" spans="3:49" x14ac:dyDescent="0.2">
      <c r="C3655" s="15"/>
      <c r="D3655" s="15"/>
      <c r="E3655" s="15"/>
      <c r="F3655" s="15"/>
      <c r="G3655" s="15"/>
      <c r="H3655" s="15"/>
      <c r="I3655" s="15"/>
      <c r="J3655" s="15"/>
      <c r="K3655" s="15"/>
      <c r="L3655" s="28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  <c r="AA3655" s="15"/>
      <c r="AB3655" s="15"/>
      <c r="AC3655" s="15"/>
      <c r="AD3655" s="15"/>
      <c r="AE3655" s="15"/>
      <c r="AF3655" s="15"/>
      <c r="AG3655" s="15"/>
      <c r="AH3655" s="15"/>
      <c r="AI3655" s="15"/>
      <c r="AJ3655" s="15"/>
      <c r="AK3655" s="15"/>
      <c r="AL3655" s="15"/>
      <c r="AM3655" s="15"/>
      <c r="AN3655" s="15"/>
      <c r="AO3655" s="15"/>
      <c r="AP3655" s="15"/>
      <c r="AQ3655" s="15"/>
      <c r="AR3655" s="15"/>
      <c r="AS3655" s="15"/>
      <c r="AT3655" s="15"/>
      <c r="AU3655" s="15"/>
      <c r="AV3655" s="15"/>
      <c r="AW3655" s="15"/>
    </row>
    <row r="3656" spans="3:49" x14ac:dyDescent="0.2">
      <c r="C3656" s="15"/>
      <c r="D3656" s="15"/>
      <c r="E3656" s="15"/>
      <c r="F3656" s="15"/>
      <c r="G3656" s="15"/>
      <c r="H3656" s="15"/>
      <c r="I3656" s="15"/>
      <c r="J3656" s="15"/>
      <c r="K3656" s="15"/>
      <c r="L3656" s="28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  <c r="AA3656" s="15"/>
      <c r="AB3656" s="15"/>
      <c r="AC3656" s="15"/>
      <c r="AD3656" s="15"/>
      <c r="AE3656" s="15"/>
      <c r="AF3656" s="15"/>
      <c r="AG3656" s="15"/>
      <c r="AH3656" s="15"/>
      <c r="AI3656" s="15"/>
      <c r="AJ3656" s="15"/>
      <c r="AK3656" s="15"/>
      <c r="AL3656" s="15"/>
      <c r="AM3656" s="15"/>
      <c r="AN3656" s="15"/>
      <c r="AO3656" s="15"/>
      <c r="AP3656" s="15"/>
      <c r="AQ3656" s="15"/>
      <c r="AR3656" s="15"/>
      <c r="AS3656" s="15"/>
      <c r="AT3656" s="15"/>
      <c r="AU3656" s="15"/>
      <c r="AV3656" s="15"/>
      <c r="AW3656" s="15"/>
    </row>
    <row r="3657" spans="3:49" x14ac:dyDescent="0.2">
      <c r="C3657" s="15"/>
      <c r="D3657" s="15"/>
      <c r="E3657" s="15"/>
      <c r="F3657" s="15"/>
      <c r="G3657" s="15"/>
      <c r="H3657" s="15"/>
      <c r="I3657" s="15"/>
      <c r="J3657" s="15"/>
      <c r="K3657" s="15"/>
      <c r="L3657" s="28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  <c r="AA3657" s="15"/>
      <c r="AB3657" s="15"/>
      <c r="AC3657" s="15"/>
      <c r="AD3657" s="15"/>
      <c r="AE3657" s="15"/>
      <c r="AF3657" s="15"/>
      <c r="AG3657" s="15"/>
      <c r="AH3657" s="15"/>
      <c r="AI3657" s="15"/>
      <c r="AJ3657" s="15"/>
      <c r="AK3657" s="15"/>
      <c r="AL3657" s="15"/>
      <c r="AM3657" s="15"/>
      <c r="AN3657" s="15"/>
      <c r="AO3657" s="15"/>
      <c r="AP3657" s="15"/>
      <c r="AQ3657" s="15"/>
      <c r="AR3657" s="15"/>
      <c r="AS3657" s="15"/>
      <c r="AT3657" s="15"/>
      <c r="AU3657" s="15"/>
      <c r="AV3657" s="15"/>
      <c r="AW3657" s="15"/>
    </row>
    <row r="3658" spans="3:49" x14ac:dyDescent="0.2">
      <c r="C3658" s="15"/>
      <c r="D3658" s="15"/>
      <c r="E3658" s="15"/>
      <c r="F3658" s="15"/>
      <c r="G3658" s="15"/>
      <c r="H3658" s="15"/>
      <c r="I3658" s="15"/>
      <c r="J3658" s="15"/>
      <c r="K3658" s="15"/>
      <c r="L3658" s="28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  <c r="AA3658" s="15"/>
      <c r="AB3658" s="15"/>
      <c r="AC3658" s="15"/>
      <c r="AD3658" s="15"/>
      <c r="AE3658" s="15"/>
      <c r="AF3658" s="15"/>
      <c r="AG3658" s="15"/>
      <c r="AH3658" s="15"/>
      <c r="AI3658" s="15"/>
      <c r="AJ3658" s="15"/>
      <c r="AK3658" s="15"/>
      <c r="AL3658" s="15"/>
      <c r="AM3658" s="15"/>
      <c r="AN3658" s="15"/>
      <c r="AO3658" s="15"/>
      <c r="AP3658" s="15"/>
      <c r="AQ3658" s="15"/>
      <c r="AR3658" s="15"/>
      <c r="AS3658" s="15"/>
      <c r="AT3658" s="15"/>
      <c r="AU3658" s="15"/>
      <c r="AV3658" s="15"/>
      <c r="AW3658" s="15"/>
    </row>
    <row r="3659" spans="3:49" x14ac:dyDescent="0.2">
      <c r="C3659" s="15"/>
      <c r="D3659" s="15"/>
      <c r="E3659" s="15"/>
      <c r="F3659" s="15"/>
      <c r="G3659" s="15"/>
      <c r="H3659" s="15"/>
      <c r="I3659" s="15"/>
      <c r="J3659" s="15"/>
      <c r="K3659" s="15"/>
      <c r="L3659" s="28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  <c r="AA3659" s="15"/>
      <c r="AB3659" s="15"/>
      <c r="AC3659" s="15"/>
      <c r="AD3659" s="15"/>
      <c r="AE3659" s="15"/>
      <c r="AF3659" s="15"/>
      <c r="AG3659" s="15"/>
      <c r="AH3659" s="15"/>
      <c r="AI3659" s="15"/>
      <c r="AJ3659" s="15"/>
      <c r="AK3659" s="15"/>
      <c r="AL3659" s="15"/>
      <c r="AM3659" s="15"/>
      <c r="AN3659" s="15"/>
      <c r="AO3659" s="15"/>
      <c r="AP3659" s="15"/>
      <c r="AQ3659" s="15"/>
      <c r="AR3659" s="15"/>
      <c r="AS3659" s="15"/>
      <c r="AT3659" s="15"/>
      <c r="AU3659" s="15"/>
      <c r="AV3659" s="15"/>
      <c r="AW3659" s="15"/>
    </row>
    <row r="3660" spans="3:49" x14ac:dyDescent="0.2">
      <c r="C3660" s="15"/>
      <c r="D3660" s="15"/>
      <c r="E3660" s="15"/>
      <c r="F3660" s="15"/>
      <c r="G3660" s="15"/>
      <c r="H3660" s="15"/>
      <c r="I3660" s="15"/>
      <c r="J3660" s="15"/>
      <c r="K3660" s="15"/>
      <c r="L3660" s="28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  <c r="AA3660" s="15"/>
      <c r="AB3660" s="15"/>
      <c r="AC3660" s="15"/>
      <c r="AD3660" s="15"/>
      <c r="AE3660" s="15"/>
      <c r="AF3660" s="15"/>
      <c r="AG3660" s="15"/>
      <c r="AH3660" s="15"/>
      <c r="AI3660" s="15"/>
      <c r="AJ3660" s="15"/>
      <c r="AK3660" s="15"/>
      <c r="AL3660" s="15"/>
      <c r="AM3660" s="15"/>
      <c r="AN3660" s="15"/>
      <c r="AO3660" s="15"/>
      <c r="AP3660" s="15"/>
      <c r="AQ3660" s="15"/>
      <c r="AR3660" s="15"/>
      <c r="AS3660" s="15"/>
      <c r="AT3660" s="15"/>
      <c r="AU3660" s="15"/>
      <c r="AV3660" s="15"/>
      <c r="AW3660" s="15"/>
    </row>
    <row r="3661" spans="3:49" x14ac:dyDescent="0.2">
      <c r="C3661" s="15"/>
      <c r="D3661" s="15"/>
      <c r="E3661" s="15"/>
      <c r="F3661" s="15"/>
      <c r="G3661" s="15"/>
      <c r="H3661" s="15"/>
      <c r="I3661" s="15"/>
      <c r="J3661" s="15"/>
      <c r="K3661" s="15"/>
      <c r="L3661" s="28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  <c r="AA3661" s="15"/>
      <c r="AB3661" s="15"/>
      <c r="AC3661" s="15"/>
      <c r="AD3661" s="15"/>
      <c r="AE3661" s="15"/>
      <c r="AF3661" s="15"/>
      <c r="AG3661" s="15"/>
      <c r="AH3661" s="15"/>
      <c r="AI3661" s="15"/>
      <c r="AJ3661" s="15"/>
      <c r="AK3661" s="15"/>
      <c r="AL3661" s="15"/>
      <c r="AM3661" s="15"/>
      <c r="AN3661" s="15"/>
      <c r="AO3661" s="15"/>
      <c r="AP3661" s="15"/>
      <c r="AQ3661" s="15"/>
      <c r="AR3661" s="15"/>
      <c r="AS3661" s="15"/>
      <c r="AT3661" s="15"/>
      <c r="AU3661" s="15"/>
      <c r="AV3661" s="15"/>
      <c r="AW3661" s="15"/>
    </row>
    <row r="3662" spans="3:49" x14ac:dyDescent="0.2">
      <c r="C3662" s="15"/>
      <c r="D3662" s="15"/>
      <c r="E3662" s="15"/>
      <c r="F3662" s="15"/>
      <c r="G3662" s="15"/>
      <c r="H3662" s="15"/>
      <c r="I3662" s="15"/>
      <c r="J3662" s="15"/>
      <c r="K3662" s="15"/>
      <c r="L3662" s="28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  <c r="AA3662" s="15"/>
      <c r="AB3662" s="15"/>
      <c r="AC3662" s="15"/>
      <c r="AD3662" s="15"/>
      <c r="AE3662" s="15"/>
      <c r="AF3662" s="15"/>
      <c r="AG3662" s="15"/>
      <c r="AH3662" s="15"/>
      <c r="AI3662" s="15"/>
      <c r="AJ3662" s="15"/>
      <c r="AK3662" s="15"/>
      <c r="AL3662" s="15"/>
      <c r="AM3662" s="15"/>
      <c r="AN3662" s="15"/>
      <c r="AO3662" s="15"/>
      <c r="AP3662" s="15"/>
      <c r="AQ3662" s="15"/>
      <c r="AR3662" s="15"/>
      <c r="AS3662" s="15"/>
      <c r="AT3662" s="15"/>
      <c r="AU3662" s="15"/>
      <c r="AV3662" s="15"/>
      <c r="AW3662" s="15"/>
    </row>
    <row r="3663" spans="3:49" x14ac:dyDescent="0.2">
      <c r="C3663" s="15"/>
      <c r="D3663" s="15"/>
      <c r="E3663" s="15"/>
      <c r="F3663" s="15"/>
      <c r="G3663" s="15"/>
      <c r="H3663" s="15"/>
      <c r="I3663" s="15"/>
      <c r="J3663" s="15"/>
      <c r="K3663" s="15"/>
      <c r="L3663" s="28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  <c r="AA3663" s="15"/>
      <c r="AB3663" s="15"/>
      <c r="AC3663" s="15"/>
      <c r="AD3663" s="15"/>
      <c r="AE3663" s="15"/>
      <c r="AF3663" s="15"/>
      <c r="AG3663" s="15"/>
      <c r="AH3663" s="15"/>
      <c r="AI3663" s="15"/>
      <c r="AJ3663" s="15"/>
      <c r="AK3663" s="15"/>
      <c r="AL3663" s="15"/>
      <c r="AM3663" s="15"/>
      <c r="AN3663" s="15"/>
      <c r="AO3663" s="15"/>
      <c r="AP3663" s="15"/>
      <c r="AQ3663" s="15"/>
      <c r="AR3663" s="15"/>
      <c r="AS3663" s="15"/>
      <c r="AT3663" s="15"/>
      <c r="AU3663" s="15"/>
      <c r="AV3663" s="15"/>
      <c r="AW3663" s="15"/>
    </row>
    <row r="3664" spans="3:49" x14ac:dyDescent="0.2">
      <c r="C3664" s="15"/>
      <c r="D3664" s="15"/>
      <c r="E3664" s="15"/>
      <c r="F3664" s="15"/>
      <c r="G3664" s="15"/>
      <c r="H3664" s="15"/>
      <c r="I3664" s="15"/>
      <c r="J3664" s="15"/>
      <c r="K3664" s="15"/>
      <c r="L3664" s="28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  <c r="AA3664" s="15"/>
      <c r="AB3664" s="15"/>
      <c r="AC3664" s="15"/>
      <c r="AD3664" s="15"/>
      <c r="AE3664" s="15"/>
      <c r="AF3664" s="15"/>
      <c r="AG3664" s="15"/>
      <c r="AH3664" s="15"/>
      <c r="AI3664" s="15"/>
      <c r="AJ3664" s="15"/>
      <c r="AK3664" s="15"/>
      <c r="AL3664" s="15"/>
      <c r="AM3664" s="15"/>
      <c r="AN3664" s="15"/>
      <c r="AO3664" s="15"/>
      <c r="AP3664" s="15"/>
      <c r="AQ3664" s="15"/>
      <c r="AR3664" s="15"/>
      <c r="AS3664" s="15"/>
      <c r="AT3664" s="15"/>
      <c r="AU3664" s="15"/>
      <c r="AV3664" s="15"/>
      <c r="AW3664" s="15"/>
    </row>
    <row r="3665" spans="3:49" x14ac:dyDescent="0.2">
      <c r="C3665" s="15"/>
      <c r="D3665" s="15"/>
      <c r="E3665" s="15"/>
      <c r="F3665" s="15"/>
      <c r="G3665" s="15"/>
      <c r="H3665" s="15"/>
      <c r="I3665" s="15"/>
      <c r="J3665" s="15"/>
      <c r="K3665" s="15"/>
      <c r="L3665" s="28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  <c r="AA3665" s="15"/>
      <c r="AB3665" s="15"/>
      <c r="AC3665" s="15"/>
      <c r="AD3665" s="15"/>
      <c r="AE3665" s="15"/>
      <c r="AF3665" s="15"/>
      <c r="AG3665" s="15"/>
      <c r="AH3665" s="15"/>
      <c r="AI3665" s="15"/>
      <c r="AJ3665" s="15"/>
      <c r="AK3665" s="15"/>
      <c r="AL3665" s="15"/>
      <c r="AM3665" s="15"/>
      <c r="AN3665" s="15"/>
      <c r="AO3665" s="15"/>
      <c r="AP3665" s="15"/>
      <c r="AQ3665" s="15"/>
      <c r="AR3665" s="15"/>
      <c r="AS3665" s="15"/>
      <c r="AT3665" s="15"/>
      <c r="AU3665" s="15"/>
      <c r="AV3665" s="15"/>
      <c r="AW3665" s="15"/>
    </row>
    <row r="3666" spans="3:49" x14ac:dyDescent="0.2">
      <c r="C3666" s="15"/>
      <c r="D3666" s="15"/>
      <c r="E3666" s="15"/>
      <c r="F3666" s="15"/>
      <c r="G3666" s="15"/>
      <c r="H3666" s="15"/>
      <c r="I3666" s="15"/>
      <c r="J3666" s="15"/>
      <c r="K3666" s="15"/>
      <c r="L3666" s="28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  <c r="AA3666" s="15"/>
      <c r="AB3666" s="15"/>
      <c r="AC3666" s="15"/>
      <c r="AD3666" s="15"/>
      <c r="AE3666" s="15"/>
      <c r="AF3666" s="15"/>
      <c r="AG3666" s="15"/>
      <c r="AH3666" s="15"/>
      <c r="AI3666" s="15"/>
      <c r="AJ3666" s="15"/>
      <c r="AK3666" s="15"/>
      <c r="AL3666" s="15"/>
      <c r="AM3666" s="15"/>
      <c r="AN3666" s="15"/>
      <c r="AO3666" s="15"/>
      <c r="AP3666" s="15"/>
      <c r="AQ3666" s="15"/>
      <c r="AR3666" s="15"/>
      <c r="AS3666" s="15"/>
      <c r="AT3666" s="15"/>
      <c r="AU3666" s="15"/>
      <c r="AV3666" s="15"/>
      <c r="AW3666" s="15"/>
    </row>
    <row r="3667" spans="3:49" x14ac:dyDescent="0.2">
      <c r="C3667" s="15"/>
      <c r="D3667" s="15"/>
      <c r="E3667" s="15"/>
      <c r="F3667" s="15"/>
      <c r="G3667" s="15"/>
      <c r="H3667" s="15"/>
      <c r="I3667" s="15"/>
      <c r="J3667" s="15"/>
      <c r="K3667" s="15"/>
      <c r="L3667" s="28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  <c r="AA3667" s="15"/>
      <c r="AB3667" s="15"/>
      <c r="AC3667" s="15"/>
      <c r="AD3667" s="15"/>
      <c r="AE3667" s="15"/>
      <c r="AF3667" s="15"/>
      <c r="AG3667" s="15"/>
      <c r="AH3667" s="15"/>
      <c r="AI3667" s="15"/>
      <c r="AJ3667" s="15"/>
      <c r="AK3667" s="15"/>
      <c r="AL3667" s="15"/>
      <c r="AM3667" s="15"/>
      <c r="AN3667" s="15"/>
      <c r="AO3667" s="15"/>
      <c r="AP3667" s="15"/>
      <c r="AQ3667" s="15"/>
      <c r="AR3667" s="15"/>
      <c r="AS3667" s="15"/>
      <c r="AT3667" s="15"/>
      <c r="AU3667" s="15"/>
      <c r="AV3667" s="15"/>
      <c r="AW3667" s="15"/>
    </row>
    <row r="3668" spans="3:49" x14ac:dyDescent="0.2">
      <c r="C3668" s="15"/>
      <c r="D3668" s="15"/>
      <c r="E3668" s="15"/>
      <c r="F3668" s="15"/>
      <c r="G3668" s="15"/>
      <c r="H3668" s="15"/>
      <c r="I3668" s="15"/>
      <c r="J3668" s="15"/>
      <c r="K3668" s="15"/>
      <c r="L3668" s="28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  <c r="AA3668" s="15"/>
      <c r="AB3668" s="15"/>
      <c r="AC3668" s="15"/>
      <c r="AD3668" s="15"/>
      <c r="AE3668" s="15"/>
      <c r="AF3668" s="15"/>
      <c r="AG3668" s="15"/>
      <c r="AH3668" s="15"/>
      <c r="AI3668" s="15"/>
      <c r="AJ3668" s="15"/>
      <c r="AK3668" s="15"/>
      <c r="AL3668" s="15"/>
      <c r="AM3668" s="15"/>
      <c r="AN3668" s="15"/>
      <c r="AO3668" s="15"/>
      <c r="AP3668" s="15"/>
      <c r="AQ3668" s="15"/>
      <c r="AR3668" s="15"/>
      <c r="AS3668" s="15"/>
      <c r="AT3668" s="15"/>
      <c r="AU3668" s="15"/>
      <c r="AV3668" s="15"/>
      <c r="AW3668" s="15"/>
    </row>
    <row r="3669" spans="3:49" x14ac:dyDescent="0.2">
      <c r="C3669" s="15"/>
      <c r="D3669" s="15"/>
      <c r="E3669" s="15"/>
      <c r="F3669" s="15"/>
      <c r="G3669" s="15"/>
      <c r="H3669" s="15"/>
      <c r="I3669" s="15"/>
      <c r="J3669" s="15"/>
      <c r="K3669" s="15"/>
      <c r="L3669" s="28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  <c r="AA3669" s="15"/>
      <c r="AB3669" s="15"/>
      <c r="AC3669" s="15"/>
      <c r="AD3669" s="15"/>
      <c r="AE3669" s="15"/>
      <c r="AF3669" s="15"/>
      <c r="AG3669" s="15"/>
      <c r="AH3669" s="15"/>
      <c r="AI3669" s="15"/>
      <c r="AJ3669" s="15"/>
      <c r="AK3669" s="15"/>
      <c r="AL3669" s="15"/>
      <c r="AM3669" s="15"/>
      <c r="AN3669" s="15"/>
      <c r="AO3669" s="15"/>
      <c r="AP3669" s="15"/>
      <c r="AQ3669" s="15"/>
      <c r="AR3669" s="15"/>
      <c r="AS3669" s="15"/>
      <c r="AT3669" s="15"/>
      <c r="AU3669" s="15"/>
      <c r="AV3669" s="15"/>
      <c r="AW3669" s="15"/>
    </row>
    <row r="3670" spans="3:49" x14ac:dyDescent="0.2">
      <c r="C3670" s="15"/>
      <c r="D3670" s="15"/>
      <c r="E3670" s="15"/>
      <c r="F3670" s="15"/>
      <c r="G3670" s="15"/>
      <c r="H3670" s="15"/>
      <c r="I3670" s="15"/>
      <c r="J3670" s="15"/>
      <c r="K3670" s="15"/>
      <c r="L3670" s="28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  <c r="AA3670" s="15"/>
      <c r="AB3670" s="15"/>
      <c r="AC3670" s="15"/>
      <c r="AD3670" s="15"/>
      <c r="AE3670" s="15"/>
      <c r="AF3670" s="15"/>
      <c r="AG3670" s="15"/>
      <c r="AH3670" s="15"/>
      <c r="AI3670" s="15"/>
      <c r="AJ3670" s="15"/>
      <c r="AK3670" s="15"/>
      <c r="AL3670" s="15"/>
      <c r="AM3670" s="15"/>
      <c r="AN3670" s="15"/>
      <c r="AO3670" s="15"/>
      <c r="AP3670" s="15"/>
      <c r="AQ3670" s="15"/>
      <c r="AR3670" s="15"/>
      <c r="AS3670" s="15"/>
      <c r="AT3670" s="15"/>
      <c r="AU3670" s="15"/>
      <c r="AV3670" s="15"/>
      <c r="AW3670" s="15"/>
    </row>
    <row r="3671" spans="3:49" x14ac:dyDescent="0.2">
      <c r="C3671" s="15"/>
      <c r="D3671" s="15"/>
      <c r="E3671" s="15"/>
      <c r="F3671" s="15"/>
      <c r="G3671" s="15"/>
      <c r="H3671" s="15"/>
      <c r="I3671" s="15"/>
      <c r="J3671" s="15"/>
      <c r="K3671" s="15"/>
      <c r="L3671" s="28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  <c r="AA3671" s="15"/>
      <c r="AB3671" s="15"/>
      <c r="AC3671" s="15"/>
      <c r="AD3671" s="15"/>
      <c r="AE3671" s="15"/>
      <c r="AF3671" s="15"/>
      <c r="AG3671" s="15"/>
      <c r="AH3671" s="15"/>
      <c r="AI3671" s="15"/>
      <c r="AJ3671" s="15"/>
      <c r="AK3671" s="15"/>
      <c r="AL3671" s="15"/>
      <c r="AM3671" s="15"/>
      <c r="AN3671" s="15"/>
      <c r="AO3671" s="15"/>
      <c r="AP3671" s="15"/>
      <c r="AQ3671" s="15"/>
      <c r="AR3671" s="15"/>
      <c r="AS3671" s="15"/>
      <c r="AT3671" s="15"/>
      <c r="AU3671" s="15"/>
      <c r="AV3671" s="15"/>
      <c r="AW3671" s="15"/>
    </row>
    <row r="3672" spans="3:49" x14ac:dyDescent="0.2">
      <c r="C3672" s="15"/>
      <c r="D3672" s="15"/>
      <c r="E3672" s="15"/>
      <c r="F3672" s="15"/>
      <c r="G3672" s="15"/>
      <c r="H3672" s="15"/>
      <c r="I3672" s="15"/>
      <c r="J3672" s="15"/>
      <c r="K3672" s="15"/>
      <c r="L3672" s="28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  <c r="AA3672" s="15"/>
      <c r="AB3672" s="15"/>
      <c r="AC3672" s="15"/>
      <c r="AD3672" s="15"/>
      <c r="AE3672" s="15"/>
      <c r="AF3672" s="15"/>
      <c r="AG3672" s="15"/>
      <c r="AH3672" s="15"/>
      <c r="AI3672" s="15"/>
      <c r="AJ3672" s="15"/>
      <c r="AK3672" s="15"/>
      <c r="AL3672" s="15"/>
      <c r="AM3672" s="15"/>
      <c r="AN3672" s="15"/>
      <c r="AO3672" s="15"/>
      <c r="AP3672" s="15"/>
      <c r="AQ3672" s="15"/>
      <c r="AR3672" s="15"/>
      <c r="AS3672" s="15"/>
      <c r="AT3672" s="15"/>
      <c r="AU3672" s="15"/>
      <c r="AV3672" s="15"/>
      <c r="AW3672" s="15"/>
    </row>
    <row r="3673" spans="3:49" x14ac:dyDescent="0.2">
      <c r="C3673" s="15"/>
      <c r="D3673" s="15"/>
      <c r="E3673" s="15"/>
      <c r="F3673" s="15"/>
      <c r="G3673" s="15"/>
      <c r="H3673" s="15"/>
      <c r="I3673" s="15"/>
      <c r="J3673" s="15"/>
      <c r="K3673" s="15"/>
      <c r="L3673" s="28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  <c r="AA3673" s="15"/>
      <c r="AB3673" s="15"/>
      <c r="AC3673" s="15"/>
      <c r="AD3673" s="15"/>
      <c r="AE3673" s="15"/>
      <c r="AF3673" s="15"/>
      <c r="AG3673" s="15"/>
      <c r="AH3673" s="15"/>
      <c r="AI3673" s="15"/>
      <c r="AJ3673" s="15"/>
      <c r="AK3673" s="15"/>
      <c r="AL3673" s="15"/>
      <c r="AM3673" s="15"/>
      <c r="AN3673" s="15"/>
      <c r="AO3673" s="15"/>
      <c r="AP3673" s="15"/>
      <c r="AQ3673" s="15"/>
      <c r="AR3673" s="15"/>
      <c r="AS3673" s="15"/>
      <c r="AT3673" s="15"/>
      <c r="AU3673" s="15"/>
      <c r="AV3673" s="15"/>
      <c r="AW3673" s="15"/>
    </row>
    <row r="3674" spans="3:49" x14ac:dyDescent="0.2">
      <c r="C3674" s="15"/>
      <c r="D3674" s="15"/>
      <c r="E3674" s="15"/>
      <c r="F3674" s="15"/>
      <c r="G3674" s="15"/>
      <c r="H3674" s="15"/>
      <c r="I3674" s="15"/>
      <c r="J3674" s="15"/>
      <c r="K3674" s="15"/>
      <c r="L3674" s="28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  <c r="AA3674" s="15"/>
      <c r="AB3674" s="15"/>
      <c r="AC3674" s="15"/>
      <c r="AD3674" s="15"/>
      <c r="AE3674" s="15"/>
      <c r="AF3674" s="15"/>
      <c r="AG3674" s="15"/>
      <c r="AH3674" s="15"/>
      <c r="AI3674" s="15"/>
      <c r="AJ3674" s="15"/>
      <c r="AK3674" s="15"/>
      <c r="AL3674" s="15"/>
      <c r="AM3674" s="15"/>
      <c r="AN3674" s="15"/>
      <c r="AO3674" s="15"/>
      <c r="AP3674" s="15"/>
      <c r="AQ3674" s="15"/>
      <c r="AR3674" s="15"/>
      <c r="AS3674" s="15"/>
      <c r="AT3674" s="15"/>
      <c r="AU3674" s="15"/>
      <c r="AV3674" s="15"/>
      <c r="AW3674" s="15"/>
    </row>
    <row r="3675" spans="3:49" x14ac:dyDescent="0.2">
      <c r="C3675" s="15"/>
      <c r="D3675" s="15"/>
      <c r="E3675" s="15"/>
      <c r="F3675" s="15"/>
      <c r="G3675" s="15"/>
      <c r="H3675" s="15"/>
      <c r="I3675" s="15"/>
      <c r="J3675" s="15"/>
      <c r="K3675" s="15"/>
      <c r="L3675" s="28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  <c r="AA3675" s="15"/>
      <c r="AB3675" s="15"/>
      <c r="AC3675" s="15"/>
      <c r="AD3675" s="15"/>
      <c r="AE3675" s="15"/>
      <c r="AF3675" s="15"/>
      <c r="AG3675" s="15"/>
      <c r="AH3675" s="15"/>
      <c r="AI3675" s="15"/>
      <c r="AJ3675" s="15"/>
      <c r="AK3675" s="15"/>
      <c r="AL3675" s="15"/>
      <c r="AM3675" s="15"/>
      <c r="AN3675" s="15"/>
      <c r="AO3675" s="15"/>
      <c r="AP3675" s="15"/>
      <c r="AQ3675" s="15"/>
      <c r="AR3675" s="15"/>
      <c r="AS3675" s="15"/>
      <c r="AT3675" s="15"/>
      <c r="AU3675" s="15"/>
      <c r="AV3675" s="15"/>
      <c r="AW3675" s="15"/>
    </row>
    <row r="3676" spans="3:49" x14ac:dyDescent="0.2">
      <c r="C3676" s="15"/>
      <c r="D3676" s="15"/>
      <c r="E3676" s="15"/>
      <c r="F3676" s="15"/>
      <c r="G3676" s="15"/>
      <c r="H3676" s="15"/>
      <c r="I3676" s="15"/>
      <c r="J3676" s="15"/>
      <c r="K3676" s="15"/>
      <c r="L3676" s="28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  <c r="AA3676" s="15"/>
      <c r="AB3676" s="15"/>
      <c r="AC3676" s="15"/>
      <c r="AD3676" s="15"/>
      <c r="AE3676" s="15"/>
      <c r="AF3676" s="15"/>
      <c r="AG3676" s="15"/>
      <c r="AH3676" s="15"/>
      <c r="AI3676" s="15"/>
      <c r="AJ3676" s="15"/>
      <c r="AK3676" s="15"/>
      <c r="AL3676" s="15"/>
      <c r="AM3676" s="15"/>
      <c r="AN3676" s="15"/>
      <c r="AO3676" s="15"/>
      <c r="AP3676" s="15"/>
      <c r="AQ3676" s="15"/>
      <c r="AR3676" s="15"/>
      <c r="AS3676" s="15"/>
      <c r="AT3676" s="15"/>
      <c r="AU3676" s="15"/>
      <c r="AV3676" s="15"/>
      <c r="AW3676" s="15"/>
    </row>
    <row r="3677" spans="3:49" x14ac:dyDescent="0.2">
      <c r="C3677" s="15"/>
      <c r="D3677" s="15"/>
      <c r="E3677" s="15"/>
      <c r="F3677" s="15"/>
      <c r="G3677" s="15"/>
      <c r="H3677" s="15"/>
      <c r="I3677" s="15"/>
      <c r="J3677" s="15"/>
      <c r="K3677" s="15"/>
      <c r="L3677" s="28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  <c r="AA3677" s="15"/>
      <c r="AB3677" s="15"/>
      <c r="AC3677" s="15"/>
      <c r="AD3677" s="15"/>
      <c r="AE3677" s="15"/>
      <c r="AF3677" s="15"/>
      <c r="AG3677" s="15"/>
      <c r="AH3677" s="15"/>
      <c r="AI3677" s="15"/>
      <c r="AJ3677" s="15"/>
      <c r="AK3677" s="15"/>
      <c r="AL3677" s="15"/>
      <c r="AM3677" s="15"/>
      <c r="AN3677" s="15"/>
      <c r="AO3677" s="15"/>
      <c r="AP3677" s="15"/>
      <c r="AQ3677" s="15"/>
      <c r="AR3677" s="15"/>
      <c r="AS3677" s="15"/>
      <c r="AT3677" s="15"/>
      <c r="AU3677" s="15"/>
      <c r="AV3677" s="15"/>
      <c r="AW3677" s="15"/>
    </row>
    <row r="3678" spans="3:49" x14ac:dyDescent="0.2">
      <c r="C3678" s="15"/>
      <c r="D3678" s="15"/>
      <c r="E3678" s="15"/>
      <c r="F3678" s="15"/>
      <c r="G3678" s="15"/>
      <c r="H3678" s="15"/>
      <c r="I3678" s="15"/>
      <c r="J3678" s="15"/>
      <c r="K3678" s="15"/>
      <c r="L3678" s="28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  <c r="AA3678" s="15"/>
      <c r="AB3678" s="15"/>
      <c r="AC3678" s="15"/>
      <c r="AD3678" s="15"/>
      <c r="AE3678" s="15"/>
      <c r="AF3678" s="15"/>
      <c r="AG3678" s="15"/>
      <c r="AH3678" s="15"/>
      <c r="AI3678" s="15"/>
      <c r="AJ3678" s="15"/>
      <c r="AK3678" s="15"/>
      <c r="AL3678" s="15"/>
      <c r="AM3678" s="15"/>
      <c r="AN3678" s="15"/>
      <c r="AO3678" s="15"/>
      <c r="AP3678" s="15"/>
      <c r="AQ3678" s="15"/>
      <c r="AR3678" s="15"/>
      <c r="AS3678" s="15"/>
      <c r="AT3678" s="15"/>
      <c r="AU3678" s="15"/>
      <c r="AV3678" s="15"/>
      <c r="AW3678" s="15"/>
    </row>
    <row r="3679" spans="3:49" x14ac:dyDescent="0.2">
      <c r="C3679" s="15"/>
      <c r="D3679" s="15"/>
      <c r="E3679" s="15"/>
      <c r="F3679" s="15"/>
      <c r="G3679" s="15"/>
      <c r="H3679" s="15"/>
      <c r="I3679" s="15"/>
      <c r="J3679" s="15"/>
      <c r="K3679" s="15"/>
      <c r="L3679" s="28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  <c r="AA3679" s="15"/>
      <c r="AB3679" s="15"/>
      <c r="AC3679" s="15"/>
      <c r="AD3679" s="15"/>
      <c r="AE3679" s="15"/>
      <c r="AF3679" s="15"/>
      <c r="AG3679" s="15"/>
      <c r="AH3679" s="15"/>
      <c r="AI3679" s="15"/>
      <c r="AJ3679" s="15"/>
      <c r="AK3679" s="15"/>
      <c r="AL3679" s="15"/>
      <c r="AM3679" s="15"/>
      <c r="AN3679" s="15"/>
      <c r="AO3679" s="15"/>
      <c r="AP3679" s="15"/>
      <c r="AQ3679" s="15"/>
      <c r="AR3679" s="15"/>
      <c r="AS3679" s="15"/>
      <c r="AT3679" s="15"/>
      <c r="AU3679" s="15"/>
      <c r="AV3679" s="15"/>
      <c r="AW3679" s="15"/>
    </row>
    <row r="3680" spans="3:49" x14ac:dyDescent="0.2">
      <c r="C3680" s="15"/>
      <c r="D3680" s="15"/>
      <c r="E3680" s="15"/>
      <c r="F3680" s="15"/>
      <c r="G3680" s="15"/>
      <c r="H3680" s="15"/>
      <c r="I3680" s="15"/>
      <c r="J3680" s="15"/>
      <c r="K3680" s="15"/>
      <c r="L3680" s="28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  <c r="AA3680" s="15"/>
      <c r="AB3680" s="15"/>
      <c r="AC3680" s="15"/>
      <c r="AD3680" s="15"/>
      <c r="AE3680" s="15"/>
      <c r="AF3680" s="15"/>
      <c r="AG3680" s="15"/>
      <c r="AH3680" s="15"/>
      <c r="AI3680" s="15"/>
      <c r="AJ3680" s="15"/>
      <c r="AK3680" s="15"/>
      <c r="AL3680" s="15"/>
      <c r="AM3680" s="15"/>
      <c r="AN3680" s="15"/>
      <c r="AO3680" s="15"/>
      <c r="AP3680" s="15"/>
      <c r="AQ3680" s="15"/>
      <c r="AR3680" s="15"/>
      <c r="AS3680" s="15"/>
      <c r="AT3680" s="15"/>
      <c r="AU3680" s="15"/>
      <c r="AV3680" s="15"/>
      <c r="AW3680" s="15"/>
    </row>
    <row r="3681" spans="3:49" x14ac:dyDescent="0.2">
      <c r="C3681" s="15"/>
      <c r="D3681" s="15"/>
      <c r="E3681" s="15"/>
      <c r="F3681" s="15"/>
      <c r="G3681" s="15"/>
      <c r="H3681" s="15"/>
      <c r="I3681" s="15"/>
      <c r="J3681" s="15"/>
      <c r="K3681" s="15"/>
      <c r="L3681" s="28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  <c r="AA3681" s="15"/>
      <c r="AB3681" s="15"/>
      <c r="AC3681" s="15"/>
      <c r="AD3681" s="15"/>
      <c r="AE3681" s="15"/>
      <c r="AF3681" s="15"/>
      <c r="AG3681" s="15"/>
      <c r="AH3681" s="15"/>
      <c r="AI3681" s="15"/>
      <c r="AJ3681" s="15"/>
      <c r="AK3681" s="15"/>
      <c r="AL3681" s="15"/>
      <c r="AM3681" s="15"/>
      <c r="AN3681" s="15"/>
      <c r="AO3681" s="15"/>
      <c r="AP3681" s="15"/>
      <c r="AQ3681" s="15"/>
      <c r="AR3681" s="15"/>
      <c r="AS3681" s="15"/>
      <c r="AT3681" s="15"/>
      <c r="AU3681" s="15"/>
      <c r="AV3681" s="15"/>
      <c r="AW3681" s="15"/>
    </row>
    <row r="3682" spans="3:49" x14ac:dyDescent="0.2">
      <c r="C3682" s="15"/>
      <c r="D3682" s="15"/>
      <c r="E3682" s="15"/>
      <c r="F3682" s="15"/>
      <c r="G3682" s="15"/>
      <c r="H3682" s="15"/>
      <c r="I3682" s="15"/>
      <c r="J3682" s="15"/>
      <c r="K3682" s="15"/>
      <c r="L3682" s="28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  <c r="AA3682" s="15"/>
      <c r="AB3682" s="15"/>
      <c r="AC3682" s="15"/>
      <c r="AD3682" s="15"/>
      <c r="AE3682" s="15"/>
      <c r="AF3682" s="15"/>
      <c r="AG3682" s="15"/>
      <c r="AH3682" s="15"/>
      <c r="AI3682" s="15"/>
      <c r="AJ3682" s="15"/>
      <c r="AK3682" s="15"/>
      <c r="AL3682" s="15"/>
      <c r="AM3682" s="15"/>
      <c r="AN3682" s="15"/>
      <c r="AO3682" s="15"/>
      <c r="AP3682" s="15"/>
      <c r="AQ3682" s="15"/>
      <c r="AR3682" s="15"/>
      <c r="AS3682" s="15"/>
      <c r="AT3682" s="15"/>
      <c r="AU3682" s="15"/>
      <c r="AV3682" s="15"/>
      <c r="AW3682" s="15"/>
    </row>
    <row r="3683" spans="3:49" x14ac:dyDescent="0.2">
      <c r="C3683" s="15"/>
      <c r="D3683" s="15"/>
      <c r="E3683" s="15"/>
      <c r="F3683" s="15"/>
      <c r="G3683" s="15"/>
      <c r="H3683" s="15"/>
      <c r="I3683" s="15"/>
      <c r="J3683" s="15"/>
      <c r="K3683" s="15"/>
      <c r="L3683" s="28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  <c r="AA3683" s="15"/>
      <c r="AB3683" s="15"/>
      <c r="AC3683" s="15"/>
      <c r="AD3683" s="15"/>
      <c r="AE3683" s="15"/>
      <c r="AF3683" s="15"/>
      <c r="AG3683" s="15"/>
      <c r="AH3683" s="15"/>
      <c r="AI3683" s="15"/>
      <c r="AJ3683" s="15"/>
      <c r="AK3683" s="15"/>
      <c r="AL3683" s="15"/>
      <c r="AM3683" s="15"/>
      <c r="AN3683" s="15"/>
      <c r="AO3683" s="15"/>
      <c r="AP3683" s="15"/>
      <c r="AQ3683" s="15"/>
      <c r="AR3683" s="15"/>
      <c r="AS3683" s="15"/>
      <c r="AT3683" s="15"/>
      <c r="AU3683" s="15"/>
      <c r="AV3683" s="15"/>
      <c r="AW3683" s="15"/>
    </row>
    <row r="3684" spans="3:49" x14ac:dyDescent="0.2">
      <c r="C3684" s="15"/>
      <c r="D3684" s="15"/>
      <c r="E3684" s="15"/>
      <c r="F3684" s="15"/>
      <c r="G3684" s="15"/>
      <c r="H3684" s="15"/>
      <c r="I3684" s="15"/>
      <c r="J3684" s="15"/>
      <c r="K3684" s="15"/>
      <c r="L3684" s="28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  <c r="AA3684" s="15"/>
      <c r="AB3684" s="15"/>
      <c r="AC3684" s="15"/>
      <c r="AD3684" s="15"/>
      <c r="AE3684" s="15"/>
      <c r="AF3684" s="15"/>
      <c r="AG3684" s="15"/>
      <c r="AH3684" s="15"/>
      <c r="AI3684" s="15"/>
      <c r="AJ3684" s="15"/>
      <c r="AK3684" s="15"/>
      <c r="AL3684" s="15"/>
      <c r="AM3684" s="15"/>
      <c r="AN3684" s="15"/>
      <c r="AO3684" s="15"/>
      <c r="AP3684" s="15"/>
      <c r="AQ3684" s="15"/>
      <c r="AR3684" s="15"/>
      <c r="AS3684" s="15"/>
      <c r="AT3684" s="15"/>
      <c r="AU3684" s="15"/>
      <c r="AV3684" s="15"/>
      <c r="AW3684" s="15"/>
    </row>
    <row r="3685" spans="3:49" x14ac:dyDescent="0.2">
      <c r="C3685" s="15"/>
      <c r="D3685" s="15"/>
      <c r="E3685" s="15"/>
      <c r="F3685" s="15"/>
      <c r="G3685" s="15"/>
      <c r="H3685" s="15"/>
      <c r="I3685" s="15"/>
      <c r="J3685" s="15"/>
      <c r="K3685" s="15"/>
      <c r="L3685" s="28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  <c r="AA3685" s="15"/>
      <c r="AB3685" s="15"/>
      <c r="AC3685" s="15"/>
      <c r="AD3685" s="15"/>
      <c r="AE3685" s="15"/>
      <c r="AF3685" s="15"/>
      <c r="AG3685" s="15"/>
      <c r="AH3685" s="15"/>
      <c r="AI3685" s="15"/>
      <c r="AJ3685" s="15"/>
      <c r="AK3685" s="15"/>
      <c r="AL3685" s="15"/>
      <c r="AM3685" s="15"/>
      <c r="AN3685" s="15"/>
      <c r="AO3685" s="15"/>
      <c r="AP3685" s="15"/>
      <c r="AQ3685" s="15"/>
      <c r="AR3685" s="15"/>
      <c r="AS3685" s="15"/>
      <c r="AT3685" s="15"/>
      <c r="AU3685" s="15"/>
      <c r="AV3685" s="15"/>
      <c r="AW3685" s="15"/>
    </row>
    <row r="3686" spans="3:49" x14ac:dyDescent="0.2">
      <c r="C3686" s="15"/>
      <c r="D3686" s="15"/>
      <c r="E3686" s="15"/>
      <c r="F3686" s="15"/>
      <c r="G3686" s="15"/>
      <c r="H3686" s="15"/>
      <c r="I3686" s="15"/>
      <c r="J3686" s="15"/>
      <c r="K3686" s="15"/>
      <c r="L3686" s="28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  <c r="AA3686" s="15"/>
      <c r="AB3686" s="15"/>
      <c r="AC3686" s="15"/>
      <c r="AD3686" s="15"/>
      <c r="AE3686" s="15"/>
      <c r="AF3686" s="15"/>
      <c r="AG3686" s="15"/>
      <c r="AH3686" s="15"/>
      <c r="AI3686" s="15"/>
      <c r="AJ3686" s="15"/>
      <c r="AK3686" s="15"/>
      <c r="AL3686" s="15"/>
      <c r="AM3686" s="15"/>
      <c r="AN3686" s="15"/>
      <c r="AO3686" s="15"/>
      <c r="AP3686" s="15"/>
      <c r="AQ3686" s="15"/>
      <c r="AR3686" s="15"/>
      <c r="AS3686" s="15"/>
      <c r="AT3686" s="15"/>
      <c r="AU3686" s="15"/>
      <c r="AV3686" s="15"/>
      <c r="AW3686" s="15"/>
    </row>
    <row r="3687" spans="3:49" x14ac:dyDescent="0.2">
      <c r="C3687" s="15"/>
      <c r="D3687" s="15"/>
      <c r="E3687" s="15"/>
      <c r="F3687" s="15"/>
      <c r="G3687" s="15"/>
      <c r="H3687" s="15"/>
      <c r="I3687" s="15"/>
      <c r="J3687" s="15"/>
      <c r="K3687" s="15"/>
      <c r="L3687" s="28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  <c r="AA3687" s="15"/>
      <c r="AB3687" s="15"/>
      <c r="AC3687" s="15"/>
      <c r="AD3687" s="15"/>
      <c r="AE3687" s="15"/>
      <c r="AF3687" s="15"/>
      <c r="AG3687" s="15"/>
      <c r="AH3687" s="15"/>
      <c r="AI3687" s="15"/>
      <c r="AJ3687" s="15"/>
      <c r="AK3687" s="15"/>
      <c r="AL3687" s="15"/>
      <c r="AM3687" s="15"/>
      <c r="AN3687" s="15"/>
      <c r="AO3687" s="15"/>
      <c r="AP3687" s="15"/>
      <c r="AQ3687" s="15"/>
      <c r="AR3687" s="15"/>
      <c r="AS3687" s="15"/>
      <c r="AT3687" s="15"/>
      <c r="AU3687" s="15"/>
      <c r="AV3687" s="15"/>
      <c r="AW3687" s="15"/>
    </row>
    <row r="3688" spans="3:49" x14ac:dyDescent="0.2">
      <c r="C3688" s="15"/>
      <c r="D3688" s="15"/>
      <c r="E3688" s="15"/>
      <c r="F3688" s="15"/>
      <c r="G3688" s="15"/>
      <c r="H3688" s="15"/>
      <c r="I3688" s="15"/>
      <c r="J3688" s="15"/>
      <c r="K3688" s="15"/>
      <c r="L3688" s="28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  <c r="AA3688" s="15"/>
      <c r="AB3688" s="15"/>
      <c r="AC3688" s="15"/>
      <c r="AD3688" s="15"/>
      <c r="AE3688" s="15"/>
      <c r="AF3688" s="15"/>
      <c r="AG3688" s="15"/>
      <c r="AH3688" s="15"/>
      <c r="AI3688" s="15"/>
      <c r="AJ3688" s="15"/>
      <c r="AK3688" s="15"/>
      <c r="AL3688" s="15"/>
      <c r="AM3688" s="15"/>
      <c r="AN3688" s="15"/>
      <c r="AO3688" s="15"/>
      <c r="AP3688" s="15"/>
      <c r="AQ3688" s="15"/>
      <c r="AR3688" s="15"/>
      <c r="AS3688" s="15"/>
      <c r="AT3688" s="15"/>
      <c r="AU3688" s="15"/>
      <c r="AV3688" s="15"/>
      <c r="AW3688" s="15"/>
    </row>
    <row r="3689" spans="3:49" x14ac:dyDescent="0.2">
      <c r="C3689" s="15"/>
      <c r="D3689" s="15"/>
      <c r="E3689" s="15"/>
      <c r="F3689" s="15"/>
      <c r="G3689" s="15"/>
      <c r="H3689" s="15"/>
      <c r="I3689" s="15"/>
      <c r="J3689" s="15"/>
      <c r="K3689" s="15"/>
      <c r="L3689" s="28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  <c r="AA3689" s="15"/>
      <c r="AB3689" s="15"/>
      <c r="AC3689" s="15"/>
      <c r="AD3689" s="15"/>
      <c r="AE3689" s="15"/>
      <c r="AF3689" s="15"/>
      <c r="AG3689" s="15"/>
      <c r="AH3689" s="15"/>
      <c r="AI3689" s="15"/>
      <c r="AJ3689" s="15"/>
      <c r="AK3689" s="15"/>
      <c r="AL3689" s="15"/>
      <c r="AM3689" s="15"/>
      <c r="AN3689" s="15"/>
      <c r="AO3689" s="15"/>
      <c r="AP3689" s="15"/>
      <c r="AQ3689" s="15"/>
      <c r="AR3689" s="15"/>
      <c r="AS3689" s="15"/>
      <c r="AT3689" s="15"/>
      <c r="AU3689" s="15"/>
      <c r="AV3689" s="15"/>
      <c r="AW3689" s="15"/>
    </row>
    <row r="3690" spans="3:49" x14ac:dyDescent="0.2">
      <c r="C3690" s="15"/>
      <c r="D3690" s="15"/>
      <c r="E3690" s="15"/>
      <c r="F3690" s="15"/>
      <c r="G3690" s="15"/>
      <c r="H3690" s="15"/>
      <c r="I3690" s="15"/>
      <c r="J3690" s="15"/>
      <c r="K3690" s="15"/>
      <c r="L3690" s="28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  <c r="AA3690" s="15"/>
      <c r="AB3690" s="15"/>
      <c r="AC3690" s="15"/>
      <c r="AD3690" s="15"/>
      <c r="AE3690" s="15"/>
      <c r="AF3690" s="15"/>
      <c r="AG3690" s="15"/>
      <c r="AH3690" s="15"/>
      <c r="AI3690" s="15"/>
      <c r="AJ3690" s="15"/>
      <c r="AK3690" s="15"/>
      <c r="AL3690" s="15"/>
      <c r="AM3690" s="15"/>
      <c r="AN3690" s="15"/>
      <c r="AO3690" s="15"/>
      <c r="AP3690" s="15"/>
      <c r="AQ3690" s="15"/>
      <c r="AR3690" s="15"/>
      <c r="AS3690" s="15"/>
      <c r="AT3690" s="15"/>
      <c r="AU3690" s="15"/>
      <c r="AV3690" s="15"/>
      <c r="AW3690" s="15"/>
    </row>
    <row r="3691" spans="3:49" x14ac:dyDescent="0.2">
      <c r="C3691" s="15"/>
      <c r="D3691" s="15"/>
      <c r="E3691" s="15"/>
      <c r="F3691" s="15"/>
      <c r="G3691" s="15"/>
      <c r="H3691" s="15"/>
      <c r="I3691" s="15"/>
      <c r="J3691" s="15"/>
      <c r="K3691" s="15"/>
      <c r="L3691" s="28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  <c r="AA3691" s="15"/>
      <c r="AB3691" s="15"/>
      <c r="AC3691" s="15"/>
      <c r="AD3691" s="15"/>
      <c r="AE3691" s="15"/>
      <c r="AF3691" s="15"/>
      <c r="AG3691" s="15"/>
      <c r="AH3691" s="15"/>
      <c r="AI3691" s="15"/>
      <c r="AJ3691" s="15"/>
      <c r="AK3691" s="15"/>
      <c r="AL3691" s="15"/>
      <c r="AM3691" s="15"/>
      <c r="AN3691" s="15"/>
      <c r="AO3691" s="15"/>
      <c r="AP3691" s="15"/>
      <c r="AQ3691" s="15"/>
      <c r="AR3691" s="15"/>
      <c r="AS3691" s="15"/>
      <c r="AT3691" s="15"/>
      <c r="AU3691" s="15"/>
      <c r="AV3691" s="15"/>
      <c r="AW3691" s="15"/>
    </row>
    <row r="3692" spans="3:49" x14ac:dyDescent="0.2">
      <c r="C3692" s="15"/>
      <c r="D3692" s="15"/>
      <c r="E3692" s="15"/>
      <c r="F3692" s="15"/>
      <c r="G3692" s="15"/>
      <c r="H3692" s="15"/>
      <c r="I3692" s="15"/>
      <c r="J3692" s="15"/>
      <c r="K3692" s="15"/>
      <c r="L3692" s="28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  <c r="AA3692" s="15"/>
      <c r="AB3692" s="15"/>
      <c r="AC3692" s="15"/>
      <c r="AD3692" s="15"/>
      <c r="AE3692" s="15"/>
      <c r="AF3692" s="15"/>
      <c r="AG3692" s="15"/>
      <c r="AH3692" s="15"/>
      <c r="AI3692" s="15"/>
      <c r="AJ3692" s="15"/>
      <c r="AK3692" s="15"/>
      <c r="AL3692" s="15"/>
      <c r="AM3692" s="15"/>
      <c r="AN3692" s="15"/>
      <c r="AO3692" s="15"/>
      <c r="AP3692" s="15"/>
      <c r="AQ3692" s="15"/>
      <c r="AR3692" s="15"/>
      <c r="AS3692" s="15"/>
      <c r="AT3692" s="15"/>
      <c r="AU3692" s="15"/>
      <c r="AV3692" s="15"/>
      <c r="AW3692" s="15"/>
    </row>
    <row r="3693" spans="3:49" x14ac:dyDescent="0.2">
      <c r="C3693" s="15"/>
      <c r="D3693" s="15"/>
      <c r="E3693" s="15"/>
      <c r="F3693" s="15"/>
      <c r="G3693" s="15"/>
      <c r="H3693" s="15"/>
      <c r="I3693" s="15"/>
      <c r="J3693" s="15"/>
      <c r="K3693" s="15"/>
      <c r="L3693" s="28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  <c r="AA3693" s="15"/>
      <c r="AB3693" s="15"/>
      <c r="AC3693" s="15"/>
      <c r="AD3693" s="15"/>
      <c r="AE3693" s="15"/>
      <c r="AF3693" s="15"/>
      <c r="AG3693" s="15"/>
      <c r="AH3693" s="15"/>
      <c r="AI3693" s="15"/>
      <c r="AJ3693" s="15"/>
      <c r="AK3693" s="15"/>
      <c r="AL3693" s="15"/>
      <c r="AM3693" s="15"/>
      <c r="AN3693" s="15"/>
      <c r="AO3693" s="15"/>
      <c r="AP3693" s="15"/>
      <c r="AQ3693" s="15"/>
      <c r="AR3693" s="15"/>
      <c r="AS3693" s="15"/>
      <c r="AT3693" s="15"/>
      <c r="AU3693" s="15"/>
      <c r="AV3693" s="15"/>
      <c r="AW3693" s="15"/>
    </row>
    <row r="3694" spans="3:49" x14ac:dyDescent="0.2">
      <c r="C3694" s="15"/>
      <c r="D3694" s="15"/>
      <c r="E3694" s="15"/>
      <c r="F3694" s="15"/>
      <c r="G3694" s="15"/>
      <c r="H3694" s="15"/>
      <c r="I3694" s="15"/>
      <c r="J3694" s="15"/>
      <c r="K3694" s="15"/>
      <c r="L3694" s="28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  <c r="AA3694" s="15"/>
      <c r="AB3694" s="15"/>
      <c r="AC3694" s="15"/>
      <c r="AD3694" s="15"/>
      <c r="AE3694" s="15"/>
      <c r="AF3694" s="15"/>
      <c r="AG3694" s="15"/>
      <c r="AH3694" s="15"/>
      <c r="AI3694" s="15"/>
      <c r="AJ3694" s="15"/>
      <c r="AK3694" s="15"/>
      <c r="AL3694" s="15"/>
      <c r="AM3694" s="15"/>
      <c r="AN3694" s="15"/>
      <c r="AO3694" s="15"/>
      <c r="AP3694" s="15"/>
      <c r="AQ3694" s="15"/>
      <c r="AR3694" s="15"/>
      <c r="AS3694" s="15"/>
      <c r="AT3694" s="15"/>
      <c r="AU3694" s="15"/>
      <c r="AV3694" s="15"/>
      <c r="AW3694" s="15"/>
    </row>
    <row r="3695" spans="3:49" x14ac:dyDescent="0.2">
      <c r="C3695" s="15"/>
      <c r="D3695" s="15"/>
      <c r="E3695" s="15"/>
      <c r="F3695" s="15"/>
      <c r="G3695" s="15"/>
      <c r="H3695" s="15"/>
      <c r="I3695" s="15"/>
      <c r="J3695" s="15"/>
      <c r="K3695" s="15"/>
      <c r="L3695" s="28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  <c r="AA3695" s="15"/>
      <c r="AB3695" s="15"/>
      <c r="AC3695" s="15"/>
      <c r="AD3695" s="15"/>
      <c r="AE3695" s="15"/>
      <c r="AF3695" s="15"/>
      <c r="AG3695" s="15"/>
      <c r="AH3695" s="15"/>
      <c r="AI3695" s="15"/>
      <c r="AJ3695" s="15"/>
      <c r="AK3695" s="15"/>
      <c r="AL3695" s="15"/>
      <c r="AM3695" s="15"/>
      <c r="AN3695" s="15"/>
      <c r="AO3695" s="15"/>
      <c r="AP3695" s="15"/>
      <c r="AQ3695" s="15"/>
      <c r="AR3695" s="15"/>
      <c r="AS3695" s="15"/>
      <c r="AT3695" s="15"/>
      <c r="AU3695" s="15"/>
      <c r="AV3695" s="15"/>
      <c r="AW3695" s="15"/>
    </row>
    <row r="3696" spans="3:49" x14ac:dyDescent="0.2">
      <c r="C3696" s="15"/>
      <c r="D3696" s="15"/>
      <c r="E3696" s="15"/>
      <c r="F3696" s="15"/>
      <c r="G3696" s="15"/>
      <c r="H3696" s="15"/>
      <c r="I3696" s="15"/>
      <c r="J3696" s="15"/>
      <c r="K3696" s="15"/>
      <c r="L3696" s="28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  <c r="AA3696" s="15"/>
      <c r="AB3696" s="15"/>
      <c r="AC3696" s="15"/>
      <c r="AD3696" s="15"/>
      <c r="AE3696" s="15"/>
      <c r="AF3696" s="15"/>
      <c r="AG3696" s="15"/>
      <c r="AH3696" s="15"/>
      <c r="AI3696" s="15"/>
      <c r="AJ3696" s="15"/>
      <c r="AK3696" s="15"/>
      <c r="AL3696" s="15"/>
      <c r="AM3696" s="15"/>
      <c r="AN3696" s="15"/>
      <c r="AO3696" s="15"/>
      <c r="AP3696" s="15"/>
      <c r="AQ3696" s="15"/>
      <c r="AR3696" s="15"/>
      <c r="AS3696" s="15"/>
      <c r="AT3696" s="15"/>
      <c r="AU3696" s="15"/>
      <c r="AV3696" s="15"/>
      <c r="AW3696" s="15"/>
    </row>
    <row r="3697" spans="3:49" x14ac:dyDescent="0.2">
      <c r="C3697" s="15"/>
      <c r="D3697" s="15"/>
      <c r="E3697" s="15"/>
      <c r="F3697" s="15"/>
      <c r="G3697" s="15"/>
      <c r="H3697" s="15"/>
      <c r="I3697" s="15"/>
      <c r="J3697" s="15"/>
      <c r="K3697" s="15"/>
      <c r="L3697" s="28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  <c r="AA3697" s="15"/>
      <c r="AB3697" s="15"/>
      <c r="AC3697" s="15"/>
      <c r="AD3697" s="15"/>
      <c r="AE3697" s="15"/>
      <c r="AF3697" s="15"/>
      <c r="AG3697" s="15"/>
      <c r="AH3697" s="15"/>
      <c r="AI3697" s="15"/>
      <c r="AJ3697" s="15"/>
      <c r="AK3697" s="15"/>
      <c r="AL3697" s="15"/>
      <c r="AM3697" s="15"/>
      <c r="AN3697" s="15"/>
      <c r="AO3697" s="15"/>
      <c r="AP3697" s="15"/>
      <c r="AQ3697" s="15"/>
      <c r="AR3697" s="15"/>
      <c r="AS3697" s="15"/>
      <c r="AT3697" s="15"/>
      <c r="AU3697" s="15"/>
      <c r="AV3697" s="15"/>
      <c r="AW3697" s="15"/>
    </row>
    <row r="3698" spans="3:49" x14ac:dyDescent="0.2">
      <c r="C3698" s="15"/>
      <c r="D3698" s="15"/>
      <c r="E3698" s="15"/>
      <c r="F3698" s="15"/>
      <c r="G3698" s="15"/>
      <c r="H3698" s="15"/>
      <c r="I3698" s="15"/>
      <c r="J3698" s="15"/>
      <c r="K3698" s="15"/>
      <c r="L3698" s="28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  <c r="AA3698" s="15"/>
      <c r="AB3698" s="15"/>
      <c r="AC3698" s="15"/>
      <c r="AD3698" s="15"/>
      <c r="AE3698" s="15"/>
      <c r="AF3698" s="15"/>
      <c r="AG3698" s="15"/>
      <c r="AH3698" s="15"/>
      <c r="AI3698" s="15"/>
      <c r="AJ3698" s="15"/>
      <c r="AK3698" s="15"/>
      <c r="AL3698" s="15"/>
      <c r="AM3698" s="15"/>
      <c r="AN3698" s="15"/>
      <c r="AO3698" s="15"/>
      <c r="AP3698" s="15"/>
      <c r="AQ3698" s="15"/>
      <c r="AR3698" s="15"/>
      <c r="AS3698" s="15"/>
      <c r="AT3698" s="15"/>
      <c r="AU3698" s="15"/>
      <c r="AV3698" s="15"/>
      <c r="AW3698" s="15"/>
    </row>
    <row r="3699" spans="3:49" x14ac:dyDescent="0.2">
      <c r="C3699" s="15"/>
      <c r="D3699" s="15"/>
      <c r="E3699" s="15"/>
      <c r="F3699" s="15"/>
      <c r="G3699" s="15"/>
      <c r="H3699" s="15"/>
      <c r="I3699" s="15"/>
      <c r="J3699" s="15"/>
      <c r="K3699" s="15"/>
      <c r="L3699" s="28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  <c r="AA3699" s="15"/>
      <c r="AB3699" s="15"/>
      <c r="AC3699" s="15"/>
      <c r="AD3699" s="15"/>
      <c r="AE3699" s="15"/>
      <c r="AF3699" s="15"/>
      <c r="AG3699" s="15"/>
      <c r="AH3699" s="15"/>
      <c r="AI3699" s="15"/>
      <c r="AJ3699" s="15"/>
      <c r="AK3699" s="15"/>
      <c r="AL3699" s="15"/>
      <c r="AM3699" s="15"/>
      <c r="AN3699" s="15"/>
      <c r="AO3699" s="15"/>
      <c r="AP3699" s="15"/>
      <c r="AQ3699" s="15"/>
      <c r="AR3699" s="15"/>
      <c r="AS3699" s="15"/>
      <c r="AT3699" s="15"/>
      <c r="AU3699" s="15"/>
      <c r="AV3699" s="15"/>
      <c r="AW3699" s="15"/>
    </row>
    <row r="3700" spans="3:49" x14ac:dyDescent="0.2">
      <c r="C3700" s="15"/>
      <c r="D3700" s="15"/>
      <c r="E3700" s="15"/>
      <c r="F3700" s="15"/>
      <c r="G3700" s="15"/>
      <c r="H3700" s="15"/>
      <c r="I3700" s="15"/>
      <c r="J3700" s="15"/>
      <c r="K3700" s="15"/>
      <c r="L3700" s="28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  <c r="AA3700" s="15"/>
      <c r="AB3700" s="15"/>
      <c r="AC3700" s="15"/>
      <c r="AD3700" s="15"/>
      <c r="AE3700" s="15"/>
      <c r="AF3700" s="15"/>
      <c r="AG3700" s="15"/>
      <c r="AH3700" s="15"/>
      <c r="AI3700" s="15"/>
      <c r="AJ3700" s="15"/>
      <c r="AK3700" s="15"/>
      <c r="AL3700" s="15"/>
      <c r="AM3700" s="15"/>
      <c r="AN3700" s="15"/>
      <c r="AO3700" s="15"/>
      <c r="AP3700" s="15"/>
      <c r="AQ3700" s="15"/>
      <c r="AR3700" s="15"/>
      <c r="AS3700" s="15"/>
      <c r="AT3700" s="15"/>
      <c r="AU3700" s="15"/>
      <c r="AV3700" s="15"/>
      <c r="AW3700" s="15"/>
    </row>
    <row r="3701" spans="3:49" x14ac:dyDescent="0.2">
      <c r="C3701" s="15"/>
      <c r="D3701" s="15"/>
      <c r="E3701" s="15"/>
      <c r="F3701" s="15"/>
      <c r="G3701" s="15"/>
      <c r="H3701" s="15"/>
      <c r="I3701" s="15"/>
      <c r="J3701" s="15"/>
      <c r="K3701" s="15"/>
      <c r="L3701" s="28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  <c r="AA3701" s="15"/>
      <c r="AB3701" s="15"/>
      <c r="AC3701" s="15"/>
      <c r="AD3701" s="15"/>
      <c r="AE3701" s="15"/>
      <c r="AF3701" s="15"/>
      <c r="AG3701" s="15"/>
      <c r="AH3701" s="15"/>
      <c r="AI3701" s="15"/>
      <c r="AJ3701" s="15"/>
      <c r="AK3701" s="15"/>
      <c r="AL3701" s="15"/>
      <c r="AM3701" s="15"/>
      <c r="AN3701" s="15"/>
      <c r="AO3701" s="15"/>
      <c r="AP3701" s="15"/>
      <c r="AQ3701" s="15"/>
      <c r="AR3701" s="15"/>
      <c r="AS3701" s="15"/>
      <c r="AT3701" s="15"/>
      <c r="AU3701" s="15"/>
      <c r="AV3701" s="15"/>
      <c r="AW3701" s="15"/>
    </row>
    <row r="3702" spans="3:49" x14ac:dyDescent="0.2">
      <c r="C3702" s="15"/>
      <c r="D3702" s="15"/>
      <c r="E3702" s="15"/>
      <c r="F3702" s="15"/>
      <c r="G3702" s="15"/>
      <c r="H3702" s="15"/>
      <c r="I3702" s="15"/>
      <c r="J3702" s="15"/>
      <c r="K3702" s="15"/>
      <c r="L3702" s="28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  <c r="AA3702" s="15"/>
      <c r="AB3702" s="15"/>
      <c r="AC3702" s="15"/>
      <c r="AD3702" s="15"/>
      <c r="AE3702" s="15"/>
      <c r="AF3702" s="15"/>
      <c r="AG3702" s="15"/>
      <c r="AH3702" s="15"/>
      <c r="AI3702" s="15"/>
      <c r="AJ3702" s="15"/>
      <c r="AK3702" s="15"/>
      <c r="AL3702" s="15"/>
      <c r="AM3702" s="15"/>
      <c r="AN3702" s="15"/>
      <c r="AO3702" s="15"/>
      <c r="AP3702" s="15"/>
      <c r="AQ3702" s="15"/>
      <c r="AR3702" s="15"/>
      <c r="AS3702" s="15"/>
      <c r="AT3702" s="15"/>
      <c r="AU3702" s="15"/>
      <c r="AV3702" s="15"/>
      <c r="AW3702" s="15"/>
    </row>
    <row r="3703" spans="3:49" x14ac:dyDescent="0.2">
      <c r="C3703" s="15"/>
      <c r="D3703" s="15"/>
      <c r="E3703" s="15"/>
      <c r="F3703" s="15"/>
      <c r="G3703" s="15"/>
      <c r="H3703" s="15"/>
      <c r="I3703" s="15"/>
      <c r="J3703" s="15"/>
      <c r="K3703" s="15"/>
      <c r="L3703" s="28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  <c r="AA3703" s="15"/>
      <c r="AB3703" s="15"/>
      <c r="AC3703" s="15"/>
      <c r="AD3703" s="15"/>
      <c r="AE3703" s="15"/>
      <c r="AF3703" s="15"/>
      <c r="AG3703" s="15"/>
      <c r="AH3703" s="15"/>
      <c r="AI3703" s="15"/>
      <c r="AJ3703" s="15"/>
      <c r="AK3703" s="15"/>
      <c r="AL3703" s="15"/>
      <c r="AM3703" s="15"/>
      <c r="AN3703" s="15"/>
      <c r="AO3703" s="15"/>
      <c r="AP3703" s="15"/>
      <c r="AQ3703" s="15"/>
      <c r="AR3703" s="15"/>
      <c r="AS3703" s="15"/>
      <c r="AT3703" s="15"/>
      <c r="AU3703" s="15"/>
      <c r="AV3703" s="15"/>
      <c r="AW3703" s="15"/>
    </row>
    <row r="3704" spans="3:49" x14ac:dyDescent="0.2">
      <c r="C3704" s="15"/>
      <c r="D3704" s="15"/>
      <c r="E3704" s="15"/>
      <c r="F3704" s="15"/>
      <c r="G3704" s="15"/>
      <c r="H3704" s="15"/>
      <c r="I3704" s="15"/>
      <c r="J3704" s="15"/>
      <c r="K3704" s="15"/>
      <c r="L3704" s="28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  <c r="AA3704" s="15"/>
      <c r="AB3704" s="15"/>
      <c r="AC3704" s="15"/>
      <c r="AD3704" s="15"/>
      <c r="AE3704" s="15"/>
      <c r="AF3704" s="15"/>
      <c r="AG3704" s="15"/>
      <c r="AH3704" s="15"/>
      <c r="AI3704" s="15"/>
      <c r="AJ3704" s="15"/>
      <c r="AK3704" s="15"/>
      <c r="AL3704" s="15"/>
      <c r="AM3704" s="15"/>
      <c r="AN3704" s="15"/>
      <c r="AO3704" s="15"/>
      <c r="AP3704" s="15"/>
      <c r="AQ3704" s="15"/>
      <c r="AR3704" s="15"/>
      <c r="AS3704" s="15"/>
      <c r="AT3704" s="15"/>
      <c r="AU3704" s="15"/>
      <c r="AV3704" s="15"/>
      <c r="AW3704" s="15"/>
    </row>
    <row r="3705" spans="3:49" x14ac:dyDescent="0.2">
      <c r="C3705" s="15"/>
      <c r="D3705" s="15"/>
      <c r="E3705" s="15"/>
      <c r="F3705" s="15"/>
      <c r="G3705" s="15"/>
      <c r="H3705" s="15"/>
      <c r="I3705" s="15"/>
      <c r="J3705" s="15"/>
      <c r="K3705" s="15"/>
      <c r="L3705" s="28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  <c r="AA3705" s="15"/>
      <c r="AB3705" s="15"/>
      <c r="AC3705" s="15"/>
      <c r="AD3705" s="15"/>
      <c r="AE3705" s="15"/>
      <c r="AF3705" s="15"/>
      <c r="AG3705" s="15"/>
      <c r="AH3705" s="15"/>
      <c r="AI3705" s="15"/>
      <c r="AJ3705" s="15"/>
      <c r="AK3705" s="15"/>
      <c r="AL3705" s="15"/>
      <c r="AM3705" s="15"/>
      <c r="AN3705" s="15"/>
      <c r="AO3705" s="15"/>
      <c r="AP3705" s="15"/>
      <c r="AQ3705" s="15"/>
      <c r="AR3705" s="15"/>
      <c r="AS3705" s="15"/>
      <c r="AT3705" s="15"/>
      <c r="AU3705" s="15"/>
      <c r="AV3705" s="15"/>
      <c r="AW3705" s="15"/>
    </row>
    <row r="3706" spans="3:49" x14ac:dyDescent="0.2">
      <c r="C3706" s="15"/>
      <c r="D3706" s="15"/>
      <c r="E3706" s="15"/>
      <c r="F3706" s="15"/>
      <c r="G3706" s="15"/>
      <c r="H3706" s="15"/>
      <c r="I3706" s="15"/>
      <c r="J3706" s="15"/>
      <c r="K3706" s="15"/>
      <c r="L3706" s="28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  <c r="AA3706" s="15"/>
      <c r="AB3706" s="15"/>
      <c r="AC3706" s="15"/>
      <c r="AD3706" s="15"/>
      <c r="AE3706" s="15"/>
      <c r="AF3706" s="15"/>
      <c r="AG3706" s="15"/>
      <c r="AH3706" s="15"/>
      <c r="AI3706" s="15"/>
      <c r="AJ3706" s="15"/>
      <c r="AK3706" s="15"/>
      <c r="AL3706" s="15"/>
      <c r="AM3706" s="15"/>
      <c r="AN3706" s="15"/>
      <c r="AO3706" s="15"/>
      <c r="AP3706" s="15"/>
      <c r="AQ3706" s="15"/>
      <c r="AR3706" s="15"/>
      <c r="AS3706" s="15"/>
      <c r="AT3706" s="15"/>
      <c r="AU3706" s="15"/>
      <c r="AV3706" s="15"/>
      <c r="AW3706" s="15"/>
    </row>
    <row r="3707" spans="3:49" x14ac:dyDescent="0.2">
      <c r="C3707" s="15"/>
      <c r="D3707" s="15"/>
      <c r="E3707" s="15"/>
      <c r="F3707" s="15"/>
      <c r="G3707" s="15"/>
      <c r="H3707" s="15"/>
      <c r="I3707" s="15"/>
      <c r="J3707" s="15"/>
      <c r="K3707" s="15"/>
      <c r="L3707" s="28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  <c r="AA3707" s="15"/>
      <c r="AB3707" s="15"/>
      <c r="AC3707" s="15"/>
      <c r="AD3707" s="15"/>
      <c r="AE3707" s="15"/>
      <c r="AF3707" s="15"/>
      <c r="AG3707" s="15"/>
      <c r="AH3707" s="15"/>
      <c r="AI3707" s="15"/>
      <c r="AJ3707" s="15"/>
      <c r="AK3707" s="15"/>
      <c r="AL3707" s="15"/>
      <c r="AM3707" s="15"/>
      <c r="AN3707" s="15"/>
      <c r="AO3707" s="15"/>
      <c r="AP3707" s="15"/>
      <c r="AQ3707" s="15"/>
      <c r="AR3707" s="15"/>
      <c r="AS3707" s="15"/>
      <c r="AT3707" s="15"/>
      <c r="AU3707" s="15"/>
      <c r="AV3707" s="15"/>
      <c r="AW3707" s="15"/>
    </row>
    <row r="3708" spans="3:49" x14ac:dyDescent="0.2">
      <c r="C3708" s="15"/>
      <c r="D3708" s="15"/>
      <c r="E3708" s="15"/>
      <c r="F3708" s="15"/>
      <c r="G3708" s="15"/>
      <c r="H3708" s="15"/>
      <c r="I3708" s="15"/>
      <c r="J3708" s="15"/>
      <c r="K3708" s="15"/>
      <c r="L3708" s="28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  <c r="AA3708" s="15"/>
      <c r="AB3708" s="15"/>
      <c r="AC3708" s="15"/>
      <c r="AD3708" s="15"/>
      <c r="AE3708" s="15"/>
      <c r="AF3708" s="15"/>
      <c r="AG3708" s="15"/>
      <c r="AH3708" s="15"/>
      <c r="AI3708" s="15"/>
      <c r="AJ3708" s="15"/>
      <c r="AK3708" s="15"/>
      <c r="AL3708" s="15"/>
      <c r="AM3708" s="15"/>
      <c r="AN3708" s="15"/>
      <c r="AO3708" s="15"/>
      <c r="AP3708" s="15"/>
      <c r="AQ3708" s="15"/>
      <c r="AR3708" s="15"/>
      <c r="AS3708" s="15"/>
      <c r="AT3708" s="15"/>
      <c r="AU3708" s="15"/>
      <c r="AV3708" s="15"/>
      <c r="AW3708" s="15"/>
    </row>
    <row r="3709" spans="3:49" x14ac:dyDescent="0.2">
      <c r="C3709" s="15"/>
      <c r="D3709" s="15"/>
      <c r="E3709" s="15"/>
      <c r="F3709" s="15"/>
      <c r="G3709" s="15"/>
      <c r="H3709" s="15"/>
      <c r="I3709" s="15"/>
      <c r="J3709" s="15"/>
      <c r="K3709" s="15"/>
      <c r="L3709" s="28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  <c r="AA3709" s="15"/>
      <c r="AB3709" s="15"/>
      <c r="AC3709" s="15"/>
      <c r="AD3709" s="15"/>
      <c r="AE3709" s="15"/>
      <c r="AF3709" s="15"/>
      <c r="AG3709" s="15"/>
      <c r="AH3709" s="15"/>
      <c r="AI3709" s="15"/>
      <c r="AJ3709" s="15"/>
      <c r="AK3709" s="15"/>
      <c r="AL3709" s="15"/>
      <c r="AM3709" s="15"/>
      <c r="AN3709" s="15"/>
      <c r="AO3709" s="15"/>
      <c r="AP3709" s="15"/>
      <c r="AQ3709" s="15"/>
      <c r="AR3709" s="15"/>
      <c r="AS3709" s="15"/>
      <c r="AT3709" s="15"/>
      <c r="AU3709" s="15"/>
      <c r="AV3709" s="15"/>
      <c r="AW3709" s="15"/>
    </row>
    <row r="3710" spans="3:49" x14ac:dyDescent="0.2">
      <c r="C3710" s="15"/>
      <c r="D3710" s="15"/>
      <c r="E3710" s="15"/>
      <c r="F3710" s="15"/>
      <c r="G3710" s="15"/>
      <c r="H3710" s="15"/>
      <c r="I3710" s="15"/>
      <c r="J3710" s="15"/>
      <c r="K3710" s="15"/>
      <c r="L3710" s="28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  <c r="AA3710" s="15"/>
      <c r="AB3710" s="15"/>
      <c r="AC3710" s="15"/>
      <c r="AD3710" s="15"/>
      <c r="AE3710" s="15"/>
      <c r="AF3710" s="15"/>
      <c r="AG3710" s="15"/>
      <c r="AH3710" s="15"/>
      <c r="AI3710" s="15"/>
      <c r="AJ3710" s="15"/>
      <c r="AK3710" s="15"/>
      <c r="AL3710" s="15"/>
      <c r="AM3710" s="15"/>
      <c r="AN3710" s="15"/>
      <c r="AO3710" s="15"/>
      <c r="AP3710" s="15"/>
      <c r="AQ3710" s="15"/>
      <c r="AR3710" s="15"/>
      <c r="AS3710" s="15"/>
      <c r="AT3710" s="15"/>
      <c r="AU3710" s="15"/>
      <c r="AV3710" s="15"/>
      <c r="AW3710" s="15"/>
    </row>
    <row r="3711" spans="3:49" x14ac:dyDescent="0.2">
      <c r="C3711" s="15"/>
      <c r="D3711" s="15"/>
      <c r="E3711" s="15"/>
      <c r="F3711" s="15"/>
      <c r="G3711" s="15"/>
      <c r="H3711" s="15"/>
      <c r="I3711" s="15"/>
      <c r="J3711" s="15"/>
      <c r="K3711" s="15"/>
      <c r="L3711" s="28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  <c r="AA3711" s="15"/>
      <c r="AB3711" s="15"/>
      <c r="AC3711" s="15"/>
      <c r="AD3711" s="15"/>
      <c r="AE3711" s="15"/>
      <c r="AF3711" s="15"/>
      <c r="AG3711" s="15"/>
      <c r="AH3711" s="15"/>
      <c r="AI3711" s="15"/>
      <c r="AJ3711" s="15"/>
      <c r="AK3711" s="15"/>
      <c r="AL3711" s="15"/>
      <c r="AM3711" s="15"/>
      <c r="AN3711" s="15"/>
      <c r="AO3711" s="15"/>
      <c r="AP3711" s="15"/>
      <c r="AQ3711" s="15"/>
      <c r="AR3711" s="15"/>
      <c r="AS3711" s="15"/>
      <c r="AT3711" s="15"/>
      <c r="AU3711" s="15"/>
      <c r="AV3711" s="15"/>
      <c r="AW3711" s="15"/>
    </row>
    <row r="3712" spans="3:49" x14ac:dyDescent="0.2">
      <c r="C3712" s="15"/>
      <c r="D3712" s="15"/>
      <c r="E3712" s="15"/>
      <c r="F3712" s="15"/>
      <c r="G3712" s="15"/>
      <c r="H3712" s="15"/>
      <c r="I3712" s="15"/>
      <c r="J3712" s="15"/>
      <c r="K3712" s="15"/>
      <c r="L3712" s="28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  <c r="AA3712" s="15"/>
      <c r="AB3712" s="15"/>
      <c r="AC3712" s="15"/>
      <c r="AD3712" s="15"/>
      <c r="AE3712" s="15"/>
      <c r="AF3712" s="15"/>
      <c r="AG3712" s="15"/>
      <c r="AH3712" s="15"/>
      <c r="AI3712" s="15"/>
      <c r="AJ3712" s="15"/>
      <c r="AK3712" s="15"/>
      <c r="AL3712" s="15"/>
      <c r="AM3712" s="15"/>
      <c r="AN3712" s="15"/>
      <c r="AO3712" s="15"/>
      <c r="AP3712" s="15"/>
      <c r="AQ3712" s="15"/>
      <c r="AR3712" s="15"/>
      <c r="AS3712" s="15"/>
      <c r="AT3712" s="15"/>
      <c r="AU3712" s="15"/>
      <c r="AV3712" s="15"/>
      <c r="AW3712" s="15"/>
    </row>
    <row r="3713" spans="3:49" x14ac:dyDescent="0.2">
      <c r="C3713" s="15"/>
      <c r="D3713" s="15"/>
      <c r="E3713" s="15"/>
      <c r="F3713" s="15"/>
      <c r="G3713" s="15"/>
      <c r="H3713" s="15"/>
      <c r="I3713" s="15"/>
      <c r="J3713" s="15"/>
      <c r="K3713" s="15"/>
      <c r="L3713" s="28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  <c r="AA3713" s="15"/>
      <c r="AB3713" s="15"/>
      <c r="AC3713" s="15"/>
      <c r="AD3713" s="15"/>
      <c r="AE3713" s="15"/>
      <c r="AF3713" s="15"/>
      <c r="AG3713" s="15"/>
      <c r="AH3713" s="15"/>
      <c r="AI3713" s="15"/>
      <c r="AJ3713" s="15"/>
      <c r="AK3713" s="15"/>
      <c r="AL3713" s="15"/>
      <c r="AM3713" s="15"/>
      <c r="AN3713" s="15"/>
      <c r="AO3713" s="15"/>
      <c r="AP3713" s="15"/>
      <c r="AQ3713" s="15"/>
      <c r="AR3713" s="15"/>
      <c r="AS3713" s="15"/>
      <c r="AT3713" s="15"/>
      <c r="AU3713" s="15"/>
      <c r="AV3713" s="15"/>
      <c r="AW3713" s="15"/>
    </row>
    <row r="3714" spans="3:49" x14ac:dyDescent="0.2">
      <c r="C3714" s="15"/>
      <c r="D3714" s="15"/>
      <c r="E3714" s="15"/>
      <c r="F3714" s="15"/>
      <c r="G3714" s="15"/>
      <c r="H3714" s="15"/>
      <c r="I3714" s="15"/>
      <c r="J3714" s="15"/>
      <c r="K3714" s="15"/>
      <c r="L3714" s="28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  <c r="AA3714" s="15"/>
      <c r="AB3714" s="15"/>
      <c r="AC3714" s="15"/>
      <c r="AD3714" s="15"/>
      <c r="AE3714" s="15"/>
      <c r="AF3714" s="15"/>
      <c r="AG3714" s="15"/>
      <c r="AH3714" s="15"/>
      <c r="AI3714" s="15"/>
      <c r="AJ3714" s="15"/>
      <c r="AK3714" s="15"/>
      <c r="AL3714" s="15"/>
      <c r="AM3714" s="15"/>
      <c r="AN3714" s="15"/>
      <c r="AO3714" s="15"/>
      <c r="AP3714" s="15"/>
      <c r="AQ3714" s="15"/>
      <c r="AR3714" s="15"/>
      <c r="AS3714" s="15"/>
      <c r="AT3714" s="15"/>
      <c r="AU3714" s="15"/>
      <c r="AV3714" s="15"/>
      <c r="AW3714" s="15"/>
    </row>
    <row r="3715" spans="3:49" x14ac:dyDescent="0.2">
      <c r="C3715" s="15"/>
      <c r="D3715" s="15"/>
      <c r="E3715" s="15"/>
      <c r="F3715" s="15"/>
      <c r="G3715" s="15"/>
      <c r="H3715" s="15"/>
      <c r="I3715" s="15"/>
      <c r="J3715" s="15"/>
      <c r="K3715" s="15"/>
      <c r="L3715" s="28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  <c r="AA3715" s="15"/>
      <c r="AB3715" s="15"/>
      <c r="AC3715" s="15"/>
      <c r="AD3715" s="15"/>
      <c r="AE3715" s="15"/>
      <c r="AF3715" s="15"/>
      <c r="AG3715" s="15"/>
      <c r="AH3715" s="15"/>
      <c r="AI3715" s="15"/>
      <c r="AJ3715" s="15"/>
      <c r="AK3715" s="15"/>
      <c r="AL3715" s="15"/>
      <c r="AM3715" s="15"/>
      <c r="AN3715" s="15"/>
      <c r="AO3715" s="15"/>
      <c r="AP3715" s="15"/>
      <c r="AQ3715" s="15"/>
      <c r="AR3715" s="15"/>
      <c r="AS3715" s="15"/>
      <c r="AT3715" s="15"/>
      <c r="AU3715" s="15"/>
      <c r="AV3715" s="15"/>
      <c r="AW3715" s="15"/>
    </row>
    <row r="3716" spans="3:49" x14ac:dyDescent="0.2">
      <c r="C3716" s="15"/>
      <c r="D3716" s="15"/>
      <c r="E3716" s="15"/>
      <c r="F3716" s="15"/>
      <c r="G3716" s="15"/>
      <c r="H3716" s="15"/>
      <c r="I3716" s="15"/>
      <c r="J3716" s="15"/>
      <c r="K3716" s="15"/>
      <c r="L3716" s="28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  <c r="AA3716" s="15"/>
      <c r="AB3716" s="15"/>
      <c r="AC3716" s="15"/>
      <c r="AD3716" s="15"/>
      <c r="AE3716" s="15"/>
      <c r="AF3716" s="15"/>
      <c r="AG3716" s="15"/>
      <c r="AH3716" s="15"/>
      <c r="AI3716" s="15"/>
      <c r="AJ3716" s="15"/>
      <c r="AK3716" s="15"/>
      <c r="AL3716" s="15"/>
      <c r="AM3716" s="15"/>
      <c r="AN3716" s="15"/>
      <c r="AO3716" s="15"/>
      <c r="AP3716" s="15"/>
      <c r="AQ3716" s="15"/>
      <c r="AR3716" s="15"/>
      <c r="AS3716" s="15"/>
      <c r="AT3716" s="15"/>
      <c r="AU3716" s="15"/>
      <c r="AV3716" s="15"/>
      <c r="AW3716" s="15"/>
    </row>
    <row r="3717" spans="3:49" x14ac:dyDescent="0.2">
      <c r="C3717" s="15"/>
      <c r="D3717" s="15"/>
      <c r="E3717" s="15"/>
      <c r="F3717" s="15"/>
      <c r="G3717" s="15"/>
      <c r="H3717" s="15"/>
      <c r="I3717" s="15"/>
      <c r="J3717" s="15"/>
      <c r="K3717" s="15"/>
      <c r="L3717" s="28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  <c r="AA3717" s="15"/>
      <c r="AB3717" s="15"/>
      <c r="AC3717" s="15"/>
      <c r="AD3717" s="15"/>
      <c r="AE3717" s="15"/>
      <c r="AF3717" s="15"/>
      <c r="AG3717" s="15"/>
      <c r="AH3717" s="15"/>
      <c r="AI3717" s="15"/>
      <c r="AJ3717" s="15"/>
      <c r="AK3717" s="15"/>
      <c r="AL3717" s="15"/>
      <c r="AM3717" s="15"/>
      <c r="AN3717" s="15"/>
      <c r="AO3717" s="15"/>
      <c r="AP3717" s="15"/>
      <c r="AQ3717" s="15"/>
      <c r="AR3717" s="15"/>
      <c r="AS3717" s="15"/>
      <c r="AT3717" s="15"/>
      <c r="AU3717" s="15"/>
      <c r="AV3717" s="15"/>
      <c r="AW3717" s="15"/>
    </row>
    <row r="3718" spans="3:49" x14ac:dyDescent="0.2">
      <c r="C3718" s="15"/>
      <c r="D3718" s="15"/>
      <c r="E3718" s="15"/>
      <c r="F3718" s="15"/>
      <c r="G3718" s="15"/>
      <c r="H3718" s="15"/>
      <c r="I3718" s="15"/>
      <c r="J3718" s="15"/>
      <c r="K3718" s="15"/>
      <c r="L3718" s="28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  <c r="AA3718" s="15"/>
      <c r="AB3718" s="15"/>
      <c r="AC3718" s="15"/>
      <c r="AD3718" s="15"/>
      <c r="AE3718" s="15"/>
      <c r="AF3718" s="15"/>
      <c r="AG3718" s="15"/>
      <c r="AH3718" s="15"/>
      <c r="AI3718" s="15"/>
      <c r="AJ3718" s="15"/>
      <c r="AK3718" s="15"/>
      <c r="AL3718" s="15"/>
      <c r="AM3718" s="15"/>
      <c r="AN3718" s="15"/>
      <c r="AO3718" s="15"/>
      <c r="AP3718" s="15"/>
      <c r="AQ3718" s="15"/>
      <c r="AR3718" s="15"/>
      <c r="AS3718" s="15"/>
      <c r="AT3718" s="15"/>
      <c r="AU3718" s="15"/>
      <c r="AV3718" s="15"/>
      <c r="AW3718" s="15"/>
    </row>
    <row r="3719" spans="3:49" x14ac:dyDescent="0.2">
      <c r="C3719" s="15"/>
      <c r="D3719" s="15"/>
      <c r="E3719" s="15"/>
      <c r="F3719" s="15"/>
      <c r="G3719" s="15"/>
      <c r="H3719" s="15"/>
      <c r="I3719" s="15"/>
      <c r="J3719" s="15"/>
      <c r="K3719" s="15"/>
      <c r="L3719" s="28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  <c r="AA3719" s="15"/>
      <c r="AB3719" s="15"/>
      <c r="AC3719" s="15"/>
      <c r="AD3719" s="15"/>
      <c r="AE3719" s="15"/>
      <c r="AF3719" s="15"/>
      <c r="AG3719" s="15"/>
      <c r="AH3719" s="15"/>
      <c r="AI3719" s="15"/>
      <c r="AJ3719" s="15"/>
      <c r="AK3719" s="15"/>
      <c r="AL3719" s="15"/>
      <c r="AM3719" s="15"/>
      <c r="AN3719" s="15"/>
      <c r="AO3719" s="15"/>
      <c r="AP3719" s="15"/>
      <c r="AQ3719" s="15"/>
      <c r="AR3719" s="15"/>
      <c r="AS3719" s="15"/>
      <c r="AT3719" s="15"/>
      <c r="AU3719" s="15"/>
      <c r="AV3719" s="15"/>
      <c r="AW3719" s="15"/>
    </row>
    <row r="3720" spans="3:49" x14ac:dyDescent="0.2">
      <c r="C3720" s="15"/>
      <c r="D3720" s="15"/>
      <c r="E3720" s="15"/>
      <c r="F3720" s="15"/>
      <c r="G3720" s="15"/>
      <c r="H3720" s="15"/>
      <c r="I3720" s="15"/>
      <c r="J3720" s="15"/>
      <c r="K3720" s="15"/>
      <c r="L3720" s="28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  <c r="AA3720" s="15"/>
      <c r="AB3720" s="15"/>
      <c r="AC3720" s="15"/>
      <c r="AD3720" s="15"/>
      <c r="AE3720" s="15"/>
      <c r="AF3720" s="15"/>
      <c r="AG3720" s="15"/>
      <c r="AH3720" s="15"/>
      <c r="AI3720" s="15"/>
      <c r="AJ3720" s="15"/>
      <c r="AK3720" s="15"/>
      <c r="AL3720" s="15"/>
      <c r="AM3720" s="15"/>
      <c r="AN3720" s="15"/>
      <c r="AO3720" s="15"/>
      <c r="AP3720" s="15"/>
      <c r="AQ3720" s="15"/>
      <c r="AR3720" s="15"/>
      <c r="AS3720" s="15"/>
      <c r="AT3720" s="15"/>
      <c r="AU3720" s="15"/>
      <c r="AV3720" s="15"/>
      <c r="AW3720" s="15"/>
    </row>
    <row r="3721" spans="3:49" x14ac:dyDescent="0.2">
      <c r="C3721" s="15"/>
      <c r="D3721" s="15"/>
      <c r="E3721" s="15"/>
      <c r="F3721" s="15"/>
      <c r="G3721" s="15"/>
      <c r="H3721" s="15"/>
      <c r="I3721" s="15"/>
      <c r="J3721" s="15"/>
      <c r="K3721" s="15"/>
      <c r="L3721" s="28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  <c r="AA3721" s="15"/>
      <c r="AB3721" s="15"/>
      <c r="AC3721" s="15"/>
      <c r="AD3721" s="15"/>
      <c r="AE3721" s="15"/>
      <c r="AF3721" s="15"/>
      <c r="AG3721" s="15"/>
      <c r="AH3721" s="15"/>
      <c r="AI3721" s="15"/>
      <c r="AJ3721" s="15"/>
      <c r="AK3721" s="15"/>
      <c r="AL3721" s="15"/>
      <c r="AM3721" s="15"/>
      <c r="AN3721" s="15"/>
      <c r="AO3721" s="15"/>
      <c r="AP3721" s="15"/>
      <c r="AQ3721" s="15"/>
      <c r="AR3721" s="15"/>
      <c r="AS3721" s="15"/>
      <c r="AT3721" s="15"/>
      <c r="AU3721" s="15"/>
      <c r="AV3721" s="15"/>
      <c r="AW3721" s="15"/>
    </row>
    <row r="3722" spans="3:49" x14ac:dyDescent="0.2">
      <c r="C3722" s="15"/>
      <c r="D3722" s="15"/>
      <c r="E3722" s="15"/>
      <c r="F3722" s="15"/>
      <c r="G3722" s="15"/>
      <c r="H3722" s="15"/>
      <c r="I3722" s="15"/>
      <c r="J3722" s="15"/>
      <c r="K3722" s="15"/>
      <c r="L3722" s="28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  <c r="AA3722" s="15"/>
      <c r="AB3722" s="15"/>
      <c r="AC3722" s="15"/>
      <c r="AD3722" s="15"/>
      <c r="AE3722" s="15"/>
      <c r="AF3722" s="15"/>
      <c r="AG3722" s="15"/>
      <c r="AH3722" s="15"/>
      <c r="AI3722" s="15"/>
      <c r="AJ3722" s="15"/>
      <c r="AK3722" s="15"/>
      <c r="AL3722" s="15"/>
      <c r="AM3722" s="15"/>
      <c r="AN3722" s="15"/>
      <c r="AO3722" s="15"/>
      <c r="AP3722" s="15"/>
      <c r="AQ3722" s="15"/>
      <c r="AR3722" s="15"/>
      <c r="AS3722" s="15"/>
      <c r="AT3722" s="15"/>
      <c r="AU3722" s="15"/>
      <c r="AV3722" s="15"/>
      <c r="AW3722" s="15"/>
    </row>
    <row r="3723" spans="3:49" x14ac:dyDescent="0.2">
      <c r="C3723" s="15"/>
      <c r="D3723" s="15"/>
      <c r="E3723" s="15"/>
      <c r="F3723" s="15"/>
      <c r="G3723" s="15"/>
      <c r="H3723" s="15"/>
      <c r="I3723" s="15"/>
      <c r="J3723" s="15"/>
      <c r="K3723" s="15"/>
      <c r="L3723" s="28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  <c r="AA3723" s="15"/>
      <c r="AB3723" s="15"/>
      <c r="AC3723" s="15"/>
      <c r="AD3723" s="15"/>
      <c r="AE3723" s="15"/>
      <c r="AF3723" s="15"/>
      <c r="AG3723" s="15"/>
      <c r="AH3723" s="15"/>
      <c r="AI3723" s="15"/>
      <c r="AJ3723" s="15"/>
      <c r="AK3723" s="15"/>
      <c r="AL3723" s="15"/>
      <c r="AM3723" s="15"/>
      <c r="AN3723" s="15"/>
      <c r="AO3723" s="15"/>
      <c r="AP3723" s="15"/>
      <c r="AQ3723" s="15"/>
      <c r="AR3723" s="15"/>
      <c r="AS3723" s="15"/>
      <c r="AT3723" s="15"/>
      <c r="AU3723" s="15"/>
      <c r="AV3723" s="15"/>
      <c r="AW3723" s="15"/>
    </row>
    <row r="3724" spans="3:49" x14ac:dyDescent="0.2">
      <c r="C3724" s="15"/>
      <c r="D3724" s="15"/>
      <c r="E3724" s="15"/>
      <c r="F3724" s="15"/>
      <c r="G3724" s="15"/>
      <c r="H3724" s="15"/>
      <c r="I3724" s="15"/>
      <c r="J3724" s="15"/>
      <c r="K3724" s="15"/>
      <c r="L3724" s="28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  <c r="AA3724" s="15"/>
      <c r="AB3724" s="15"/>
      <c r="AC3724" s="15"/>
      <c r="AD3724" s="15"/>
      <c r="AE3724" s="15"/>
      <c r="AF3724" s="15"/>
      <c r="AG3724" s="15"/>
      <c r="AH3724" s="15"/>
      <c r="AI3724" s="15"/>
      <c r="AJ3724" s="15"/>
      <c r="AK3724" s="15"/>
      <c r="AL3724" s="15"/>
      <c r="AM3724" s="15"/>
      <c r="AN3724" s="15"/>
      <c r="AO3724" s="15"/>
      <c r="AP3724" s="15"/>
      <c r="AQ3724" s="15"/>
      <c r="AR3724" s="15"/>
      <c r="AS3724" s="15"/>
      <c r="AT3724" s="15"/>
      <c r="AU3724" s="15"/>
      <c r="AV3724" s="15"/>
      <c r="AW3724" s="15"/>
    </row>
    <row r="3725" spans="3:49" x14ac:dyDescent="0.2">
      <c r="C3725" s="15"/>
      <c r="D3725" s="15"/>
      <c r="E3725" s="15"/>
      <c r="F3725" s="15"/>
      <c r="G3725" s="15"/>
      <c r="H3725" s="15"/>
      <c r="I3725" s="15"/>
      <c r="J3725" s="15"/>
      <c r="K3725" s="15"/>
      <c r="L3725" s="28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  <c r="AA3725" s="15"/>
      <c r="AB3725" s="15"/>
      <c r="AC3725" s="15"/>
      <c r="AD3725" s="15"/>
      <c r="AE3725" s="15"/>
      <c r="AF3725" s="15"/>
      <c r="AG3725" s="15"/>
      <c r="AH3725" s="15"/>
      <c r="AI3725" s="15"/>
      <c r="AJ3725" s="15"/>
      <c r="AK3725" s="15"/>
      <c r="AL3725" s="15"/>
      <c r="AM3725" s="15"/>
      <c r="AN3725" s="15"/>
      <c r="AO3725" s="15"/>
      <c r="AP3725" s="15"/>
      <c r="AQ3725" s="15"/>
      <c r="AR3725" s="15"/>
      <c r="AS3725" s="15"/>
      <c r="AT3725" s="15"/>
      <c r="AU3725" s="15"/>
      <c r="AV3725" s="15"/>
      <c r="AW3725" s="15"/>
    </row>
    <row r="3726" spans="3:49" x14ac:dyDescent="0.2">
      <c r="C3726" s="15"/>
      <c r="D3726" s="15"/>
      <c r="E3726" s="15"/>
      <c r="F3726" s="15"/>
      <c r="G3726" s="15"/>
      <c r="H3726" s="15"/>
      <c r="I3726" s="15"/>
      <c r="J3726" s="15"/>
      <c r="K3726" s="15"/>
      <c r="L3726" s="28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  <c r="AA3726" s="15"/>
      <c r="AB3726" s="15"/>
      <c r="AC3726" s="15"/>
      <c r="AD3726" s="15"/>
      <c r="AE3726" s="15"/>
      <c r="AF3726" s="15"/>
      <c r="AG3726" s="15"/>
      <c r="AH3726" s="15"/>
      <c r="AI3726" s="15"/>
      <c r="AJ3726" s="15"/>
      <c r="AK3726" s="15"/>
      <c r="AL3726" s="15"/>
      <c r="AM3726" s="15"/>
      <c r="AN3726" s="15"/>
      <c r="AO3726" s="15"/>
      <c r="AP3726" s="15"/>
      <c r="AQ3726" s="15"/>
      <c r="AR3726" s="15"/>
      <c r="AS3726" s="15"/>
      <c r="AT3726" s="15"/>
      <c r="AU3726" s="15"/>
      <c r="AV3726" s="15"/>
      <c r="AW3726" s="15"/>
    </row>
    <row r="3727" spans="3:49" x14ac:dyDescent="0.2">
      <c r="C3727" s="15"/>
      <c r="D3727" s="15"/>
      <c r="E3727" s="15"/>
      <c r="F3727" s="15"/>
      <c r="G3727" s="15"/>
      <c r="H3727" s="15"/>
      <c r="I3727" s="15"/>
      <c r="J3727" s="15"/>
      <c r="K3727" s="15"/>
      <c r="L3727" s="28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  <c r="AA3727" s="15"/>
      <c r="AB3727" s="15"/>
      <c r="AC3727" s="15"/>
      <c r="AD3727" s="15"/>
      <c r="AE3727" s="15"/>
      <c r="AF3727" s="15"/>
      <c r="AG3727" s="15"/>
      <c r="AH3727" s="15"/>
      <c r="AI3727" s="15"/>
      <c r="AJ3727" s="15"/>
      <c r="AK3727" s="15"/>
      <c r="AL3727" s="15"/>
      <c r="AM3727" s="15"/>
      <c r="AN3727" s="15"/>
      <c r="AO3727" s="15"/>
      <c r="AP3727" s="15"/>
      <c r="AQ3727" s="15"/>
      <c r="AR3727" s="15"/>
      <c r="AS3727" s="15"/>
      <c r="AT3727" s="15"/>
      <c r="AU3727" s="15"/>
      <c r="AV3727" s="15"/>
      <c r="AW3727" s="15"/>
    </row>
    <row r="3728" spans="3:49" x14ac:dyDescent="0.2">
      <c r="C3728" s="15"/>
      <c r="D3728" s="15"/>
      <c r="E3728" s="15"/>
      <c r="F3728" s="15"/>
      <c r="G3728" s="15"/>
      <c r="H3728" s="15"/>
      <c r="I3728" s="15"/>
      <c r="J3728" s="15"/>
      <c r="K3728" s="15"/>
      <c r="L3728" s="28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  <c r="AA3728" s="15"/>
      <c r="AB3728" s="15"/>
      <c r="AC3728" s="15"/>
      <c r="AD3728" s="15"/>
      <c r="AE3728" s="15"/>
      <c r="AF3728" s="15"/>
      <c r="AG3728" s="15"/>
      <c r="AH3728" s="15"/>
      <c r="AI3728" s="15"/>
      <c r="AJ3728" s="15"/>
      <c r="AK3728" s="15"/>
      <c r="AL3728" s="15"/>
      <c r="AM3728" s="15"/>
      <c r="AN3728" s="15"/>
      <c r="AO3728" s="15"/>
      <c r="AP3728" s="15"/>
      <c r="AQ3728" s="15"/>
      <c r="AR3728" s="15"/>
      <c r="AS3728" s="15"/>
      <c r="AT3728" s="15"/>
      <c r="AU3728" s="15"/>
      <c r="AV3728" s="15"/>
      <c r="AW3728" s="15"/>
    </row>
    <row r="3729" spans="3:49" x14ac:dyDescent="0.2">
      <c r="C3729" s="15"/>
      <c r="D3729" s="15"/>
      <c r="E3729" s="15"/>
      <c r="F3729" s="15"/>
      <c r="G3729" s="15"/>
      <c r="H3729" s="15"/>
      <c r="I3729" s="15"/>
      <c r="J3729" s="15"/>
      <c r="K3729" s="15"/>
      <c r="L3729" s="28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  <c r="AA3729" s="15"/>
      <c r="AB3729" s="15"/>
      <c r="AC3729" s="15"/>
      <c r="AD3729" s="15"/>
      <c r="AE3729" s="15"/>
      <c r="AF3729" s="15"/>
      <c r="AG3729" s="15"/>
      <c r="AH3729" s="15"/>
      <c r="AI3729" s="15"/>
      <c r="AJ3729" s="15"/>
      <c r="AK3729" s="15"/>
      <c r="AL3729" s="15"/>
      <c r="AM3729" s="15"/>
      <c r="AN3729" s="15"/>
      <c r="AO3729" s="15"/>
      <c r="AP3729" s="15"/>
      <c r="AQ3729" s="15"/>
      <c r="AR3729" s="15"/>
      <c r="AS3729" s="15"/>
      <c r="AT3729" s="15"/>
      <c r="AU3729" s="15"/>
      <c r="AV3729" s="15"/>
      <c r="AW3729" s="15"/>
    </row>
    <row r="3730" spans="3:49" x14ac:dyDescent="0.2">
      <c r="C3730" s="15"/>
      <c r="D3730" s="15"/>
      <c r="E3730" s="15"/>
      <c r="F3730" s="15"/>
      <c r="G3730" s="15"/>
      <c r="H3730" s="15"/>
      <c r="I3730" s="15"/>
      <c r="J3730" s="15"/>
      <c r="K3730" s="15"/>
      <c r="L3730" s="28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  <c r="AA3730" s="15"/>
      <c r="AB3730" s="15"/>
      <c r="AC3730" s="15"/>
      <c r="AD3730" s="15"/>
      <c r="AE3730" s="15"/>
      <c r="AF3730" s="15"/>
      <c r="AG3730" s="15"/>
      <c r="AH3730" s="15"/>
      <c r="AI3730" s="15"/>
      <c r="AJ3730" s="15"/>
      <c r="AK3730" s="15"/>
      <c r="AL3730" s="15"/>
      <c r="AM3730" s="15"/>
      <c r="AN3730" s="15"/>
      <c r="AO3730" s="15"/>
      <c r="AP3730" s="15"/>
      <c r="AQ3730" s="15"/>
      <c r="AR3730" s="15"/>
      <c r="AS3730" s="15"/>
      <c r="AT3730" s="15"/>
      <c r="AU3730" s="15"/>
      <c r="AV3730" s="15"/>
      <c r="AW3730" s="15"/>
    </row>
    <row r="3731" spans="3:49" x14ac:dyDescent="0.2">
      <c r="C3731" s="15"/>
      <c r="D3731" s="15"/>
      <c r="E3731" s="15"/>
      <c r="F3731" s="15"/>
      <c r="G3731" s="15"/>
      <c r="H3731" s="15"/>
      <c r="I3731" s="15"/>
      <c r="J3731" s="15"/>
      <c r="K3731" s="15"/>
      <c r="L3731" s="28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  <c r="AA3731" s="15"/>
      <c r="AB3731" s="15"/>
      <c r="AC3731" s="15"/>
      <c r="AD3731" s="15"/>
      <c r="AE3731" s="15"/>
      <c r="AF3731" s="15"/>
      <c r="AG3731" s="15"/>
      <c r="AH3731" s="15"/>
      <c r="AI3731" s="15"/>
      <c r="AJ3731" s="15"/>
      <c r="AK3731" s="15"/>
      <c r="AL3731" s="15"/>
      <c r="AM3731" s="15"/>
      <c r="AN3731" s="15"/>
      <c r="AO3731" s="15"/>
      <c r="AP3731" s="15"/>
      <c r="AQ3731" s="15"/>
      <c r="AR3731" s="15"/>
      <c r="AS3731" s="15"/>
      <c r="AT3731" s="15"/>
      <c r="AU3731" s="15"/>
      <c r="AV3731" s="15"/>
      <c r="AW3731" s="15"/>
    </row>
    <row r="3732" spans="3:49" x14ac:dyDescent="0.2">
      <c r="C3732" s="15"/>
      <c r="D3732" s="15"/>
      <c r="E3732" s="15"/>
      <c r="F3732" s="15"/>
      <c r="G3732" s="15"/>
      <c r="H3732" s="15"/>
      <c r="I3732" s="15"/>
      <c r="J3732" s="15"/>
      <c r="K3732" s="15"/>
      <c r="L3732" s="28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  <c r="AA3732" s="15"/>
      <c r="AB3732" s="15"/>
      <c r="AC3732" s="15"/>
      <c r="AD3732" s="15"/>
      <c r="AE3732" s="15"/>
      <c r="AF3732" s="15"/>
      <c r="AG3732" s="15"/>
      <c r="AH3732" s="15"/>
      <c r="AI3732" s="15"/>
      <c r="AJ3732" s="15"/>
      <c r="AK3732" s="15"/>
      <c r="AL3732" s="15"/>
      <c r="AM3732" s="15"/>
      <c r="AN3732" s="15"/>
      <c r="AO3732" s="15"/>
      <c r="AP3732" s="15"/>
      <c r="AQ3732" s="15"/>
      <c r="AR3732" s="15"/>
      <c r="AS3732" s="15"/>
      <c r="AT3732" s="15"/>
      <c r="AU3732" s="15"/>
      <c r="AV3732" s="15"/>
      <c r="AW3732" s="15"/>
    </row>
    <row r="3733" spans="3:49" x14ac:dyDescent="0.2">
      <c r="C3733" s="15"/>
      <c r="D3733" s="15"/>
      <c r="E3733" s="15"/>
      <c r="F3733" s="15"/>
      <c r="G3733" s="15"/>
      <c r="H3733" s="15"/>
      <c r="I3733" s="15"/>
      <c r="J3733" s="15"/>
      <c r="K3733" s="15"/>
      <c r="L3733" s="28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  <c r="AA3733" s="15"/>
      <c r="AB3733" s="15"/>
      <c r="AC3733" s="15"/>
      <c r="AD3733" s="15"/>
      <c r="AE3733" s="15"/>
      <c r="AF3733" s="15"/>
      <c r="AG3733" s="15"/>
      <c r="AH3733" s="15"/>
      <c r="AI3733" s="15"/>
      <c r="AJ3733" s="15"/>
      <c r="AK3733" s="15"/>
      <c r="AL3733" s="15"/>
      <c r="AM3733" s="15"/>
      <c r="AN3733" s="15"/>
      <c r="AO3733" s="15"/>
      <c r="AP3733" s="15"/>
      <c r="AQ3733" s="15"/>
      <c r="AR3733" s="15"/>
      <c r="AS3733" s="15"/>
      <c r="AT3733" s="15"/>
      <c r="AU3733" s="15"/>
      <c r="AV3733" s="15"/>
      <c r="AW3733" s="15"/>
    </row>
    <row r="3734" spans="3:49" x14ac:dyDescent="0.2">
      <c r="C3734" s="15"/>
      <c r="D3734" s="15"/>
      <c r="E3734" s="15"/>
      <c r="F3734" s="15"/>
      <c r="G3734" s="15"/>
      <c r="H3734" s="15"/>
      <c r="I3734" s="15"/>
      <c r="J3734" s="15"/>
      <c r="K3734" s="15"/>
      <c r="L3734" s="28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  <c r="AA3734" s="15"/>
      <c r="AB3734" s="15"/>
      <c r="AC3734" s="15"/>
      <c r="AD3734" s="15"/>
      <c r="AE3734" s="15"/>
      <c r="AF3734" s="15"/>
      <c r="AG3734" s="15"/>
      <c r="AH3734" s="15"/>
      <c r="AI3734" s="15"/>
      <c r="AJ3734" s="15"/>
      <c r="AK3734" s="15"/>
      <c r="AL3734" s="15"/>
      <c r="AM3734" s="15"/>
      <c r="AN3734" s="15"/>
      <c r="AO3734" s="15"/>
      <c r="AP3734" s="15"/>
      <c r="AQ3734" s="15"/>
      <c r="AR3734" s="15"/>
      <c r="AS3734" s="15"/>
      <c r="AT3734" s="15"/>
      <c r="AU3734" s="15"/>
      <c r="AV3734" s="15"/>
      <c r="AW3734" s="15"/>
    </row>
    <row r="3735" spans="3:49" x14ac:dyDescent="0.2">
      <c r="C3735" s="15"/>
      <c r="D3735" s="15"/>
      <c r="E3735" s="15"/>
      <c r="F3735" s="15"/>
      <c r="G3735" s="15"/>
      <c r="H3735" s="15"/>
      <c r="I3735" s="15"/>
      <c r="J3735" s="15"/>
      <c r="K3735" s="15"/>
      <c r="L3735" s="28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  <c r="AA3735" s="15"/>
      <c r="AB3735" s="15"/>
      <c r="AC3735" s="15"/>
      <c r="AD3735" s="15"/>
      <c r="AE3735" s="15"/>
      <c r="AF3735" s="15"/>
      <c r="AG3735" s="15"/>
      <c r="AH3735" s="15"/>
      <c r="AI3735" s="15"/>
      <c r="AJ3735" s="15"/>
      <c r="AK3735" s="15"/>
      <c r="AL3735" s="15"/>
      <c r="AM3735" s="15"/>
      <c r="AN3735" s="15"/>
      <c r="AO3735" s="15"/>
      <c r="AP3735" s="15"/>
      <c r="AQ3735" s="15"/>
      <c r="AR3735" s="15"/>
      <c r="AS3735" s="15"/>
      <c r="AT3735" s="15"/>
      <c r="AU3735" s="15"/>
      <c r="AV3735" s="15"/>
      <c r="AW3735" s="15"/>
    </row>
    <row r="3736" spans="3:49" x14ac:dyDescent="0.2">
      <c r="C3736" s="15"/>
      <c r="D3736" s="15"/>
      <c r="E3736" s="15"/>
      <c r="F3736" s="15"/>
      <c r="G3736" s="15"/>
      <c r="H3736" s="15"/>
      <c r="I3736" s="15"/>
      <c r="J3736" s="15"/>
      <c r="K3736" s="15"/>
      <c r="L3736" s="28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  <c r="AA3736" s="15"/>
      <c r="AB3736" s="15"/>
      <c r="AC3736" s="15"/>
      <c r="AD3736" s="15"/>
      <c r="AE3736" s="15"/>
      <c r="AF3736" s="15"/>
      <c r="AG3736" s="15"/>
      <c r="AH3736" s="15"/>
      <c r="AI3736" s="15"/>
      <c r="AJ3736" s="15"/>
      <c r="AK3736" s="15"/>
      <c r="AL3736" s="15"/>
      <c r="AM3736" s="15"/>
      <c r="AN3736" s="15"/>
      <c r="AO3736" s="15"/>
      <c r="AP3736" s="15"/>
      <c r="AQ3736" s="15"/>
      <c r="AR3736" s="15"/>
      <c r="AS3736" s="15"/>
      <c r="AT3736" s="15"/>
      <c r="AU3736" s="15"/>
      <c r="AV3736" s="15"/>
      <c r="AW3736" s="15"/>
    </row>
    <row r="3737" spans="3:49" x14ac:dyDescent="0.2">
      <c r="C3737" s="15"/>
      <c r="D3737" s="15"/>
      <c r="E3737" s="15"/>
      <c r="F3737" s="15"/>
      <c r="G3737" s="15"/>
      <c r="H3737" s="15"/>
      <c r="I3737" s="15"/>
      <c r="J3737" s="15"/>
      <c r="K3737" s="15"/>
      <c r="L3737" s="28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  <c r="AA3737" s="15"/>
      <c r="AB3737" s="15"/>
      <c r="AC3737" s="15"/>
      <c r="AD3737" s="15"/>
      <c r="AE3737" s="15"/>
      <c r="AF3737" s="15"/>
      <c r="AG3737" s="15"/>
      <c r="AH3737" s="15"/>
      <c r="AI3737" s="15"/>
      <c r="AJ3737" s="15"/>
      <c r="AK3737" s="15"/>
      <c r="AL3737" s="15"/>
      <c r="AM3737" s="15"/>
      <c r="AN3737" s="15"/>
      <c r="AO3737" s="15"/>
      <c r="AP3737" s="15"/>
      <c r="AQ3737" s="15"/>
      <c r="AR3737" s="15"/>
      <c r="AS3737" s="15"/>
      <c r="AT3737" s="15"/>
      <c r="AU3737" s="15"/>
      <c r="AV3737" s="15"/>
      <c r="AW3737" s="15"/>
    </row>
    <row r="3738" spans="3:49" x14ac:dyDescent="0.2">
      <c r="C3738" s="15"/>
      <c r="D3738" s="15"/>
      <c r="E3738" s="15"/>
      <c r="F3738" s="15"/>
      <c r="G3738" s="15"/>
      <c r="H3738" s="15"/>
      <c r="I3738" s="15"/>
      <c r="J3738" s="15"/>
      <c r="K3738" s="15"/>
      <c r="L3738" s="28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  <c r="AA3738" s="15"/>
      <c r="AB3738" s="15"/>
      <c r="AC3738" s="15"/>
      <c r="AD3738" s="15"/>
      <c r="AE3738" s="15"/>
      <c r="AF3738" s="15"/>
      <c r="AG3738" s="15"/>
      <c r="AH3738" s="15"/>
      <c r="AI3738" s="15"/>
      <c r="AJ3738" s="15"/>
      <c r="AK3738" s="15"/>
      <c r="AL3738" s="15"/>
      <c r="AM3738" s="15"/>
      <c r="AN3738" s="15"/>
      <c r="AO3738" s="15"/>
      <c r="AP3738" s="15"/>
      <c r="AQ3738" s="15"/>
      <c r="AR3738" s="15"/>
      <c r="AS3738" s="15"/>
      <c r="AT3738" s="15"/>
      <c r="AU3738" s="15"/>
      <c r="AV3738" s="15"/>
      <c r="AW3738" s="15"/>
    </row>
    <row r="3739" spans="3:49" x14ac:dyDescent="0.2">
      <c r="C3739" s="15"/>
      <c r="D3739" s="15"/>
      <c r="E3739" s="15"/>
      <c r="F3739" s="15"/>
      <c r="G3739" s="15"/>
      <c r="H3739" s="15"/>
      <c r="I3739" s="15"/>
      <c r="J3739" s="15"/>
      <c r="K3739" s="15"/>
      <c r="L3739" s="28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  <c r="AA3739" s="15"/>
      <c r="AB3739" s="15"/>
      <c r="AC3739" s="15"/>
      <c r="AD3739" s="15"/>
      <c r="AE3739" s="15"/>
      <c r="AF3739" s="15"/>
      <c r="AG3739" s="15"/>
      <c r="AH3739" s="15"/>
      <c r="AI3739" s="15"/>
      <c r="AJ3739" s="15"/>
      <c r="AK3739" s="15"/>
      <c r="AL3739" s="15"/>
      <c r="AM3739" s="15"/>
      <c r="AN3739" s="15"/>
      <c r="AO3739" s="15"/>
      <c r="AP3739" s="15"/>
      <c r="AQ3739" s="15"/>
      <c r="AR3739" s="15"/>
      <c r="AS3739" s="15"/>
      <c r="AT3739" s="15"/>
      <c r="AU3739" s="15"/>
      <c r="AV3739" s="15"/>
      <c r="AW3739" s="15"/>
    </row>
    <row r="3740" spans="3:49" x14ac:dyDescent="0.2">
      <c r="C3740" s="15"/>
      <c r="D3740" s="15"/>
      <c r="E3740" s="15"/>
      <c r="F3740" s="15"/>
      <c r="G3740" s="15"/>
      <c r="H3740" s="15"/>
      <c r="I3740" s="15"/>
      <c r="J3740" s="15"/>
      <c r="K3740" s="15"/>
      <c r="L3740" s="28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  <c r="AA3740" s="15"/>
      <c r="AB3740" s="15"/>
      <c r="AC3740" s="15"/>
      <c r="AD3740" s="15"/>
      <c r="AE3740" s="15"/>
      <c r="AF3740" s="15"/>
      <c r="AG3740" s="15"/>
      <c r="AH3740" s="15"/>
      <c r="AI3740" s="15"/>
      <c r="AJ3740" s="15"/>
      <c r="AK3740" s="15"/>
      <c r="AL3740" s="15"/>
      <c r="AM3740" s="15"/>
      <c r="AN3740" s="15"/>
      <c r="AO3740" s="15"/>
      <c r="AP3740" s="15"/>
      <c r="AQ3740" s="15"/>
      <c r="AR3740" s="15"/>
      <c r="AS3740" s="15"/>
      <c r="AT3740" s="15"/>
      <c r="AU3740" s="15"/>
      <c r="AV3740" s="15"/>
      <c r="AW3740" s="15"/>
    </row>
    <row r="3741" spans="3:49" x14ac:dyDescent="0.2">
      <c r="C3741" s="15"/>
      <c r="D3741" s="15"/>
      <c r="E3741" s="15"/>
      <c r="F3741" s="15"/>
      <c r="G3741" s="15"/>
      <c r="H3741" s="15"/>
      <c r="I3741" s="15"/>
      <c r="J3741" s="15"/>
      <c r="K3741" s="15"/>
      <c r="L3741" s="28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  <c r="AA3741" s="15"/>
      <c r="AB3741" s="15"/>
      <c r="AC3741" s="15"/>
      <c r="AD3741" s="15"/>
      <c r="AE3741" s="15"/>
      <c r="AF3741" s="15"/>
      <c r="AG3741" s="15"/>
      <c r="AH3741" s="15"/>
      <c r="AI3741" s="15"/>
      <c r="AJ3741" s="15"/>
      <c r="AK3741" s="15"/>
      <c r="AL3741" s="15"/>
      <c r="AM3741" s="15"/>
      <c r="AN3741" s="15"/>
      <c r="AO3741" s="15"/>
      <c r="AP3741" s="15"/>
      <c r="AQ3741" s="15"/>
      <c r="AR3741" s="15"/>
      <c r="AS3741" s="15"/>
      <c r="AT3741" s="15"/>
      <c r="AU3741" s="15"/>
      <c r="AV3741" s="15"/>
      <c r="AW3741" s="15"/>
    </row>
    <row r="3742" spans="3:49" x14ac:dyDescent="0.2">
      <c r="C3742" s="15"/>
      <c r="D3742" s="15"/>
      <c r="E3742" s="15"/>
      <c r="F3742" s="15"/>
      <c r="G3742" s="15"/>
      <c r="H3742" s="15"/>
      <c r="I3742" s="15"/>
      <c r="J3742" s="15"/>
      <c r="K3742" s="15"/>
      <c r="L3742" s="28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  <c r="AA3742" s="15"/>
      <c r="AB3742" s="15"/>
      <c r="AC3742" s="15"/>
      <c r="AD3742" s="15"/>
      <c r="AE3742" s="15"/>
      <c r="AF3742" s="15"/>
      <c r="AG3742" s="15"/>
      <c r="AH3742" s="15"/>
      <c r="AI3742" s="15"/>
      <c r="AJ3742" s="15"/>
      <c r="AK3742" s="15"/>
      <c r="AL3742" s="15"/>
      <c r="AM3742" s="15"/>
      <c r="AN3742" s="15"/>
      <c r="AO3742" s="15"/>
      <c r="AP3742" s="15"/>
      <c r="AQ3742" s="15"/>
      <c r="AR3742" s="15"/>
      <c r="AS3742" s="15"/>
      <c r="AT3742" s="15"/>
      <c r="AU3742" s="15"/>
      <c r="AV3742" s="15"/>
      <c r="AW3742" s="15"/>
    </row>
    <row r="3743" spans="3:49" x14ac:dyDescent="0.2">
      <c r="C3743" s="15"/>
      <c r="D3743" s="15"/>
      <c r="E3743" s="15"/>
      <c r="F3743" s="15"/>
      <c r="G3743" s="15"/>
      <c r="H3743" s="15"/>
      <c r="I3743" s="15"/>
      <c r="J3743" s="15"/>
      <c r="K3743" s="15"/>
      <c r="L3743" s="28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  <c r="AA3743" s="15"/>
      <c r="AB3743" s="15"/>
      <c r="AC3743" s="15"/>
      <c r="AD3743" s="15"/>
      <c r="AE3743" s="15"/>
      <c r="AF3743" s="15"/>
      <c r="AG3743" s="15"/>
      <c r="AH3743" s="15"/>
      <c r="AI3743" s="15"/>
      <c r="AJ3743" s="15"/>
      <c r="AK3743" s="15"/>
      <c r="AL3743" s="15"/>
      <c r="AM3743" s="15"/>
      <c r="AN3743" s="15"/>
      <c r="AO3743" s="15"/>
      <c r="AP3743" s="15"/>
      <c r="AQ3743" s="15"/>
      <c r="AR3743" s="15"/>
      <c r="AS3743" s="15"/>
      <c r="AT3743" s="15"/>
      <c r="AU3743" s="15"/>
      <c r="AV3743" s="15"/>
      <c r="AW3743" s="15"/>
    </row>
    <row r="3744" spans="3:49" x14ac:dyDescent="0.2">
      <c r="C3744" s="15"/>
      <c r="D3744" s="15"/>
      <c r="E3744" s="15"/>
      <c r="F3744" s="15"/>
      <c r="G3744" s="15"/>
      <c r="H3744" s="15"/>
      <c r="I3744" s="15"/>
      <c r="J3744" s="15"/>
      <c r="K3744" s="15"/>
      <c r="L3744" s="28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  <c r="AA3744" s="15"/>
      <c r="AB3744" s="15"/>
      <c r="AC3744" s="15"/>
      <c r="AD3744" s="15"/>
      <c r="AE3744" s="15"/>
      <c r="AF3744" s="15"/>
      <c r="AG3744" s="15"/>
      <c r="AH3744" s="15"/>
      <c r="AI3744" s="15"/>
      <c r="AJ3744" s="15"/>
      <c r="AK3744" s="15"/>
      <c r="AL3744" s="15"/>
      <c r="AM3744" s="15"/>
      <c r="AN3744" s="15"/>
      <c r="AO3744" s="15"/>
      <c r="AP3744" s="15"/>
      <c r="AQ3744" s="15"/>
      <c r="AR3744" s="15"/>
      <c r="AS3744" s="15"/>
      <c r="AT3744" s="15"/>
      <c r="AU3744" s="15"/>
      <c r="AV3744" s="15"/>
      <c r="AW3744" s="15"/>
    </row>
    <row r="3745" spans="3:49" x14ac:dyDescent="0.2">
      <c r="C3745" s="15"/>
      <c r="D3745" s="15"/>
      <c r="E3745" s="15"/>
      <c r="F3745" s="15"/>
      <c r="G3745" s="15"/>
      <c r="H3745" s="15"/>
      <c r="I3745" s="15"/>
      <c r="J3745" s="15"/>
      <c r="K3745" s="15"/>
      <c r="L3745" s="28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  <c r="AA3745" s="15"/>
      <c r="AB3745" s="15"/>
      <c r="AC3745" s="15"/>
      <c r="AD3745" s="15"/>
      <c r="AE3745" s="15"/>
      <c r="AF3745" s="15"/>
      <c r="AG3745" s="15"/>
      <c r="AH3745" s="15"/>
      <c r="AI3745" s="15"/>
      <c r="AJ3745" s="15"/>
      <c r="AK3745" s="15"/>
      <c r="AL3745" s="15"/>
      <c r="AM3745" s="15"/>
      <c r="AN3745" s="15"/>
      <c r="AO3745" s="15"/>
      <c r="AP3745" s="15"/>
      <c r="AQ3745" s="15"/>
      <c r="AR3745" s="15"/>
      <c r="AS3745" s="15"/>
      <c r="AT3745" s="15"/>
      <c r="AU3745" s="15"/>
      <c r="AV3745" s="15"/>
      <c r="AW3745" s="15"/>
    </row>
    <row r="3746" spans="3:49" x14ac:dyDescent="0.2">
      <c r="C3746" s="15"/>
      <c r="D3746" s="15"/>
      <c r="E3746" s="15"/>
      <c r="F3746" s="15"/>
      <c r="G3746" s="15"/>
      <c r="H3746" s="15"/>
      <c r="I3746" s="15"/>
      <c r="J3746" s="15"/>
      <c r="K3746" s="15"/>
      <c r="L3746" s="28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  <c r="AA3746" s="15"/>
      <c r="AB3746" s="15"/>
      <c r="AC3746" s="15"/>
      <c r="AD3746" s="15"/>
      <c r="AE3746" s="15"/>
      <c r="AF3746" s="15"/>
      <c r="AG3746" s="15"/>
      <c r="AH3746" s="15"/>
      <c r="AI3746" s="15"/>
      <c r="AJ3746" s="15"/>
      <c r="AK3746" s="15"/>
      <c r="AL3746" s="15"/>
      <c r="AM3746" s="15"/>
      <c r="AN3746" s="15"/>
      <c r="AO3746" s="15"/>
      <c r="AP3746" s="15"/>
      <c r="AQ3746" s="15"/>
      <c r="AR3746" s="15"/>
      <c r="AS3746" s="15"/>
      <c r="AT3746" s="15"/>
      <c r="AU3746" s="15"/>
      <c r="AV3746" s="15"/>
      <c r="AW3746" s="15"/>
    </row>
    <row r="3747" spans="3:49" x14ac:dyDescent="0.2">
      <c r="C3747" s="15"/>
      <c r="D3747" s="15"/>
      <c r="E3747" s="15"/>
      <c r="F3747" s="15"/>
      <c r="G3747" s="15"/>
      <c r="H3747" s="15"/>
      <c r="I3747" s="15"/>
      <c r="J3747" s="15"/>
      <c r="K3747" s="15"/>
      <c r="L3747" s="28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  <c r="AA3747" s="15"/>
      <c r="AB3747" s="15"/>
      <c r="AC3747" s="15"/>
      <c r="AD3747" s="15"/>
      <c r="AE3747" s="15"/>
      <c r="AF3747" s="15"/>
      <c r="AG3747" s="15"/>
      <c r="AH3747" s="15"/>
      <c r="AI3747" s="15"/>
      <c r="AJ3747" s="15"/>
      <c r="AK3747" s="15"/>
      <c r="AL3747" s="15"/>
      <c r="AM3747" s="15"/>
      <c r="AN3747" s="15"/>
      <c r="AO3747" s="15"/>
      <c r="AP3747" s="15"/>
      <c r="AQ3747" s="15"/>
      <c r="AR3747" s="15"/>
      <c r="AS3747" s="15"/>
      <c r="AT3747" s="15"/>
      <c r="AU3747" s="15"/>
      <c r="AV3747" s="15"/>
      <c r="AW3747" s="15"/>
    </row>
    <row r="3748" spans="3:49" x14ac:dyDescent="0.2">
      <c r="C3748" s="15"/>
      <c r="D3748" s="15"/>
      <c r="E3748" s="15"/>
      <c r="F3748" s="15"/>
      <c r="G3748" s="15"/>
      <c r="H3748" s="15"/>
      <c r="I3748" s="15"/>
      <c r="J3748" s="15"/>
      <c r="K3748" s="15"/>
      <c r="L3748" s="28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  <c r="AA3748" s="15"/>
      <c r="AB3748" s="15"/>
      <c r="AC3748" s="15"/>
      <c r="AD3748" s="15"/>
      <c r="AE3748" s="15"/>
      <c r="AF3748" s="15"/>
      <c r="AG3748" s="15"/>
      <c r="AH3748" s="15"/>
      <c r="AI3748" s="15"/>
      <c r="AJ3748" s="15"/>
      <c r="AK3748" s="15"/>
      <c r="AL3748" s="15"/>
      <c r="AM3748" s="15"/>
      <c r="AN3748" s="15"/>
      <c r="AO3748" s="15"/>
      <c r="AP3748" s="15"/>
      <c r="AQ3748" s="15"/>
      <c r="AR3748" s="15"/>
      <c r="AS3748" s="15"/>
      <c r="AT3748" s="15"/>
      <c r="AU3748" s="15"/>
      <c r="AV3748" s="15"/>
      <c r="AW3748" s="15"/>
    </row>
    <row r="3749" spans="3:49" x14ac:dyDescent="0.2">
      <c r="C3749" s="15"/>
      <c r="D3749" s="15"/>
      <c r="E3749" s="15"/>
      <c r="F3749" s="15"/>
      <c r="G3749" s="15"/>
      <c r="H3749" s="15"/>
      <c r="I3749" s="15"/>
      <c r="J3749" s="15"/>
      <c r="K3749" s="15"/>
      <c r="L3749" s="28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  <c r="AA3749" s="15"/>
      <c r="AB3749" s="15"/>
      <c r="AC3749" s="15"/>
      <c r="AD3749" s="15"/>
      <c r="AE3749" s="15"/>
      <c r="AF3749" s="15"/>
      <c r="AG3749" s="15"/>
      <c r="AH3749" s="15"/>
      <c r="AI3749" s="15"/>
      <c r="AJ3749" s="15"/>
      <c r="AK3749" s="15"/>
      <c r="AL3749" s="15"/>
      <c r="AM3749" s="15"/>
      <c r="AN3749" s="15"/>
      <c r="AO3749" s="15"/>
      <c r="AP3749" s="15"/>
      <c r="AQ3749" s="15"/>
      <c r="AR3749" s="15"/>
      <c r="AS3749" s="15"/>
      <c r="AT3749" s="15"/>
      <c r="AU3749" s="15"/>
      <c r="AV3749" s="15"/>
      <c r="AW3749" s="15"/>
    </row>
    <row r="3750" spans="3:49" x14ac:dyDescent="0.2">
      <c r="C3750" s="15"/>
      <c r="D3750" s="15"/>
      <c r="E3750" s="15"/>
      <c r="F3750" s="15"/>
      <c r="G3750" s="15"/>
      <c r="H3750" s="15"/>
      <c r="I3750" s="15"/>
      <c r="J3750" s="15"/>
      <c r="K3750" s="15"/>
      <c r="L3750" s="28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  <c r="AA3750" s="15"/>
      <c r="AB3750" s="15"/>
      <c r="AC3750" s="15"/>
      <c r="AD3750" s="15"/>
      <c r="AE3750" s="15"/>
      <c r="AF3750" s="15"/>
      <c r="AG3750" s="15"/>
      <c r="AH3750" s="15"/>
      <c r="AI3750" s="15"/>
      <c r="AJ3750" s="15"/>
      <c r="AK3750" s="15"/>
      <c r="AL3750" s="15"/>
      <c r="AM3750" s="15"/>
      <c r="AN3750" s="15"/>
      <c r="AO3750" s="15"/>
      <c r="AP3750" s="15"/>
      <c r="AQ3750" s="15"/>
      <c r="AR3750" s="15"/>
      <c r="AS3750" s="15"/>
      <c r="AT3750" s="15"/>
      <c r="AU3750" s="15"/>
      <c r="AV3750" s="15"/>
      <c r="AW3750" s="15"/>
    </row>
    <row r="3751" spans="3:49" x14ac:dyDescent="0.2">
      <c r="C3751" s="15"/>
      <c r="D3751" s="15"/>
      <c r="E3751" s="15"/>
      <c r="F3751" s="15"/>
      <c r="G3751" s="15"/>
      <c r="H3751" s="15"/>
      <c r="I3751" s="15"/>
      <c r="J3751" s="15"/>
      <c r="K3751" s="15"/>
      <c r="L3751" s="28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  <c r="AA3751" s="15"/>
      <c r="AB3751" s="15"/>
      <c r="AC3751" s="15"/>
      <c r="AD3751" s="15"/>
      <c r="AE3751" s="15"/>
      <c r="AF3751" s="15"/>
      <c r="AG3751" s="15"/>
      <c r="AH3751" s="15"/>
      <c r="AI3751" s="15"/>
      <c r="AJ3751" s="15"/>
      <c r="AK3751" s="15"/>
      <c r="AL3751" s="15"/>
      <c r="AM3751" s="15"/>
      <c r="AN3751" s="15"/>
      <c r="AO3751" s="15"/>
      <c r="AP3751" s="15"/>
      <c r="AQ3751" s="15"/>
      <c r="AR3751" s="15"/>
      <c r="AS3751" s="15"/>
      <c r="AT3751" s="15"/>
      <c r="AU3751" s="15"/>
      <c r="AV3751" s="15"/>
      <c r="AW3751" s="15"/>
    </row>
    <row r="3752" spans="3:49" x14ac:dyDescent="0.2">
      <c r="C3752" s="15"/>
      <c r="D3752" s="15"/>
      <c r="E3752" s="15"/>
      <c r="F3752" s="15"/>
      <c r="G3752" s="15"/>
      <c r="H3752" s="15"/>
      <c r="I3752" s="15"/>
      <c r="J3752" s="15"/>
      <c r="K3752" s="15"/>
      <c r="L3752" s="28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  <c r="AA3752" s="15"/>
      <c r="AB3752" s="15"/>
      <c r="AC3752" s="15"/>
      <c r="AD3752" s="15"/>
      <c r="AE3752" s="15"/>
      <c r="AF3752" s="15"/>
      <c r="AG3752" s="15"/>
      <c r="AH3752" s="15"/>
      <c r="AI3752" s="15"/>
      <c r="AJ3752" s="15"/>
      <c r="AK3752" s="15"/>
      <c r="AL3752" s="15"/>
      <c r="AM3752" s="15"/>
      <c r="AN3752" s="15"/>
      <c r="AO3752" s="15"/>
      <c r="AP3752" s="15"/>
      <c r="AQ3752" s="15"/>
      <c r="AR3752" s="15"/>
      <c r="AS3752" s="15"/>
      <c r="AT3752" s="15"/>
      <c r="AU3752" s="15"/>
      <c r="AV3752" s="15"/>
      <c r="AW3752" s="15"/>
    </row>
    <row r="3753" spans="3:49" x14ac:dyDescent="0.2">
      <c r="C3753" s="15"/>
      <c r="D3753" s="15"/>
      <c r="E3753" s="15"/>
      <c r="F3753" s="15"/>
      <c r="G3753" s="15"/>
      <c r="H3753" s="15"/>
      <c r="I3753" s="15"/>
      <c r="J3753" s="15"/>
      <c r="K3753" s="15"/>
      <c r="L3753" s="28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  <c r="AA3753" s="15"/>
      <c r="AB3753" s="15"/>
      <c r="AC3753" s="15"/>
      <c r="AD3753" s="15"/>
      <c r="AE3753" s="15"/>
      <c r="AF3753" s="15"/>
      <c r="AG3753" s="15"/>
      <c r="AH3753" s="15"/>
      <c r="AI3753" s="15"/>
      <c r="AJ3753" s="15"/>
      <c r="AK3753" s="15"/>
      <c r="AL3753" s="15"/>
      <c r="AM3753" s="15"/>
      <c r="AN3753" s="15"/>
      <c r="AO3753" s="15"/>
      <c r="AP3753" s="15"/>
      <c r="AQ3753" s="15"/>
      <c r="AR3753" s="15"/>
      <c r="AS3753" s="15"/>
      <c r="AT3753" s="15"/>
      <c r="AU3753" s="15"/>
      <c r="AV3753" s="15"/>
      <c r="AW3753" s="15"/>
    </row>
    <row r="3754" spans="3:49" x14ac:dyDescent="0.2">
      <c r="C3754" s="15"/>
      <c r="D3754" s="15"/>
      <c r="E3754" s="15"/>
      <c r="F3754" s="15"/>
      <c r="G3754" s="15"/>
      <c r="H3754" s="15"/>
      <c r="I3754" s="15"/>
      <c r="J3754" s="15"/>
      <c r="K3754" s="15"/>
      <c r="L3754" s="28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  <c r="AA3754" s="15"/>
      <c r="AB3754" s="15"/>
      <c r="AC3754" s="15"/>
      <c r="AD3754" s="15"/>
      <c r="AE3754" s="15"/>
      <c r="AF3754" s="15"/>
      <c r="AG3754" s="15"/>
      <c r="AH3754" s="15"/>
      <c r="AI3754" s="15"/>
      <c r="AJ3754" s="15"/>
      <c r="AK3754" s="15"/>
      <c r="AL3754" s="15"/>
      <c r="AM3754" s="15"/>
      <c r="AN3754" s="15"/>
      <c r="AO3754" s="15"/>
      <c r="AP3754" s="15"/>
      <c r="AQ3754" s="15"/>
      <c r="AR3754" s="15"/>
      <c r="AS3754" s="15"/>
      <c r="AT3754" s="15"/>
      <c r="AU3754" s="15"/>
      <c r="AV3754" s="15"/>
      <c r="AW3754" s="15"/>
    </row>
    <row r="3755" spans="3:49" x14ac:dyDescent="0.2">
      <c r="C3755" s="15"/>
      <c r="D3755" s="15"/>
      <c r="E3755" s="15"/>
      <c r="F3755" s="15"/>
      <c r="G3755" s="15"/>
      <c r="H3755" s="15"/>
      <c r="I3755" s="15"/>
      <c r="J3755" s="15"/>
      <c r="K3755" s="15"/>
      <c r="L3755" s="28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  <c r="AA3755" s="15"/>
      <c r="AB3755" s="15"/>
      <c r="AC3755" s="15"/>
      <c r="AD3755" s="15"/>
      <c r="AE3755" s="15"/>
      <c r="AF3755" s="15"/>
      <c r="AG3755" s="15"/>
      <c r="AH3755" s="15"/>
      <c r="AI3755" s="15"/>
      <c r="AJ3755" s="15"/>
      <c r="AK3755" s="15"/>
      <c r="AL3755" s="15"/>
      <c r="AM3755" s="15"/>
      <c r="AN3755" s="15"/>
      <c r="AO3755" s="15"/>
      <c r="AP3755" s="15"/>
      <c r="AQ3755" s="15"/>
      <c r="AR3755" s="15"/>
      <c r="AS3755" s="15"/>
      <c r="AT3755" s="15"/>
      <c r="AU3755" s="15"/>
      <c r="AV3755" s="15"/>
      <c r="AW3755" s="15"/>
    </row>
    <row r="3756" spans="3:49" x14ac:dyDescent="0.2">
      <c r="C3756" s="15"/>
      <c r="D3756" s="15"/>
      <c r="E3756" s="15"/>
      <c r="F3756" s="15"/>
      <c r="G3756" s="15"/>
      <c r="H3756" s="15"/>
      <c r="I3756" s="15"/>
      <c r="J3756" s="15"/>
      <c r="K3756" s="15"/>
      <c r="L3756" s="28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  <c r="AA3756" s="15"/>
      <c r="AB3756" s="15"/>
      <c r="AC3756" s="15"/>
      <c r="AD3756" s="15"/>
      <c r="AE3756" s="15"/>
      <c r="AF3756" s="15"/>
      <c r="AG3756" s="15"/>
      <c r="AH3756" s="15"/>
      <c r="AI3756" s="15"/>
      <c r="AJ3756" s="15"/>
      <c r="AK3756" s="15"/>
      <c r="AL3756" s="15"/>
      <c r="AM3756" s="15"/>
      <c r="AN3756" s="15"/>
      <c r="AO3756" s="15"/>
      <c r="AP3756" s="15"/>
      <c r="AQ3756" s="15"/>
      <c r="AR3756" s="15"/>
      <c r="AS3756" s="15"/>
      <c r="AT3756" s="15"/>
      <c r="AU3756" s="15"/>
      <c r="AV3756" s="15"/>
      <c r="AW3756" s="15"/>
    </row>
    <row r="3757" spans="3:49" x14ac:dyDescent="0.2">
      <c r="C3757" s="15"/>
      <c r="D3757" s="15"/>
      <c r="E3757" s="15"/>
      <c r="F3757" s="15"/>
      <c r="G3757" s="15"/>
      <c r="H3757" s="15"/>
      <c r="I3757" s="15"/>
      <c r="J3757" s="15"/>
      <c r="K3757" s="15"/>
      <c r="L3757" s="28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  <c r="AA3757" s="15"/>
      <c r="AB3757" s="15"/>
      <c r="AC3757" s="15"/>
      <c r="AD3757" s="15"/>
      <c r="AE3757" s="15"/>
      <c r="AF3757" s="15"/>
      <c r="AG3757" s="15"/>
      <c r="AH3757" s="15"/>
      <c r="AI3757" s="15"/>
      <c r="AJ3757" s="15"/>
      <c r="AK3757" s="15"/>
      <c r="AL3757" s="15"/>
      <c r="AM3757" s="15"/>
      <c r="AN3757" s="15"/>
      <c r="AO3757" s="15"/>
      <c r="AP3757" s="15"/>
      <c r="AQ3757" s="15"/>
      <c r="AR3757" s="15"/>
      <c r="AS3757" s="15"/>
      <c r="AT3757" s="15"/>
      <c r="AU3757" s="15"/>
      <c r="AV3757" s="15"/>
      <c r="AW3757" s="15"/>
    </row>
    <row r="3758" spans="3:49" x14ac:dyDescent="0.2">
      <c r="C3758" s="15"/>
      <c r="D3758" s="15"/>
      <c r="E3758" s="15"/>
      <c r="F3758" s="15"/>
      <c r="G3758" s="15"/>
      <c r="H3758" s="15"/>
      <c r="I3758" s="15"/>
      <c r="J3758" s="15"/>
      <c r="K3758" s="15"/>
      <c r="L3758" s="28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  <c r="AA3758" s="15"/>
      <c r="AB3758" s="15"/>
      <c r="AC3758" s="15"/>
      <c r="AD3758" s="15"/>
      <c r="AE3758" s="15"/>
      <c r="AF3758" s="15"/>
      <c r="AG3758" s="15"/>
      <c r="AH3758" s="15"/>
      <c r="AI3758" s="15"/>
      <c r="AJ3758" s="15"/>
      <c r="AK3758" s="15"/>
      <c r="AL3758" s="15"/>
      <c r="AM3758" s="15"/>
      <c r="AN3758" s="15"/>
      <c r="AO3758" s="15"/>
      <c r="AP3758" s="15"/>
      <c r="AQ3758" s="15"/>
      <c r="AR3758" s="15"/>
      <c r="AS3758" s="15"/>
      <c r="AT3758" s="15"/>
      <c r="AU3758" s="15"/>
      <c r="AV3758" s="15"/>
      <c r="AW3758" s="15"/>
    </row>
    <row r="3759" spans="3:49" x14ac:dyDescent="0.2">
      <c r="C3759" s="15"/>
      <c r="D3759" s="15"/>
      <c r="E3759" s="15"/>
      <c r="F3759" s="15"/>
      <c r="G3759" s="15"/>
      <c r="H3759" s="15"/>
      <c r="I3759" s="15"/>
      <c r="J3759" s="15"/>
      <c r="K3759" s="15"/>
      <c r="L3759" s="28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  <c r="AA3759" s="15"/>
      <c r="AB3759" s="15"/>
      <c r="AC3759" s="15"/>
      <c r="AD3759" s="15"/>
      <c r="AE3759" s="15"/>
      <c r="AF3759" s="15"/>
      <c r="AG3759" s="15"/>
      <c r="AH3759" s="15"/>
      <c r="AI3759" s="15"/>
      <c r="AJ3759" s="15"/>
      <c r="AK3759" s="15"/>
      <c r="AL3759" s="15"/>
      <c r="AM3759" s="15"/>
      <c r="AN3759" s="15"/>
      <c r="AO3759" s="15"/>
      <c r="AP3759" s="15"/>
      <c r="AQ3759" s="15"/>
      <c r="AR3759" s="15"/>
      <c r="AS3759" s="15"/>
      <c r="AT3759" s="15"/>
      <c r="AU3759" s="15"/>
      <c r="AV3759" s="15"/>
      <c r="AW3759" s="15"/>
    </row>
    <row r="3760" spans="3:49" x14ac:dyDescent="0.2">
      <c r="C3760" s="15"/>
      <c r="D3760" s="15"/>
      <c r="E3760" s="15"/>
      <c r="F3760" s="15"/>
      <c r="G3760" s="15"/>
      <c r="H3760" s="15"/>
      <c r="I3760" s="15"/>
      <c r="J3760" s="15"/>
      <c r="K3760" s="15"/>
      <c r="L3760" s="28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  <c r="AA3760" s="15"/>
      <c r="AB3760" s="15"/>
      <c r="AC3760" s="15"/>
      <c r="AD3760" s="15"/>
      <c r="AE3760" s="15"/>
      <c r="AF3760" s="15"/>
      <c r="AG3760" s="15"/>
      <c r="AH3760" s="15"/>
      <c r="AI3760" s="15"/>
      <c r="AJ3760" s="15"/>
      <c r="AK3760" s="15"/>
      <c r="AL3760" s="15"/>
      <c r="AM3760" s="15"/>
      <c r="AN3760" s="15"/>
      <c r="AO3760" s="15"/>
      <c r="AP3760" s="15"/>
      <c r="AQ3760" s="15"/>
      <c r="AR3760" s="15"/>
      <c r="AS3760" s="15"/>
      <c r="AT3760" s="15"/>
      <c r="AU3760" s="15"/>
      <c r="AV3760" s="15"/>
      <c r="AW3760" s="15"/>
    </row>
    <row r="3761" spans="3:49" x14ac:dyDescent="0.2">
      <c r="C3761" s="15"/>
      <c r="D3761" s="15"/>
      <c r="E3761" s="15"/>
      <c r="F3761" s="15"/>
      <c r="G3761" s="15"/>
      <c r="H3761" s="15"/>
      <c r="I3761" s="15"/>
      <c r="J3761" s="15"/>
      <c r="K3761" s="15"/>
      <c r="L3761" s="28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  <c r="AA3761" s="15"/>
      <c r="AB3761" s="15"/>
      <c r="AC3761" s="15"/>
      <c r="AD3761" s="15"/>
      <c r="AE3761" s="15"/>
      <c r="AF3761" s="15"/>
      <c r="AG3761" s="15"/>
      <c r="AH3761" s="15"/>
      <c r="AI3761" s="15"/>
      <c r="AJ3761" s="15"/>
      <c r="AK3761" s="15"/>
      <c r="AL3761" s="15"/>
      <c r="AM3761" s="15"/>
      <c r="AN3761" s="15"/>
      <c r="AO3761" s="15"/>
      <c r="AP3761" s="15"/>
      <c r="AQ3761" s="15"/>
      <c r="AR3761" s="15"/>
      <c r="AS3761" s="15"/>
      <c r="AT3761" s="15"/>
      <c r="AU3761" s="15"/>
      <c r="AV3761" s="15"/>
      <c r="AW3761" s="15"/>
    </row>
    <row r="3762" spans="3:49" x14ac:dyDescent="0.2">
      <c r="C3762" s="15"/>
      <c r="D3762" s="15"/>
      <c r="E3762" s="15"/>
      <c r="F3762" s="15"/>
      <c r="G3762" s="15"/>
      <c r="H3762" s="15"/>
      <c r="I3762" s="15"/>
      <c r="J3762" s="15"/>
      <c r="K3762" s="15"/>
      <c r="L3762" s="28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  <c r="AA3762" s="15"/>
      <c r="AB3762" s="15"/>
      <c r="AC3762" s="15"/>
      <c r="AD3762" s="15"/>
      <c r="AE3762" s="15"/>
      <c r="AF3762" s="15"/>
      <c r="AG3762" s="15"/>
      <c r="AH3762" s="15"/>
      <c r="AI3762" s="15"/>
      <c r="AJ3762" s="15"/>
      <c r="AK3762" s="15"/>
      <c r="AL3762" s="15"/>
      <c r="AM3762" s="15"/>
      <c r="AN3762" s="15"/>
      <c r="AO3762" s="15"/>
      <c r="AP3762" s="15"/>
      <c r="AQ3762" s="15"/>
      <c r="AR3762" s="15"/>
      <c r="AS3762" s="15"/>
      <c r="AT3762" s="15"/>
      <c r="AU3762" s="15"/>
      <c r="AV3762" s="15"/>
      <c r="AW3762" s="15"/>
    </row>
    <row r="3763" spans="3:49" x14ac:dyDescent="0.2">
      <c r="C3763" s="15"/>
      <c r="D3763" s="15"/>
      <c r="E3763" s="15"/>
      <c r="F3763" s="15"/>
      <c r="G3763" s="15"/>
      <c r="H3763" s="15"/>
      <c r="I3763" s="15"/>
      <c r="J3763" s="15"/>
      <c r="K3763" s="15"/>
      <c r="L3763" s="28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  <c r="AA3763" s="15"/>
      <c r="AB3763" s="15"/>
      <c r="AC3763" s="15"/>
      <c r="AD3763" s="15"/>
      <c r="AE3763" s="15"/>
      <c r="AF3763" s="15"/>
      <c r="AG3763" s="15"/>
      <c r="AH3763" s="15"/>
      <c r="AI3763" s="15"/>
      <c r="AJ3763" s="15"/>
      <c r="AK3763" s="15"/>
      <c r="AL3763" s="15"/>
      <c r="AM3763" s="15"/>
      <c r="AN3763" s="15"/>
      <c r="AO3763" s="15"/>
      <c r="AP3763" s="15"/>
      <c r="AQ3763" s="15"/>
      <c r="AR3763" s="15"/>
      <c r="AS3763" s="15"/>
      <c r="AT3763" s="15"/>
      <c r="AU3763" s="15"/>
      <c r="AV3763" s="15"/>
      <c r="AW3763" s="15"/>
    </row>
    <row r="3764" spans="3:49" x14ac:dyDescent="0.2">
      <c r="C3764" s="15"/>
      <c r="D3764" s="15"/>
      <c r="E3764" s="15"/>
      <c r="F3764" s="15"/>
      <c r="G3764" s="15"/>
      <c r="H3764" s="15"/>
      <c r="I3764" s="15"/>
      <c r="J3764" s="15"/>
      <c r="K3764" s="15"/>
      <c r="L3764" s="28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  <c r="AA3764" s="15"/>
      <c r="AB3764" s="15"/>
      <c r="AC3764" s="15"/>
      <c r="AD3764" s="15"/>
      <c r="AE3764" s="15"/>
      <c r="AF3764" s="15"/>
      <c r="AG3764" s="15"/>
      <c r="AH3764" s="15"/>
      <c r="AI3764" s="15"/>
      <c r="AJ3764" s="15"/>
      <c r="AK3764" s="15"/>
      <c r="AL3764" s="15"/>
      <c r="AM3764" s="15"/>
      <c r="AN3764" s="15"/>
      <c r="AO3764" s="15"/>
      <c r="AP3764" s="15"/>
      <c r="AQ3764" s="15"/>
      <c r="AR3764" s="15"/>
      <c r="AS3764" s="15"/>
      <c r="AT3764" s="15"/>
      <c r="AU3764" s="15"/>
      <c r="AV3764" s="15"/>
      <c r="AW3764" s="15"/>
    </row>
    <row r="3765" spans="3:49" x14ac:dyDescent="0.2">
      <c r="C3765" s="15"/>
      <c r="D3765" s="15"/>
      <c r="E3765" s="15"/>
      <c r="F3765" s="15"/>
      <c r="G3765" s="15"/>
      <c r="H3765" s="15"/>
      <c r="I3765" s="15"/>
      <c r="J3765" s="15"/>
      <c r="K3765" s="15"/>
      <c r="L3765" s="28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  <c r="AA3765" s="15"/>
      <c r="AB3765" s="15"/>
      <c r="AC3765" s="15"/>
      <c r="AD3765" s="15"/>
      <c r="AE3765" s="15"/>
      <c r="AF3765" s="15"/>
      <c r="AG3765" s="15"/>
      <c r="AH3765" s="15"/>
      <c r="AI3765" s="15"/>
      <c r="AJ3765" s="15"/>
      <c r="AK3765" s="15"/>
      <c r="AL3765" s="15"/>
      <c r="AM3765" s="15"/>
      <c r="AN3765" s="15"/>
      <c r="AO3765" s="15"/>
      <c r="AP3765" s="15"/>
      <c r="AQ3765" s="15"/>
      <c r="AR3765" s="15"/>
      <c r="AS3765" s="15"/>
      <c r="AT3765" s="15"/>
      <c r="AU3765" s="15"/>
      <c r="AV3765" s="15"/>
      <c r="AW3765" s="15"/>
    </row>
    <row r="3766" spans="3:49" x14ac:dyDescent="0.2">
      <c r="C3766" s="15"/>
      <c r="D3766" s="15"/>
      <c r="E3766" s="15"/>
      <c r="F3766" s="15"/>
      <c r="G3766" s="15"/>
      <c r="H3766" s="15"/>
      <c r="I3766" s="15"/>
      <c r="J3766" s="15"/>
      <c r="K3766" s="15"/>
      <c r="L3766" s="28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  <c r="AA3766" s="15"/>
      <c r="AB3766" s="15"/>
      <c r="AC3766" s="15"/>
      <c r="AD3766" s="15"/>
      <c r="AE3766" s="15"/>
      <c r="AF3766" s="15"/>
      <c r="AG3766" s="15"/>
      <c r="AH3766" s="15"/>
      <c r="AI3766" s="15"/>
      <c r="AJ3766" s="15"/>
      <c r="AK3766" s="15"/>
      <c r="AL3766" s="15"/>
      <c r="AM3766" s="15"/>
      <c r="AN3766" s="15"/>
      <c r="AO3766" s="15"/>
      <c r="AP3766" s="15"/>
      <c r="AQ3766" s="15"/>
      <c r="AR3766" s="15"/>
      <c r="AS3766" s="15"/>
      <c r="AT3766" s="15"/>
      <c r="AU3766" s="15"/>
      <c r="AV3766" s="15"/>
      <c r="AW3766" s="15"/>
    </row>
    <row r="3767" spans="3:49" x14ac:dyDescent="0.2">
      <c r="C3767" s="15"/>
      <c r="D3767" s="15"/>
      <c r="E3767" s="15"/>
      <c r="F3767" s="15"/>
      <c r="G3767" s="15"/>
      <c r="H3767" s="15"/>
      <c r="I3767" s="15"/>
      <c r="J3767" s="15"/>
      <c r="K3767" s="15"/>
      <c r="L3767" s="28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  <c r="AA3767" s="15"/>
      <c r="AB3767" s="15"/>
      <c r="AC3767" s="15"/>
      <c r="AD3767" s="15"/>
      <c r="AE3767" s="15"/>
      <c r="AF3767" s="15"/>
      <c r="AG3767" s="15"/>
      <c r="AH3767" s="15"/>
      <c r="AI3767" s="15"/>
      <c r="AJ3767" s="15"/>
      <c r="AK3767" s="15"/>
      <c r="AL3767" s="15"/>
      <c r="AM3767" s="15"/>
      <c r="AN3767" s="15"/>
      <c r="AO3767" s="15"/>
      <c r="AP3767" s="15"/>
      <c r="AQ3767" s="15"/>
      <c r="AR3767" s="15"/>
      <c r="AS3767" s="15"/>
      <c r="AT3767" s="15"/>
      <c r="AU3767" s="15"/>
      <c r="AV3767" s="15"/>
      <c r="AW3767" s="15"/>
    </row>
    <row r="3768" spans="3:49" x14ac:dyDescent="0.2">
      <c r="C3768" s="15"/>
      <c r="D3768" s="15"/>
      <c r="E3768" s="15"/>
      <c r="F3768" s="15"/>
      <c r="G3768" s="15"/>
      <c r="H3768" s="15"/>
      <c r="I3768" s="15"/>
      <c r="J3768" s="15"/>
      <c r="K3768" s="15"/>
      <c r="L3768" s="28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  <c r="AA3768" s="15"/>
      <c r="AB3768" s="15"/>
      <c r="AC3768" s="15"/>
      <c r="AD3768" s="15"/>
      <c r="AE3768" s="15"/>
      <c r="AF3768" s="15"/>
      <c r="AG3768" s="15"/>
      <c r="AH3768" s="15"/>
      <c r="AI3768" s="15"/>
      <c r="AJ3768" s="15"/>
      <c r="AK3768" s="15"/>
      <c r="AL3768" s="15"/>
      <c r="AM3768" s="15"/>
      <c r="AN3768" s="15"/>
      <c r="AO3768" s="15"/>
      <c r="AP3768" s="15"/>
      <c r="AQ3768" s="15"/>
      <c r="AR3768" s="15"/>
      <c r="AS3768" s="15"/>
      <c r="AT3768" s="15"/>
      <c r="AU3768" s="15"/>
      <c r="AV3768" s="15"/>
      <c r="AW3768" s="15"/>
    </row>
    <row r="3769" spans="3:49" x14ac:dyDescent="0.2">
      <c r="C3769" s="15"/>
      <c r="D3769" s="15"/>
      <c r="E3769" s="15"/>
      <c r="F3769" s="15"/>
      <c r="G3769" s="15"/>
      <c r="H3769" s="15"/>
      <c r="I3769" s="15"/>
      <c r="J3769" s="15"/>
      <c r="K3769" s="15"/>
      <c r="L3769" s="28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  <c r="AA3769" s="15"/>
      <c r="AB3769" s="15"/>
      <c r="AC3769" s="15"/>
      <c r="AD3769" s="15"/>
      <c r="AE3769" s="15"/>
      <c r="AF3769" s="15"/>
      <c r="AG3769" s="15"/>
      <c r="AH3769" s="15"/>
      <c r="AI3769" s="15"/>
      <c r="AJ3769" s="15"/>
      <c r="AK3769" s="15"/>
      <c r="AL3769" s="15"/>
      <c r="AM3769" s="15"/>
      <c r="AN3769" s="15"/>
      <c r="AO3769" s="15"/>
      <c r="AP3769" s="15"/>
      <c r="AQ3769" s="15"/>
      <c r="AR3769" s="15"/>
      <c r="AS3769" s="15"/>
      <c r="AT3769" s="15"/>
      <c r="AU3769" s="15"/>
      <c r="AV3769" s="15"/>
      <c r="AW3769" s="15"/>
    </row>
    <row r="3770" spans="3:49" x14ac:dyDescent="0.2">
      <c r="C3770" s="15"/>
      <c r="D3770" s="15"/>
      <c r="E3770" s="15"/>
      <c r="F3770" s="15"/>
      <c r="G3770" s="15"/>
      <c r="H3770" s="15"/>
      <c r="I3770" s="15"/>
      <c r="J3770" s="15"/>
      <c r="K3770" s="15"/>
      <c r="L3770" s="28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  <c r="AA3770" s="15"/>
      <c r="AB3770" s="15"/>
      <c r="AC3770" s="15"/>
      <c r="AD3770" s="15"/>
      <c r="AE3770" s="15"/>
      <c r="AF3770" s="15"/>
      <c r="AG3770" s="15"/>
      <c r="AH3770" s="15"/>
      <c r="AI3770" s="15"/>
      <c r="AJ3770" s="15"/>
      <c r="AK3770" s="15"/>
      <c r="AL3770" s="15"/>
      <c r="AM3770" s="15"/>
      <c r="AN3770" s="15"/>
      <c r="AO3770" s="15"/>
      <c r="AP3770" s="15"/>
      <c r="AQ3770" s="15"/>
      <c r="AR3770" s="15"/>
      <c r="AS3770" s="15"/>
      <c r="AT3770" s="15"/>
      <c r="AU3770" s="15"/>
      <c r="AV3770" s="15"/>
      <c r="AW3770" s="15"/>
    </row>
    <row r="3771" spans="3:49" x14ac:dyDescent="0.2">
      <c r="C3771" s="15"/>
      <c r="D3771" s="15"/>
      <c r="E3771" s="15"/>
      <c r="F3771" s="15"/>
      <c r="G3771" s="15"/>
      <c r="H3771" s="15"/>
      <c r="I3771" s="15"/>
      <c r="J3771" s="15"/>
      <c r="K3771" s="15"/>
      <c r="L3771" s="28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  <c r="AA3771" s="15"/>
      <c r="AB3771" s="15"/>
      <c r="AC3771" s="15"/>
      <c r="AD3771" s="15"/>
      <c r="AE3771" s="15"/>
      <c r="AF3771" s="15"/>
      <c r="AG3771" s="15"/>
      <c r="AH3771" s="15"/>
      <c r="AI3771" s="15"/>
      <c r="AJ3771" s="15"/>
      <c r="AK3771" s="15"/>
      <c r="AL3771" s="15"/>
      <c r="AM3771" s="15"/>
      <c r="AN3771" s="15"/>
      <c r="AO3771" s="15"/>
      <c r="AP3771" s="15"/>
      <c r="AQ3771" s="15"/>
      <c r="AR3771" s="15"/>
      <c r="AS3771" s="15"/>
      <c r="AT3771" s="15"/>
      <c r="AU3771" s="15"/>
      <c r="AV3771" s="15"/>
      <c r="AW3771" s="15"/>
    </row>
    <row r="3772" spans="3:49" x14ac:dyDescent="0.2">
      <c r="C3772" s="15"/>
      <c r="D3772" s="15"/>
      <c r="E3772" s="15"/>
      <c r="F3772" s="15"/>
      <c r="G3772" s="15"/>
      <c r="H3772" s="15"/>
      <c r="I3772" s="15"/>
      <c r="J3772" s="15"/>
      <c r="K3772" s="15"/>
      <c r="L3772" s="28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  <c r="AA3772" s="15"/>
      <c r="AB3772" s="15"/>
      <c r="AC3772" s="15"/>
      <c r="AD3772" s="15"/>
      <c r="AE3772" s="15"/>
      <c r="AF3772" s="15"/>
      <c r="AG3772" s="15"/>
      <c r="AH3772" s="15"/>
      <c r="AI3772" s="15"/>
      <c r="AJ3772" s="15"/>
      <c r="AK3772" s="15"/>
      <c r="AL3772" s="15"/>
      <c r="AM3772" s="15"/>
      <c r="AN3772" s="15"/>
      <c r="AO3772" s="15"/>
      <c r="AP3772" s="15"/>
      <c r="AQ3772" s="15"/>
      <c r="AR3772" s="15"/>
      <c r="AS3772" s="15"/>
      <c r="AT3772" s="15"/>
      <c r="AU3772" s="15"/>
      <c r="AV3772" s="15"/>
      <c r="AW3772" s="15"/>
    </row>
    <row r="3773" spans="3:49" x14ac:dyDescent="0.2">
      <c r="C3773" s="15"/>
      <c r="D3773" s="15"/>
      <c r="E3773" s="15"/>
      <c r="F3773" s="15"/>
      <c r="G3773" s="15"/>
      <c r="H3773" s="15"/>
      <c r="I3773" s="15"/>
      <c r="J3773" s="15"/>
      <c r="K3773" s="15"/>
      <c r="L3773" s="28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  <c r="AA3773" s="15"/>
      <c r="AB3773" s="15"/>
      <c r="AC3773" s="15"/>
      <c r="AD3773" s="15"/>
      <c r="AE3773" s="15"/>
      <c r="AF3773" s="15"/>
      <c r="AG3773" s="15"/>
      <c r="AH3773" s="15"/>
      <c r="AI3773" s="15"/>
      <c r="AJ3773" s="15"/>
      <c r="AK3773" s="15"/>
      <c r="AL3773" s="15"/>
      <c r="AM3773" s="15"/>
      <c r="AN3773" s="15"/>
      <c r="AO3773" s="15"/>
      <c r="AP3773" s="15"/>
      <c r="AQ3773" s="15"/>
      <c r="AR3773" s="15"/>
      <c r="AS3773" s="15"/>
      <c r="AT3773" s="15"/>
      <c r="AU3773" s="15"/>
      <c r="AV3773" s="15"/>
      <c r="AW3773" s="15"/>
    </row>
    <row r="3774" spans="3:49" x14ac:dyDescent="0.2">
      <c r="C3774" s="15"/>
      <c r="D3774" s="15"/>
      <c r="E3774" s="15"/>
      <c r="F3774" s="15"/>
      <c r="G3774" s="15"/>
      <c r="H3774" s="15"/>
      <c r="I3774" s="15"/>
      <c r="J3774" s="15"/>
      <c r="K3774" s="15"/>
      <c r="L3774" s="28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  <c r="AA3774" s="15"/>
      <c r="AB3774" s="15"/>
      <c r="AC3774" s="15"/>
      <c r="AD3774" s="15"/>
      <c r="AE3774" s="15"/>
      <c r="AF3774" s="15"/>
      <c r="AG3774" s="15"/>
      <c r="AH3774" s="15"/>
      <c r="AI3774" s="15"/>
      <c r="AJ3774" s="15"/>
      <c r="AK3774" s="15"/>
      <c r="AL3774" s="15"/>
      <c r="AM3774" s="15"/>
      <c r="AN3774" s="15"/>
      <c r="AO3774" s="15"/>
      <c r="AP3774" s="15"/>
      <c r="AQ3774" s="15"/>
      <c r="AR3774" s="15"/>
      <c r="AS3774" s="15"/>
      <c r="AT3774" s="15"/>
      <c r="AU3774" s="15"/>
      <c r="AV3774" s="15"/>
      <c r="AW3774" s="15"/>
    </row>
    <row r="3775" spans="3:49" x14ac:dyDescent="0.2">
      <c r="C3775" s="15"/>
      <c r="D3775" s="15"/>
      <c r="E3775" s="15"/>
      <c r="F3775" s="15"/>
      <c r="G3775" s="15"/>
      <c r="H3775" s="15"/>
      <c r="I3775" s="15"/>
      <c r="J3775" s="15"/>
      <c r="K3775" s="15"/>
      <c r="L3775" s="28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  <c r="AA3775" s="15"/>
      <c r="AB3775" s="15"/>
      <c r="AC3775" s="15"/>
      <c r="AD3775" s="15"/>
      <c r="AE3775" s="15"/>
      <c r="AF3775" s="15"/>
      <c r="AG3775" s="15"/>
      <c r="AH3775" s="15"/>
      <c r="AI3775" s="15"/>
      <c r="AJ3775" s="15"/>
      <c r="AK3775" s="15"/>
      <c r="AL3775" s="15"/>
      <c r="AM3775" s="15"/>
      <c r="AN3775" s="15"/>
      <c r="AO3775" s="15"/>
      <c r="AP3775" s="15"/>
      <c r="AQ3775" s="15"/>
      <c r="AR3775" s="15"/>
      <c r="AS3775" s="15"/>
      <c r="AT3775" s="15"/>
      <c r="AU3775" s="15"/>
      <c r="AV3775" s="15"/>
      <c r="AW3775" s="15"/>
    </row>
    <row r="3776" spans="3:49" x14ac:dyDescent="0.2">
      <c r="C3776" s="15"/>
      <c r="D3776" s="15"/>
      <c r="E3776" s="15"/>
      <c r="F3776" s="15"/>
      <c r="G3776" s="15"/>
      <c r="H3776" s="15"/>
      <c r="I3776" s="15"/>
      <c r="J3776" s="15"/>
      <c r="K3776" s="15"/>
      <c r="L3776" s="28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  <c r="AA3776" s="15"/>
      <c r="AB3776" s="15"/>
      <c r="AC3776" s="15"/>
      <c r="AD3776" s="15"/>
      <c r="AE3776" s="15"/>
      <c r="AF3776" s="15"/>
      <c r="AG3776" s="15"/>
      <c r="AH3776" s="15"/>
      <c r="AI3776" s="15"/>
      <c r="AJ3776" s="15"/>
      <c r="AK3776" s="15"/>
      <c r="AL3776" s="15"/>
      <c r="AM3776" s="15"/>
      <c r="AN3776" s="15"/>
      <c r="AO3776" s="15"/>
      <c r="AP3776" s="15"/>
      <c r="AQ3776" s="15"/>
      <c r="AR3776" s="15"/>
      <c r="AS3776" s="15"/>
      <c r="AT3776" s="15"/>
      <c r="AU3776" s="15"/>
      <c r="AV3776" s="15"/>
      <c r="AW3776" s="15"/>
    </row>
    <row r="3777" spans="3:49" x14ac:dyDescent="0.2">
      <c r="C3777" s="15"/>
      <c r="D3777" s="15"/>
      <c r="E3777" s="15"/>
      <c r="F3777" s="15"/>
      <c r="G3777" s="15"/>
      <c r="H3777" s="15"/>
      <c r="I3777" s="15"/>
      <c r="J3777" s="15"/>
      <c r="K3777" s="15"/>
      <c r="L3777" s="28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  <c r="AA3777" s="15"/>
      <c r="AB3777" s="15"/>
      <c r="AC3777" s="15"/>
      <c r="AD3777" s="15"/>
      <c r="AE3777" s="15"/>
      <c r="AF3777" s="15"/>
      <c r="AG3777" s="15"/>
      <c r="AH3777" s="15"/>
      <c r="AI3777" s="15"/>
      <c r="AJ3777" s="15"/>
      <c r="AK3777" s="15"/>
      <c r="AL3777" s="15"/>
      <c r="AM3777" s="15"/>
      <c r="AN3777" s="15"/>
      <c r="AO3777" s="15"/>
      <c r="AP3777" s="15"/>
      <c r="AQ3777" s="15"/>
      <c r="AR3777" s="15"/>
      <c r="AS3777" s="15"/>
      <c r="AT3777" s="15"/>
      <c r="AU3777" s="15"/>
      <c r="AV3777" s="15"/>
      <c r="AW3777" s="15"/>
    </row>
    <row r="3778" spans="3:49" x14ac:dyDescent="0.2">
      <c r="C3778" s="15"/>
      <c r="D3778" s="15"/>
      <c r="E3778" s="15"/>
      <c r="F3778" s="15"/>
      <c r="G3778" s="15"/>
      <c r="H3778" s="15"/>
      <c r="I3778" s="15"/>
      <c r="J3778" s="15"/>
      <c r="K3778" s="15"/>
      <c r="L3778" s="28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  <c r="AA3778" s="15"/>
      <c r="AB3778" s="15"/>
      <c r="AC3778" s="15"/>
      <c r="AD3778" s="15"/>
      <c r="AE3778" s="15"/>
      <c r="AF3778" s="15"/>
      <c r="AG3778" s="15"/>
      <c r="AH3778" s="15"/>
      <c r="AI3778" s="15"/>
      <c r="AJ3778" s="15"/>
      <c r="AK3778" s="15"/>
      <c r="AL3778" s="15"/>
      <c r="AM3778" s="15"/>
      <c r="AN3778" s="15"/>
      <c r="AO3778" s="15"/>
      <c r="AP3778" s="15"/>
      <c r="AQ3778" s="15"/>
      <c r="AR3778" s="15"/>
      <c r="AS3778" s="15"/>
      <c r="AT3778" s="15"/>
      <c r="AU3778" s="15"/>
      <c r="AV3778" s="15"/>
      <c r="AW3778" s="15"/>
    </row>
    <row r="3779" spans="3:49" x14ac:dyDescent="0.2">
      <c r="C3779" s="15"/>
      <c r="D3779" s="15"/>
      <c r="E3779" s="15"/>
      <c r="F3779" s="15"/>
      <c r="G3779" s="15"/>
      <c r="H3779" s="15"/>
      <c r="I3779" s="15"/>
      <c r="J3779" s="15"/>
      <c r="K3779" s="15"/>
      <c r="L3779" s="28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  <c r="AA3779" s="15"/>
      <c r="AB3779" s="15"/>
      <c r="AC3779" s="15"/>
      <c r="AD3779" s="15"/>
      <c r="AE3779" s="15"/>
      <c r="AF3779" s="15"/>
      <c r="AG3779" s="15"/>
      <c r="AH3779" s="15"/>
      <c r="AI3779" s="15"/>
      <c r="AJ3779" s="15"/>
      <c r="AK3779" s="15"/>
      <c r="AL3779" s="15"/>
      <c r="AM3779" s="15"/>
      <c r="AN3779" s="15"/>
      <c r="AO3779" s="15"/>
      <c r="AP3779" s="15"/>
      <c r="AQ3779" s="15"/>
      <c r="AR3779" s="15"/>
      <c r="AS3779" s="15"/>
      <c r="AT3779" s="15"/>
      <c r="AU3779" s="15"/>
      <c r="AV3779" s="15"/>
      <c r="AW3779" s="15"/>
    </row>
    <row r="3780" spans="3:49" x14ac:dyDescent="0.2">
      <c r="C3780" s="15"/>
      <c r="D3780" s="15"/>
      <c r="E3780" s="15"/>
      <c r="F3780" s="15"/>
      <c r="G3780" s="15"/>
      <c r="H3780" s="15"/>
      <c r="I3780" s="15"/>
      <c r="J3780" s="15"/>
      <c r="K3780" s="15"/>
      <c r="L3780" s="28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  <c r="AA3780" s="15"/>
      <c r="AB3780" s="15"/>
      <c r="AC3780" s="15"/>
      <c r="AD3780" s="15"/>
      <c r="AE3780" s="15"/>
      <c r="AF3780" s="15"/>
      <c r="AG3780" s="15"/>
      <c r="AH3780" s="15"/>
      <c r="AI3780" s="15"/>
      <c r="AJ3780" s="15"/>
      <c r="AK3780" s="15"/>
      <c r="AL3780" s="15"/>
      <c r="AM3780" s="15"/>
      <c r="AN3780" s="15"/>
      <c r="AO3780" s="15"/>
      <c r="AP3780" s="15"/>
      <c r="AQ3780" s="15"/>
      <c r="AR3780" s="15"/>
      <c r="AS3780" s="15"/>
      <c r="AT3780" s="15"/>
      <c r="AU3780" s="15"/>
      <c r="AV3780" s="15"/>
      <c r="AW3780" s="15"/>
    </row>
    <row r="3781" spans="3:49" x14ac:dyDescent="0.2">
      <c r="C3781" s="15"/>
      <c r="D3781" s="15"/>
      <c r="E3781" s="15"/>
      <c r="F3781" s="15"/>
      <c r="G3781" s="15"/>
      <c r="H3781" s="15"/>
      <c r="I3781" s="15"/>
      <c r="J3781" s="15"/>
      <c r="K3781" s="15"/>
      <c r="L3781" s="28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  <c r="AA3781" s="15"/>
      <c r="AB3781" s="15"/>
      <c r="AC3781" s="15"/>
      <c r="AD3781" s="15"/>
      <c r="AE3781" s="15"/>
      <c r="AF3781" s="15"/>
      <c r="AG3781" s="15"/>
      <c r="AH3781" s="15"/>
      <c r="AI3781" s="15"/>
      <c r="AJ3781" s="15"/>
      <c r="AK3781" s="15"/>
      <c r="AL3781" s="15"/>
      <c r="AM3781" s="15"/>
      <c r="AN3781" s="15"/>
      <c r="AO3781" s="15"/>
      <c r="AP3781" s="15"/>
      <c r="AQ3781" s="15"/>
      <c r="AR3781" s="15"/>
      <c r="AS3781" s="15"/>
      <c r="AT3781" s="15"/>
      <c r="AU3781" s="15"/>
      <c r="AV3781" s="15"/>
      <c r="AW3781" s="15"/>
    </row>
    <row r="3782" spans="3:49" x14ac:dyDescent="0.2">
      <c r="C3782" s="15"/>
      <c r="D3782" s="15"/>
      <c r="E3782" s="15"/>
      <c r="F3782" s="15"/>
      <c r="G3782" s="15"/>
      <c r="H3782" s="15"/>
      <c r="I3782" s="15"/>
      <c r="J3782" s="15"/>
      <c r="K3782" s="15"/>
      <c r="L3782" s="28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  <c r="AA3782" s="15"/>
      <c r="AB3782" s="15"/>
      <c r="AC3782" s="15"/>
      <c r="AD3782" s="15"/>
      <c r="AE3782" s="15"/>
      <c r="AF3782" s="15"/>
      <c r="AG3782" s="15"/>
      <c r="AH3782" s="15"/>
      <c r="AI3782" s="15"/>
      <c r="AJ3782" s="15"/>
      <c r="AK3782" s="15"/>
      <c r="AL3782" s="15"/>
      <c r="AM3782" s="15"/>
      <c r="AN3782" s="15"/>
      <c r="AO3782" s="15"/>
      <c r="AP3782" s="15"/>
      <c r="AQ3782" s="15"/>
      <c r="AR3782" s="15"/>
      <c r="AS3782" s="15"/>
      <c r="AT3782" s="15"/>
      <c r="AU3782" s="15"/>
      <c r="AV3782" s="15"/>
      <c r="AW3782" s="15"/>
    </row>
    <row r="3783" spans="3:49" x14ac:dyDescent="0.2">
      <c r="C3783" s="15"/>
      <c r="D3783" s="15"/>
      <c r="E3783" s="15"/>
      <c r="F3783" s="15"/>
      <c r="G3783" s="15"/>
      <c r="H3783" s="15"/>
      <c r="I3783" s="15"/>
      <c r="J3783" s="15"/>
      <c r="K3783" s="15"/>
      <c r="L3783" s="28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  <c r="AA3783" s="15"/>
      <c r="AB3783" s="15"/>
      <c r="AC3783" s="15"/>
      <c r="AD3783" s="15"/>
      <c r="AE3783" s="15"/>
      <c r="AF3783" s="15"/>
      <c r="AG3783" s="15"/>
      <c r="AH3783" s="15"/>
      <c r="AI3783" s="15"/>
      <c r="AJ3783" s="15"/>
      <c r="AK3783" s="15"/>
      <c r="AL3783" s="15"/>
      <c r="AM3783" s="15"/>
      <c r="AN3783" s="15"/>
      <c r="AO3783" s="15"/>
      <c r="AP3783" s="15"/>
      <c r="AQ3783" s="15"/>
      <c r="AR3783" s="15"/>
      <c r="AS3783" s="15"/>
      <c r="AT3783" s="15"/>
      <c r="AU3783" s="15"/>
      <c r="AV3783" s="15"/>
      <c r="AW3783" s="15"/>
    </row>
    <row r="3784" spans="3:49" x14ac:dyDescent="0.2">
      <c r="C3784" s="15"/>
      <c r="D3784" s="15"/>
      <c r="E3784" s="15"/>
      <c r="F3784" s="15"/>
      <c r="G3784" s="15"/>
      <c r="H3784" s="15"/>
      <c r="I3784" s="15"/>
      <c r="J3784" s="15"/>
      <c r="K3784" s="15"/>
      <c r="L3784" s="28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  <c r="AA3784" s="15"/>
      <c r="AB3784" s="15"/>
      <c r="AC3784" s="15"/>
      <c r="AD3784" s="15"/>
      <c r="AE3784" s="15"/>
      <c r="AF3784" s="15"/>
      <c r="AG3784" s="15"/>
      <c r="AH3784" s="15"/>
      <c r="AI3784" s="15"/>
      <c r="AJ3784" s="15"/>
      <c r="AK3784" s="15"/>
      <c r="AL3784" s="15"/>
      <c r="AM3784" s="15"/>
      <c r="AN3784" s="15"/>
      <c r="AO3784" s="15"/>
      <c r="AP3784" s="15"/>
      <c r="AQ3784" s="15"/>
      <c r="AR3784" s="15"/>
      <c r="AS3784" s="15"/>
      <c r="AT3784" s="15"/>
      <c r="AU3784" s="15"/>
      <c r="AV3784" s="15"/>
      <c r="AW3784" s="15"/>
    </row>
    <row r="3785" spans="3:49" x14ac:dyDescent="0.2">
      <c r="C3785" s="15"/>
      <c r="D3785" s="15"/>
      <c r="E3785" s="15"/>
      <c r="F3785" s="15"/>
      <c r="G3785" s="15"/>
      <c r="H3785" s="15"/>
      <c r="I3785" s="15"/>
      <c r="J3785" s="15"/>
      <c r="K3785" s="15"/>
      <c r="L3785" s="28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  <c r="AA3785" s="15"/>
      <c r="AB3785" s="15"/>
      <c r="AC3785" s="15"/>
      <c r="AD3785" s="15"/>
      <c r="AE3785" s="15"/>
      <c r="AF3785" s="15"/>
      <c r="AG3785" s="15"/>
      <c r="AH3785" s="15"/>
      <c r="AI3785" s="15"/>
      <c r="AJ3785" s="15"/>
      <c r="AK3785" s="15"/>
      <c r="AL3785" s="15"/>
      <c r="AM3785" s="15"/>
      <c r="AN3785" s="15"/>
      <c r="AO3785" s="15"/>
      <c r="AP3785" s="15"/>
      <c r="AQ3785" s="15"/>
      <c r="AR3785" s="15"/>
      <c r="AS3785" s="15"/>
      <c r="AT3785" s="15"/>
      <c r="AU3785" s="15"/>
      <c r="AV3785" s="15"/>
      <c r="AW3785" s="15"/>
    </row>
    <row r="3786" spans="3:49" x14ac:dyDescent="0.2">
      <c r="C3786" s="15"/>
      <c r="D3786" s="15"/>
      <c r="E3786" s="15"/>
      <c r="F3786" s="15"/>
      <c r="G3786" s="15"/>
      <c r="H3786" s="15"/>
      <c r="I3786" s="15"/>
      <c r="J3786" s="15"/>
      <c r="K3786" s="15"/>
      <c r="L3786" s="28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  <c r="AA3786" s="15"/>
      <c r="AB3786" s="15"/>
      <c r="AC3786" s="15"/>
      <c r="AD3786" s="15"/>
      <c r="AE3786" s="15"/>
      <c r="AF3786" s="15"/>
      <c r="AG3786" s="15"/>
      <c r="AH3786" s="15"/>
      <c r="AI3786" s="15"/>
      <c r="AJ3786" s="15"/>
      <c r="AK3786" s="15"/>
      <c r="AL3786" s="15"/>
      <c r="AM3786" s="15"/>
      <c r="AN3786" s="15"/>
      <c r="AO3786" s="15"/>
      <c r="AP3786" s="15"/>
      <c r="AQ3786" s="15"/>
      <c r="AR3786" s="15"/>
      <c r="AS3786" s="15"/>
      <c r="AT3786" s="15"/>
      <c r="AU3786" s="15"/>
      <c r="AV3786" s="15"/>
      <c r="AW3786" s="15"/>
    </row>
    <row r="3787" spans="3:49" x14ac:dyDescent="0.2">
      <c r="C3787" s="15"/>
      <c r="D3787" s="15"/>
      <c r="E3787" s="15"/>
      <c r="F3787" s="15"/>
      <c r="G3787" s="15"/>
      <c r="H3787" s="15"/>
      <c r="I3787" s="15"/>
      <c r="J3787" s="15"/>
      <c r="K3787" s="15"/>
      <c r="L3787" s="28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  <c r="AA3787" s="15"/>
      <c r="AB3787" s="15"/>
      <c r="AC3787" s="15"/>
      <c r="AD3787" s="15"/>
      <c r="AE3787" s="15"/>
      <c r="AF3787" s="15"/>
      <c r="AG3787" s="15"/>
      <c r="AH3787" s="15"/>
      <c r="AI3787" s="15"/>
      <c r="AJ3787" s="15"/>
      <c r="AK3787" s="15"/>
      <c r="AL3787" s="15"/>
      <c r="AM3787" s="15"/>
      <c r="AN3787" s="15"/>
      <c r="AO3787" s="15"/>
      <c r="AP3787" s="15"/>
      <c r="AQ3787" s="15"/>
      <c r="AR3787" s="15"/>
      <c r="AS3787" s="15"/>
      <c r="AT3787" s="15"/>
      <c r="AU3787" s="15"/>
      <c r="AV3787" s="15"/>
      <c r="AW3787" s="15"/>
    </row>
    <row r="3788" spans="3:49" x14ac:dyDescent="0.2">
      <c r="C3788" s="15"/>
      <c r="D3788" s="15"/>
      <c r="E3788" s="15"/>
      <c r="F3788" s="15"/>
      <c r="G3788" s="15"/>
      <c r="H3788" s="15"/>
      <c r="I3788" s="15"/>
      <c r="J3788" s="15"/>
      <c r="K3788" s="15"/>
      <c r="L3788" s="28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  <c r="AA3788" s="15"/>
      <c r="AB3788" s="15"/>
      <c r="AC3788" s="15"/>
      <c r="AD3788" s="15"/>
      <c r="AE3788" s="15"/>
      <c r="AF3788" s="15"/>
      <c r="AG3788" s="15"/>
      <c r="AH3788" s="15"/>
      <c r="AI3788" s="15"/>
      <c r="AJ3788" s="15"/>
      <c r="AK3788" s="15"/>
      <c r="AL3788" s="15"/>
      <c r="AM3788" s="15"/>
      <c r="AN3788" s="15"/>
      <c r="AO3788" s="15"/>
      <c r="AP3788" s="15"/>
      <c r="AQ3788" s="15"/>
      <c r="AR3788" s="15"/>
      <c r="AS3788" s="15"/>
      <c r="AT3788" s="15"/>
      <c r="AU3788" s="15"/>
      <c r="AV3788" s="15"/>
      <c r="AW3788" s="15"/>
    </row>
    <row r="3789" spans="3:49" x14ac:dyDescent="0.2">
      <c r="C3789" s="15"/>
      <c r="D3789" s="15"/>
      <c r="E3789" s="15"/>
      <c r="F3789" s="15"/>
      <c r="G3789" s="15"/>
      <c r="H3789" s="15"/>
      <c r="I3789" s="15"/>
      <c r="J3789" s="15"/>
      <c r="K3789" s="15"/>
      <c r="L3789" s="28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  <c r="AA3789" s="15"/>
      <c r="AB3789" s="15"/>
      <c r="AC3789" s="15"/>
      <c r="AD3789" s="15"/>
      <c r="AE3789" s="15"/>
      <c r="AF3789" s="15"/>
      <c r="AG3789" s="15"/>
      <c r="AH3789" s="15"/>
      <c r="AI3789" s="15"/>
      <c r="AJ3789" s="15"/>
      <c r="AK3789" s="15"/>
      <c r="AL3789" s="15"/>
      <c r="AM3789" s="15"/>
      <c r="AN3789" s="15"/>
      <c r="AO3789" s="15"/>
      <c r="AP3789" s="15"/>
      <c r="AQ3789" s="15"/>
      <c r="AR3789" s="15"/>
      <c r="AS3789" s="15"/>
      <c r="AT3789" s="15"/>
      <c r="AU3789" s="15"/>
      <c r="AV3789" s="15"/>
      <c r="AW3789" s="15"/>
    </row>
    <row r="3790" spans="3:49" x14ac:dyDescent="0.2">
      <c r="C3790" s="15"/>
      <c r="D3790" s="15"/>
      <c r="E3790" s="15"/>
      <c r="F3790" s="15"/>
      <c r="G3790" s="15"/>
      <c r="H3790" s="15"/>
      <c r="I3790" s="15"/>
      <c r="J3790" s="15"/>
      <c r="K3790" s="15"/>
      <c r="L3790" s="28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  <c r="AA3790" s="15"/>
      <c r="AB3790" s="15"/>
      <c r="AC3790" s="15"/>
      <c r="AD3790" s="15"/>
      <c r="AE3790" s="15"/>
      <c r="AF3790" s="15"/>
      <c r="AG3790" s="15"/>
      <c r="AH3790" s="15"/>
      <c r="AI3790" s="15"/>
      <c r="AJ3790" s="15"/>
      <c r="AK3790" s="15"/>
      <c r="AL3790" s="15"/>
      <c r="AM3790" s="15"/>
      <c r="AN3790" s="15"/>
      <c r="AO3790" s="15"/>
      <c r="AP3790" s="15"/>
      <c r="AQ3790" s="15"/>
      <c r="AR3790" s="15"/>
      <c r="AS3790" s="15"/>
      <c r="AT3790" s="15"/>
      <c r="AU3790" s="15"/>
      <c r="AV3790" s="15"/>
      <c r="AW3790" s="15"/>
    </row>
    <row r="3791" spans="3:49" x14ac:dyDescent="0.2">
      <c r="C3791" s="15"/>
      <c r="D3791" s="15"/>
      <c r="E3791" s="15"/>
      <c r="F3791" s="15"/>
      <c r="G3791" s="15"/>
      <c r="H3791" s="15"/>
      <c r="I3791" s="15"/>
      <c r="J3791" s="15"/>
      <c r="K3791" s="15"/>
      <c r="L3791" s="28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  <c r="AA3791" s="15"/>
      <c r="AB3791" s="15"/>
      <c r="AC3791" s="15"/>
      <c r="AD3791" s="15"/>
      <c r="AE3791" s="15"/>
      <c r="AF3791" s="15"/>
      <c r="AG3791" s="15"/>
      <c r="AH3791" s="15"/>
      <c r="AI3791" s="15"/>
      <c r="AJ3791" s="15"/>
      <c r="AK3791" s="15"/>
      <c r="AL3791" s="15"/>
      <c r="AM3791" s="15"/>
      <c r="AN3791" s="15"/>
      <c r="AO3791" s="15"/>
      <c r="AP3791" s="15"/>
      <c r="AQ3791" s="15"/>
      <c r="AR3791" s="15"/>
      <c r="AS3791" s="15"/>
      <c r="AT3791" s="15"/>
      <c r="AU3791" s="15"/>
      <c r="AV3791" s="15"/>
      <c r="AW3791" s="15"/>
    </row>
    <row r="3792" spans="3:49" x14ac:dyDescent="0.2">
      <c r="C3792" s="15"/>
      <c r="D3792" s="15"/>
      <c r="E3792" s="15"/>
      <c r="F3792" s="15"/>
      <c r="G3792" s="15"/>
      <c r="H3792" s="15"/>
      <c r="I3792" s="15"/>
      <c r="J3792" s="15"/>
      <c r="K3792" s="15"/>
      <c r="L3792" s="28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  <c r="AA3792" s="15"/>
      <c r="AB3792" s="15"/>
      <c r="AC3792" s="15"/>
      <c r="AD3792" s="15"/>
      <c r="AE3792" s="15"/>
      <c r="AF3792" s="15"/>
      <c r="AG3792" s="15"/>
      <c r="AH3792" s="15"/>
      <c r="AI3792" s="15"/>
      <c r="AJ3792" s="15"/>
      <c r="AK3792" s="15"/>
      <c r="AL3792" s="15"/>
      <c r="AM3792" s="15"/>
      <c r="AN3792" s="15"/>
      <c r="AO3792" s="15"/>
      <c r="AP3792" s="15"/>
      <c r="AQ3792" s="15"/>
      <c r="AR3792" s="15"/>
      <c r="AS3792" s="15"/>
      <c r="AT3792" s="15"/>
      <c r="AU3792" s="15"/>
      <c r="AV3792" s="15"/>
      <c r="AW3792" s="15"/>
    </row>
    <row r="3793" spans="3:49" x14ac:dyDescent="0.2">
      <c r="C3793" s="15"/>
      <c r="D3793" s="15"/>
      <c r="E3793" s="15"/>
      <c r="F3793" s="15"/>
      <c r="G3793" s="15"/>
      <c r="H3793" s="15"/>
      <c r="I3793" s="15"/>
      <c r="J3793" s="15"/>
      <c r="K3793" s="15"/>
      <c r="L3793" s="28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  <c r="AA3793" s="15"/>
      <c r="AB3793" s="15"/>
      <c r="AC3793" s="15"/>
      <c r="AD3793" s="15"/>
      <c r="AE3793" s="15"/>
      <c r="AF3793" s="15"/>
      <c r="AG3793" s="15"/>
      <c r="AH3793" s="15"/>
      <c r="AI3793" s="15"/>
      <c r="AJ3793" s="15"/>
      <c r="AK3793" s="15"/>
      <c r="AL3793" s="15"/>
      <c r="AM3793" s="15"/>
      <c r="AN3793" s="15"/>
      <c r="AO3793" s="15"/>
      <c r="AP3793" s="15"/>
      <c r="AQ3793" s="15"/>
      <c r="AR3793" s="15"/>
      <c r="AS3793" s="15"/>
      <c r="AT3793" s="15"/>
      <c r="AU3793" s="15"/>
      <c r="AV3793" s="15"/>
      <c r="AW3793" s="15"/>
    </row>
    <row r="3794" spans="3:49" x14ac:dyDescent="0.2">
      <c r="C3794" s="15"/>
      <c r="D3794" s="15"/>
      <c r="E3794" s="15"/>
      <c r="F3794" s="15"/>
      <c r="G3794" s="15"/>
      <c r="H3794" s="15"/>
      <c r="I3794" s="15"/>
      <c r="J3794" s="15"/>
      <c r="K3794" s="15"/>
      <c r="L3794" s="28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  <c r="AA3794" s="15"/>
      <c r="AB3794" s="15"/>
      <c r="AC3794" s="15"/>
      <c r="AD3794" s="15"/>
      <c r="AE3794" s="15"/>
      <c r="AF3794" s="15"/>
      <c r="AG3794" s="15"/>
      <c r="AH3794" s="15"/>
      <c r="AI3794" s="15"/>
      <c r="AJ3794" s="15"/>
      <c r="AK3794" s="15"/>
      <c r="AL3794" s="15"/>
      <c r="AM3794" s="15"/>
      <c r="AN3794" s="15"/>
      <c r="AO3794" s="15"/>
      <c r="AP3794" s="15"/>
      <c r="AQ3794" s="15"/>
      <c r="AR3794" s="15"/>
      <c r="AS3794" s="15"/>
      <c r="AT3794" s="15"/>
      <c r="AU3794" s="15"/>
      <c r="AV3794" s="15"/>
      <c r="AW3794" s="15"/>
    </row>
    <row r="3795" spans="3:49" x14ac:dyDescent="0.2">
      <c r="C3795" s="15"/>
      <c r="D3795" s="15"/>
      <c r="E3795" s="15"/>
      <c r="F3795" s="15"/>
      <c r="G3795" s="15"/>
      <c r="H3795" s="15"/>
      <c r="I3795" s="15"/>
      <c r="J3795" s="15"/>
      <c r="K3795" s="15"/>
      <c r="L3795" s="28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  <c r="AA3795" s="15"/>
      <c r="AB3795" s="15"/>
      <c r="AC3795" s="15"/>
      <c r="AD3795" s="15"/>
      <c r="AE3795" s="15"/>
      <c r="AF3795" s="15"/>
      <c r="AG3795" s="15"/>
      <c r="AH3795" s="15"/>
      <c r="AI3795" s="15"/>
      <c r="AJ3795" s="15"/>
      <c r="AK3795" s="15"/>
      <c r="AL3795" s="15"/>
      <c r="AM3795" s="15"/>
      <c r="AN3795" s="15"/>
      <c r="AO3795" s="15"/>
      <c r="AP3795" s="15"/>
      <c r="AQ3795" s="15"/>
      <c r="AR3795" s="15"/>
      <c r="AS3795" s="15"/>
      <c r="AT3795" s="15"/>
      <c r="AU3795" s="15"/>
      <c r="AV3795" s="15"/>
      <c r="AW3795" s="15"/>
    </row>
    <row r="3796" spans="3:49" x14ac:dyDescent="0.2">
      <c r="C3796" s="15"/>
      <c r="D3796" s="15"/>
      <c r="E3796" s="15"/>
      <c r="F3796" s="15"/>
      <c r="G3796" s="15"/>
      <c r="H3796" s="15"/>
      <c r="I3796" s="15"/>
      <c r="J3796" s="15"/>
      <c r="K3796" s="15"/>
      <c r="L3796" s="28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  <c r="AA3796" s="15"/>
      <c r="AB3796" s="15"/>
      <c r="AC3796" s="15"/>
      <c r="AD3796" s="15"/>
      <c r="AE3796" s="15"/>
      <c r="AF3796" s="15"/>
      <c r="AG3796" s="15"/>
      <c r="AH3796" s="15"/>
      <c r="AI3796" s="15"/>
      <c r="AJ3796" s="15"/>
      <c r="AK3796" s="15"/>
      <c r="AL3796" s="15"/>
      <c r="AM3796" s="15"/>
      <c r="AN3796" s="15"/>
      <c r="AO3796" s="15"/>
      <c r="AP3796" s="15"/>
      <c r="AQ3796" s="15"/>
      <c r="AR3796" s="15"/>
      <c r="AS3796" s="15"/>
      <c r="AT3796" s="15"/>
      <c r="AU3796" s="15"/>
      <c r="AV3796" s="15"/>
      <c r="AW3796" s="15"/>
    </row>
    <row r="3797" spans="3:49" x14ac:dyDescent="0.2">
      <c r="C3797" s="15"/>
      <c r="D3797" s="15"/>
      <c r="E3797" s="15"/>
      <c r="F3797" s="15"/>
      <c r="G3797" s="15"/>
      <c r="H3797" s="15"/>
      <c r="I3797" s="15"/>
      <c r="J3797" s="15"/>
      <c r="K3797" s="15"/>
      <c r="L3797" s="28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  <c r="AA3797" s="15"/>
      <c r="AB3797" s="15"/>
      <c r="AC3797" s="15"/>
      <c r="AD3797" s="15"/>
      <c r="AE3797" s="15"/>
      <c r="AF3797" s="15"/>
      <c r="AG3797" s="15"/>
      <c r="AH3797" s="15"/>
      <c r="AI3797" s="15"/>
      <c r="AJ3797" s="15"/>
      <c r="AK3797" s="15"/>
      <c r="AL3797" s="15"/>
      <c r="AM3797" s="15"/>
      <c r="AN3797" s="15"/>
      <c r="AO3797" s="15"/>
      <c r="AP3797" s="15"/>
      <c r="AQ3797" s="15"/>
      <c r="AR3797" s="15"/>
      <c r="AS3797" s="15"/>
      <c r="AT3797" s="15"/>
      <c r="AU3797" s="15"/>
      <c r="AV3797" s="15"/>
      <c r="AW3797" s="15"/>
    </row>
    <row r="3798" spans="3:49" x14ac:dyDescent="0.2">
      <c r="C3798" s="15"/>
      <c r="D3798" s="15"/>
      <c r="E3798" s="15"/>
      <c r="F3798" s="15"/>
      <c r="G3798" s="15"/>
      <c r="H3798" s="15"/>
      <c r="I3798" s="15"/>
      <c r="J3798" s="15"/>
      <c r="K3798" s="15"/>
      <c r="L3798" s="28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  <c r="AA3798" s="15"/>
      <c r="AB3798" s="15"/>
      <c r="AC3798" s="15"/>
      <c r="AD3798" s="15"/>
      <c r="AE3798" s="15"/>
      <c r="AF3798" s="15"/>
      <c r="AG3798" s="15"/>
      <c r="AH3798" s="15"/>
      <c r="AI3798" s="15"/>
      <c r="AJ3798" s="15"/>
      <c r="AK3798" s="15"/>
      <c r="AL3798" s="15"/>
      <c r="AM3798" s="15"/>
      <c r="AN3798" s="15"/>
      <c r="AO3798" s="15"/>
      <c r="AP3798" s="15"/>
      <c r="AQ3798" s="15"/>
      <c r="AR3798" s="15"/>
      <c r="AS3798" s="15"/>
      <c r="AT3798" s="15"/>
      <c r="AU3798" s="15"/>
      <c r="AV3798" s="15"/>
      <c r="AW3798" s="15"/>
    </row>
    <row r="3799" spans="3:49" x14ac:dyDescent="0.2">
      <c r="C3799" s="15"/>
      <c r="D3799" s="15"/>
      <c r="E3799" s="15"/>
      <c r="F3799" s="15"/>
      <c r="G3799" s="15"/>
      <c r="H3799" s="15"/>
      <c r="I3799" s="15"/>
      <c r="J3799" s="15"/>
      <c r="K3799" s="15"/>
      <c r="L3799" s="28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  <c r="AA3799" s="15"/>
      <c r="AB3799" s="15"/>
      <c r="AC3799" s="15"/>
      <c r="AD3799" s="15"/>
      <c r="AE3799" s="15"/>
      <c r="AF3799" s="15"/>
      <c r="AG3799" s="15"/>
      <c r="AH3799" s="15"/>
      <c r="AI3799" s="15"/>
      <c r="AJ3799" s="15"/>
      <c r="AK3799" s="15"/>
      <c r="AL3799" s="15"/>
      <c r="AM3799" s="15"/>
      <c r="AN3799" s="15"/>
      <c r="AO3799" s="15"/>
      <c r="AP3799" s="15"/>
      <c r="AQ3799" s="15"/>
      <c r="AR3799" s="15"/>
      <c r="AS3799" s="15"/>
      <c r="AT3799" s="15"/>
      <c r="AU3799" s="15"/>
      <c r="AV3799" s="15"/>
      <c r="AW3799" s="15"/>
    </row>
    <row r="3800" spans="3:49" x14ac:dyDescent="0.2">
      <c r="C3800" s="15"/>
      <c r="D3800" s="15"/>
      <c r="E3800" s="15"/>
      <c r="F3800" s="15"/>
      <c r="G3800" s="15"/>
      <c r="H3800" s="15"/>
      <c r="I3800" s="15"/>
      <c r="J3800" s="15"/>
      <c r="K3800" s="15"/>
      <c r="L3800" s="28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  <c r="AA3800" s="15"/>
      <c r="AB3800" s="15"/>
      <c r="AC3800" s="15"/>
      <c r="AD3800" s="15"/>
      <c r="AE3800" s="15"/>
      <c r="AF3800" s="15"/>
      <c r="AG3800" s="15"/>
      <c r="AH3800" s="15"/>
      <c r="AI3800" s="15"/>
      <c r="AJ3800" s="15"/>
      <c r="AK3800" s="15"/>
      <c r="AL3800" s="15"/>
      <c r="AM3800" s="15"/>
      <c r="AN3800" s="15"/>
      <c r="AO3800" s="15"/>
      <c r="AP3800" s="15"/>
      <c r="AQ3800" s="15"/>
      <c r="AR3800" s="15"/>
      <c r="AS3800" s="15"/>
      <c r="AT3800" s="15"/>
      <c r="AU3800" s="15"/>
      <c r="AV3800" s="15"/>
      <c r="AW3800" s="15"/>
    </row>
    <row r="3801" spans="3:49" x14ac:dyDescent="0.2">
      <c r="C3801" s="15"/>
      <c r="D3801" s="15"/>
      <c r="E3801" s="15"/>
      <c r="F3801" s="15"/>
      <c r="G3801" s="15"/>
      <c r="H3801" s="15"/>
      <c r="I3801" s="15"/>
      <c r="J3801" s="15"/>
      <c r="K3801" s="15"/>
      <c r="L3801" s="28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  <c r="AA3801" s="15"/>
      <c r="AB3801" s="15"/>
      <c r="AC3801" s="15"/>
      <c r="AD3801" s="15"/>
      <c r="AE3801" s="15"/>
      <c r="AF3801" s="15"/>
      <c r="AG3801" s="15"/>
      <c r="AH3801" s="15"/>
      <c r="AI3801" s="15"/>
      <c r="AJ3801" s="15"/>
      <c r="AK3801" s="15"/>
      <c r="AL3801" s="15"/>
      <c r="AM3801" s="15"/>
      <c r="AN3801" s="15"/>
      <c r="AO3801" s="15"/>
      <c r="AP3801" s="15"/>
      <c r="AQ3801" s="15"/>
      <c r="AR3801" s="15"/>
      <c r="AS3801" s="15"/>
      <c r="AT3801" s="15"/>
      <c r="AU3801" s="15"/>
      <c r="AV3801" s="15"/>
      <c r="AW3801" s="15"/>
    </row>
    <row r="3802" spans="3:49" x14ac:dyDescent="0.2">
      <c r="C3802" s="15"/>
      <c r="D3802" s="15"/>
      <c r="E3802" s="15"/>
      <c r="F3802" s="15"/>
      <c r="G3802" s="15"/>
      <c r="H3802" s="15"/>
      <c r="I3802" s="15"/>
      <c r="J3802" s="15"/>
      <c r="K3802" s="15"/>
      <c r="L3802" s="28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  <c r="AA3802" s="15"/>
      <c r="AB3802" s="15"/>
      <c r="AC3802" s="15"/>
      <c r="AD3802" s="15"/>
      <c r="AE3802" s="15"/>
      <c r="AF3802" s="15"/>
      <c r="AG3802" s="15"/>
      <c r="AH3802" s="15"/>
      <c r="AI3802" s="15"/>
      <c r="AJ3802" s="15"/>
      <c r="AK3802" s="15"/>
      <c r="AL3802" s="15"/>
      <c r="AM3802" s="15"/>
      <c r="AN3802" s="15"/>
      <c r="AO3802" s="15"/>
      <c r="AP3802" s="15"/>
      <c r="AQ3802" s="15"/>
      <c r="AR3802" s="15"/>
      <c r="AS3802" s="15"/>
      <c r="AT3802" s="15"/>
      <c r="AU3802" s="15"/>
      <c r="AV3802" s="15"/>
      <c r="AW3802" s="15"/>
    </row>
    <row r="3803" spans="3:49" x14ac:dyDescent="0.2">
      <c r="C3803" s="15"/>
      <c r="D3803" s="15"/>
      <c r="E3803" s="15"/>
      <c r="F3803" s="15"/>
      <c r="G3803" s="15"/>
      <c r="H3803" s="15"/>
      <c r="I3803" s="15"/>
      <c r="J3803" s="15"/>
      <c r="K3803" s="15"/>
      <c r="L3803" s="28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  <c r="AA3803" s="15"/>
      <c r="AB3803" s="15"/>
      <c r="AC3803" s="15"/>
      <c r="AD3803" s="15"/>
      <c r="AE3803" s="15"/>
      <c r="AF3803" s="15"/>
      <c r="AG3803" s="15"/>
      <c r="AH3803" s="15"/>
      <c r="AI3803" s="15"/>
      <c r="AJ3803" s="15"/>
      <c r="AK3803" s="15"/>
      <c r="AL3803" s="15"/>
      <c r="AM3803" s="15"/>
      <c r="AN3803" s="15"/>
      <c r="AO3803" s="15"/>
      <c r="AP3803" s="15"/>
      <c r="AQ3803" s="15"/>
      <c r="AR3803" s="15"/>
      <c r="AS3803" s="15"/>
      <c r="AT3803" s="15"/>
      <c r="AU3803" s="15"/>
      <c r="AV3803" s="15"/>
      <c r="AW3803" s="15"/>
    </row>
    <row r="3804" spans="3:49" x14ac:dyDescent="0.2">
      <c r="C3804" s="15"/>
      <c r="D3804" s="15"/>
      <c r="E3804" s="15"/>
      <c r="F3804" s="15"/>
      <c r="G3804" s="15"/>
      <c r="H3804" s="15"/>
      <c r="I3804" s="15"/>
      <c r="J3804" s="15"/>
      <c r="K3804" s="15"/>
      <c r="L3804" s="28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  <c r="AA3804" s="15"/>
      <c r="AB3804" s="15"/>
      <c r="AC3804" s="15"/>
      <c r="AD3804" s="15"/>
      <c r="AE3804" s="15"/>
      <c r="AF3804" s="15"/>
      <c r="AG3804" s="15"/>
      <c r="AH3804" s="15"/>
      <c r="AI3804" s="15"/>
      <c r="AJ3804" s="15"/>
      <c r="AK3804" s="15"/>
      <c r="AL3804" s="15"/>
      <c r="AM3804" s="15"/>
      <c r="AN3804" s="15"/>
      <c r="AO3804" s="15"/>
      <c r="AP3804" s="15"/>
      <c r="AQ3804" s="15"/>
      <c r="AR3804" s="15"/>
      <c r="AS3804" s="15"/>
      <c r="AT3804" s="15"/>
      <c r="AU3804" s="15"/>
      <c r="AV3804" s="15"/>
      <c r="AW3804" s="15"/>
    </row>
    <row r="3805" spans="3:49" x14ac:dyDescent="0.2">
      <c r="C3805" s="15"/>
      <c r="D3805" s="15"/>
      <c r="E3805" s="15"/>
      <c r="F3805" s="15"/>
      <c r="G3805" s="15"/>
      <c r="H3805" s="15"/>
      <c r="I3805" s="15"/>
      <c r="J3805" s="15"/>
      <c r="K3805" s="15"/>
      <c r="L3805" s="28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  <c r="AA3805" s="15"/>
      <c r="AB3805" s="15"/>
      <c r="AC3805" s="15"/>
      <c r="AD3805" s="15"/>
      <c r="AE3805" s="15"/>
      <c r="AF3805" s="15"/>
      <c r="AG3805" s="15"/>
      <c r="AH3805" s="15"/>
      <c r="AI3805" s="15"/>
      <c r="AJ3805" s="15"/>
      <c r="AK3805" s="15"/>
      <c r="AL3805" s="15"/>
      <c r="AM3805" s="15"/>
      <c r="AN3805" s="15"/>
      <c r="AO3805" s="15"/>
      <c r="AP3805" s="15"/>
      <c r="AQ3805" s="15"/>
      <c r="AR3805" s="15"/>
      <c r="AS3805" s="15"/>
      <c r="AT3805" s="15"/>
      <c r="AU3805" s="15"/>
      <c r="AV3805" s="15"/>
      <c r="AW3805" s="15"/>
    </row>
    <row r="3806" spans="3:49" x14ac:dyDescent="0.2">
      <c r="C3806" s="15"/>
      <c r="D3806" s="15"/>
      <c r="E3806" s="15"/>
      <c r="F3806" s="15"/>
      <c r="G3806" s="15"/>
      <c r="H3806" s="15"/>
      <c r="I3806" s="15"/>
      <c r="J3806" s="15"/>
      <c r="K3806" s="15"/>
      <c r="L3806" s="28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  <c r="AA3806" s="15"/>
      <c r="AB3806" s="15"/>
      <c r="AC3806" s="15"/>
      <c r="AD3806" s="15"/>
      <c r="AE3806" s="15"/>
      <c r="AF3806" s="15"/>
      <c r="AG3806" s="15"/>
      <c r="AH3806" s="15"/>
      <c r="AI3806" s="15"/>
      <c r="AJ3806" s="15"/>
      <c r="AK3806" s="15"/>
      <c r="AL3806" s="15"/>
      <c r="AM3806" s="15"/>
      <c r="AN3806" s="15"/>
      <c r="AO3806" s="15"/>
      <c r="AP3806" s="15"/>
      <c r="AQ3806" s="15"/>
      <c r="AR3806" s="15"/>
      <c r="AS3806" s="15"/>
      <c r="AT3806" s="15"/>
      <c r="AU3806" s="15"/>
      <c r="AV3806" s="15"/>
      <c r="AW3806" s="15"/>
    </row>
    <row r="3807" spans="3:49" x14ac:dyDescent="0.2">
      <c r="C3807" s="15"/>
      <c r="D3807" s="15"/>
      <c r="E3807" s="15"/>
      <c r="F3807" s="15"/>
      <c r="G3807" s="15"/>
      <c r="H3807" s="15"/>
      <c r="I3807" s="15"/>
      <c r="J3807" s="15"/>
      <c r="K3807" s="15"/>
      <c r="L3807" s="28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  <c r="AA3807" s="15"/>
      <c r="AB3807" s="15"/>
      <c r="AC3807" s="15"/>
      <c r="AD3807" s="15"/>
      <c r="AE3807" s="15"/>
      <c r="AF3807" s="15"/>
      <c r="AG3807" s="15"/>
      <c r="AH3807" s="15"/>
      <c r="AI3807" s="15"/>
      <c r="AJ3807" s="15"/>
      <c r="AK3807" s="15"/>
      <c r="AL3807" s="15"/>
      <c r="AM3807" s="15"/>
      <c r="AN3807" s="15"/>
      <c r="AO3807" s="15"/>
      <c r="AP3807" s="15"/>
      <c r="AQ3807" s="15"/>
      <c r="AR3807" s="15"/>
      <c r="AS3807" s="15"/>
      <c r="AT3807" s="15"/>
      <c r="AU3807" s="15"/>
      <c r="AV3807" s="15"/>
      <c r="AW3807" s="15"/>
    </row>
    <row r="3808" spans="3:49" x14ac:dyDescent="0.2">
      <c r="C3808" s="15"/>
      <c r="D3808" s="15"/>
      <c r="E3808" s="15"/>
      <c r="F3808" s="15"/>
      <c r="G3808" s="15"/>
      <c r="H3808" s="15"/>
      <c r="I3808" s="15"/>
      <c r="J3808" s="15"/>
      <c r="K3808" s="15"/>
      <c r="L3808" s="28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  <c r="AA3808" s="15"/>
      <c r="AB3808" s="15"/>
      <c r="AC3808" s="15"/>
      <c r="AD3808" s="15"/>
      <c r="AE3808" s="15"/>
      <c r="AF3808" s="15"/>
      <c r="AG3808" s="15"/>
      <c r="AH3808" s="15"/>
      <c r="AI3808" s="15"/>
      <c r="AJ3808" s="15"/>
      <c r="AK3808" s="15"/>
      <c r="AL3808" s="15"/>
      <c r="AM3808" s="15"/>
      <c r="AN3808" s="15"/>
      <c r="AO3808" s="15"/>
      <c r="AP3808" s="15"/>
      <c r="AQ3808" s="15"/>
      <c r="AR3808" s="15"/>
      <c r="AS3808" s="15"/>
      <c r="AT3808" s="15"/>
      <c r="AU3808" s="15"/>
      <c r="AV3808" s="15"/>
      <c r="AW3808" s="15"/>
    </row>
    <row r="3809" spans="3:49" x14ac:dyDescent="0.2">
      <c r="C3809" s="15"/>
      <c r="D3809" s="15"/>
      <c r="E3809" s="15"/>
      <c r="F3809" s="15"/>
      <c r="G3809" s="15"/>
      <c r="H3809" s="15"/>
      <c r="I3809" s="15"/>
      <c r="J3809" s="15"/>
      <c r="K3809" s="15"/>
      <c r="L3809" s="28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  <c r="AA3809" s="15"/>
      <c r="AB3809" s="15"/>
      <c r="AC3809" s="15"/>
      <c r="AD3809" s="15"/>
      <c r="AE3809" s="15"/>
      <c r="AF3809" s="15"/>
      <c r="AG3809" s="15"/>
      <c r="AH3809" s="15"/>
      <c r="AI3809" s="15"/>
      <c r="AJ3809" s="15"/>
      <c r="AK3809" s="15"/>
      <c r="AL3809" s="15"/>
      <c r="AM3809" s="15"/>
      <c r="AN3809" s="15"/>
      <c r="AO3809" s="15"/>
      <c r="AP3809" s="15"/>
      <c r="AQ3809" s="15"/>
      <c r="AR3809" s="15"/>
      <c r="AS3809" s="15"/>
      <c r="AT3809" s="15"/>
      <c r="AU3809" s="15"/>
      <c r="AV3809" s="15"/>
      <c r="AW3809" s="15"/>
    </row>
    <row r="3810" spans="3:49" x14ac:dyDescent="0.2">
      <c r="C3810" s="15"/>
      <c r="D3810" s="15"/>
      <c r="E3810" s="15"/>
      <c r="F3810" s="15"/>
      <c r="G3810" s="15"/>
      <c r="H3810" s="15"/>
      <c r="I3810" s="15"/>
      <c r="J3810" s="15"/>
      <c r="K3810" s="15"/>
      <c r="L3810" s="28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  <c r="AA3810" s="15"/>
      <c r="AB3810" s="15"/>
      <c r="AC3810" s="15"/>
      <c r="AD3810" s="15"/>
      <c r="AE3810" s="15"/>
      <c r="AF3810" s="15"/>
      <c r="AG3810" s="15"/>
      <c r="AH3810" s="15"/>
      <c r="AI3810" s="15"/>
      <c r="AJ3810" s="15"/>
      <c r="AK3810" s="15"/>
      <c r="AL3810" s="15"/>
      <c r="AM3810" s="15"/>
      <c r="AN3810" s="15"/>
      <c r="AO3810" s="15"/>
      <c r="AP3810" s="15"/>
      <c r="AQ3810" s="15"/>
      <c r="AR3810" s="15"/>
      <c r="AS3810" s="15"/>
      <c r="AT3810" s="15"/>
      <c r="AU3810" s="15"/>
      <c r="AV3810" s="15"/>
      <c r="AW3810" s="15"/>
    </row>
    <row r="3811" spans="3:49" x14ac:dyDescent="0.2">
      <c r="C3811" s="15"/>
      <c r="D3811" s="15"/>
      <c r="E3811" s="15"/>
      <c r="F3811" s="15"/>
      <c r="G3811" s="15"/>
      <c r="H3811" s="15"/>
      <c r="I3811" s="15"/>
      <c r="J3811" s="15"/>
      <c r="K3811" s="15"/>
      <c r="L3811" s="28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  <c r="AA3811" s="15"/>
      <c r="AB3811" s="15"/>
      <c r="AC3811" s="15"/>
      <c r="AD3811" s="15"/>
      <c r="AE3811" s="15"/>
      <c r="AF3811" s="15"/>
      <c r="AG3811" s="15"/>
      <c r="AH3811" s="15"/>
      <c r="AI3811" s="15"/>
      <c r="AJ3811" s="15"/>
      <c r="AK3811" s="15"/>
      <c r="AL3811" s="15"/>
      <c r="AM3811" s="15"/>
      <c r="AN3811" s="15"/>
      <c r="AO3811" s="15"/>
      <c r="AP3811" s="15"/>
      <c r="AQ3811" s="15"/>
      <c r="AR3811" s="15"/>
      <c r="AS3811" s="15"/>
      <c r="AT3811" s="15"/>
      <c r="AU3811" s="15"/>
      <c r="AV3811" s="15"/>
      <c r="AW3811" s="15"/>
    </row>
    <row r="3812" spans="3:49" x14ac:dyDescent="0.2">
      <c r="C3812" s="15"/>
      <c r="D3812" s="15"/>
      <c r="E3812" s="15"/>
      <c r="F3812" s="15"/>
      <c r="G3812" s="15"/>
      <c r="H3812" s="15"/>
      <c r="I3812" s="15"/>
      <c r="J3812" s="15"/>
      <c r="K3812" s="15"/>
      <c r="L3812" s="28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  <c r="AA3812" s="15"/>
      <c r="AB3812" s="15"/>
      <c r="AC3812" s="15"/>
      <c r="AD3812" s="15"/>
      <c r="AE3812" s="15"/>
      <c r="AF3812" s="15"/>
      <c r="AG3812" s="15"/>
      <c r="AH3812" s="15"/>
      <c r="AI3812" s="15"/>
      <c r="AJ3812" s="15"/>
      <c r="AK3812" s="15"/>
      <c r="AL3812" s="15"/>
      <c r="AM3812" s="15"/>
      <c r="AN3812" s="15"/>
      <c r="AO3812" s="15"/>
      <c r="AP3812" s="15"/>
      <c r="AQ3812" s="15"/>
      <c r="AR3812" s="15"/>
      <c r="AS3812" s="15"/>
      <c r="AT3812" s="15"/>
      <c r="AU3812" s="15"/>
      <c r="AV3812" s="15"/>
      <c r="AW3812" s="15"/>
    </row>
    <row r="3813" spans="3:49" x14ac:dyDescent="0.2">
      <c r="C3813" s="15"/>
      <c r="D3813" s="15"/>
      <c r="E3813" s="15"/>
      <c r="F3813" s="15"/>
      <c r="G3813" s="15"/>
      <c r="H3813" s="15"/>
      <c r="I3813" s="15"/>
      <c r="J3813" s="15"/>
      <c r="K3813" s="15"/>
      <c r="L3813" s="28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  <c r="AA3813" s="15"/>
      <c r="AB3813" s="15"/>
      <c r="AC3813" s="15"/>
      <c r="AD3813" s="15"/>
      <c r="AE3813" s="15"/>
      <c r="AF3813" s="15"/>
      <c r="AG3813" s="15"/>
      <c r="AH3813" s="15"/>
      <c r="AI3813" s="15"/>
      <c r="AJ3813" s="15"/>
      <c r="AK3813" s="15"/>
      <c r="AL3813" s="15"/>
      <c r="AM3813" s="15"/>
      <c r="AN3813" s="15"/>
      <c r="AO3813" s="15"/>
      <c r="AP3813" s="15"/>
      <c r="AQ3813" s="15"/>
      <c r="AR3813" s="15"/>
      <c r="AS3813" s="15"/>
      <c r="AT3813" s="15"/>
      <c r="AU3813" s="15"/>
      <c r="AV3813" s="15"/>
      <c r="AW3813" s="15"/>
    </row>
    <row r="3814" spans="3:49" x14ac:dyDescent="0.2">
      <c r="C3814" s="15"/>
      <c r="D3814" s="15"/>
      <c r="E3814" s="15"/>
      <c r="F3814" s="15"/>
      <c r="G3814" s="15"/>
      <c r="H3814" s="15"/>
      <c r="I3814" s="15"/>
      <c r="J3814" s="15"/>
      <c r="K3814" s="15"/>
      <c r="L3814" s="28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  <c r="AA3814" s="15"/>
      <c r="AB3814" s="15"/>
      <c r="AC3814" s="15"/>
      <c r="AD3814" s="15"/>
      <c r="AE3814" s="15"/>
      <c r="AF3814" s="15"/>
      <c r="AG3814" s="15"/>
      <c r="AH3814" s="15"/>
      <c r="AI3814" s="15"/>
      <c r="AJ3814" s="15"/>
      <c r="AK3814" s="15"/>
      <c r="AL3814" s="15"/>
      <c r="AM3814" s="15"/>
      <c r="AN3814" s="15"/>
      <c r="AO3814" s="15"/>
      <c r="AP3814" s="15"/>
      <c r="AQ3814" s="15"/>
      <c r="AR3814" s="15"/>
      <c r="AS3814" s="15"/>
      <c r="AT3814" s="15"/>
      <c r="AU3814" s="15"/>
      <c r="AV3814" s="15"/>
      <c r="AW3814" s="15"/>
    </row>
    <row r="3815" spans="3:49" x14ac:dyDescent="0.2">
      <c r="C3815" s="15"/>
      <c r="D3815" s="15"/>
      <c r="E3815" s="15"/>
      <c r="F3815" s="15"/>
      <c r="G3815" s="15"/>
      <c r="H3815" s="15"/>
      <c r="I3815" s="15"/>
      <c r="J3815" s="15"/>
      <c r="K3815" s="15"/>
      <c r="L3815" s="28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  <c r="AA3815" s="15"/>
      <c r="AB3815" s="15"/>
      <c r="AC3815" s="15"/>
      <c r="AD3815" s="15"/>
      <c r="AE3815" s="15"/>
      <c r="AF3815" s="15"/>
      <c r="AG3815" s="15"/>
      <c r="AH3815" s="15"/>
      <c r="AI3815" s="15"/>
      <c r="AJ3815" s="15"/>
      <c r="AK3815" s="15"/>
      <c r="AL3815" s="15"/>
      <c r="AM3815" s="15"/>
      <c r="AN3815" s="15"/>
      <c r="AO3815" s="15"/>
      <c r="AP3815" s="15"/>
      <c r="AQ3815" s="15"/>
      <c r="AR3815" s="15"/>
      <c r="AS3815" s="15"/>
      <c r="AT3815" s="15"/>
      <c r="AU3815" s="15"/>
      <c r="AV3815" s="15"/>
      <c r="AW3815" s="15"/>
    </row>
    <row r="3816" spans="3:49" x14ac:dyDescent="0.2">
      <c r="C3816" s="15"/>
      <c r="D3816" s="15"/>
      <c r="E3816" s="15"/>
      <c r="F3816" s="15"/>
      <c r="G3816" s="15"/>
      <c r="H3816" s="15"/>
      <c r="I3816" s="15"/>
      <c r="J3816" s="15"/>
      <c r="K3816" s="15"/>
      <c r="L3816" s="28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  <c r="AA3816" s="15"/>
      <c r="AB3816" s="15"/>
      <c r="AC3816" s="15"/>
      <c r="AD3816" s="15"/>
      <c r="AE3816" s="15"/>
      <c r="AF3816" s="15"/>
      <c r="AG3816" s="15"/>
      <c r="AH3816" s="15"/>
      <c r="AI3816" s="15"/>
      <c r="AJ3816" s="15"/>
      <c r="AK3816" s="15"/>
      <c r="AL3816" s="15"/>
      <c r="AM3816" s="15"/>
      <c r="AN3816" s="15"/>
      <c r="AO3816" s="15"/>
      <c r="AP3816" s="15"/>
      <c r="AQ3816" s="15"/>
      <c r="AR3816" s="15"/>
      <c r="AS3816" s="15"/>
      <c r="AT3816" s="15"/>
      <c r="AU3816" s="15"/>
      <c r="AV3816" s="15"/>
      <c r="AW3816" s="15"/>
    </row>
    <row r="3817" spans="3:49" x14ac:dyDescent="0.2">
      <c r="C3817" s="15"/>
      <c r="D3817" s="15"/>
      <c r="E3817" s="15"/>
      <c r="F3817" s="15"/>
      <c r="G3817" s="15"/>
      <c r="H3817" s="15"/>
      <c r="I3817" s="15"/>
      <c r="J3817" s="15"/>
      <c r="K3817" s="15"/>
      <c r="L3817" s="28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  <c r="AA3817" s="15"/>
      <c r="AB3817" s="15"/>
      <c r="AC3817" s="15"/>
      <c r="AD3817" s="15"/>
      <c r="AE3817" s="15"/>
      <c r="AF3817" s="15"/>
      <c r="AG3817" s="15"/>
      <c r="AH3817" s="15"/>
      <c r="AI3817" s="15"/>
      <c r="AJ3817" s="15"/>
      <c r="AK3817" s="15"/>
      <c r="AL3817" s="15"/>
      <c r="AM3817" s="15"/>
      <c r="AN3817" s="15"/>
      <c r="AO3817" s="15"/>
      <c r="AP3817" s="15"/>
      <c r="AQ3817" s="15"/>
      <c r="AR3817" s="15"/>
      <c r="AS3817" s="15"/>
      <c r="AT3817" s="15"/>
      <c r="AU3817" s="15"/>
      <c r="AV3817" s="15"/>
      <c r="AW3817" s="15"/>
    </row>
    <row r="3818" spans="3:49" x14ac:dyDescent="0.2">
      <c r="C3818" s="15"/>
      <c r="D3818" s="15"/>
      <c r="E3818" s="15"/>
      <c r="F3818" s="15"/>
      <c r="G3818" s="15"/>
      <c r="H3818" s="15"/>
      <c r="I3818" s="15"/>
      <c r="J3818" s="15"/>
      <c r="K3818" s="15"/>
      <c r="L3818" s="28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  <c r="AA3818" s="15"/>
      <c r="AB3818" s="15"/>
      <c r="AC3818" s="15"/>
      <c r="AD3818" s="15"/>
      <c r="AE3818" s="15"/>
      <c r="AF3818" s="15"/>
      <c r="AG3818" s="15"/>
      <c r="AH3818" s="15"/>
      <c r="AI3818" s="15"/>
      <c r="AJ3818" s="15"/>
      <c r="AK3818" s="15"/>
      <c r="AL3818" s="15"/>
      <c r="AM3818" s="15"/>
      <c r="AN3818" s="15"/>
      <c r="AO3818" s="15"/>
      <c r="AP3818" s="15"/>
      <c r="AQ3818" s="15"/>
      <c r="AR3818" s="15"/>
      <c r="AS3818" s="15"/>
      <c r="AT3818" s="15"/>
      <c r="AU3818" s="15"/>
      <c r="AV3818" s="15"/>
      <c r="AW3818" s="15"/>
    </row>
    <row r="3819" spans="3:49" x14ac:dyDescent="0.2">
      <c r="C3819" s="15"/>
      <c r="D3819" s="15"/>
      <c r="E3819" s="15"/>
      <c r="F3819" s="15"/>
      <c r="G3819" s="15"/>
      <c r="H3819" s="15"/>
      <c r="I3819" s="15"/>
      <c r="J3819" s="15"/>
      <c r="K3819" s="15"/>
      <c r="L3819" s="28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  <c r="AA3819" s="15"/>
      <c r="AB3819" s="15"/>
      <c r="AC3819" s="15"/>
      <c r="AD3819" s="15"/>
      <c r="AE3819" s="15"/>
      <c r="AF3819" s="15"/>
      <c r="AG3819" s="15"/>
      <c r="AH3819" s="15"/>
      <c r="AI3819" s="15"/>
      <c r="AJ3819" s="15"/>
      <c r="AK3819" s="15"/>
      <c r="AL3819" s="15"/>
      <c r="AM3819" s="15"/>
      <c r="AN3819" s="15"/>
      <c r="AO3819" s="15"/>
      <c r="AP3819" s="15"/>
      <c r="AQ3819" s="15"/>
      <c r="AR3819" s="15"/>
      <c r="AS3819" s="15"/>
      <c r="AT3819" s="15"/>
      <c r="AU3819" s="15"/>
      <c r="AV3819" s="15"/>
      <c r="AW3819" s="15"/>
    </row>
    <row r="3820" spans="3:49" x14ac:dyDescent="0.2">
      <c r="C3820" s="15"/>
      <c r="D3820" s="15"/>
      <c r="E3820" s="15"/>
      <c r="F3820" s="15"/>
      <c r="G3820" s="15"/>
      <c r="H3820" s="15"/>
      <c r="I3820" s="15"/>
      <c r="J3820" s="15"/>
      <c r="K3820" s="15"/>
      <c r="L3820" s="28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  <c r="AA3820" s="15"/>
      <c r="AB3820" s="15"/>
      <c r="AC3820" s="15"/>
      <c r="AD3820" s="15"/>
      <c r="AE3820" s="15"/>
      <c r="AF3820" s="15"/>
      <c r="AG3820" s="15"/>
      <c r="AH3820" s="15"/>
      <c r="AI3820" s="15"/>
      <c r="AJ3820" s="15"/>
      <c r="AK3820" s="15"/>
      <c r="AL3820" s="15"/>
      <c r="AM3820" s="15"/>
      <c r="AN3820" s="15"/>
      <c r="AO3820" s="15"/>
      <c r="AP3820" s="15"/>
      <c r="AQ3820" s="15"/>
      <c r="AR3820" s="15"/>
      <c r="AS3820" s="15"/>
      <c r="AT3820" s="15"/>
      <c r="AU3820" s="15"/>
      <c r="AV3820" s="15"/>
      <c r="AW3820" s="15"/>
    </row>
    <row r="3821" spans="3:49" x14ac:dyDescent="0.2">
      <c r="C3821" s="15"/>
      <c r="D3821" s="15"/>
      <c r="E3821" s="15"/>
      <c r="F3821" s="15"/>
      <c r="G3821" s="15"/>
      <c r="H3821" s="15"/>
      <c r="I3821" s="15"/>
      <c r="J3821" s="15"/>
      <c r="K3821" s="15"/>
      <c r="L3821" s="28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  <c r="AA3821" s="15"/>
      <c r="AB3821" s="15"/>
      <c r="AC3821" s="15"/>
      <c r="AD3821" s="15"/>
      <c r="AE3821" s="15"/>
      <c r="AF3821" s="15"/>
      <c r="AG3821" s="15"/>
      <c r="AH3821" s="15"/>
      <c r="AI3821" s="15"/>
      <c r="AJ3821" s="15"/>
      <c r="AK3821" s="15"/>
      <c r="AL3821" s="15"/>
      <c r="AM3821" s="15"/>
      <c r="AN3821" s="15"/>
      <c r="AO3821" s="15"/>
      <c r="AP3821" s="15"/>
      <c r="AQ3821" s="15"/>
      <c r="AR3821" s="15"/>
      <c r="AS3821" s="15"/>
      <c r="AT3821" s="15"/>
      <c r="AU3821" s="15"/>
      <c r="AV3821" s="15"/>
      <c r="AW3821" s="15"/>
    </row>
    <row r="3822" spans="3:49" x14ac:dyDescent="0.2">
      <c r="C3822" s="15"/>
      <c r="D3822" s="15"/>
      <c r="E3822" s="15"/>
      <c r="F3822" s="15"/>
      <c r="G3822" s="15"/>
      <c r="H3822" s="15"/>
      <c r="I3822" s="15"/>
      <c r="J3822" s="15"/>
      <c r="K3822" s="15"/>
      <c r="L3822" s="28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  <c r="AA3822" s="15"/>
      <c r="AB3822" s="15"/>
      <c r="AC3822" s="15"/>
      <c r="AD3822" s="15"/>
      <c r="AE3822" s="15"/>
      <c r="AF3822" s="15"/>
      <c r="AG3822" s="15"/>
      <c r="AH3822" s="15"/>
      <c r="AI3822" s="15"/>
      <c r="AJ3822" s="15"/>
      <c r="AK3822" s="15"/>
      <c r="AL3822" s="15"/>
      <c r="AM3822" s="15"/>
      <c r="AN3822" s="15"/>
      <c r="AO3822" s="15"/>
      <c r="AP3822" s="15"/>
      <c r="AQ3822" s="15"/>
      <c r="AR3822" s="15"/>
      <c r="AS3822" s="15"/>
      <c r="AT3822" s="15"/>
      <c r="AU3822" s="15"/>
      <c r="AV3822" s="15"/>
      <c r="AW3822" s="15"/>
    </row>
    <row r="3823" spans="3:49" x14ac:dyDescent="0.2">
      <c r="C3823" s="15"/>
      <c r="D3823" s="15"/>
      <c r="E3823" s="15"/>
      <c r="F3823" s="15"/>
      <c r="G3823" s="15"/>
      <c r="H3823" s="15"/>
      <c r="I3823" s="15"/>
      <c r="J3823" s="15"/>
      <c r="K3823" s="15"/>
      <c r="L3823" s="28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  <c r="AA3823" s="15"/>
      <c r="AB3823" s="15"/>
      <c r="AC3823" s="15"/>
      <c r="AD3823" s="15"/>
      <c r="AE3823" s="15"/>
      <c r="AF3823" s="15"/>
      <c r="AG3823" s="15"/>
      <c r="AH3823" s="15"/>
      <c r="AI3823" s="15"/>
      <c r="AJ3823" s="15"/>
      <c r="AK3823" s="15"/>
      <c r="AL3823" s="15"/>
      <c r="AM3823" s="15"/>
      <c r="AN3823" s="15"/>
      <c r="AO3823" s="15"/>
      <c r="AP3823" s="15"/>
      <c r="AQ3823" s="15"/>
      <c r="AR3823" s="15"/>
      <c r="AS3823" s="15"/>
      <c r="AT3823" s="15"/>
      <c r="AU3823" s="15"/>
      <c r="AV3823" s="15"/>
      <c r="AW3823" s="15"/>
    </row>
    <row r="3824" spans="3:49" x14ac:dyDescent="0.2">
      <c r="C3824" s="15"/>
      <c r="D3824" s="15"/>
      <c r="E3824" s="15"/>
      <c r="F3824" s="15"/>
      <c r="G3824" s="15"/>
      <c r="H3824" s="15"/>
      <c r="I3824" s="15"/>
      <c r="J3824" s="15"/>
      <c r="K3824" s="15"/>
      <c r="L3824" s="28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  <c r="AA3824" s="15"/>
      <c r="AB3824" s="15"/>
      <c r="AC3824" s="15"/>
      <c r="AD3824" s="15"/>
      <c r="AE3824" s="15"/>
      <c r="AF3824" s="15"/>
      <c r="AG3824" s="15"/>
      <c r="AH3824" s="15"/>
      <c r="AI3824" s="15"/>
      <c r="AJ3824" s="15"/>
      <c r="AK3824" s="15"/>
      <c r="AL3824" s="15"/>
      <c r="AM3824" s="15"/>
      <c r="AN3824" s="15"/>
      <c r="AO3824" s="15"/>
      <c r="AP3824" s="15"/>
      <c r="AQ3824" s="15"/>
      <c r="AR3824" s="15"/>
      <c r="AS3824" s="15"/>
      <c r="AT3824" s="15"/>
      <c r="AU3824" s="15"/>
      <c r="AV3824" s="15"/>
      <c r="AW3824" s="15"/>
    </row>
    <row r="3825" spans="3:49" x14ac:dyDescent="0.2">
      <c r="C3825" s="15"/>
      <c r="D3825" s="15"/>
      <c r="E3825" s="15"/>
      <c r="F3825" s="15"/>
      <c r="G3825" s="15"/>
      <c r="H3825" s="15"/>
      <c r="I3825" s="15"/>
      <c r="J3825" s="15"/>
      <c r="K3825" s="15"/>
      <c r="L3825" s="28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  <c r="AA3825" s="15"/>
      <c r="AB3825" s="15"/>
      <c r="AC3825" s="15"/>
      <c r="AD3825" s="15"/>
      <c r="AE3825" s="15"/>
      <c r="AF3825" s="15"/>
      <c r="AG3825" s="15"/>
      <c r="AH3825" s="15"/>
      <c r="AI3825" s="15"/>
      <c r="AJ3825" s="15"/>
      <c r="AK3825" s="15"/>
      <c r="AL3825" s="15"/>
      <c r="AM3825" s="15"/>
      <c r="AN3825" s="15"/>
      <c r="AO3825" s="15"/>
      <c r="AP3825" s="15"/>
      <c r="AQ3825" s="15"/>
      <c r="AR3825" s="15"/>
      <c r="AS3825" s="15"/>
      <c r="AT3825" s="15"/>
      <c r="AU3825" s="15"/>
      <c r="AV3825" s="15"/>
      <c r="AW3825" s="15"/>
    </row>
    <row r="3826" spans="3:49" x14ac:dyDescent="0.2">
      <c r="C3826" s="15"/>
      <c r="D3826" s="15"/>
      <c r="E3826" s="15"/>
      <c r="F3826" s="15"/>
      <c r="G3826" s="15"/>
      <c r="H3826" s="15"/>
      <c r="I3826" s="15"/>
      <c r="J3826" s="15"/>
      <c r="K3826" s="15"/>
      <c r="L3826" s="28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  <c r="AA3826" s="15"/>
      <c r="AB3826" s="15"/>
      <c r="AC3826" s="15"/>
      <c r="AD3826" s="15"/>
      <c r="AE3826" s="15"/>
      <c r="AF3826" s="15"/>
      <c r="AG3826" s="15"/>
      <c r="AH3826" s="15"/>
      <c r="AI3826" s="15"/>
      <c r="AJ3826" s="15"/>
      <c r="AK3826" s="15"/>
      <c r="AL3826" s="15"/>
      <c r="AM3826" s="15"/>
      <c r="AN3826" s="15"/>
      <c r="AO3826" s="15"/>
      <c r="AP3826" s="15"/>
      <c r="AQ3826" s="15"/>
      <c r="AR3826" s="15"/>
      <c r="AS3826" s="15"/>
      <c r="AT3826" s="15"/>
      <c r="AU3826" s="15"/>
      <c r="AV3826" s="15"/>
      <c r="AW3826" s="15"/>
    </row>
    <row r="3827" spans="3:49" x14ac:dyDescent="0.2">
      <c r="C3827" s="15"/>
      <c r="D3827" s="15"/>
      <c r="E3827" s="15"/>
      <c r="F3827" s="15"/>
      <c r="G3827" s="15"/>
      <c r="H3827" s="15"/>
      <c r="I3827" s="15"/>
      <c r="J3827" s="15"/>
      <c r="K3827" s="15"/>
      <c r="L3827" s="28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  <c r="AA3827" s="15"/>
      <c r="AB3827" s="15"/>
      <c r="AC3827" s="15"/>
      <c r="AD3827" s="15"/>
      <c r="AE3827" s="15"/>
      <c r="AF3827" s="15"/>
      <c r="AG3827" s="15"/>
      <c r="AH3827" s="15"/>
      <c r="AI3827" s="15"/>
      <c r="AJ3827" s="15"/>
      <c r="AK3827" s="15"/>
      <c r="AL3827" s="15"/>
      <c r="AM3827" s="15"/>
      <c r="AN3827" s="15"/>
      <c r="AO3827" s="15"/>
      <c r="AP3827" s="15"/>
      <c r="AQ3827" s="15"/>
      <c r="AR3827" s="15"/>
      <c r="AS3827" s="15"/>
      <c r="AT3827" s="15"/>
      <c r="AU3827" s="15"/>
      <c r="AV3827" s="15"/>
      <c r="AW3827" s="15"/>
    </row>
    <row r="3828" spans="3:49" x14ac:dyDescent="0.2">
      <c r="C3828" s="15"/>
      <c r="D3828" s="15"/>
      <c r="E3828" s="15"/>
      <c r="F3828" s="15"/>
      <c r="G3828" s="15"/>
      <c r="H3828" s="15"/>
      <c r="I3828" s="15"/>
      <c r="J3828" s="15"/>
      <c r="K3828" s="15"/>
      <c r="L3828" s="28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  <c r="AA3828" s="15"/>
      <c r="AB3828" s="15"/>
      <c r="AC3828" s="15"/>
      <c r="AD3828" s="15"/>
      <c r="AE3828" s="15"/>
      <c r="AF3828" s="15"/>
      <c r="AG3828" s="15"/>
      <c r="AH3828" s="15"/>
      <c r="AI3828" s="15"/>
      <c r="AJ3828" s="15"/>
      <c r="AK3828" s="15"/>
      <c r="AL3828" s="15"/>
      <c r="AM3828" s="15"/>
      <c r="AN3828" s="15"/>
      <c r="AO3828" s="15"/>
      <c r="AP3828" s="15"/>
      <c r="AQ3828" s="15"/>
      <c r="AR3828" s="15"/>
      <c r="AS3828" s="15"/>
      <c r="AT3828" s="15"/>
      <c r="AU3828" s="15"/>
      <c r="AV3828" s="15"/>
      <c r="AW3828" s="15"/>
    </row>
    <row r="3829" spans="3:49" x14ac:dyDescent="0.2">
      <c r="C3829" s="15"/>
      <c r="D3829" s="15"/>
      <c r="E3829" s="15"/>
      <c r="F3829" s="15"/>
      <c r="G3829" s="15"/>
      <c r="H3829" s="15"/>
      <c r="I3829" s="15"/>
      <c r="J3829" s="15"/>
      <c r="K3829" s="15"/>
      <c r="L3829" s="28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  <c r="AA3829" s="15"/>
      <c r="AB3829" s="15"/>
      <c r="AC3829" s="15"/>
      <c r="AD3829" s="15"/>
      <c r="AE3829" s="15"/>
      <c r="AF3829" s="15"/>
      <c r="AG3829" s="15"/>
      <c r="AH3829" s="15"/>
      <c r="AI3829" s="15"/>
      <c r="AJ3829" s="15"/>
      <c r="AK3829" s="15"/>
      <c r="AL3829" s="15"/>
      <c r="AM3829" s="15"/>
      <c r="AN3829" s="15"/>
      <c r="AO3829" s="15"/>
      <c r="AP3829" s="15"/>
      <c r="AQ3829" s="15"/>
      <c r="AR3829" s="15"/>
      <c r="AS3829" s="15"/>
      <c r="AT3829" s="15"/>
      <c r="AU3829" s="15"/>
      <c r="AV3829" s="15"/>
      <c r="AW3829" s="15"/>
    </row>
    <row r="3830" spans="3:49" x14ac:dyDescent="0.2">
      <c r="C3830" s="15"/>
      <c r="D3830" s="15"/>
      <c r="E3830" s="15"/>
      <c r="F3830" s="15"/>
      <c r="G3830" s="15"/>
      <c r="H3830" s="15"/>
      <c r="I3830" s="15"/>
      <c r="J3830" s="15"/>
      <c r="K3830" s="15"/>
      <c r="L3830" s="28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  <c r="AA3830" s="15"/>
      <c r="AB3830" s="15"/>
      <c r="AC3830" s="15"/>
      <c r="AD3830" s="15"/>
      <c r="AE3830" s="15"/>
      <c r="AF3830" s="15"/>
      <c r="AG3830" s="15"/>
      <c r="AH3830" s="15"/>
      <c r="AI3830" s="15"/>
      <c r="AJ3830" s="15"/>
      <c r="AK3830" s="15"/>
      <c r="AL3830" s="15"/>
      <c r="AM3830" s="15"/>
      <c r="AN3830" s="15"/>
      <c r="AO3830" s="15"/>
      <c r="AP3830" s="15"/>
      <c r="AQ3830" s="15"/>
      <c r="AR3830" s="15"/>
      <c r="AS3830" s="15"/>
      <c r="AT3830" s="15"/>
      <c r="AU3830" s="15"/>
      <c r="AV3830" s="15"/>
      <c r="AW3830" s="15"/>
    </row>
    <row r="3831" spans="3:49" x14ac:dyDescent="0.2">
      <c r="C3831" s="15"/>
      <c r="D3831" s="15"/>
      <c r="E3831" s="15"/>
      <c r="F3831" s="15"/>
      <c r="G3831" s="15"/>
      <c r="H3831" s="15"/>
      <c r="I3831" s="15"/>
      <c r="J3831" s="15"/>
      <c r="K3831" s="15"/>
      <c r="L3831" s="28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  <c r="AA3831" s="15"/>
      <c r="AB3831" s="15"/>
      <c r="AC3831" s="15"/>
      <c r="AD3831" s="15"/>
      <c r="AE3831" s="15"/>
      <c r="AF3831" s="15"/>
      <c r="AG3831" s="15"/>
      <c r="AH3831" s="15"/>
      <c r="AI3831" s="15"/>
      <c r="AJ3831" s="15"/>
      <c r="AK3831" s="15"/>
      <c r="AL3831" s="15"/>
      <c r="AM3831" s="15"/>
      <c r="AN3831" s="15"/>
      <c r="AO3831" s="15"/>
      <c r="AP3831" s="15"/>
      <c r="AQ3831" s="15"/>
      <c r="AR3831" s="15"/>
      <c r="AS3831" s="15"/>
      <c r="AT3831" s="15"/>
      <c r="AU3831" s="15"/>
      <c r="AV3831" s="15"/>
      <c r="AW3831" s="15"/>
    </row>
    <row r="3832" spans="3:49" x14ac:dyDescent="0.2">
      <c r="C3832" s="15"/>
      <c r="D3832" s="15"/>
      <c r="E3832" s="15"/>
      <c r="F3832" s="15"/>
      <c r="G3832" s="15"/>
      <c r="H3832" s="15"/>
      <c r="I3832" s="15"/>
      <c r="J3832" s="15"/>
      <c r="K3832" s="15"/>
      <c r="L3832" s="28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  <c r="AA3832" s="15"/>
      <c r="AB3832" s="15"/>
      <c r="AC3832" s="15"/>
      <c r="AD3832" s="15"/>
      <c r="AE3832" s="15"/>
      <c r="AF3832" s="15"/>
      <c r="AG3832" s="15"/>
      <c r="AH3832" s="15"/>
      <c r="AI3832" s="15"/>
      <c r="AJ3832" s="15"/>
      <c r="AK3832" s="15"/>
      <c r="AL3832" s="15"/>
      <c r="AM3832" s="15"/>
      <c r="AN3832" s="15"/>
      <c r="AO3832" s="15"/>
      <c r="AP3832" s="15"/>
      <c r="AQ3832" s="15"/>
      <c r="AR3832" s="15"/>
      <c r="AS3832" s="15"/>
      <c r="AT3832" s="15"/>
      <c r="AU3832" s="15"/>
      <c r="AV3832" s="15"/>
      <c r="AW3832" s="15"/>
    </row>
    <row r="3833" spans="3:49" x14ac:dyDescent="0.2">
      <c r="C3833" s="15"/>
      <c r="D3833" s="15"/>
      <c r="E3833" s="15"/>
      <c r="F3833" s="15"/>
      <c r="G3833" s="15"/>
      <c r="H3833" s="15"/>
      <c r="I3833" s="15"/>
      <c r="J3833" s="15"/>
      <c r="K3833" s="15"/>
      <c r="L3833" s="28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  <c r="AA3833" s="15"/>
      <c r="AB3833" s="15"/>
      <c r="AC3833" s="15"/>
      <c r="AD3833" s="15"/>
      <c r="AE3833" s="15"/>
      <c r="AF3833" s="15"/>
      <c r="AG3833" s="15"/>
      <c r="AH3833" s="15"/>
      <c r="AI3833" s="15"/>
      <c r="AJ3833" s="15"/>
      <c r="AK3833" s="15"/>
      <c r="AL3833" s="15"/>
      <c r="AM3833" s="15"/>
      <c r="AN3833" s="15"/>
      <c r="AO3833" s="15"/>
      <c r="AP3833" s="15"/>
      <c r="AQ3833" s="15"/>
      <c r="AR3833" s="15"/>
      <c r="AS3833" s="15"/>
      <c r="AT3833" s="15"/>
      <c r="AU3833" s="15"/>
      <c r="AV3833" s="15"/>
      <c r="AW3833" s="15"/>
    </row>
    <row r="3834" spans="3:49" x14ac:dyDescent="0.2">
      <c r="C3834" s="15"/>
      <c r="D3834" s="15"/>
      <c r="E3834" s="15"/>
      <c r="F3834" s="15"/>
      <c r="G3834" s="15"/>
      <c r="H3834" s="15"/>
      <c r="I3834" s="15"/>
      <c r="J3834" s="15"/>
      <c r="K3834" s="15"/>
      <c r="L3834" s="28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  <c r="AA3834" s="15"/>
      <c r="AB3834" s="15"/>
      <c r="AC3834" s="15"/>
      <c r="AD3834" s="15"/>
      <c r="AE3834" s="15"/>
      <c r="AF3834" s="15"/>
      <c r="AG3834" s="15"/>
      <c r="AH3834" s="15"/>
      <c r="AI3834" s="15"/>
      <c r="AJ3834" s="15"/>
      <c r="AK3834" s="15"/>
      <c r="AL3834" s="15"/>
      <c r="AM3834" s="15"/>
      <c r="AN3834" s="15"/>
      <c r="AO3834" s="15"/>
      <c r="AP3834" s="15"/>
      <c r="AQ3834" s="15"/>
      <c r="AR3834" s="15"/>
      <c r="AS3834" s="15"/>
      <c r="AT3834" s="15"/>
      <c r="AU3834" s="15"/>
      <c r="AV3834" s="15"/>
      <c r="AW3834" s="15"/>
    </row>
    <row r="3835" spans="3:49" x14ac:dyDescent="0.2">
      <c r="C3835" s="15"/>
      <c r="D3835" s="15"/>
      <c r="E3835" s="15"/>
      <c r="F3835" s="15"/>
      <c r="G3835" s="15"/>
      <c r="H3835" s="15"/>
      <c r="I3835" s="15"/>
      <c r="J3835" s="15"/>
      <c r="K3835" s="15"/>
      <c r="L3835" s="28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  <c r="AA3835" s="15"/>
      <c r="AB3835" s="15"/>
      <c r="AC3835" s="15"/>
      <c r="AD3835" s="15"/>
      <c r="AE3835" s="15"/>
      <c r="AF3835" s="15"/>
      <c r="AG3835" s="15"/>
      <c r="AH3835" s="15"/>
      <c r="AI3835" s="15"/>
      <c r="AJ3835" s="15"/>
      <c r="AK3835" s="15"/>
      <c r="AL3835" s="15"/>
      <c r="AM3835" s="15"/>
      <c r="AN3835" s="15"/>
      <c r="AO3835" s="15"/>
      <c r="AP3835" s="15"/>
      <c r="AQ3835" s="15"/>
      <c r="AR3835" s="15"/>
      <c r="AS3835" s="15"/>
      <c r="AT3835" s="15"/>
      <c r="AU3835" s="15"/>
      <c r="AV3835" s="15"/>
      <c r="AW3835" s="15"/>
    </row>
    <row r="3836" spans="3:49" x14ac:dyDescent="0.2">
      <c r="C3836" s="15"/>
      <c r="D3836" s="15"/>
      <c r="E3836" s="15"/>
      <c r="F3836" s="15"/>
      <c r="G3836" s="15"/>
      <c r="H3836" s="15"/>
      <c r="I3836" s="15"/>
      <c r="J3836" s="15"/>
      <c r="K3836" s="15"/>
      <c r="L3836" s="28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  <c r="AA3836" s="15"/>
      <c r="AB3836" s="15"/>
      <c r="AC3836" s="15"/>
      <c r="AD3836" s="15"/>
      <c r="AE3836" s="15"/>
      <c r="AF3836" s="15"/>
      <c r="AG3836" s="15"/>
      <c r="AH3836" s="15"/>
      <c r="AI3836" s="15"/>
      <c r="AJ3836" s="15"/>
      <c r="AK3836" s="15"/>
      <c r="AL3836" s="15"/>
      <c r="AM3836" s="15"/>
      <c r="AN3836" s="15"/>
      <c r="AO3836" s="15"/>
      <c r="AP3836" s="15"/>
      <c r="AQ3836" s="15"/>
      <c r="AR3836" s="15"/>
      <c r="AS3836" s="15"/>
      <c r="AT3836" s="15"/>
      <c r="AU3836" s="15"/>
      <c r="AV3836" s="15"/>
      <c r="AW3836" s="15"/>
    </row>
    <row r="3837" spans="3:49" x14ac:dyDescent="0.2">
      <c r="C3837" s="15"/>
      <c r="D3837" s="15"/>
      <c r="E3837" s="15"/>
      <c r="F3837" s="15"/>
      <c r="G3837" s="15"/>
      <c r="H3837" s="15"/>
      <c r="I3837" s="15"/>
      <c r="J3837" s="15"/>
      <c r="K3837" s="15"/>
      <c r="L3837" s="28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  <c r="AA3837" s="15"/>
      <c r="AB3837" s="15"/>
      <c r="AC3837" s="15"/>
      <c r="AD3837" s="15"/>
      <c r="AE3837" s="15"/>
      <c r="AF3837" s="15"/>
      <c r="AG3837" s="15"/>
      <c r="AH3837" s="15"/>
      <c r="AI3837" s="15"/>
      <c r="AJ3837" s="15"/>
      <c r="AK3837" s="15"/>
      <c r="AL3837" s="15"/>
      <c r="AM3837" s="15"/>
      <c r="AN3837" s="15"/>
      <c r="AO3837" s="15"/>
      <c r="AP3837" s="15"/>
      <c r="AQ3837" s="15"/>
      <c r="AR3837" s="15"/>
      <c r="AS3837" s="15"/>
      <c r="AT3837" s="15"/>
      <c r="AU3837" s="15"/>
      <c r="AV3837" s="15"/>
      <c r="AW3837" s="15"/>
    </row>
    <row r="3838" spans="3:49" x14ac:dyDescent="0.2">
      <c r="C3838" s="15"/>
      <c r="D3838" s="15"/>
      <c r="E3838" s="15"/>
      <c r="F3838" s="15"/>
      <c r="G3838" s="15"/>
      <c r="H3838" s="15"/>
      <c r="I3838" s="15"/>
      <c r="J3838" s="15"/>
      <c r="K3838" s="15"/>
      <c r="L3838" s="28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  <c r="AA3838" s="15"/>
      <c r="AB3838" s="15"/>
      <c r="AC3838" s="15"/>
      <c r="AD3838" s="15"/>
      <c r="AE3838" s="15"/>
      <c r="AF3838" s="15"/>
      <c r="AG3838" s="15"/>
      <c r="AH3838" s="15"/>
      <c r="AI3838" s="15"/>
      <c r="AJ3838" s="15"/>
      <c r="AK3838" s="15"/>
      <c r="AL3838" s="15"/>
      <c r="AM3838" s="15"/>
      <c r="AN3838" s="15"/>
      <c r="AO3838" s="15"/>
      <c r="AP3838" s="15"/>
      <c r="AQ3838" s="15"/>
      <c r="AR3838" s="15"/>
      <c r="AS3838" s="15"/>
      <c r="AT3838" s="15"/>
      <c r="AU3838" s="15"/>
      <c r="AV3838" s="15"/>
      <c r="AW3838" s="15"/>
    </row>
    <row r="3839" spans="3:49" x14ac:dyDescent="0.2">
      <c r="C3839" s="15"/>
      <c r="D3839" s="15"/>
      <c r="E3839" s="15"/>
      <c r="F3839" s="15"/>
      <c r="G3839" s="15"/>
      <c r="H3839" s="15"/>
      <c r="I3839" s="15"/>
      <c r="J3839" s="15"/>
      <c r="K3839" s="15"/>
      <c r="L3839" s="28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  <c r="AA3839" s="15"/>
      <c r="AB3839" s="15"/>
      <c r="AC3839" s="15"/>
      <c r="AD3839" s="15"/>
      <c r="AE3839" s="15"/>
      <c r="AF3839" s="15"/>
      <c r="AG3839" s="15"/>
      <c r="AH3839" s="15"/>
      <c r="AI3839" s="15"/>
      <c r="AJ3839" s="15"/>
      <c r="AK3839" s="15"/>
      <c r="AL3839" s="15"/>
      <c r="AM3839" s="15"/>
      <c r="AN3839" s="15"/>
      <c r="AO3839" s="15"/>
      <c r="AP3839" s="15"/>
      <c r="AQ3839" s="15"/>
      <c r="AR3839" s="15"/>
      <c r="AS3839" s="15"/>
      <c r="AT3839" s="15"/>
      <c r="AU3839" s="15"/>
      <c r="AV3839" s="15"/>
      <c r="AW3839" s="15"/>
    </row>
    <row r="3840" spans="3:49" x14ac:dyDescent="0.2">
      <c r="C3840" s="15"/>
      <c r="D3840" s="15"/>
      <c r="E3840" s="15"/>
      <c r="F3840" s="15"/>
      <c r="G3840" s="15"/>
      <c r="H3840" s="15"/>
      <c r="I3840" s="15"/>
      <c r="J3840" s="15"/>
      <c r="K3840" s="15"/>
      <c r="L3840" s="28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  <c r="AA3840" s="15"/>
      <c r="AB3840" s="15"/>
      <c r="AC3840" s="15"/>
      <c r="AD3840" s="15"/>
      <c r="AE3840" s="15"/>
      <c r="AF3840" s="15"/>
      <c r="AG3840" s="15"/>
      <c r="AH3840" s="15"/>
      <c r="AI3840" s="15"/>
      <c r="AJ3840" s="15"/>
      <c r="AK3840" s="15"/>
      <c r="AL3840" s="15"/>
      <c r="AM3840" s="15"/>
      <c r="AN3840" s="15"/>
      <c r="AO3840" s="15"/>
      <c r="AP3840" s="15"/>
      <c r="AQ3840" s="15"/>
      <c r="AR3840" s="15"/>
      <c r="AS3840" s="15"/>
      <c r="AT3840" s="15"/>
      <c r="AU3840" s="15"/>
      <c r="AV3840" s="15"/>
      <c r="AW3840" s="15"/>
    </row>
    <row r="3841" spans="3:49" x14ac:dyDescent="0.2">
      <c r="C3841" s="15"/>
      <c r="D3841" s="15"/>
      <c r="E3841" s="15"/>
      <c r="F3841" s="15"/>
      <c r="G3841" s="15"/>
      <c r="H3841" s="15"/>
      <c r="I3841" s="15"/>
      <c r="J3841" s="15"/>
      <c r="K3841" s="15"/>
      <c r="L3841" s="28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  <c r="AA3841" s="15"/>
      <c r="AB3841" s="15"/>
      <c r="AC3841" s="15"/>
      <c r="AD3841" s="15"/>
      <c r="AE3841" s="15"/>
      <c r="AF3841" s="15"/>
      <c r="AG3841" s="15"/>
      <c r="AH3841" s="15"/>
      <c r="AI3841" s="15"/>
      <c r="AJ3841" s="15"/>
      <c r="AK3841" s="15"/>
      <c r="AL3841" s="15"/>
      <c r="AM3841" s="15"/>
      <c r="AN3841" s="15"/>
      <c r="AO3841" s="15"/>
      <c r="AP3841" s="15"/>
      <c r="AQ3841" s="15"/>
      <c r="AR3841" s="15"/>
      <c r="AS3841" s="15"/>
      <c r="AT3841" s="15"/>
      <c r="AU3841" s="15"/>
      <c r="AV3841" s="15"/>
      <c r="AW3841" s="15"/>
    </row>
    <row r="3842" spans="3:49" x14ac:dyDescent="0.2">
      <c r="C3842" s="15"/>
      <c r="D3842" s="15"/>
      <c r="E3842" s="15"/>
      <c r="F3842" s="15"/>
      <c r="G3842" s="15"/>
      <c r="H3842" s="15"/>
      <c r="I3842" s="15"/>
      <c r="J3842" s="15"/>
      <c r="K3842" s="15"/>
      <c r="L3842" s="28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  <c r="AA3842" s="15"/>
      <c r="AB3842" s="15"/>
      <c r="AC3842" s="15"/>
      <c r="AD3842" s="15"/>
      <c r="AE3842" s="15"/>
      <c r="AF3842" s="15"/>
      <c r="AG3842" s="15"/>
      <c r="AH3842" s="15"/>
      <c r="AI3842" s="15"/>
      <c r="AJ3842" s="15"/>
      <c r="AK3842" s="15"/>
      <c r="AL3842" s="15"/>
      <c r="AM3842" s="15"/>
      <c r="AN3842" s="15"/>
      <c r="AO3842" s="15"/>
      <c r="AP3842" s="15"/>
      <c r="AQ3842" s="15"/>
      <c r="AR3842" s="15"/>
      <c r="AS3842" s="15"/>
      <c r="AT3842" s="15"/>
      <c r="AU3842" s="15"/>
      <c r="AV3842" s="15"/>
      <c r="AW3842" s="15"/>
    </row>
    <row r="3843" spans="3:49" x14ac:dyDescent="0.2">
      <c r="C3843" s="15"/>
      <c r="D3843" s="15"/>
      <c r="E3843" s="15"/>
      <c r="F3843" s="15"/>
      <c r="G3843" s="15"/>
      <c r="H3843" s="15"/>
      <c r="I3843" s="15"/>
      <c r="J3843" s="15"/>
      <c r="K3843" s="15"/>
      <c r="L3843" s="28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  <c r="AA3843" s="15"/>
      <c r="AB3843" s="15"/>
      <c r="AC3843" s="15"/>
      <c r="AD3843" s="15"/>
      <c r="AE3843" s="15"/>
      <c r="AF3843" s="15"/>
      <c r="AG3843" s="15"/>
      <c r="AH3843" s="15"/>
      <c r="AI3843" s="15"/>
      <c r="AJ3843" s="15"/>
      <c r="AK3843" s="15"/>
      <c r="AL3843" s="15"/>
      <c r="AM3843" s="15"/>
      <c r="AN3843" s="15"/>
      <c r="AO3843" s="15"/>
      <c r="AP3843" s="15"/>
      <c r="AQ3843" s="15"/>
      <c r="AR3843" s="15"/>
      <c r="AS3843" s="15"/>
      <c r="AT3843" s="15"/>
      <c r="AU3843" s="15"/>
      <c r="AV3843" s="15"/>
      <c r="AW3843" s="15"/>
    </row>
    <row r="3844" spans="3:49" x14ac:dyDescent="0.2">
      <c r="C3844" s="15"/>
      <c r="D3844" s="15"/>
      <c r="E3844" s="15"/>
      <c r="F3844" s="15"/>
      <c r="G3844" s="15"/>
      <c r="H3844" s="15"/>
      <c r="I3844" s="15"/>
      <c r="J3844" s="15"/>
      <c r="K3844" s="15"/>
      <c r="L3844" s="28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  <c r="AA3844" s="15"/>
      <c r="AB3844" s="15"/>
      <c r="AC3844" s="15"/>
      <c r="AD3844" s="15"/>
      <c r="AE3844" s="15"/>
      <c r="AF3844" s="15"/>
      <c r="AG3844" s="15"/>
      <c r="AH3844" s="15"/>
      <c r="AI3844" s="15"/>
      <c r="AJ3844" s="15"/>
      <c r="AK3844" s="15"/>
      <c r="AL3844" s="15"/>
      <c r="AM3844" s="15"/>
      <c r="AN3844" s="15"/>
      <c r="AO3844" s="15"/>
      <c r="AP3844" s="15"/>
      <c r="AQ3844" s="15"/>
      <c r="AR3844" s="15"/>
      <c r="AS3844" s="15"/>
      <c r="AT3844" s="15"/>
      <c r="AU3844" s="15"/>
      <c r="AV3844" s="15"/>
      <c r="AW3844" s="15"/>
    </row>
    <row r="3845" spans="3:49" x14ac:dyDescent="0.2">
      <c r="C3845" s="15"/>
      <c r="D3845" s="15"/>
      <c r="E3845" s="15"/>
      <c r="F3845" s="15"/>
      <c r="G3845" s="15"/>
      <c r="H3845" s="15"/>
      <c r="I3845" s="15"/>
      <c r="J3845" s="15"/>
      <c r="K3845" s="15"/>
      <c r="L3845" s="28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  <c r="AA3845" s="15"/>
      <c r="AB3845" s="15"/>
      <c r="AC3845" s="15"/>
      <c r="AD3845" s="15"/>
      <c r="AE3845" s="15"/>
      <c r="AF3845" s="15"/>
      <c r="AG3845" s="15"/>
      <c r="AH3845" s="15"/>
      <c r="AI3845" s="15"/>
      <c r="AJ3845" s="15"/>
      <c r="AK3845" s="15"/>
      <c r="AL3845" s="15"/>
      <c r="AM3845" s="15"/>
      <c r="AN3845" s="15"/>
      <c r="AO3845" s="15"/>
      <c r="AP3845" s="15"/>
      <c r="AQ3845" s="15"/>
      <c r="AR3845" s="15"/>
      <c r="AS3845" s="15"/>
      <c r="AT3845" s="15"/>
      <c r="AU3845" s="15"/>
      <c r="AV3845" s="15"/>
      <c r="AW3845" s="15"/>
    </row>
    <row r="3846" spans="3:49" x14ac:dyDescent="0.2">
      <c r="C3846" s="15"/>
      <c r="D3846" s="15"/>
      <c r="E3846" s="15"/>
      <c r="F3846" s="15"/>
      <c r="G3846" s="15"/>
      <c r="H3846" s="15"/>
      <c r="I3846" s="15"/>
      <c r="J3846" s="15"/>
      <c r="K3846" s="15"/>
      <c r="L3846" s="28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  <c r="AA3846" s="15"/>
      <c r="AB3846" s="15"/>
      <c r="AC3846" s="15"/>
      <c r="AD3846" s="15"/>
      <c r="AE3846" s="15"/>
      <c r="AF3846" s="15"/>
      <c r="AG3846" s="15"/>
      <c r="AH3846" s="15"/>
      <c r="AI3846" s="15"/>
      <c r="AJ3846" s="15"/>
      <c r="AK3846" s="15"/>
      <c r="AL3846" s="15"/>
      <c r="AM3846" s="15"/>
      <c r="AN3846" s="15"/>
      <c r="AO3846" s="15"/>
      <c r="AP3846" s="15"/>
      <c r="AQ3846" s="15"/>
      <c r="AR3846" s="15"/>
      <c r="AS3846" s="15"/>
      <c r="AT3846" s="15"/>
      <c r="AU3846" s="15"/>
      <c r="AV3846" s="15"/>
      <c r="AW3846" s="15"/>
    </row>
    <row r="3847" spans="3:49" x14ac:dyDescent="0.2">
      <c r="C3847" s="15"/>
      <c r="D3847" s="15"/>
      <c r="E3847" s="15"/>
      <c r="F3847" s="15"/>
      <c r="G3847" s="15"/>
      <c r="H3847" s="15"/>
      <c r="I3847" s="15"/>
      <c r="J3847" s="15"/>
      <c r="K3847" s="15"/>
      <c r="L3847" s="28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  <c r="AA3847" s="15"/>
      <c r="AB3847" s="15"/>
      <c r="AC3847" s="15"/>
      <c r="AD3847" s="15"/>
      <c r="AE3847" s="15"/>
      <c r="AF3847" s="15"/>
      <c r="AG3847" s="15"/>
      <c r="AH3847" s="15"/>
      <c r="AI3847" s="15"/>
      <c r="AJ3847" s="15"/>
      <c r="AK3847" s="15"/>
      <c r="AL3847" s="15"/>
      <c r="AM3847" s="15"/>
      <c r="AN3847" s="15"/>
      <c r="AO3847" s="15"/>
      <c r="AP3847" s="15"/>
      <c r="AQ3847" s="15"/>
      <c r="AR3847" s="15"/>
      <c r="AS3847" s="15"/>
      <c r="AT3847" s="15"/>
      <c r="AU3847" s="15"/>
      <c r="AV3847" s="15"/>
      <c r="AW3847" s="15"/>
    </row>
    <row r="3848" spans="3:49" x14ac:dyDescent="0.2">
      <c r="C3848" s="15"/>
      <c r="D3848" s="15"/>
      <c r="E3848" s="15"/>
      <c r="F3848" s="15"/>
      <c r="G3848" s="15"/>
      <c r="H3848" s="15"/>
      <c r="I3848" s="15"/>
      <c r="J3848" s="15"/>
      <c r="K3848" s="15"/>
      <c r="L3848" s="28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  <c r="AA3848" s="15"/>
      <c r="AB3848" s="15"/>
      <c r="AC3848" s="15"/>
      <c r="AD3848" s="15"/>
      <c r="AE3848" s="15"/>
      <c r="AF3848" s="15"/>
      <c r="AG3848" s="15"/>
      <c r="AH3848" s="15"/>
      <c r="AI3848" s="15"/>
      <c r="AJ3848" s="15"/>
      <c r="AK3848" s="15"/>
      <c r="AL3848" s="15"/>
      <c r="AM3848" s="15"/>
      <c r="AN3848" s="15"/>
      <c r="AO3848" s="15"/>
      <c r="AP3848" s="15"/>
      <c r="AQ3848" s="15"/>
      <c r="AR3848" s="15"/>
      <c r="AS3848" s="15"/>
      <c r="AT3848" s="15"/>
      <c r="AU3848" s="15"/>
      <c r="AV3848" s="15"/>
      <c r="AW3848" s="15"/>
    </row>
    <row r="3849" spans="3:49" x14ac:dyDescent="0.2">
      <c r="C3849" s="15"/>
      <c r="D3849" s="15"/>
      <c r="E3849" s="15"/>
      <c r="F3849" s="15"/>
      <c r="G3849" s="15"/>
      <c r="H3849" s="15"/>
      <c r="I3849" s="15"/>
      <c r="J3849" s="15"/>
      <c r="K3849" s="15"/>
      <c r="L3849" s="28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  <c r="AA3849" s="15"/>
      <c r="AB3849" s="15"/>
      <c r="AC3849" s="15"/>
      <c r="AD3849" s="15"/>
      <c r="AE3849" s="15"/>
      <c r="AF3849" s="15"/>
      <c r="AG3849" s="15"/>
      <c r="AH3849" s="15"/>
      <c r="AI3849" s="15"/>
      <c r="AJ3849" s="15"/>
      <c r="AK3849" s="15"/>
      <c r="AL3849" s="15"/>
      <c r="AM3849" s="15"/>
      <c r="AN3849" s="15"/>
      <c r="AO3849" s="15"/>
      <c r="AP3849" s="15"/>
      <c r="AQ3849" s="15"/>
      <c r="AR3849" s="15"/>
      <c r="AS3849" s="15"/>
      <c r="AT3849" s="15"/>
      <c r="AU3849" s="15"/>
      <c r="AV3849" s="15"/>
      <c r="AW3849" s="15"/>
    </row>
    <row r="3850" spans="3:49" x14ac:dyDescent="0.2">
      <c r="C3850" s="15"/>
      <c r="D3850" s="15"/>
      <c r="E3850" s="15"/>
      <c r="F3850" s="15"/>
      <c r="G3850" s="15"/>
      <c r="H3850" s="15"/>
      <c r="I3850" s="15"/>
      <c r="J3850" s="15"/>
      <c r="K3850" s="15"/>
      <c r="L3850" s="28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  <c r="AA3850" s="15"/>
      <c r="AB3850" s="15"/>
      <c r="AC3850" s="15"/>
      <c r="AD3850" s="15"/>
      <c r="AE3850" s="15"/>
      <c r="AF3850" s="15"/>
      <c r="AG3850" s="15"/>
      <c r="AH3850" s="15"/>
      <c r="AI3850" s="15"/>
      <c r="AJ3850" s="15"/>
      <c r="AK3850" s="15"/>
      <c r="AL3850" s="15"/>
      <c r="AM3850" s="15"/>
      <c r="AN3850" s="15"/>
      <c r="AO3850" s="15"/>
      <c r="AP3850" s="15"/>
      <c r="AQ3850" s="15"/>
      <c r="AR3850" s="15"/>
      <c r="AS3850" s="15"/>
      <c r="AT3850" s="15"/>
      <c r="AU3850" s="15"/>
      <c r="AV3850" s="15"/>
      <c r="AW3850" s="15"/>
    </row>
    <row r="3851" spans="3:49" x14ac:dyDescent="0.2">
      <c r="C3851" s="15"/>
      <c r="D3851" s="15"/>
      <c r="E3851" s="15"/>
      <c r="F3851" s="15"/>
      <c r="G3851" s="15"/>
      <c r="H3851" s="15"/>
      <c r="I3851" s="15"/>
      <c r="J3851" s="15"/>
      <c r="K3851" s="15"/>
      <c r="L3851" s="28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  <c r="AA3851" s="15"/>
      <c r="AB3851" s="15"/>
      <c r="AC3851" s="15"/>
      <c r="AD3851" s="15"/>
      <c r="AE3851" s="15"/>
      <c r="AF3851" s="15"/>
      <c r="AG3851" s="15"/>
      <c r="AH3851" s="15"/>
      <c r="AI3851" s="15"/>
      <c r="AJ3851" s="15"/>
      <c r="AK3851" s="15"/>
      <c r="AL3851" s="15"/>
      <c r="AM3851" s="15"/>
      <c r="AN3851" s="15"/>
      <c r="AO3851" s="15"/>
      <c r="AP3851" s="15"/>
      <c r="AQ3851" s="15"/>
      <c r="AR3851" s="15"/>
      <c r="AS3851" s="15"/>
      <c r="AT3851" s="15"/>
      <c r="AU3851" s="15"/>
      <c r="AV3851" s="15"/>
      <c r="AW3851" s="15"/>
    </row>
    <row r="3852" spans="3:49" x14ac:dyDescent="0.2">
      <c r="C3852" s="15"/>
      <c r="D3852" s="15"/>
      <c r="E3852" s="15"/>
      <c r="F3852" s="15"/>
      <c r="G3852" s="15"/>
      <c r="H3852" s="15"/>
      <c r="I3852" s="15"/>
      <c r="J3852" s="15"/>
      <c r="K3852" s="15"/>
      <c r="L3852" s="28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  <c r="AA3852" s="15"/>
      <c r="AB3852" s="15"/>
      <c r="AC3852" s="15"/>
      <c r="AD3852" s="15"/>
      <c r="AE3852" s="15"/>
      <c r="AF3852" s="15"/>
      <c r="AG3852" s="15"/>
      <c r="AH3852" s="15"/>
      <c r="AI3852" s="15"/>
      <c r="AJ3852" s="15"/>
      <c r="AK3852" s="15"/>
      <c r="AL3852" s="15"/>
      <c r="AM3852" s="15"/>
      <c r="AN3852" s="15"/>
      <c r="AO3852" s="15"/>
      <c r="AP3852" s="15"/>
      <c r="AQ3852" s="15"/>
      <c r="AR3852" s="15"/>
      <c r="AS3852" s="15"/>
      <c r="AT3852" s="15"/>
      <c r="AU3852" s="15"/>
      <c r="AV3852" s="15"/>
      <c r="AW3852" s="15"/>
    </row>
    <row r="3853" spans="3:49" x14ac:dyDescent="0.2">
      <c r="C3853" s="15"/>
      <c r="D3853" s="15"/>
      <c r="E3853" s="15"/>
      <c r="F3853" s="15"/>
      <c r="G3853" s="15"/>
      <c r="H3853" s="15"/>
      <c r="I3853" s="15"/>
      <c r="J3853" s="15"/>
      <c r="K3853" s="15"/>
      <c r="L3853" s="28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  <c r="AA3853" s="15"/>
      <c r="AB3853" s="15"/>
      <c r="AC3853" s="15"/>
      <c r="AD3853" s="15"/>
      <c r="AE3853" s="15"/>
      <c r="AF3853" s="15"/>
      <c r="AG3853" s="15"/>
      <c r="AH3853" s="15"/>
      <c r="AI3853" s="15"/>
      <c r="AJ3853" s="15"/>
      <c r="AK3853" s="15"/>
      <c r="AL3853" s="15"/>
      <c r="AM3853" s="15"/>
      <c r="AN3853" s="15"/>
      <c r="AO3853" s="15"/>
      <c r="AP3853" s="15"/>
      <c r="AQ3853" s="15"/>
      <c r="AR3853" s="15"/>
      <c r="AS3853" s="15"/>
      <c r="AT3853" s="15"/>
      <c r="AU3853" s="15"/>
      <c r="AV3853" s="15"/>
      <c r="AW3853" s="15"/>
    </row>
    <row r="3854" spans="3:49" x14ac:dyDescent="0.2">
      <c r="C3854" s="15"/>
      <c r="D3854" s="15"/>
      <c r="E3854" s="15"/>
      <c r="F3854" s="15"/>
      <c r="G3854" s="15"/>
      <c r="H3854" s="15"/>
      <c r="I3854" s="15"/>
      <c r="J3854" s="15"/>
      <c r="K3854" s="15"/>
      <c r="L3854" s="28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  <c r="AA3854" s="15"/>
      <c r="AB3854" s="15"/>
      <c r="AC3854" s="15"/>
      <c r="AD3854" s="15"/>
      <c r="AE3854" s="15"/>
      <c r="AF3854" s="15"/>
      <c r="AG3854" s="15"/>
      <c r="AH3854" s="15"/>
      <c r="AI3854" s="15"/>
      <c r="AJ3854" s="15"/>
      <c r="AK3854" s="15"/>
      <c r="AL3854" s="15"/>
      <c r="AM3854" s="15"/>
      <c r="AN3854" s="15"/>
      <c r="AO3854" s="15"/>
      <c r="AP3854" s="15"/>
      <c r="AQ3854" s="15"/>
      <c r="AR3854" s="15"/>
      <c r="AS3854" s="15"/>
      <c r="AT3854" s="15"/>
      <c r="AU3854" s="15"/>
      <c r="AV3854" s="15"/>
      <c r="AW3854" s="15"/>
    </row>
    <row r="3855" spans="3:49" x14ac:dyDescent="0.2">
      <c r="C3855" s="15"/>
      <c r="D3855" s="15"/>
      <c r="E3855" s="15"/>
      <c r="F3855" s="15"/>
      <c r="G3855" s="15"/>
      <c r="H3855" s="15"/>
      <c r="I3855" s="15"/>
      <c r="J3855" s="15"/>
      <c r="K3855" s="15"/>
      <c r="L3855" s="28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  <c r="AA3855" s="15"/>
      <c r="AB3855" s="15"/>
      <c r="AC3855" s="15"/>
      <c r="AD3855" s="15"/>
      <c r="AE3855" s="15"/>
      <c r="AF3855" s="15"/>
      <c r="AG3855" s="15"/>
      <c r="AH3855" s="15"/>
      <c r="AI3855" s="15"/>
      <c r="AJ3855" s="15"/>
      <c r="AK3855" s="15"/>
      <c r="AL3855" s="15"/>
      <c r="AM3855" s="15"/>
      <c r="AN3855" s="15"/>
      <c r="AO3855" s="15"/>
      <c r="AP3855" s="15"/>
      <c r="AQ3855" s="15"/>
      <c r="AR3855" s="15"/>
      <c r="AS3855" s="15"/>
      <c r="AT3855" s="15"/>
      <c r="AU3855" s="15"/>
      <c r="AV3855" s="15"/>
      <c r="AW3855" s="15"/>
    </row>
    <row r="3856" spans="3:49" x14ac:dyDescent="0.2">
      <c r="C3856" s="15"/>
      <c r="D3856" s="15"/>
      <c r="E3856" s="15"/>
      <c r="F3856" s="15"/>
      <c r="G3856" s="15"/>
      <c r="H3856" s="15"/>
      <c r="I3856" s="15"/>
      <c r="J3856" s="15"/>
      <c r="K3856" s="15"/>
      <c r="L3856" s="28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  <c r="AA3856" s="15"/>
      <c r="AB3856" s="15"/>
      <c r="AC3856" s="15"/>
      <c r="AD3856" s="15"/>
      <c r="AE3856" s="15"/>
      <c r="AF3856" s="15"/>
      <c r="AG3856" s="15"/>
      <c r="AH3856" s="15"/>
      <c r="AI3856" s="15"/>
      <c r="AJ3856" s="15"/>
      <c r="AK3856" s="15"/>
      <c r="AL3856" s="15"/>
      <c r="AM3856" s="15"/>
      <c r="AN3856" s="15"/>
      <c r="AO3856" s="15"/>
      <c r="AP3856" s="15"/>
      <c r="AQ3856" s="15"/>
      <c r="AR3856" s="15"/>
      <c r="AS3856" s="15"/>
      <c r="AT3856" s="15"/>
      <c r="AU3856" s="15"/>
      <c r="AV3856" s="15"/>
      <c r="AW3856" s="15"/>
    </row>
    <row r="3857" spans="3:49" x14ac:dyDescent="0.2">
      <c r="C3857" s="15"/>
      <c r="D3857" s="15"/>
      <c r="E3857" s="15"/>
      <c r="F3857" s="15"/>
      <c r="G3857" s="15"/>
      <c r="H3857" s="15"/>
      <c r="I3857" s="15"/>
      <c r="J3857" s="15"/>
      <c r="K3857" s="15"/>
      <c r="L3857" s="28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  <c r="AA3857" s="15"/>
      <c r="AB3857" s="15"/>
      <c r="AC3857" s="15"/>
      <c r="AD3857" s="15"/>
      <c r="AE3857" s="15"/>
      <c r="AF3857" s="15"/>
      <c r="AG3857" s="15"/>
      <c r="AH3857" s="15"/>
      <c r="AI3857" s="15"/>
      <c r="AJ3857" s="15"/>
      <c r="AK3857" s="15"/>
      <c r="AL3857" s="15"/>
      <c r="AM3857" s="15"/>
      <c r="AN3857" s="15"/>
      <c r="AO3857" s="15"/>
      <c r="AP3857" s="15"/>
      <c r="AQ3857" s="15"/>
      <c r="AR3857" s="15"/>
      <c r="AS3857" s="15"/>
      <c r="AT3857" s="15"/>
      <c r="AU3857" s="15"/>
      <c r="AV3857" s="15"/>
      <c r="AW3857" s="15"/>
    </row>
    <row r="3858" spans="3:49" x14ac:dyDescent="0.2">
      <c r="C3858" s="15"/>
      <c r="D3858" s="15"/>
      <c r="E3858" s="15"/>
      <c r="F3858" s="15"/>
      <c r="G3858" s="15"/>
      <c r="H3858" s="15"/>
      <c r="I3858" s="15"/>
      <c r="J3858" s="15"/>
      <c r="K3858" s="15"/>
      <c r="L3858" s="28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  <c r="AA3858" s="15"/>
      <c r="AB3858" s="15"/>
      <c r="AC3858" s="15"/>
      <c r="AD3858" s="15"/>
      <c r="AE3858" s="15"/>
      <c r="AF3858" s="15"/>
      <c r="AG3858" s="15"/>
      <c r="AH3858" s="15"/>
      <c r="AI3858" s="15"/>
      <c r="AJ3858" s="15"/>
      <c r="AK3858" s="15"/>
      <c r="AL3858" s="15"/>
      <c r="AM3858" s="15"/>
      <c r="AN3858" s="15"/>
      <c r="AO3858" s="15"/>
      <c r="AP3858" s="15"/>
      <c r="AQ3858" s="15"/>
      <c r="AR3858" s="15"/>
      <c r="AS3858" s="15"/>
      <c r="AT3858" s="15"/>
      <c r="AU3858" s="15"/>
      <c r="AV3858" s="15"/>
      <c r="AW3858" s="15"/>
    </row>
    <row r="3859" spans="3:49" x14ac:dyDescent="0.2">
      <c r="C3859" s="15"/>
      <c r="D3859" s="15"/>
      <c r="E3859" s="15"/>
      <c r="F3859" s="15"/>
      <c r="G3859" s="15"/>
      <c r="H3859" s="15"/>
      <c r="I3859" s="15"/>
      <c r="J3859" s="15"/>
      <c r="K3859" s="15"/>
      <c r="L3859" s="28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  <c r="AA3859" s="15"/>
      <c r="AB3859" s="15"/>
      <c r="AC3859" s="15"/>
      <c r="AD3859" s="15"/>
      <c r="AE3859" s="15"/>
      <c r="AF3859" s="15"/>
      <c r="AG3859" s="15"/>
      <c r="AH3859" s="15"/>
      <c r="AI3859" s="15"/>
      <c r="AJ3859" s="15"/>
      <c r="AK3859" s="15"/>
      <c r="AL3859" s="15"/>
      <c r="AM3859" s="15"/>
      <c r="AN3859" s="15"/>
      <c r="AO3859" s="15"/>
      <c r="AP3859" s="15"/>
      <c r="AQ3859" s="15"/>
      <c r="AR3859" s="15"/>
      <c r="AS3859" s="15"/>
      <c r="AT3859" s="15"/>
      <c r="AU3859" s="15"/>
      <c r="AV3859" s="15"/>
      <c r="AW3859" s="15"/>
    </row>
    <row r="3860" spans="3:49" x14ac:dyDescent="0.2">
      <c r="C3860" s="15"/>
      <c r="D3860" s="15"/>
      <c r="E3860" s="15"/>
      <c r="F3860" s="15"/>
      <c r="G3860" s="15"/>
      <c r="H3860" s="15"/>
      <c r="I3860" s="15"/>
      <c r="J3860" s="15"/>
      <c r="K3860" s="15"/>
      <c r="L3860" s="28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  <c r="AA3860" s="15"/>
      <c r="AB3860" s="15"/>
      <c r="AC3860" s="15"/>
      <c r="AD3860" s="15"/>
      <c r="AE3860" s="15"/>
      <c r="AF3860" s="15"/>
      <c r="AG3860" s="15"/>
      <c r="AH3860" s="15"/>
      <c r="AI3860" s="15"/>
      <c r="AJ3860" s="15"/>
      <c r="AK3860" s="15"/>
      <c r="AL3860" s="15"/>
      <c r="AM3860" s="15"/>
      <c r="AN3860" s="15"/>
      <c r="AO3860" s="15"/>
      <c r="AP3860" s="15"/>
      <c r="AQ3860" s="15"/>
      <c r="AR3860" s="15"/>
      <c r="AS3860" s="15"/>
      <c r="AT3860" s="15"/>
      <c r="AU3860" s="15"/>
      <c r="AV3860" s="15"/>
      <c r="AW3860" s="15"/>
    </row>
    <row r="3861" spans="3:49" x14ac:dyDescent="0.2">
      <c r="C3861" s="15"/>
      <c r="D3861" s="15"/>
      <c r="E3861" s="15"/>
      <c r="F3861" s="15"/>
      <c r="G3861" s="15"/>
      <c r="H3861" s="15"/>
      <c r="I3861" s="15"/>
      <c r="J3861" s="15"/>
      <c r="K3861" s="15"/>
      <c r="L3861" s="28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  <c r="AA3861" s="15"/>
      <c r="AB3861" s="15"/>
      <c r="AC3861" s="15"/>
      <c r="AD3861" s="15"/>
      <c r="AE3861" s="15"/>
      <c r="AF3861" s="15"/>
      <c r="AG3861" s="15"/>
      <c r="AH3861" s="15"/>
      <c r="AI3861" s="15"/>
      <c r="AJ3861" s="15"/>
      <c r="AK3861" s="15"/>
      <c r="AL3861" s="15"/>
      <c r="AM3861" s="15"/>
      <c r="AN3861" s="15"/>
      <c r="AO3861" s="15"/>
      <c r="AP3861" s="15"/>
      <c r="AQ3861" s="15"/>
      <c r="AR3861" s="15"/>
      <c r="AS3861" s="15"/>
      <c r="AT3861" s="15"/>
      <c r="AU3861" s="15"/>
      <c r="AV3861" s="15"/>
      <c r="AW3861" s="15"/>
    </row>
    <row r="3862" spans="3:49" x14ac:dyDescent="0.2">
      <c r="C3862" s="15"/>
      <c r="D3862" s="15"/>
      <c r="E3862" s="15"/>
      <c r="F3862" s="15"/>
      <c r="G3862" s="15"/>
      <c r="H3862" s="15"/>
      <c r="I3862" s="15"/>
      <c r="J3862" s="15"/>
      <c r="K3862" s="15"/>
      <c r="L3862" s="28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  <c r="AA3862" s="15"/>
      <c r="AB3862" s="15"/>
      <c r="AC3862" s="15"/>
      <c r="AD3862" s="15"/>
      <c r="AE3862" s="15"/>
      <c r="AF3862" s="15"/>
      <c r="AG3862" s="15"/>
      <c r="AH3862" s="15"/>
      <c r="AI3862" s="15"/>
      <c r="AJ3862" s="15"/>
      <c r="AK3862" s="15"/>
      <c r="AL3862" s="15"/>
      <c r="AM3862" s="15"/>
      <c r="AN3862" s="15"/>
      <c r="AO3862" s="15"/>
      <c r="AP3862" s="15"/>
      <c r="AQ3862" s="15"/>
      <c r="AR3862" s="15"/>
      <c r="AS3862" s="15"/>
      <c r="AT3862" s="15"/>
      <c r="AU3862" s="15"/>
      <c r="AV3862" s="15"/>
      <c r="AW3862" s="15"/>
    </row>
    <row r="3863" spans="3:49" x14ac:dyDescent="0.2">
      <c r="C3863" s="15"/>
      <c r="D3863" s="15"/>
      <c r="E3863" s="15"/>
      <c r="F3863" s="15"/>
      <c r="G3863" s="15"/>
      <c r="H3863" s="15"/>
      <c r="I3863" s="15"/>
      <c r="J3863" s="15"/>
      <c r="K3863" s="15"/>
      <c r="L3863" s="28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  <c r="AA3863" s="15"/>
      <c r="AB3863" s="15"/>
      <c r="AC3863" s="15"/>
      <c r="AD3863" s="15"/>
      <c r="AE3863" s="15"/>
      <c r="AF3863" s="15"/>
      <c r="AG3863" s="15"/>
      <c r="AH3863" s="15"/>
      <c r="AI3863" s="15"/>
      <c r="AJ3863" s="15"/>
      <c r="AK3863" s="15"/>
      <c r="AL3863" s="15"/>
      <c r="AM3863" s="15"/>
      <c r="AN3863" s="15"/>
      <c r="AO3863" s="15"/>
      <c r="AP3863" s="15"/>
      <c r="AQ3863" s="15"/>
      <c r="AR3863" s="15"/>
      <c r="AS3863" s="15"/>
      <c r="AT3863" s="15"/>
      <c r="AU3863" s="15"/>
      <c r="AV3863" s="15"/>
      <c r="AW3863" s="15"/>
    </row>
    <row r="3864" spans="3:49" x14ac:dyDescent="0.2">
      <c r="C3864" s="15"/>
      <c r="D3864" s="15"/>
      <c r="E3864" s="15"/>
      <c r="F3864" s="15"/>
      <c r="G3864" s="15"/>
      <c r="H3864" s="15"/>
      <c r="I3864" s="15"/>
      <c r="J3864" s="15"/>
      <c r="K3864" s="15"/>
      <c r="L3864" s="28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  <c r="AA3864" s="15"/>
      <c r="AB3864" s="15"/>
      <c r="AC3864" s="15"/>
      <c r="AD3864" s="15"/>
      <c r="AE3864" s="15"/>
      <c r="AF3864" s="15"/>
      <c r="AG3864" s="15"/>
      <c r="AH3864" s="15"/>
      <c r="AI3864" s="15"/>
      <c r="AJ3864" s="15"/>
      <c r="AK3864" s="15"/>
      <c r="AL3864" s="15"/>
      <c r="AM3864" s="15"/>
      <c r="AN3864" s="15"/>
      <c r="AO3864" s="15"/>
      <c r="AP3864" s="15"/>
      <c r="AQ3864" s="15"/>
      <c r="AR3864" s="15"/>
      <c r="AS3864" s="15"/>
      <c r="AT3864" s="15"/>
      <c r="AU3864" s="15"/>
      <c r="AV3864" s="15"/>
      <c r="AW3864" s="15"/>
    </row>
    <row r="3865" spans="3:49" x14ac:dyDescent="0.2">
      <c r="C3865" s="15"/>
      <c r="D3865" s="15"/>
      <c r="E3865" s="15"/>
      <c r="F3865" s="15"/>
      <c r="G3865" s="15"/>
      <c r="H3865" s="15"/>
      <c r="I3865" s="15"/>
      <c r="J3865" s="15"/>
      <c r="K3865" s="15"/>
      <c r="L3865" s="28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  <c r="AA3865" s="15"/>
      <c r="AB3865" s="15"/>
      <c r="AC3865" s="15"/>
      <c r="AD3865" s="15"/>
      <c r="AE3865" s="15"/>
      <c r="AF3865" s="15"/>
      <c r="AG3865" s="15"/>
      <c r="AH3865" s="15"/>
      <c r="AI3865" s="15"/>
      <c r="AJ3865" s="15"/>
      <c r="AK3865" s="15"/>
      <c r="AL3865" s="15"/>
      <c r="AM3865" s="15"/>
      <c r="AN3865" s="15"/>
      <c r="AO3865" s="15"/>
      <c r="AP3865" s="15"/>
      <c r="AQ3865" s="15"/>
      <c r="AR3865" s="15"/>
      <c r="AS3865" s="15"/>
      <c r="AT3865" s="15"/>
      <c r="AU3865" s="15"/>
      <c r="AV3865" s="15"/>
      <c r="AW3865" s="15"/>
    </row>
    <row r="3866" spans="3:49" x14ac:dyDescent="0.2">
      <c r="C3866" s="15"/>
      <c r="D3866" s="15"/>
      <c r="E3866" s="15"/>
      <c r="F3866" s="15"/>
      <c r="G3866" s="15"/>
      <c r="H3866" s="15"/>
      <c r="I3866" s="15"/>
      <c r="J3866" s="15"/>
      <c r="K3866" s="15"/>
      <c r="L3866" s="28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  <c r="AA3866" s="15"/>
      <c r="AB3866" s="15"/>
      <c r="AC3866" s="15"/>
      <c r="AD3866" s="15"/>
      <c r="AE3866" s="15"/>
      <c r="AF3866" s="15"/>
      <c r="AG3866" s="15"/>
      <c r="AH3866" s="15"/>
      <c r="AI3866" s="15"/>
      <c r="AJ3866" s="15"/>
      <c r="AK3866" s="15"/>
      <c r="AL3866" s="15"/>
      <c r="AM3866" s="15"/>
      <c r="AN3866" s="15"/>
      <c r="AO3866" s="15"/>
      <c r="AP3866" s="15"/>
      <c r="AQ3866" s="15"/>
      <c r="AR3866" s="15"/>
      <c r="AS3866" s="15"/>
      <c r="AT3866" s="15"/>
      <c r="AU3866" s="15"/>
      <c r="AV3866" s="15"/>
      <c r="AW3866" s="15"/>
    </row>
    <row r="3867" spans="3:49" x14ac:dyDescent="0.2">
      <c r="C3867" s="15"/>
      <c r="D3867" s="15"/>
      <c r="E3867" s="15"/>
      <c r="F3867" s="15"/>
      <c r="G3867" s="15"/>
      <c r="H3867" s="15"/>
      <c r="I3867" s="15"/>
      <c r="J3867" s="15"/>
      <c r="K3867" s="15"/>
      <c r="L3867" s="28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  <c r="AA3867" s="15"/>
      <c r="AB3867" s="15"/>
      <c r="AC3867" s="15"/>
      <c r="AD3867" s="15"/>
      <c r="AE3867" s="15"/>
      <c r="AF3867" s="15"/>
      <c r="AG3867" s="15"/>
      <c r="AH3867" s="15"/>
      <c r="AI3867" s="15"/>
      <c r="AJ3867" s="15"/>
      <c r="AK3867" s="15"/>
      <c r="AL3867" s="15"/>
      <c r="AM3867" s="15"/>
      <c r="AN3867" s="15"/>
      <c r="AO3867" s="15"/>
      <c r="AP3867" s="15"/>
      <c r="AQ3867" s="15"/>
      <c r="AR3867" s="15"/>
      <c r="AS3867" s="15"/>
      <c r="AT3867" s="15"/>
      <c r="AU3867" s="15"/>
      <c r="AV3867" s="15"/>
      <c r="AW3867" s="15"/>
    </row>
    <row r="3868" spans="3:49" x14ac:dyDescent="0.2">
      <c r="C3868" s="15"/>
      <c r="D3868" s="15"/>
      <c r="E3868" s="15"/>
      <c r="F3868" s="15"/>
      <c r="G3868" s="15"/>
      <c r="H3868" s="15"/>
      <c r="I3868" s="15"/>
      <c r="J3868" s="15"/>
      <c r="K3868" s="15"/>
      <c r="L3868" s="28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  <c r="AA3868" s="15"/>
      <c r="AB3868" s="15"/>
      <c r="AC3868" s="15"/>
      <c r="AD3868" s="15"/>
      <c r="AE3868" s="15"/>
      <c r="AF3868" s="15"/>
      <c r="AG3868" s="15"/>
      <c r="AH3868" s="15"/>
      <c r="AI3868" s="15"/>
      <c r="AJ3868" s="15"/>
      <c r="AK3868" s="15"/>
      <c r="AL3868" s="15"/>
      <c r="AM3868" s="15"/>
      <c r="AN3868" s="15"/>
      <c r="AO3868" s="15"/>
      <c r="AP3868" s="15"/>
      <c r="AQ3868" s="15"/>
      <c r="AR3868" s="15"/>
      <c r="AS3868" s="15"/>
      <c r="AT3868" s="15"/>
      <c r="AU3868" s="15"/>
      <c r="AV3868" s="15"/>
      <c r="AW3868" s="15"/>
    </row>
    <row r="3869" spans="3:49" x14ac:dyDescent="0.2">
      <c r="C3869" s="15"/>
      <c r="D3869" s="15"/>
      <c r="E3869" s="15"/>
      <c r="F3869" s="15"/>
      <c r="G3869" s="15"/>
      <c r="H3869" s="15"/>
      <c r="I3869" s="15"/>
      <c r="J3869" s="15"/>
      <c r="K3869" s="15"/>
      <c r="L3869" s="28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  <c r="AA3869" s="15"/>
      <c r="AB3869" s="15"/>
      <c r="AC3869" s="15"/>
      <c r="AD3869" s="15"/>
      <c r="AE3869" s="15"/>
      <c r="AF3869" s="15"/>
      <c r="AG3869" s="15"/>
      <c r="AH3869" s="15"/>
      <c r="AI3869" s="15"/>
      <c r="AJ3869" s="15"/>
      <c r="AK3869" s="15"/>
      <c r="AL3869" s="15"/>
      <c r="AM3869" s="15"/>
      <c r="AN3869" s="15"/>
      <c r="AO3869" s="15"/>
      <c r="AP3869" s="15"/>
      <c r="AQ3869" s="15"/>
      <c r="AR3869" s="15"/>
      <c r="AS3869" s="15"/>
      <c r="AT3869" s="15"/>
      <c r="AU3869" s="15"/>
      <c r="AV3869" s="15"/>
      <c r="AW3869" s="15"/>
    </row>
    <row r="3870" spans="3:49" x14ac:dyDescent="0.2">
      <c r="C3870" s="15"/>
      <c r="D3870" s="15"/>
      <c r="E3870" s="15"/>
      <c r="F3870" s="15"/>
      <c r="G3870" s="15"/>
      <c r="H3870" s="15"/>
      <c r="I3870" s="15"/>
      <c r="J3870" s="15"/>
      <c r="K3870" s="15"/>
      <c r="L3870" s="28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  <c r="AA3870" s="15"/>
      <c r="AB3870" s="15"/>
      <c r="AC3870" s="15"/>
      <c r="AD3870" s="15"/>
      <c r="AE3870" s="15"/>
      <c r="AF3870" s="15"/>
      <c r="AG3870" s="15"/>
      <c r="AH3870" s="15"/>
      <c r="AI3870" s="15"/>
      <c r="AJ3870" s="15"/>
      <c r="AK3870" s="15"/>
      <c r="AL3870" s="15"/>
      <c r="AM3870" s="15"/>
      <c r="AN3870" s="15"/>
      <c r="AO3870" s="15"/>
      <c r="AP3870" s="15"/>
      <c r="AQ3870" s="15"/>
      <c r="AR3870" s="15"/>
      <c r="AS3870" s="15"/>
      <c r="AT3870" s="15"/>
      <c r="AU3870" s="15"/>
      <c r="AV3870" s="15"/>
      <c r="AW3870" s="15"/>
    </row>
    <row r="3871" spans="3:49" x14ac:dyDescent="0.2">
      <c r="C3871" s="15"/>
      <c r="D3871" s="15"/>
      <c r="E3871" s="15"/>
      <c r="F3871" s="15"/>
      <c r="G3871" s="15"/>
      <c r="H3871" s="15"/>
      <c r="I3871" s="15"/>
      <c r="J3871" s="15"/>
      <c r="K3871" s="15"/>
      <c r="L3871" s="28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  <c r="AA3871" s="15"/>
      <c r="AB3871" s="15"/>
      <c r="AC3871" s="15"/>
      <c r="AD3871" s="15"/>
      <c r="AE3871" s="15"/>
      <c r="AF3871" s="15"/>
      <c r="AG3871" s="15"/>
      <c r="AH3871" s="15"/>
      <c r="AI3871" s="15"/>
      <c r="AJ3871" s="15"/>
      <c r="AK3871" s="15"/>
      <c r="AL3871" s="15"/>
      <c r="AM3871" s="15"/>
      <c r="AN3871" s="15"/>
      <c r="AO3871" s="15"/>
      <c r="AP3871" s="15"/>
      <c r="AQ3871" s="15"/>
      <c r="AR3871" s="15"/>
      <c r="AS3871" s="15"/>
      <c r="AT3871" s="15"/>
      <c r="AU3871" s="15"/>
      <c r="AV3871" s="15"/>
      <c r="AW3871" s="15"/>
    </row>
    <row r="3872" spans="3:49" x14ac:dyDescent="0.2">
      <c r="C3872" s="15"/>
      <c r="D3872" s="15"/>
      <c r="E3872" s="15"/>
      <c r="F3872" s="15"/>
      <c r="G3872" s="15"/>
      <c r="H3872" s="15"/>
      <c r="I3872" s="15"/>
      <c r="J3872" s="15"/>
      <c r="K3872" s="15"/>
      <c r="L3872" s="28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  <c r="AA3872" s="15"/>
      <c r="AB3872" s="15"/>
      <c r="AC3872" s="15"/>
      <c r="AD3872" s="15"/>
      <c r="AE3872" s="15"/>
      <c r="AF3872" s="15"/>
      <c r="AG3872" s="15"/>
      <c r="AH3872" s="15"/>
      <c r="AI3872" s="15"/>
      <c r="AJ3872" s="15"/>
      <c r="AK3872" s="15"/>
      <c r="AL3872" s="15"/>
      <c r="AM3872" s="15"/>
      <c r="AN3872" s="15"/>
      <c r="AO3872" s="15"/>
      <c r="AP3872" s="15"/>
      <c r="AQ3872" s="15"/>
      <c r="AR3872" s="15"/>
      <c r="AS3872" s="15"/>
      <c r="AT3872" s="15"/>
      <c r="AU3872" s="15"/>
      <c r="AV3872" s="15"/>
      <c r="AW3872" s="15"/>
    </row>
    <row r="3873" spans="3:49" x14ac:dyDescent="0.2">
      <c r="C3873" s="15"/>
      <c r="D3873" s="15"/>
      <c r="E3873" s="15"/>
      <c r="F3873" s="15"/>
      <c r="G3873" s="15"/>
      <c r="H3873" s="15"/>
      <c r="I3873" s="15"/>
      <c r="J3873" s="15"/>
      <c r="K3873" s="15"/>
      <c r="L3873" s="28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  <c r="AA3873" s="15"/>
      <c r="AB3873" s="15"/>
      <c r="AC3873" s="15"/>
      <c r="AD3873" s="15"/>
      <c r="AE3873" s="15"/>
      <c r="AF3873" s="15"/>
      <c r="AG3873" s="15"/>
      <c r="AH3873" s="15"/>
      <c r="AI3873" s="15"/>
      <c r="AJ3873" s="15"/>
      <c r="AK3873" s="15"/>
      <c r="AL3873" s="15"/>
      <c r="AM3873" s="15"/>
      <c r="AN3873" s="15"/>
      <c r="AO3873" s="15"/>
      <c r="AP3873" s="15"/>
      <c r="AQ3873" s="15"/>
      <c r="AR3873" s="15"/>
      <c r="AS3873" s="15"/>
      <c r="AT3873" s="15"/>
      <c r="AU3873" s="15"/>
      <c r="AV3873" s="15"/>
      <c r="AW3873" s="15"/>
    </row>
    <row r="3874" spans="3:49" x14ac:dyDescent="0.2">
      <c r="C3874" s="15"/>
      <c r="D3874" s="15"/>
      <c r="E3874" s="15"/>
      <c r="F3874" s="15"/>
      <c r="G3874" s="15"/>
      <c r="H3874" s="15"/>
      <c r="I3874" s="15"/>
      <c r="J3874" s="15"/>
      <c r="K3874" s="15"/>
      <c r="L3874" s="28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  <c r="AA3874" s="15"/>
      <c r="AB3874" s="15"/>
      <c r="AC3874" s="15"/>
      <c r="AD3874" s="15"/>
      <c r="AE3874" s="15"/>
      <c r="AF3874" s="15"/>
      <c r="AG3874" s="15"/>
      <c r="AH3874" s="15"/>
      <c r="AI3874" s="15"/>
      <c r="AJ3874" s="15"/>
      <c r="AK3874" s="15"/>
      <c r="AL3874" s="15"/>
      <c r="AM3874" s="15"/>
      <c r="AN3874" s="15"/>
      <c r="AO3874" s="15"/>
      <c r="AP3874" s="15"/>
      <c r="AQ3874" s="15"/>
      <c r="AR3874" s="15"/>
      <c r="AS3874" s="15"/>
      <c r="AT3874" s="15"/>
      <c r="AU3874" s="15"/>
      <c r="AV3874" s="15"/>
      <c r="AW3874" s="15"/>
    </row>
    <row r="3875" spans="3:49" x14ac:dyDescent="0.2">
      <c r="C3875" s="15"/>
      <c r="D3875" s="15"/>
      <c r="E3875" s="15"/>
      <c r="F3875" s="15"/>
      <c r="G3875" s="15"/>
      <c r="H3875" s="15"/>
      <c r="I3875" s="15"/>
      <c r="J3875" s="15"/>
      <c r="K3875" s="15"/>
      <c r="L3875" s="28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  <c r="AA3875" s="15"/>
      <c r="AB3875" s="15"/>
      <c r="AC3875" s="15"/>
      <c r="AD3875" s="15"/>
      <c r="AE3875" s="15"/>
      <c r="AF3875" s="15"/>
      <c r="AG3875" s="15"/>
      <c r="AH3875" s="15"/>
      <c r="AI3875" s="15"/>
      <c r="AJ3875" s="15"/>
      <c r="AK3875" s="15"/>
      <c r="AL3875" s="15"/>
      <c r="AM3875" s="15"/>
      <c r="AN3875" s="15"/>
      <c r="AO3875" s="15"/>
      <c r="AP3875" s="15"/>
      <c r="AQ3875" s="15"/>
      <c r="AR3875" s="15"/>
      <c r="AS3875" s="15"/>
      <c r="AT3875" s="15"/>
      <c r="AU3875" s="15"/>
      <c r="AV3875" s="15"/>
      <c r="AW3875" s="15"/>
    </row>
    <row r="3876" spans="3:49" x14ac:dyDescent="0.2">
      <c r="C3876" s="15"/>
      <c r="D3876" s="15"/>
      <c r="E3876" s="15"/>
      <c r="F3876" s="15"/>
      <c r="G3876" s="15"/>
      <c r="H3876" s="15"/>
      <c r="I3876" s="15"/>
      <c r="J3876" s="15"/>
      <c r="K3876" s="15"/>
      <c r="L3876" s="28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  <c r="AA3876" s="15"/>
      <c r="AB3876" s="15"/>
      <c r="AC3876" s="15"/>
      <c r="AD3876" s="15"/>
      <c r="AE3876" s="15"/>
      <c r="AF3876" s="15"/>
      <c r="AG3876" s="15"/>
      <c r="AH3876" s="15"/>
      <c r="AI3876" s="15"/>
      <c r="AJ3876" s="15"/>
      <c r="AK3876" s="15"/>
      <c r="AL3876" s="15"/>
      <c r="AM3876" s="15"/>
      <c r="AN3876" s="15"/>
      <c r="AO3876" s="15"/>
      <c r="AP3876" s="15"/>
      <c r="AQ3876" s="15"/>
      <c r="AR3876" s="15"/>
      <c r="AS3876" s="15"/>
      <c r="AT3876" s="15"/>
      <c r="AU3876" s="15"/>
      <c r="AV3876" s="15"/>
      <c r="AW3876" s="15"/>
    </row>
    <row r="3877" spans="3:49" x14ac:dyDescent="0.2">
      <c r="C3877" s="15"/>
      <c r="D3877" s="15"/>
      <c r="E3877" s="15"/>
      <c r="F3877" s="15"/>
      <c r="G3877" s="15"/>
      <c r="H3877" s="15"/>
      <c r="I3877" s="15"/>
      <c r="J3877" s="15"/>
      <c r="K3877" s="15"/>
      <c r="L3877" s="28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  <c r="AA3877" s="15"/>
      <c r="AB3877" s="15"/>
      <c r="AC3877" s="15"/>
      <c r="AD3877" s="15"/>
      <c r="AE3877" s="15"/>
      <c r="AF3877" s="15"/>
      <c r="AG3877" s="15"/>
      <c r="AH3877" s="15"/>
      <c r="AI3877" s="15"/>
      <c r="AJ3877" s="15"/>
      <c r="AK3877" s="15"/>
      <c r="AL3877" s="15"/>
      <c r="AM3877" s="15"/>
      <c r="AN3877" s="15"/>
      <c r="AO3877" s="15"/>
      <c r="AP3877" s="15"/>
      <c r="AQ3877" s="15"/>
      <c r="AR3877" s="15"/>
      <c r="AS3877" s="15"/>
      <c r="AT3877" s="15"/>
      <c r="AU3877" s="15"/>
      <c r="AV3877" s="15"/>
      <c r="AW3877" s="15"/>
    </row>
    <row r="3878" spans="3:49" x14ac:dyDescent="0.2">
      <c r="C3878" s="15"/>
      <c r="D3878" s="15"/>
      <c r="E3878" s="15"/>
      <c r="F3878" s="15"/>
      <c r="G3878" s="15"/>
      <c r="H3878" s="15"/>
      <c r="I3878" s="15"/>
      <c r="J3878" s="15"/>
      <c r="K3878" s="15"/>
      <c r="L3878" s="28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  <c r="AA3878" s="15"/>
      <c r="AB3878" s="15"/>
      <c r="AC3878" s="15"/>
      <c r="AD3878" s="15"/>
      <c r="AE3878" s="15"/>
      <c r="AF3878" s="15"/>
      <c r="AG3878" s="15"/>
      <c r="AH3878" s="15"/>
      <c r="AI3878" s="15"/>
      <c r="AJ3878" s="15"/>
      <c r="AK3878" s="15"/>
      <c r="AL3878" s="15"/>
      <c r="AM3878" s="15"/>
      <c r="AN3878" s="15"/>
      <c r="AO3878" s="15"/>
      <c r="AP3878" s="15"/>
      <c r="AQ3878" s="15"/>
      <c r="AR3878" s="15"/>
      <c r="AS3878" s="15"/>
      <c r="AT3878" s="15"/>
      <c r="AU3878" s="15"/>
      <c r="AV3878" s="15"/>
      <c r="AW3878" s="15"/>
    </row>
    <row r="3879" spans="3:49" x14ac:dyDescent="0.2">
      <c r="C3879" s="15"/>
      <c r="D3879" s="15"/>
      <c r="E3879" s="15"/>
      <c r="F3879" s="15"/>
      <c r="G3879" s="15"/>
      <c r="H3879" s="15"/>
      <c r="I3879" s="15"/>
      <c r="J3879" s="15"/>
      <c r="K3879" s="15"/>
      <c r="L3879" s="28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  <c r="AA3879" s="15"/>
      <c r="AB3879" s="15"/>
      <c r="AC3879" s="15"/>
      <c r="AD3879" s="15"/>
      <c r="AE3879" s="15"/>
      <c r="AF3879" s="15"/>
      <c r="AG3879" s="15"/>
      <c r="AH3879" s="15"/>
      <c r="AI3879" s="15"/>
      <c r="AJ3879" s="15"/>
      <c r="AK3879" s="15"/>
      <c r="AL3879" s="15"/>
      <c r="AM3879" s="15"/>
      <c r="AN3879" s="15"/>
      <c r="AO3879" s="15"/>
      <c r="AP3879" s="15"/>
      <c r="AQ3879" s="15"/>
      <c r="AR3879" s="15"/>
      <c r="AS3879" s="15"/>
      <c r="AT3879" s="15"/>
      <c r="AU3879" s="15"/>
      <c r="AV3879" s="15"/>
      <c r="AW3879" s="15"/>
    </row>
    <row r="3880" spans="3:49" x14ac:dyDescent="0.2">
      <c r="C3880" s="15"/>
      <c r="D3880" s="15"/>
      <c r="E3880" s="15"/>
      <c r="F3880" s="15"/>
      <c r="G3880" s="15"/>
      <c r="H3880" s="15"/>
      <c r="I3880" s="15"/>
      <c r="J3880" s="15"/>
      <c r="K3880" s="15"/>
      <c r="L3880" s="28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  <c r="AA3880" s="15"/>
      <c r="AB3880" s="15"/>
      <c r="AC3880" s="15"/>
      <c r="AD3880" s="15"/>
      <c r="AE3880" s="15"/>
      <c r="AF3880" s="15"/>
      <c r="AG3880" s="15"/>
      <c r="AH3880" s="15"/>
      <c r="AI3880" s="15"/>
      <c r="AJ3880" s="15"/>
      <c r="AK3880" s="15"/>
      <c r="AL3880" s="15"/>
      <c r="AM3880" s="15"/>
      <c r="AN3880" s="15"/>
      <c r="AO3880" s="15"/>
      <c r="AP3880" s="15"/>
      <c r="AQ3880" s="15"/>
      <c r="AR3880" s="15"/>
      <c r="AS3880" s="15"/>
      <c r="AT3880" s="15"/>
      <c r="AU3880" s="15"/>
      <c r="AV3880" s="15"/>
      <c r="AW3880" s="15"/>
    </row>
    <row r="3881" spans="3:49" x14ac:dyDescent="0.2">
      <c r="C3881" s="15"/>
      <c r="D3881" s="15"/>
      <c r="E3881" s="15"/>
      <c r="F3881" s="15"/>
      <c r="G3881" s="15"/>
      <c r="H3881" s="15"/>
      <c r="I3881" s="15"/>
      <c r="J3881" s="15"/>
      <c r="K3881" s="15"/>
      <c r="L3881" s="28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  <c r="AA3881" s="15"/>
      <c r="AB3881" s="15"/>
      <c r="AC3881" s="15"/>
      <c r="AD3881" s="15"/>
      <c r="AE3881" s="15"/>
      <c r="AF3881" s="15"/>
      <c r="AG3881" s="15"/>
      <c r="AH3881" s="15"/>
      <c r="AI3881" s="15"/>
      <c r="AJ3881" s="15"/>
      <c r="AK3881" s="15"/>
      <c r="AL3881" s="15"/>
      <c r="AM3881" s="15"/>
      <c r="AN3881" s="15"/>
      <c r="AO3881" s="15"/>
      <c r="AP3881" s="15"/>
      <c r="AQ3881" s="15"/>
      <c r="AR3881" s="15"/>
      <c r="AS3881" s="15"/>
      <c r="AT3881" s="15"/>
      <c r="AU3881" s="15"/>
      <c r="AV3881" s="15"/>
      <c r="AW3881" s="15"/>
    </row>
    <row r="3882" spans="3:49" x14ac:dyDescent="0.2">
      <c r="C3882" s="15"/>
      <c r="D3882" s="15"/>
      <c r="E3882" s="15"/>
      <c r="F3882" s="15"/>
      <c r="G3882" s="15"/>
      <c r="H3882" s="15"/>
      <c r="I3882" s="15"/>
      <c r="J3882" s="15"/>
      <c r="K3882" s="15"/>
      <c r="L3882" s="28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  <c r="AA3882" s="15"/>
      <c r="AB3882" s="15"/>
      <c r="AC3882" s="15"/>
      <c r="AD3882" s="15"/>
      <c r="AE3882" s="15"/>
      <c r="AF3882" s="15"/>
      <c r="AG3882" s="15"/>
      <c r="AH3882" s="15"/>
      <c r="AI3882" s="15"/>
      <c r="AJ3882" s="15"/>
      <c r="AK3882" s="15"/>
      <c r="AL3882" s="15"/>
      <c r="AM3882" s="15"/>
      <c r="AN3882" s="15"/>
      <c r="AO3882" s="15"/>
      <c r="AP3882" s="15"/>
      <c r="AQ3882" s="15"/>
      <c r="AR3882" s="15"/>
      <c r="AS3882" s="15"/>
      <c r="AT3882" s="15"/>
      <c r="AU3882" s="15"/>
      <c r="AV3882" s="15"/>
      <c r="AW3882" s="15"/>
    </row>
    <row r="3883" spans="3:49" x14ac:dyDescent="0.2">
      <c r="C3883" s="15"/>
      <c r="D3883" s="15"/>
      <c r="E3883" s="15"/>
      <c r="F3883" s="15"/>
      <c r="G3883" s="15"/>
      <c r="H3883" s="15"/>
      <c r="I3883" s="15"/>
      <c r="J3883" s="15"/>
      <c r="K3883" s="15"/>
      <c r="L3883" s="28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  <c r="AA3883" s="15"/>
      <c r="AB3883" s="15"/>
      <c r="AC3883" s="15"/>
      <c r="AD3883" s="15"/>
      <c r="AE3883" s="15"/>
      <c r="AF3883" s="15"/>
      <c r="AG3883" s="15"/>
      <c r="AH3883" s="15"/>
      <c r="AI3883" s="15"/>
      <c r="AJ3883" s="15"/>
      <c r="AK3883" s="15"/>
      <c r="AL3883" s="15"/>
      <c r="AM3883" s="15"/>
      <c r="AN3883" s="15"/>
      <c r="AO3883" s="15"/>
      <c r="AP3883" s="15"/>
      <c r="AQ3883" s="15"/>
      <c r="AR3883" s="15"/>
      <c r="AS3883" s="15"/>
      <c r="AT3883" s="15"/>
      <c r="AU3883" s="15"/>
      <c r="AV3883" s="15"/>
      <c r="AW3883" s="15"/>
    </row>
    <row r="3884" spans="3:49" x14ac:dyDescent="0.2">
      <c r="C3884" s="15"/>
      <c r="D3884" s="15"/>
      <c r="E3884" s="15"/>
      <c r="F3884" s="15"/>
      <c r="G3884" s="15"/>
      <c r="H3884" s="15"/>
      <c r="I3884" s="15"/>
      <c r="J3884" s="15"/>
      <c r="K3884" s="15"/>
      <c r="L3884" s="28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  <c r="AA3884" s="15"/>
      <c r="AB3884" s="15"/>
      <c r="AC3884" s="15"/>
      <c r="AD3884" s="15"/>
      <c r="AE3884" s="15"/>
      <c r="AF3884" s="15"/>
      <c r="AG3884" s="15"/>
      <c r="AH3884" s="15"/>
      <c r="AI3884" s="15"/>
      <c r="AJ3884" s="15"/>
      <c r="AK3884" s="15"/>
      <c r="AL3884" s="15"/>
      <c r="AM3884" s="15"/>
      <c r="AN3884" s="15"/>
      <c r="AO3884" s="15"/>
      <c r="AP3884" s="15"/>
      <c r="AQ3884" s="15"/>
      <c r="AR3884" s="15"/>
      <c r="AS3884" s="15"/>
      <c r="AT3884" s="15"/>
      <c r="AU3884" s="15"/>
      <c r="AV3884" s="15"/>
      <c r="AW3884" s="15"/>
    </row>
    <row r="3885" spans="3:49" x14ac:dyDescent="0.2">
      <c r="C3885" s="15"/>
      <c r="D3885" s="15"/>
      <c r="E3885" s="15"/>
      <c r="F3885" s="15"/>
      <c r="G3885" s="15"/>
      <c r="H3885" s="15"/>
      <c r="I3885" s="15"/>
      <c r="J3885" s="15"/>
      <c r="K3885" s="15"/>
      <c r="L3885" s="28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  <c r="AA3885" s="15"/>
      <c r="AB3885" s="15"/>
      <c r="AC3885" s="15"/>
      <c r="AD3885" s="15"/>
      <c r="AE3885" s="15"/>
      <c r="AF3885" s="15"/>
      <c r="AG3885" s="15"/>
      <c r="AH3885" s="15"/>
      <c r="AI3885" s="15"/>
      <c r="AJ3885" s="15"/>
      <c r="AK3885" s="15"/>
      <c r="AL3885" s="15"/>
      <c r="AM3885" s="15"/>
      <c r="AN3885" s="15"/>
      <c r="AO3885" s="15"/>
      <c r="AP3885" s="15"/>
      <c r="AQ3885" s="15"/>
      <c r="AR3885" s="15"/>
      <c r="AS3885" s="15"/>
      <c r="AT3885" s="15"/>
      <c r="AU3885" s="15"/>
      <c r="AV3885" s="15"/>
      <c r="AW3885" s="15"/>
    </row>
    <row r="3886" spans="3:49" x14ac:dyDescent="0.2">
      <c r="C3886" s="15"/>
      <c r="D3886" s="15"/>
      <c r="E3886" s="15"/>
      <c r="F3886" s="15"/>
      <c r="G3886" s="15"/>
      <c r="H3886" s="15"/>
      <c r="I3886" s="15"/>
      <c r="J3886" s="15"/>
      <c r="K3886" s="15"/>
      <c r="L3886" s="28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  <c r="AA3886" s="15"/>
      <c r="AB3886" s="15"/>
      <c r="AC3886" s="15"/>
      <c r="AD3886" s="15"/>
      <c r="AE3886" s="15"/>
      <c r="AF3886" s="15"/>
      <c r="AG3886" s="15"/>
      <c r="AH3886" s="15"/>
      <c r="AI3886" s="15"/>
      <c r="AJ3886" s="15"/>
      <c r="AK3886" s="15"/>
      <c r="AL3886" s="15"/>
      <c r="AM3886" s="15"/>
      <c r="AN3886" s="15"/>
      <c r="AO3886" s="15"/>
      <c r="AP3886" s="15"/>
      <c r="AQ3886" s="15"/>
      <c r="AR3886" s="15"/>
      <c r="AS3886" s="15"/>
      <c r="AT3886" s="15"/>
      <c r="AU3886" s="15"/>
      <c r="AV3886" s="15"/>
      <c r="AW3886" s="15"/>
    </row>
    <row r="3887" spans="3:49" x14ac:dyDescent="0.2">
      <c r="C3887" s="15"/>
      <c r="D3887" s="15"/>
      <c r="E3887" s="15"/>
      <c r="F3887" s="15"/>
      <c r="G3887" s="15"/>
      <c r="H3887" s="15"/>
      <c r="I3887" s="15"/>
      <c r="J3887" s="15"/>
      <c r="K3887" s="15"/>
      <c r="L3887" s="28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  <c r="AA3887" s="15"/>
      <c r="AB3887" s="15"/>
      <c r="AC3887" s="15"/>
      <c r="AD3887" s="15"/>
      <c r="AE3887" s="15"/>
      <c r="AF3887" s="15"/>
      <c r="AG3887" s="15"/>
      <c r="AH3887" s="15"/>
      <c r="AI3887" s="15"/>
      <c r="AJ3887" s="15"/>
      <c r="AK3887" s="15"/>
      <c r="AL3887" s="15"/>
      <c r="AM3887" s="15"/>
      <c r="AN3887" s="15"/>
      <c r="AO3887" s="15"/>
      <c r="AP3887" s="15"/>
      <c r="AQ3887" s="15"/>
      <c r="AR3887" s="15"/>
      <c r="AS3887" s="15"/>
      <c r="AT3887" s="15"/>
      <c r="AU3887" s="15"/>
      <c r="AV3887" s="15"/>
      <c r="AW3887" s="15"/>
    </row>
    <row r="3888" spans="3:49" x14ac:dyDescent="0.2">
      <c r="C3888" s="15"/>
      <c r="D3888" s="15"/>
      <c r="E3888" s="15"/>
      <c r="F3888" s="15"/>
      <c r="G3888" s="15"/>
      <c r="H3888" s="15"/>
      <c r="I3888" s="15"/>
      <c r="J3888" s="15"/>
      <c r="K3888" s="15"/>
      <c r="L3888" s="28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  <c r="AA3888" s="15"/>
      <c r="AB3888" s="15"/>
      <c r="AC3888" s="15"/>
      <c r="AD3888" s="15"/>
      <c r="AE3888" s="15"/>
      <c r="AF3888" s="15"/>
      <c r="AG3888" s="15"/>
      <c r="AH3888" s="15"/>
      <c r="AI3888" s="15"/>
      <c r="AJ3888" s="15"/>
      <c r="AK3888" s="15"/>
      <c r="AL3888" s="15"/>
      <c r="AM3888" s="15"/>
      <c r="AN3888" s="15"/>
      <c r="AO3888" s="15"/>
      <c r="AP3888" s="15"/>
      <c r="AQ3888" s="15"/>
      <c r="AR3888" s="15"/>
      <c r="AS3888" s="15"/>
      <c r="AT3888" s="15"/>
      <c r="AU3888" s="15"/>
      <c r="AV3888" s="15"/>
      <c r="AW3888" s="15"/>
    </row>
    <row r="3889" spans="3:49" x14ac:dyDescent="0.2">
      <c r="C3889" s="15"/>
      <c r="D3889" s="15"/>
      <c r="E3889" s="15"/>
      <c r="F3889" s="15"/>
      <c r="G3889" s="15"/>
      <c r="H3889" s="15"/>
      <c r="I3889" s="15"/>
      <c r="J3889" s="15"/>
      <c r="K3889" s="15"/>
      <c r="L3889" s="28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  <c r="AA3889" s="15"/>
      <c r="AB3889" s="15"/>
      <c r="AC3889" s="15"/>
      <c r="AD3889" s="15"/>
      <c r="AE3889" s="15"/>
      <c r="AF3889" s="15"/>
      <c r="AG3889" s="15"/>
      <c r="AH3889" s="15"/>
      <c r="AI3889" s="15"/>
      <c r="AJ3889" s="15"/>
      <c r="AK3889" s="15"/>
      <c r="AL3889" s="15"/>
      <c r="AM3889" s="15"/>
      <c r="AN3889" s="15"/>
      <c r="AO3889" s="15"/>
      <c r="AP3889" s="15"/>
      <c r="AQ3889" s="15"/>
      <c r="AR3889" s="15"/>
      <c r="AS3889" s="15"/>
      <c r="AT3889" s="15"/>
      <c r="AU3889" s="15"/>
      <c r="AV3889" s="15"/>
      <c r="AW3889" s="15"/>
    </row>
    <row r="3890" spans="3:49" x14ac:dyDescent="0.2">
      <c r="C3890" s="15"/>
      <c r="D3890" s="15"/>
      <c r="E3890" s="15"/>
      <c r="F3890" s="15"/>
      <c r="G3890" s="15"/>
      <c r="H3890" s="15"/>
      <c r="I3890" s="15"/>
      <c r="J3890" s="15"/>
      <c r="K3890" s="15"/>
      <c r="L3890" s="28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  <c r="AA3890" s="15"/>
      <c r="AB3890" s="15"/>
      <c r="AC3890" s="15"/>
      <c r="AD3890" s="15"/>
      <c r="AE3890" s="15"/>
      <c r="AF3890" s="15"/>
      <c r="AG3890" s="15"/>
      <c r="AH3890" s="15"/>
      <c r="AI3890" s="15"/>
      <c r="AJ3890" s="15"/>
      <c r="AK3890" s="15"/>
      <c r="AL3890" s="15"/>
      <c r="AM3890" s="15"/>
      <c r="AN3890" s="15"/>
      <c r="AO3890" s="15"/>
      <c r="AP3890" s="15"/>
      <c r="AQ3890" s="15"/>
      <c r="AR3890" s="15"/>
      <c r="AS3890" s="15"/>
      <c r="AT3890" s="15"/>
      <c r="AU3890" s="15"/>
      <c r="AV3890" s="15"/>
      <c r="AW3890" s="15"/>
    </row>
    <row r="3891" spans="3:49" x14ac:dyDescent="0.2">
      <c r="C3891" s="15"/>
      <c r="D3891" s="15"/>
      <c r="E3891" s="15"/>
      <c r="F3891" s="15"/>
      <c r="G3891" s="15"/>
      <c r="H3891" s="15"/>
      <c r="I3891" s="15"/>
      <c r="J3891" s="15"/>
      <c r="K3891" s="15"/>
      <c r="L3891" s="28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  <c r="AA3891" s="15"/>
      <c r="AB3891" s="15"/>
      <c r="AC3891" s="15"/>
      <c r="AD3891" s="15"/>
      <c r="AE3891" s="15"/>
      <c r="AF3891" s="15"/>
      <c r="AG3891" s="15"/>
      <c r="AH3891" s="15"/>
      <c r="AI3891" s="15"/>
      <c r="AJ3891" s="15"/>
      <c r="AK3891" s="15"/>
      <c r="AL3891" s="15"/>
      <c r="AM3891" s="15"/>
      <c r="AN3891" s="15"/>
      <c r="AO3891" s="15"/>
      <c r="AP3891" s="15"/>
      <c r="AQ3891" s="15"/>
      <c r="AR3891" s="15"/>
      <c r="AS3891" s="15"/>
      <c r="AT3891" s="15"/>
      <c r="AU3891" s="15"/>
      <c r="AV3891" s="15"/>
      <c r="AW3891" s="15"/>
    </row>
    <row r="3892" spans="3:49" x14ac:dyDescent="0.2">
      <c r="C3892" s="15"/>
      <c r="D3892" s="15"/>
      <c r="E3892" s="15"/>
      <c r="F3892" s="15"/>
      <c r="G3892" s="15"/>
      <c r="H3892" s="15"/>
      <c r="I3892" s="15"/>
      <c r="J3892" s="15"/>
      <c r="K3892" s="15"/>
      <c r="L3892" s="28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  <c r="AA3892" s="15"/>
      <c r="AB3892" s="15"/>
      <c r="AC3892" s="15"/>
      <c r="AD3892" s="15"/>
      <c r="AE3892" s="15"/>
      <c r="AF3892" s="15"/>
      <c r="AG3892" s="15"/>
      <c r="AH3892" s="15"/>
      <c r="AI3892" s="15"/>
      <c r="AJ3892" s="15"/>
      <c r="AK3892" s="15"/>
      <c r="AL3892" s="15"/>
      <c r="AM3892" s="15"/>
      <c r="AN3892" s="15"/>
      <c r="AO3892" s="15"/>
      <c r="AP3892" s="15"/>
      <c r="AQ3892" s="15"/>
      <c r="AR3892" s="15"/>
      <c r="AS3892" s="15"/>
      <c r="AT3892" s="15"/>
      <c r="AU3892" s="15"/>
      <c r="AV3892" s="15"/>
      <c r="AW3892" s="15"/>
    </row>
    <row r="3893" spans="3:49" x14ac:dyDescent="0.2">
      <c r="C3893" s="15"/>
      <c r="D3893" s="15"/>
      <c r="E3893" s="15"/>
      <c r="F3893" s="15"/>
      <c r="G3893" s="15"/>
      <c r="H3893" s="15"/>
      <c r="I3893" s="15"/>
      <c r="J3893" s="15"/>
      <c r="K3893" s="15"/>
      <c r="L3893" s="28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  <c r="AA3893" s="15"/>
      <c r="AB3893" s="15"/>
      <c r="AC3893" s="15"/>
      <c r="AD3893" s="15"/>
      <c r="AE3893" s="15"/>
      <c r="AF3893" s="15"/>
      <c r="AG3893" s="15"/>
      <c r="AH3893" s="15"/>
      <c r="AI3893" s="15"/>
      <c r="AJ3893" s="15"/>
      <c r="AK3893" s="15"/>
      <c r="AL3893" s="15"/>
      <c r="AM3893" s="15"/>
      <c r="AN3893" s="15"/>
      <c r="AO3893" s="15"/>
      <c r="AP3893" s="15"/>
      <c r="AQ3893" s="15"/>
      <c r="AR3893" s="15"/>
      <c r="AS3893" s="15"/>
      <c r="AT3893" s="15"/>
      <c r="AU3893" s="15"/>
      <c r="AV3893" s="15"/>
      <c r="AW3893" s="15"/>
    </row>
    <row r="3894" spans="3:49" x14ac:dyDescent="0.2">
      <c r="C3894" s="15"/>
      <c r="D3894" s="15"/>
      <c r="E3894" s="15"/>
      <c r="F3894" s="15"/>
      <c r="G3894" s="15"/>
      <c r="H3894" s="15"/>
      <c r="I3894" s="15"/>
      <c r="J3894" s="15"/>
      <c r="K3894" s="15"/>
      <c r="L3894" s="28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  <c r="AA3894" s="15"/>
      <c r="AB3894" s="15"/>
      <c r="AC3894" s="15"/>
      <c r="AD3894" s="15"/>
      <c r="AE3894" s="15"/>
      <c r="AF3894" s="15"/>
      <c r="AG3894" s="15"/>
      <c r="AH3894" s="15"/>
      <c r="AI3894" s="15"/>
      <c r="AJ3894" s="15"/>
      <c r="AK3894" s="15"/>
      <c r="AL3894" s="15"/>
      <c r="AM3894" s="15"/>
      <c r="AN3894" s="15"/>
      <c r="AO3894" s="15"/>
      <c r="AP3894" s="15"/>
      <c r="AQ3894" s="15"/>
      <c r="AR3894" s="15"/>
      <c r="AS3894" s="15"/>
      <c r="AT3894" s="15"/>
      <c r="AU3894" s="15"/>
      <c r="AV3894" s="15"/>
      <c r="AW3894" s="15"/>
    </row>
    <row r="3895" spans="3:49" x14ac:dyDescent="0.2">
      <c r="C3895" s="15"/>
      <c r="D3895" s="15"/>
      <c r="E3895" s="15"/>
      <c r="F3895" s="15"/>
      <c r="G3895" s="15"/>
      <c r="H3895" s="15"/>
      <c r="I3895" s="15"/>
      <c r="J3895" s="15"/>
      <c r="K3895" s="15"/>
      <c r="L3895" s="28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  <c r="AA3895" s="15"/>
      <c r="AB3895" s="15"/>
      <c r="AC3895" s="15"/>
      <c r="AD3895" s="15"/>
      <c r="AE3895" s="15"/>
      <c r="AF3895" s="15"/>
      <c r="AG3895" s="15"/>
      <c r="AH3895" s="15"/>
      <c r="AI3895" s="15"/>
      <c r="AJ3895" s="15"/>
      <c r="AK3895" s="15"/>
      <c r="AL3895" s="15"/>
      <c r="AM3895" s="15"/>
      <c r="AN3895" s="15"/>
      <c r="AO3895" s="15"/>
      <c r="AP3895" s="15"/>
      <c r="AQ3895" s="15"/>
      <c r="AR3895" s="15"/>
      <c r="AS3895" s="15"/>
      <c r="AT3895" s="15"/>
      <c r="AU3895" s="15"/>
      <c r="AV3895" s="15"/>
      <c r="AW3895" s="15"/>
    </row>
    <row r="3896" spans="3:49" x14ac:dyDescent="0.2">
      <c r="C3896" s="15"/>
      <c r="D3896" s="15"/>
      <c r="E3896" s="15"/>
      <c r="F3896" s="15"/>
      <c r="G3896" s="15"/>
      <c r="H3896" s="15"/>
      <c r="I3896" s="15"/>
      <c r="J3896" s="15"/>
      <c r="K3896" s="15"/>
      <c r="L3896" s="28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  <c r="AA3896" s="15"/>
      <c r="AB3896" s="15"/>
      <c r="AC3896" s="15"/>
      <c r="AD3896" s="15"/>
      <c r="AE3896" s="15"/>
      <c r="AF3896" s="15"/>
      <c r="AG3896" s="15"/>
      <c r="AH3896" s="15"/>
      <c r="AI3896" s="15"/>
      <c r="AJ3896" s="15"/>
      <c r="AK3896" s="15"/>
      <c r="AL3896" s="15"/>
      <c r="AM3896" s="15"/>
      <c r="AN3896" s="15"/>
      <c r="AO3896" s="15"/>
      <c r="AP3896" s="15"/>
      <c r="AQ3896" s="15"/>
      <c r="AR3896" s="15"/>
      <c r="AS3896" s="15"/>
      <c r="AT3896" s="15"/>
      <c r="AU3896" s="15"/>
      <c r="AV3896" s="15"/>
      <c r="AW3896" s="15"/>
    </row>
    <row r="3897" spans="3:49" x14ac:dyDescent="0.2">
      <c r="C3897" s="15"/>
      <c r="D3897" s="15"/>
      <c r="E3897" s="15"/>
      <c r="F3897" s="15"/>
      <c r="G3897" s="15"/>
      <c r="H3897" s="15"/>
      <c r="I3897" s="15"/>
      <c r="J3897" s="15"/>
      <c r="K3897" s="15"/>
      <c r="L3897" s="28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  <c r="AA3897" s="15"/>
      <c r="AB3897" s="15"/>
      <c r="AC3897" s="15"/>
      <c r="AD3897" s="15"/>
      <c r="AE3897" s="15"/>
      <c r="AF3897" s="15"/>
      <c r="AG3897" s="15"/>
      <c r="AH3897" s="15"/>
      <c r="AI3897" s="15"/>
      <c r="AJ3897" s="15"/>
      <c r="AK3897" s="15"/>
      <c r="AL3897" s="15"/>
      <c r="AM3897" s="15"/>
      <c r="AN3897" s="15"/>
      <c r="AO3897" s="15"/>
      <c r="AP3897" s="15"/>
      <c r="AQ3897" s="15"/>
      <c r="AR3897" s="15"/>
      <c r="AS3897" s="15"/>
      <c r="AT3897" s="15"/>
      <c r="AU3897" s="15"/>
      <c r="AV3897" s="15"/>
      <c r="AW3897" s="15"/>
    </row>
    <row r="3898" spans="3:49" x14ac:dyDescent="0.2">
      <c r="C3898" s="15"/>
      <c r="D3898" s="15"/>
      <c r="E3898" s="15"/>
      <c r="F3898" s="15"/>
      <c r="G3898" s="15"/>
      <c r="H3898" s="15"/>
      <c r="I3898" s="15"/>
      <c r="J3898" s="15"/>
      <c r="K3898" s="15"/>
      <c r="L3898" s="28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  <c r="AA3898" s="15"/>
      <c r="AB3898" s="15"/>
      <c r="AC3898" s="15"/>
      <c r="AD3898" s="15"/>
      <c r="AE3898" s="15"/>
      <c r="AF3898" s="15"/>
      <c r="AG3898" s="15"/>
      <c r="AH3898" s="15"/>
      <c r="AI3898" s="15"/>
      <c r="AJ3898" s="15"/>
      <c r="AK3898" s="15"/>
      <c r="AL3898" s="15"/>
      <c r="AM3898" s="15"/>
      <c r="AN3898" s="15"/>
      <c r="AO3898" s="15"/>
      <c r="AP3898" s="15"/>
      <c r="AQ3898" s="15"/>
      <c r="AR3898" s="15"/>
      <c r="AS3898" s="15"/>
      <c r="AT3898" s="15"/>
      <c r="AU3898" s="15"/>
      <c r="AV3898" s="15"/>
      <c r="AW3898" s="15"/>
    </row>
    <row r="3899" spans="3:49" x14ac:dyDescent="0.2">
      <c r="C3899" s="15"/>
      <c r="D3899" s="15"/>
      <c r="E3899" s="15"/>
      <c r="F3899" s="15"/>
      <c r="G3899" s="15"/>
      <c r="H3899" s="15"/>
      <c r="I3899" s="15"/>
      <c r="J3899" s="15"/>
      <c r="K3899" s="15"/>
      <c r="L3899" s="28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  <c r="AA3899" s="15"/>
      <c r="AB3899" s="15"/>
      <c r="AC3899" s="15"/>
      <c r="AD3899" s="15"/>
      <c r="AE3899" s="15"/>
      <c r="AF3899" s="15"/>
      <c r="AG3899" s="15"/>
      <c r="AH3899" s="15"/>
      <c r="AI3899" s="15"/>
      <c r="AJ3899" s="15"/>
      <c r="AK3899" s="15"/>
      <c r="AL3899" s="15"/>
      <c r="AM3899" s="15"/>
      <c r="AN3899" s="15"/>
      <c r="AO3899" s="15"/>
      <c r="AP3899" s="15"/>
      <c r="AQ3899" s="15"/>
      <c r="AR3899" s="15"/>
      <c r="AS3899" s="15"/>
      <c r="AT3899" s="15"/>
      <c r="AU3899" s="15"/>
      <c r="AV3899" s="15"/>
      <c r="AW3899" s="15"/>
    </row>
    <row r="3900" spans="3:49" x14ac:dyDescent="0.2">
      <c r="C3900" s="15"/>
      <c r="D3900" s="15"/>
      <c r="E3900" s="15"/>
      <c r="F3900" s="15"/>
      <c r="G3900" s="15"/>
      <c r="H3900" s="15"/>
      <c r="I3900" s="15"/>
      <c r="J3900" s="15"/>
      <c r="K3900" s="15"/>
      <c r="L3900" s="28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  <c r="AA3900" s="15"/>
      <c r="AB3900" s="15"/>
      <c r="AC3900" s="15"/>
      <c r="AD3900" s="15"/>
      <c r="AE3900" s="15"/>
      <c r="AF3900" s="15"/>
      <c r="AG3900" s="15"/>
      <c r="AH3900" s="15"/>
      <c r="AI3900" s="15"/>
      <c r="AJ3900" s="15"/>
      <c r="AK3900" s="15"/>
      <c r="AL3900" s="15"/>
      <c r="AM3900" s="15"/>
      <c r="AN3900" s="15"/>
      <c r="AO3900" s="15"/>
      <c r="AP3900" s="15"/>
      <c r="AQ3900" s="15"/>
      <c r="AR3900" s="15"/>
      <c r="AS3900" s="15"/>
      <c r="AT3900" s="15"/>
      <c r="AU3900" s="15"/>
      <c r="AV3900" s="15"/>
      <c r="AW3900" s="15"/>
    </row>
    <row r="3901" spans="3:49" x14ac:dyDescent="0.2">
      <c r="C3901" s="15"/>
      <c r="D3901" s="15"/>
      <c r="E3901" s="15"/>
      <c r="F3901" s="15"/>
      <c r="G3901" s="15"/>
      <c r="H3901" s="15"/>
      <c r="I3901" s="15"/>
      <c r="J3901" s="15"/>
      <c r="K3901" s="15"/>
      <c r="L3901" s="28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  <c r="AA3901" s="15"/>
      <c r="AB3901" s="15"/>
      <c r="AC3901" s="15"/>
      <c r="AD3901" s="15"/>
      <c r="AE3901" s="15"/>
      <c r="AF3901" s="15"/>
      <c r="AG3901" s="15"/>
      <c r="AH3901" s="15"/>
      <c r="AI3901" s="15"/>
      <c r="AJ3901" s="15"/>
      <c r="AK3901" s="15"/>
      <c r="AL3901" s="15"/>
      <c r="AM3901" s="15"/>
      <c r="AN3901" s="15"/>
      <c r="AO3901" s="15"/>
      <c r="AP3901" s="15"/>
      <c r="AQ3901" s="15"/>
      <c r="AR3901" s="15"/>
      <c r="AS3901" s="15"/>
      <c r="AT3901" s="15"/>
      <c r="AU3901" s="15"/>
      <c r="AV3901" s="15"/>
      <c r="AW3901" s="15"/>
    </row>
    <row r="3902" spans="3:49" x14ac:dyDescent="0.2">
      <c r="C3902" s="15"/>
      <c r="D3902" s="15"/>
      <c r="E3902" s="15"/>
      <c r="F3902" s="15"/>
      <c r="G3902" s="15"/>
      <c r="H3902" s="15"/>
      <c r="I3902" s="15"/>
      <c r="J3902" s="15"/>
      <c r="K3902" s="15"/>
      <c r="L3902" s="28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  <c r="AA3902" s="15"/>
      <c r="AB3902" s="15"/>
      <c r="AC3902" s="15"/>
      <c r="AD3902" s="15"/>
      <c r="AE3902" s="15"/>
      <c r="AF3902" s="15"/>
      <c r="AG3902" s="15"/>
      <c r="AH3902" s="15"/>
      <c r="AI3902" s="15"/>
      <c r="AJ3902" s="15"/>
      <c r="AK3902" s="15"/>
      <c r="AL3902" s="15"/>
      <c r="AM3902" s="15"/>
      <c r="AN3902" s="15"/>
      <c r="AO3902" s="15"/>
      <c r="AP3902" s="15"/>
      <c r="AQ3902" s="15"/>
      <c r="AR3902" s="15"/>
      <c r="AS3902" s="15"/>
      <c r="AT3902" s="15"/>
      <c r="AU3902" s="15"/>
      <c r="AV3902" s="15"/>
      <c r="AW3902" s="15"/>
    </row>
    <row r="3903" spans="3:49" x14ac:dyDescent="0.2">
      <c r="C3903" s="15"/>
      <c r="D3903" s="15"/>
      <c r="E3903" s="15"/>
      <c r="F3903" s="15"/>
      <c r="G3903" s="15"/>
      <c r="H3903" s="15"/>
      <c r="I3903" s="15"/>
      <c r="J3903" s="15"/>
      <c r="K3903" s="15"/>
      <c r="L3903" s="28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  <c r="AA3903" s="15"/>
      <c r="AB3903" s="15"/>
      <c r="AC3903" s="15"/>
      <c r="AD3903" s="15"/>
      <c r="AE3903" s="15"/>
      <c r="AF3903" s="15"/>
      <c r="AG3903" s="15"/>
      <c r="AH3903" s="15"/>
      <c r="AI3903" s="15"/>
      <c r="AJ3903" s="15"/>
      <c r="AK3903" s="15"/>
      <c r="AL3903" s="15"/>
      <c r="AM3903" s="15"/>
      <c r="AN3903" s="15"/>
      <c r="AO3903" s="15"/>
      <c r="AP3903" s="15"/>
      <c r="AQ3903" s="15"/>
      <c r="AR3903" s="15"/>
      <c r="AS3903" s="15"/>
      <c r="AT3903" s="15"/>
      <c r="AU3903" s="15"/>
      <c r="AV3903" s="15"/>
      <c r="AW3903" s="15"/>
    </row>
    <row r="3904" spans="3:49" x14ac:dyDescent="0.2">
      <c r="C3904" s="15"/>
      <c r="D3904" s="15"/>
      <c r="E3904" s="15"/>
      <c r="F3904" s="15"/>
      <c r="G3904" s="15"/>
      <c r="H3904" s="15"/>
      <c r="I3904" s="15"/>
      <c r="J3904" s="15"/>
      <c r="K3904" s="15"/>
      <c r="L3904" s="28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  <c r="AA3904" s="15"/>
      <c r="AB3904" s="15"/>
      <c r="AC3904" s="15"/>
      <c r="AD3904" s="15"/>
      <c r="AE3904" s="15"/>
      <c r="AF3904" s="15"/>
      <c r="AG3904" s="15"/>
      <c r="AH3904" s="15"/>
      <c r="AI3904" s="15"/>
      <c r="AJ3904" s="15"/>
      <c r="AK3904" s="15"/>
      <c r="AL3904" s="15"/>
      <c r="AM3904" s="15"/>
      <c r="AN3904" s="15"/>
      <c r="AO3904" s="15"/>
      <c r="AP3904" s="15"/>
      <c r="AQ3904" s="15"/>
      <c r="AR3904" s="15"/>
      <c r="AS3904" s="15"/>
      <c r="AT3904" s="15"/>
      <c r="AU3904" s="15"/>
      <c r="AV3904" s="15"/>
      <c r="AW3904" s="15"/>
    </row>
    <row r="3905" spans="3:49" x14ac:dyDescent="0.2">
      <c r="C3905" s="15"/>
      <c r="D3905" s="15"/>
      <c r="E3905" s="15"/>
      <c r="F3905" s="15"/>
      <c r="G3905" s="15"/>
      <c r="H3905" s="15"/>
      <c r="I3905" s="15"/>
      <c r="J3905" s="15"/>
      <c r="K3905" s="15"/>
      <c r="L3905" s="28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  <c r="AA3905" s="15"/>
      <c r="AB3905" s="15"/>
      <c r="AC3905" s="15"/>
      <c r="AD3905" s="15"/>
      <c r="AE3905" s="15"/>
      <c r="AF3905" s="15"/>
      <c r="AG3905" s="15"/>
      <c r="AH3905" s="15"/>
      <c r="AI3905" s="15"/>
      <c r="AJ3905" s="15"/>
      <c r="AK3905" s="15"/>
      <c r="AL3905" s="15"/>
      <c r="AM3905" s="15"/>
      <c r="AN3905" s="15"/>
      <c r="AO3905" s="15"/>
      <c r="AP3905" s="15"/>
      <c r="AQ3905" s="15"/>
      <c r="AR3905" s="15"/>
      <c r="AS3905" s="15"/>
      <c r="AT3905" s="15"/>
      <c r="AU3905" s="15"/>
      <c r="AV3905" s="15"/>
      <c r="AW3905" s="15"/>
    </row>
    <row r="3906" spans="3:49" x14ac:dyDescent="0.2">
      <c r="C3906" s="15"/>
      <c r="D3906" s="15"/>
      <c r="E3906" s="15"/>
      <c r="F3906" s="15"/>
      <c r="G3906" s="15"/>
      <c r="H3906" s="15"/>
      <c r="I3906" s="15"/>
      <c r="J3906" s="15"/>
      <c r="K3906" s="15"/>
      <c r="L3906" s="28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  <c r="AA3906" s="15"/>
      <c r="AB3906" s="15"/>
      <c r="AC3906" s="15"/>
      <c r="AD3906" s="15"/>
      <c r="AE3906" s="15"/>
      <c r="AF3906" s="15"/>
      <c r="AG3906" s="15"/>
      <c r="AH3906" s="15"/>
      <c r="AI3906" s="15"/>
      <c r="AJ3906" s="15"/>
      <c r="AK3906" s="15"/>
      <c r="AL3906" s="15"/>
      <c r="AM3906" s="15"/>
      <c r="AN3906" s="15"/>
      <c r="AO3906" s="15"/>
      <c r="AP3906" s="15"/>
      <c r="AQ3906" s="15"/>
      <c r="AR3906" s="15"/>
      <c r="AS3906" s="15"/>
      <c r="AT3906" s="15"/>
      <c r="AU3906" s="15"/>
      <c r="AV3906" s="15"/>
      <c r="AW3906" s="15"/>
    </row>
    <row r="3907" spans="3:49" x14ac:dyDescent="0.2">
      <c r="C3907" s="15"/>
      <c r="D3907" s="15"/>
      <c r="E3907" s="15"/>
      <c r="F3907" s="15"/>
      <c r="G3907" s="15"/>
      <c r="H3907" s="15"/>
      <c r="I3907" s="15"/>
      <c r="J3907" s="15"/>
      <c r="K3907" s="15"/>
      <c r="L3907" s="28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  <c r="AA3907" s="15"/>
      <c r="AB3907" s="15"/>
      <c r="AC3907" s="15"/>
      <c r="AD3907" s="15"/>
      <c r="AE3907" s="15"/>
      <c r="AF3907" s="15"/>
      <c r="AG3907" s="15"/>
      <c r="AH3907" s="15"/>
      <c r="AI3907" s="15"/>
      <c r="AJ3907" s="15"/>
      <c r="AK3907" s="15"/>
      <c r="AL3907" s="15"/>
      <c r="AM3907" s="15"/>
      <c r="AN3907" s="15"/>
      <c r="AO3907" s="15"/>
      <c r="AP3907" s="15"/>
      <c r="AQ3907" s="15"/>
      <c r="AR3907" s="15"/>
      <c r="AS3907" s="15"/>
      <c r="AT3907" s="15"/>
      <c r="AU3907" s="15"/>
      <c r="AV3907" s="15"/>
      <c r="AW3907" s="15"/>
    </row>
    <row r="3908" spans="3:49" x14ac:dyDescent="0.2">
      <c r="C3908" s="15"/>
      <c r="D3908" s="15"/>
      <c r="E3908" s="15"/>
      <c r="F3908" s="15"/>
      <c r="G3908" s="15"/>
      <c r="H3908" s="15"/>
      <c r="I3908" s="15"/>
      <c r="J3908" s="15"/>
      <c r="K3908" s="15"/>
      <c r="L3908" s="28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  <c r="AA3908" s="15"/>
      <c r="AB3908" s="15"/>
      <c r="AC3908" s="15"/>
      <c r="AD3908" s="15"/>
      <c r="AE3908" s="15"/>
      <c r="AF3908" s="15"/>
      <c r="AG3908" s="15"/>
      <c r="AH3908" s="15"/>
      <c r="AI3908" s="15"/>
      <c r="AJ3908" s="15"/>
      <c r="AK3908" s="15"/>
      <c r="AL3908" s="15"/>
      <c r="AM3908" s="15"/>
      <c r="AN3908" s="15"/>
      <c r="AO3908" s="15"/>
      <c r="AP3908" s="15"/>
      <c r="AQ3908" s="15"/>
      <c r="AR3908" s="15"/>
      <c r="AS3908" s="15"/>
      <c r="AT3908" s="15"/>
      <c r="AU3908" s="15"/>
      <c r="AV3908" s="15"/>
      <c r="AW3908" s="15"/>
    </row>
    <row r="3909" spans="3:49" x14ac:dyDescent="0.2">
      <c r="C3909" s="15"/>
      <c r="D3909" s="15"/>
      <c r="E3909" s="15"/>
      <c r="F3909" s="15"/>
      <c r="G3909" s="15"/>
      <c r="H3909" s="15"/>
      <c r="I3909" s="15"/>
      <c r="J3909" s="15"/>
      <c r="K3909" s="15"/>
      <c r="L3909" s="28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  <c r="AA3909" s="15"/>
      <c r="AB3909" s="15"/>
      <c r="AC3909" s="15"/>
      <c r="AD3909" s="15"/>
      <c r="AE3909" s="15"/>
      <c r="AF3909" s="15"/>
      <c r="AG3909" s="15"/>
      <c r="AH3909" s="15"/>
      <c r="AI3909" s="15"/>
      <c r="AJ3909" s="15"/>
      <c r="AK3909" s="15"/>
      <c r="AL3909" s="15"/>
      <c r="AM3909" s="15"/>
      <c r="AN3909" s="15"/>
      <c r="AO3909" s="15"/>
      <c r="AP3909" s="15"/>
      <c r="AQ3909" s="15"/>
      <c r="AR3909" s="15"/>
      <c r="AS3909" s="15"/>
      <c r="AT3909" s="15"/>
      <c r="AU3909" s="15"/>
      <c r="AV3909" s="15"/>
      <c r="AW3909" s="15"/>
    </row>
    <row r="3910" spans="3:49" x14ac:dyDescent="0.2">
      <c r="C3910" s="15"/>
      <c r="D3910" s="15"/>
      <c r="E3910" s="15"/>
      <c r="F3910" s="15"/>
      <c r="G3910" s="15"/>
      <c r="H3910" s="15"/>
      <c r="I3910" s="15"/>
      <c r="J3910" s="15"/>
      <c r="K3910" s="15"/>
      <c r="L3910" s="28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  <c r="AA3910" s="15"/>
      <c r="AB3910" s="15"/>
      <c r="AC3910" s="15"/>
      <c r="AD3910" s="15"/>
      <c r="AE3910" s="15"/>
      <c r="AF3910" s="15"/>
      <c r="AG3910" s="15"/>
      <c r="AH3910" s="15"/>
      <c r="AI3910" s="15"/>
      <c r="AJ3910" s="15"/>
      <c r="AK3910" s="15"/>
      <c r="AL3910" s="15"/>
      <c r="AM3910" s="15"/>
      <c r="AN3910" s="15"/>
      <c r="AO3910" s="15"/>
      <c r="AP3910" s="15"/>
      <c r="AQ3910" s="15"/>
      <c r="AR3910" s="15"/>
      <c r="AS3910" s="15"/>
      <c r="AT3910" s="15"/>
      <c r="AU3910" s="15"/>
      <c r="AV3910" s="15"/>
      <c r="AW3910" s="15"/>
    </row>
    <row r="3911" spans="3:49" x14ac:dyDescent="0.2">
      <c r="C3911" s="15"/>
      <c r="D3911" s="15"/>
      <c r="E3911" s="15"/>
      <c r="F3911" s="15"/>
      <c r="G3911" s="15"/>
      <c r="H3911" s="15"/>
      <c r="I3911" s="15"/>
      <c r="J3911" s="15"/>
      <c r="K3911" s="15"/>
      <c r="L3911" s="28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  <c r="AA3911" s="15"/>
      <c r="AB3911" s="15"/>
      <c r="AC3911" s="15"/>
      <c r="AD3911" s="15"/>
      <c r="AE3911" s="15"/>
      <c r="AF3911" s="15"/>
      <c r="AG3911" s="15"/>
      <c r="AH3911" s="15"/>
      <c r="AI3911" s="15"/>
      <c r="AJ3911" s="15"/>
      <c r="AK3911" s="15"/>
      <c r="AL3911" s="15"/>
      <c r="AM3911" s="15"/>
      <c r="AN3911" s="15"/>
      <c r="AO3911" s="15"/>
      <c r="AP3911" s="15"/>
      <c r="AQ3911" s="15"/>
      <c r="AR3911" s="15"/>
      <c r="AS3911" s="15"/>
      <c r="AT3911" s="15"/>
      <c r="AU3911" s="15"/>
      <c r="AV3911" s="15"/>
      <c r="AW3911" s="15"/>
    </row>
    <row r="3912" spans="3:49" x14ac:dyDescent="0.2">
      <c r="C3912" s="15"/>
      <c r="D3912" s="15"/>
      <c r="E3912" s="15"/>
      <c r="F3912" s="15"/>
      <c r="G3912" s="15"/>
      <c r="H3912" s="15"/>
      <c r="I3912" s="15"/>
      <c r="J3912" s="15"/>
      <c r="K3912" s="15"/>
      <c r="L3912" s="28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  <c r="AA3912" s="15"/>
      <c r="AB3912" s="15"/>
      <c r="AC3912" s="15"/>
      <c r="AD3912" s="15"/>
      <c r="AE3912" s="15"/>
      <c r="AF3912" s="15"/>
      <c r="AG3912" s="15"/>
      <c r="AH3912" s="15"/>
      <c r="AI3912" s="15"/>
      <c r="AJ3912" s="15"/>
      <c r="AK3912" s="15"/>
      <c r="AL3912" s="15"/>
      <c r="AM3912" s="15"/>
      <c r="AN3912" s="15"/>
      <c r="AO3912" s="15"/>
      <c r="AP3912" s="15"/>
      <c r="AQ3912" s="15"/>
      <c r="AR3912" s="15"/>
      <c r="AS3912" s="15"/>
      <c r="AT3912" s="15"/>
      <c r="AU3912" s="15"/>
      <c r="AV3912" s="15"/>
      <c r="AW3912" s="15"/>
    </row>
    <row r="3913" spans="3:49" x14ac:dyDescent="0.2">
      <c r="C3913" s="15"/>
      <c r="D3913" s="15"/>
      <c r="E3913" s="15"/>
      <c r="F3913" s="15"/>
      <c r="G3913" s="15"/>
      <c r="H3913" s="15"/>
      <c r="I3913" s="15"/>
      <c r="J3913" s="15"/>
      <c r="K3913" s="15"/>
      <c r="L3913" s="28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  <c r="AA3913" s="15"/>
      <c r="AB3913" s="15"/>
      <c r="AC3913" s="15"/>
      <c r="AD3913" s="15"/>
      <c r="AE3913" s="15"/>
      <c r="AF3913" s="15"/>
      <c r="AG3913" s="15"/>
      <c r="AH3913" s="15"/>
      <c r="AI3913" s="15"/>
      <c r="AJ3913" s="15"/>
      <c r="AK3913" s="15"/>
      <c r="AL3913" s="15"/>
      <c r="AM3913" s="15"/>
      <c r="AN3913" s="15"/>
      <c r="AO3913" s="15"/>
      <c r="AP3913" s="15"/>
      <c r="AQ3913" s="15"/>
      <c r="AR3913" s="15"/>
      <c r="AS3913" s="15"/>
      <c r="AT3913" s="15"/>
      <c r="AU3913" s="15"/>
      <c r="AV3913" s="15"/>
      <c r="AW3913" s="15"/>
    </row>
    <row r="3914" spans="3:49" x14ac:dyDescent="0.2">
      <c r="C3914" s="15"/>
      <c r="D3914" s="15"/>
      <c r="E3914" s="15"/>
      <c r="F3914" s="15"/>
      <c r="G3914" s="15"/>
      <c r="H3914" s="15"/>
      <c r="I3914" s="15"/>
      <c r="J3914" s="15"/>
      <c r="K3914" s="15"/>
      <c r="L3914" s="28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  <c r="AA3914" s="15"/>
      <c r="AB3914" s="15"/>
      <c r="AC3914" s="15"/>
      <c r="AD3914" s="15"/>
      <c r="AE3914" s="15"/>
      <c r="AF3914" s="15"/>
      <c r="AG3914" s="15"/>
      <c r="AH3914" s="15"/>
      <c r="AI3914" s="15"/>
      <c r="AJ3914" s="15"/>
      <c r="AK3914" s="15"/>
      <c r="AL3914" s="15"/>
      <c r="AM3914" s="15"/>
      <c r="AN3914" s="15"/>
      <c r="AO3914" s="15"/>
      <c r="AP3914" s="15"/>
      <c r="AQ3914" s="15"/>
      <c r="AR3914" s="15"/>
      <c r="AS3914" s="15"/>
      <c r="AT3914" s="15"/>
      <c r="AU3914" s="15"/>
      <c r="AV3914" s="15"/>
      <c r="AW3914" s="15"/>
    </row>
    <row r="3915" spans="3:49" x14ac:dyDescent="0.2">
      <c r="C3915" s="15"/>
      <c r="D3915" s="15"/>
      <c r="E3915" s="15"/>
      <c r="F3915" s="15"/>
      <c r="G3915" s="15"/>
      <c r="H3915" s="15"/>
      <c r="I3915" s="15"/>
      <c r="J3915" s="15"/>
      <c r="K3915" s="15"/>
      <c r="L3915" s="28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  <c r="AA3915" s="15"/>
      <c r="AB3915" s="15"/>
      <c r="AC3915" s="15"/>
      <c r="AD3915" s="15"/>
      <c r="AE3915" s="15"/>
      <c r="AF3915" s="15"/>
      <c r="AG3915" s="15"/>
      <c r="AH3915" s="15"/>
      <c r="AI3915" s="15"/>
      <c r="AJ3915" s="15"/>
      <c r="AK3915" s="15"/>
      <c r="AL3915" s="15"/>
      <c r="AM3915" s="15"/>
      <c r="AN3915" s="15"/>
      <c r="AO3915" s="15"/>
      <c r="AP3915" s="15"/>
      <c r="AQ3915" s="15"/>
      <c r="AR3915" s="15"/>
      <c r="AS3915" s="15"/>
      <c r="AT3915" s="15"/>
      <c r="AU3915" s="15"/>
      <c r="AV3915" s="15"/>
      <c r="AW3915" s="15"/>
    </row>
    <row r="3916" spans="3:49" x14ac:dyDescent="0.2">
      <c r="C3916" s="15"/>
      <c r="D3916" s="15"/>
      <c r="E3916" s="15"/>
      <c r="F3916" s="15"/>
      <c r="G3916" s="15"/>
      <c r="H3916" s="15"/>
      <c r="I3916" s="15"/>
      <c r="J3916" s="15"/>
      <c r="K3916" s="15"/>
      <c r="L3916" s="28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  <c r="AA3916" s="15"/>
      <c r="AB3916" s="15"/>
      <c r="AC3916" s="15"/>
      <c r="AD3916" s="15"/>
      <c r="AE3916" s="15"/>
      <c r="AF3916" s="15"/>
      <c r="AG3916" s="15"/>
      <c r="AH3916" s="15"/>
      <c r="AI3916" s="15"/>
      <c r="AJ3916" s="15"/>
      <c r="AK3916" s="15"/>
      <c r="AL3916" s="15"/>
      <c r="AM3916" s="15"/>
      <c r="AN3916" s="15"/>
      <c r="AO3916" s="15"/>
      <c r="AP3916" s="15"/>
      <c r="AQ3916" s="15"/>
      <c r="AR3916" s="15"/>
      <c r="AS3916" s="15"/>
      <c r="AT3916" s="15"/>
      <c r="AU3916" s="15"/>
      <c r="AV3916" s="15"/>
      <c r="AW3916" s="15"/>
    </row>
    <row r="3917" spans="3:49" x14ac:dyDescent="0.2">
      <c r="C3917" s="15"/>
      <c r="D3917" s="15"/>
      <c r="E3917" s="15"/>
      <c r="F3917" s="15"/>
      <c r="G3917" s="15"/>
      <c r="H3917" s="15"/>
      <c r="I3917" s="15"/>
      <c r="J3917" s="15"/>
      <c r="K3917" s="15"/>
      <c r="L3917" s="28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  <c r="AA3917" s="15"/>
      <c r="AB3917" s="15"/>
      <c r="AC3917" s="15"/>
      <c r="AD3917" s="15"/>
      <c r="AE3917" s="15"/>
      <c r="AF3917" s="15"/>
      <c r="AG3917" s="15"/>
      <c r="AH3917" s="15"/>
      <c r="AI3917" s="15"/>
      <c r="AJ3917" s="15"/>
      <c r="AK3917" s="15"/>
      <c r="AL3917" s="15"/>
      <c r="AM3917" s="15"/>
      <c r="AN3917" s="15"/>
      <c r="AO3917" s="15"/>
      <c r="AP3917" s="15"/>
      <c r="AQ3917" s="15"/>
      <c r="AR3917" s="15"/>
      <c r="AS3917" s="15"/>
      <c r="AT3917" s="15"/>
      <c r="AU3917" s="15"/>
      <c r="AV3917" s="15"/>
      <c r="AW3917" s="15"/>
    </row>
    <row r="3918" spans="3:49" x14ac:dyDescent="0.2">
      <c r="C3918" s="15"/>
      <c r="D3918" s="15"/>
      <c r="E3918" s="15"/>
      <c r="F3918" s="15"/>
      <c r="G3918" s="15"/>
      <c r="H3918" s="15"/>
      <c r="I3918" s="15"/>
      <c r="J3918" s="15"/>
      <c r="K3918" s="15"/>
      <c r="L3918" s="28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  <c r="AA3918" s="15"/>
      <c r="AB3918" s="15"/>
      <c r="AC3918" s="15"/>
      <c r="AD3918" s="15"/>
      <c r="AE3918" s="15"/>
      <c r="AF3918" s="15"/>
      <c r="AG3918" s="15"/>
      <c r="AH3918" s="15"/>
      <c r="AI3918" s="15"/>
      <c r="AJ3918" s="15"/>
      <c r="AK3918" s="15"/>
      <c r="AL3918" s="15"/>
      <c r="AM3918" s="15"/>
      <c r="AN3918" s="15"/>
      <c r="AO3918" s="15"/>
      <c r="AP3918" s="15"/>
      <c r="AQ3918" s="15"/>
      <c r="AR3918" s="15"/>
      <c r="AS3918" s="15"/>
      <c r="AT3918" s="15"/>
      <c r="AU3918" s="15"/>
      <c r="AV3918" s="15"/>
      <c r="AW3918" s="15"/>
    </row>
    <row r="3919" spans="3:49" x14ac:dyDescent="0.2">
      <c r="C3919" s="15"/>
      <c r="D3919" s="15"/>
      <c r="E3919" s="15"/>
      <c r="F3919" s="15"/>
      <c r="G3919" s="15"/>
      <c r="H3919" s="15"/>
      <c r="I3919" s="15"/>
      <c r="J3919" s="15"/>
      <c r="K3919" s="15"/>
      <c r="L3919" s="28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  <c r="AA3919" s="15"/>
      <c r="AB3919" s="15"/>
      <c r="AC3919" s="15"/>
      <c r="AD3919" s="15"/>
      <c r="AE3919" s="15"/>
      <c r="AF3919" s="15"/>
      <c r="AG3919" s="15"/>
      <c r="AH3919" s="15"/>
      <c r="AI3919" s="15"/>
      <c r="AJ3919" s="15"/>
      <c r="AK3919" s="15"/>
      <c r="AL3919" s="15"/>
      <c r="AM3919" s="15"/>
      <c r="AN3919" s="15"/>
      <c r="AO3919" s="15"/>
      <c r="AP3919" s="15"/>
      <c r="AQ3919" s="15"/>
      <c r="AR3919" s="15"/>
      <c r="AS3919" s="15"/>
      <c r="AT3919" s="15"/>
      <c r="AU3919" s="15"/>
      <c r="AV3919" s="15"/>
      <c r="AW3919" s="15"/>
    </row>
    <row r="3920" spans="3:49" x14ac:dyDescent="0.2">
      <c r="C3920" s="15"/>
      <c r="D3920" s="15"/>
      <c r="E3920" s="15"/>
      <c r="F3920" s="15"/>
      <c r="G3920" s="15"/>
      <c r="H3920" s="15"/>
      <c r="I3920" s="15"/>
      <c r="J3920" s="15"/>
      <c r="K3920" s="15"/>
      <c r="L3920" s="28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  <c r="AA3920" s="15"/>
      <c r="AB3920" s="15"/>
      <c r="AC3920" s="15"/>
      <c r="AD3920" s="15"/>
      <c r="AE3920" s="15"/>
      <c r="AF3920" s="15"/>
      <c r="AG3920" s="15"/>
      <c r="AH3920" s="15"/>
      <c r="AI3920" s="15"/>
      <c r="AJ3920" s="15"/>
      <c r="AK3920" s="15"/>
      <c r="AL3920" s="15"/>
      <c r="AM3920" s="15"/>
      <c r="AN3920" s="15"/>
      <c r="AO3920" s="15"/>
      <c r="AP3920" s="15"/>
      <c r="AQ3920" s="15"/>
      <c r="AR3920" s="15"/>
      <c r="AS3920" s="15"/>
      <c r="AT3920" s="15"/>
      <c r="AU3920" s="15"/>
      <c r="AV3920" s="15"/>
      <c r="AW3920" s="15"/>
    </row>
    <row r="3921" spans="3:49" x14ac:dyDescent="0.2">
      <c r="C3921" s="15"/>
      <c r="D3921" s="15"/>
      <c r="E3921" s="15"/>
      <c r="F3921" s="15"/>
      <c r="G3921" s="15"/>
      <c r="H3921" s="15"/>
      <c r="I3921" s="15"/>
      <c r="J3921" s="15"/>
      <c r="K3921" s="15"/>
      <c r="L3921" s="28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  <c r="AA3921" s="15"/>
      <c r="AB3921" s="15"/>
      <c r="AC3921" s="15"/>
      <c r="AD3921" s="15"/>
      <c r="AE3921" s="15"/>
      <c r="AF3921" s="15"/>
      <c r="AG3921" s="15"/>
      <c r="AH3921" s="15"/>
      <c r="AI3921" s="15"/>
      <c r="AJ3921" s="15"/>
      <c r="AK3921" s="15"/>
      <c r="AL3921" s="15"/>
      <c r="AM3921" s="15"/>
      <c r="AN3921" s="15"/>
      <c r="AO3921" s="15"/>
      <c r="AP3921" s="15"/>
      <c r="AQ3921" s="15"/>
      <c r="AR3921" s="15"/>
      <c r="AS3921" s="15"/>
      <c r="AT3921" s="15"/>
      <c r="AU3921" s="15"/>
      <c r="AV3921" s="15"/>
      <c r="AW3921" s="15"/>
    </row>
    <row r="3922" spans="3:49" x14ac:dyDescent="0.2">
      <c r="C3922" s="15"/>
      <c r="D3922" s="15"/>
      <c r="E3922" s="15"/>
      <c r="F3922" s="15"/>
      <c r="G3922" s="15"/>
      <c r="H3922" s="15"/>
      <c r="I3922" s="15"/>
      <c r="J3922" s="15"/>
      <c r="K3922" s="15"/>
      <c r="L3922" s="28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  <c r="AA3922" s="15"/>
      <c r="AB3922" s="15"/>
      <c r="AC3922" s="15"/>
      <c r="AD3922" s="15"/>
      <c r="AE3922" s="15"/>
      <c r="AF3922" s="15"/>
      <c r="AG3922" s="15"/>
      <c r="AH3922" s="15"/>
      <c r="AI3922" s="15"/>
      <c r="AJ3922" s="15"/>
      <c r="AK3922" s="15"/>
      <c r="AL3922" s="15"/>
      <c r="AM3922" s="15"/>
      <c r="AN3922" s="15"/>
      <c r="AO3922" s="15"/>
      <c r="AP3922" s="15"/>
      <c r="AQ3922" s="15"/>
      <c r="AR3922" s="15"/>
      <c r="AS3922" s="15"/>
      <c r="AT3922" s="15"/>
      <c r="AU3922" s="15"/>
      <c r="AV3922" s="15"/>
      <c r="AW3922" s="15"/>
    </row>
    <row r="3923" spans="3:49" x14ac:dyDescent="0.2">
      <c r="C3923" s="15"/>
      <c r="D3923" s="15"/>
      <c r="E3923" s="15"/>
      <c r="F3923" s="15"/>
      <c r="G3923" s="15"/>
      <c r="H3923" s="15"/>
      <c r="I3923" s="15"/>
      <c r="J3923" s="15"/>
      <c r="K3923" s="15"/>
      <c r="L3923" s="28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  <c r="AA3923" s="15"/>
      <c r="AB3923" s="15"/>
      <c r="AC3923" s="15"/>
      <c r="AD3923" s="15"/>
      <c r="AE3923" s="15"/>
      <c r="AF3923" s="15"/>
      <c r="AG3923" s="15"/>
      <c r="AH3923" s="15"/>
      <c r="AI3923" s="15"/>
      <c r="AJ3923" s="15"/>
      <c r="AK3923" s="15"/>
      <c r="AL3923" s="15"/>
      <c r="AM3923" s="15"/>
      <c r="AN3923" s="15"/>
      <c r="AO3923" s="15"/>
      <c r="AP3923" s="15"/>
      <c r="AQ3923" s="15"/>
      <c r="AR3923" s="15"/>
      <c r="AS3923" s="15"/>
      <c r="AT3923" s="15"/>
      <c r="AU3923" s="15"/>
      <c r="AV3923" s="15"/>
      <c r="AW3923" s="15"/>
    </row>
    <row r="3924" spans="3:49" x14ac:dyDescent="0.2">
      <c r="C3924" s="15"/>
      <c r="D3924" s="15"/>
      <c r="E3924" s="15"/>
      <c r="F3924" s="15"/>
      <c r="G3924" s="15"/>
      <c r="H3924" s="15"/>
      <c r="I3924" s="15"/>
      <c r="J3924" s="15"/>
      <c r="K3924" s="15"/>
      <c r="L3924" s="28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  <c r="AA3924" s="15"/>
      <c r="AB3924" s="15"/>
      <c r="AC3924" s="15"/>
      <c r="AD3924" s="15"/>
      <c r="AE3924" s="15"/>
      <c r="AF3924" s="15"/>
      <c r="AG3924" s="15"/>
      <c r="AH3924" s="15"/>
      <c r="AI3924" s="15"/>
      <c r="AJ3924" s="15"/>
      <c r="AK3924" s="15"/>
      <c r="AL3924" s="15"/>
      <c r="AM3924" s="15"/>
      <c r="AN3924" s="15"/>
      <c r="AO3924" s="15"/>
      <c r="AP3924" s="15"/>
      <c r="AQ3924" s="15"/>
      <c r="AR3924" s="15"/>
      <c r="AS3924" s="15"/>
      <c r="AT3924" s="15"/>
      <c r="AU3924" s="15"/>
      <c r="AV3924" s="15"/>
      <c r="AW3924" s="15"/>
    </row>
    <row r="3925" spans="3:49" x14ac:dyDescent="0.2">
      <c r="C3925" s="15"/>
      <c r="D3925" s="15"/>
      <c r="E3925" s="15"/>
      <c r="F3925" s="15"/>
      <c r="G3925" s="15"/>
      <c r="H3925" s="15"/>
      <c r="I3925" s="15"/>
      <c r="J3925" s="15"/>
      <c r="K3925" s="15"/>
      <c r="L3925" s="28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  <c r="AA3925" s="15"/>
      <c r="AB3925" s="15"/>
      <c r="AC3925" s="15"/>
      <c r="AD3925" s="15"/>
      <c r="AE3925" s="15"/>
      <c r="AF3925" s="15"/>
      <c r="AG3925" s="15"/>
      <c r="AH3925" s="15"/>
      <c r="AI3925" s="15"/>
      <c r="AJ3925" s="15"/>
      <c r="AK3925" s="15"/>
      <c r="AL3925" s="15"/>
      <c r="AM3925" s="15"/>
      <c r="AN3925" s="15"/>
      <c r="AO3925" s="15"/>
      <c r="AP3925" s="15"/>
      <c r="AQ3925" s="15"/>
      <c r="AR3925" s="15"/>
      <c r="AS3925" s="15"/>
      <c r="AT3925" s="15"/>
      <c r="AU3925" s="15"/>
      <c r="AV3925" s="15"/>
      <c r="AW3925" s="15"/>
    </row>
    <row r="3926" spans="3:49" x14ac:dyDescent="0.2">
      <c r="C3926" s="15"/>
      <c r="D3926" s="15"/>
      <c r="E3926" s="15"/>
      <c r="F3926" s="15"/>
      <c r="G3926" s="15"/>
      <c r="H3926" s="15"/>
      <c r="I3926" s="15"/>
      <c r="J3926" s="15"/>
      <c r="K3926" s="15"/>
      <c r="L3926" s="28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  <c r="AA3926" s="15"/>
      <c r="AB3926" s="15"/>
      <c r="AC3926" s="15"/>
      <c r="AD3926" s="15"/>
      <c r="AE3926" s="15"/>
      <c r="AF3926" s="15"/>
      <c r="AG3926" s="15"/>
      <c r="AH3926" s="15"/>
      <c r="AI3926" s="15"/>
      <c r="AJ3926" s="15"/>
      <c r="AK3926" s="15"/>
      <c r="AL3926" s="15"/>
      <c r="AM3926" s="15"/>
      <c r="AN3926" s="15"/>
      <c r="AO3926" s="15"/>
      <c r="AP3926" s="15"/>
      <c r="AQ3926" s="15"/>
      <c r="AR3926" s="15"/>
      <c r="AS3926" s="15"/>
      <c r="AT3926" s="15"/>
      <c r="AU3926" s="15"/>
      <c r="AV3926" s="15"/>
      <c r="AW3926" s="15"/>
    </row>
    <row r="3927" spans="3:49" x14ac:dyDescent="0.2">
      <c r="C3927" s="15"/>
      <c r="D3927" s="15"/>
      <c r="E3927" s="15"/>
      <c r="F3927" s="15"/>
      <c r="G3927" s="15"/>
      <c r="H3927" s="15"/>
      <c r="I3927" s="15"/>
      <c r="J3927" s="15"/>
      <c r="K3927" s="15"/>
      <c r="L3927" s="28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  <c r="AA3927" s="15"/>
      <c r="AB3927" s="15"/>
      <c r="AC3927" s="15"/>
      <c r="AD3927" s="15"/>
      <c r="AE3927" s="15"/>
      <c r="AF3927" s="15"/>
      <c r="AG3927" s="15"/>
      <c r="AH3927" s="15"/>
      <c r="AI3927" s="15"/>
      <c r="AJ3927" s="15"/>
      <c r="AK3927" s="15"/>
      <c r="AL3927" s="15"/>
      <c r="AM3927" s="15"/>
      <c r="AN3927" s="15"/>
      <c r="AO3927" s="15"/>
      <c r="AP3927" s="15"/>
      <c r="AQ3927" s="15"/>
      <c r="AR3927" s="15"/>
      <c r="AS3927" s="15"/>
      <c r="AT3927" s="15"/>
      <c r="AU3927" s="15"/>
      <c r="AV3927" s="15"/>
      <c r="AW3927" s="15"/>
    </row>
    <row r="3928" spans="3:49" x14ac:dyDescent="0.2">
      <c r="C3928" s="15"/>
      <c r="D3928" s="15"/>
      <c r="E3928" s="15"/>
      <c r="F3928" s="15"/>
      <c r="G3928" s="15"/>
      <c r="H3928" s="15"/>
      <c r="I3928" s="15"/>
      <c r="J3928" s="15"/>
      <c r="K3928" s="15"/>
      <c r="L3928" s="28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  <c r="AA3928" s="15"/>
      <c r="AB3928" s="15"/>
      <c r="AC3928" s="15"/>
      <c r="AD3928" s="15"/>
      <c r="AE3928" s="15"/>
      <c r="AF3928" s="15"/>
      <c r="AG3928" s="15"/>
      <c r="AH3928" s="15"/>
      <c r="AI3928" s="15"/>
      <c r="AJ3928" s="15"/>
      <c r="AK3928" s="15"/>
      <c r="AL3928" s="15"/>
      <c r="AM3928" s="15"/>
      <c r="AN3928" s="15"/>
      <c r="AO3928" s="15"/>
      <c r="AP3928" s="15"/>
      <c r="AQ3928" s="15"/>
      <c r="AR3928" s="15"/>
      <c r="AS3928" s="15"/>
      <c r="AT3928" s="15"/>
      <c r="AU3928" s="15"/>
      <c r="AV3928" s="15"/>
      <c r="AW3928" s="15"/>
    </row>
    <row r="3929" spans="3:49" x14ac:dyDescent="0.2">
      <c r="C3929" s="15"/>
      <c r="D3929" s="15"/>
      <c r="E3929" s="15"/>
      <c r="F3929" s="15"/>
      <c r="G3929" s="15"/>
      <c r="H3929" s="15"/>
      <c r="I3929" s="15"/>
      <c r="J3929" s="15"/>
      <c r="K3929" s="15"/>
      <c r="L3929" s="28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  <c r="AA3929" s="15"/>
      <c r="AB3929" s="15"/>
      <c r="AC3929" s="15"/>
      <c r="AD3929" s="15"/>
      <c r="AE3929" s="15"/>
      <c r="AF3929" s="15"/>
      <c r="AG3929" s="15"/>
      <c r="AH3929" s="15"/>
      <c r="AI3929" s="15"/>
      <c r="AJ3929" s="15"/>
      <c r="AK3929" s="15"/>
      <c r="AL3929" s="15"/>
      <c r="AM3929" s="15"/>
      <c r="AN3929" s="15"/>
      <c r="AO3929" s="15"/>
      <c r="AP3929" s="15"/>
      <c r="AQ3929" s="15"/>
      <c r="AR3929" s="15"/>
      <c r="AS3929" s="15"/>
      <c r="AT3929" s="15"/>
      <c r="AU3929" s="15"/>
      <c r="AV3929" s="15"/>
      <c r="AW3929" s="15"/>
    </row>
    <row r="3930" spans="3:49" x14ac:dyDescent="0.2">
      <c r="C3930" s="15"/>
      <c r="D3930" s="15"/>
      <c r="E3930" s="15"/>
      <c r="F3930" s="15"/>
      <c r="G3930" s="15"/>
      <c r="H3930" s="15"/>
      <c r="I3930" s="15"/>
      <c r="J3930" s="15"/>
      <c r="K3930" s="15"/>
      <c r="L3930" s="28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  <c r="AA3930" s="15"/>
      <c r="AB3930" s="15"/>
      <c r="AC3930" s="15"/>
      <c r="AD3930" s="15"/>
      <c r="AE3930" s="15"/>
      <c r="AF3930" s="15"/>
      <c r="AG3930" s="15"/>
      <c r="AH3930" s="15"/>
      <c r="AI3930" s="15"/>
      <c r="AJ3930" s="15"/>
      <c r="AK3930" s="15"/>
      <c r="AL3930" s="15"/>
      <c r="AM3930" s="15"/>
      <c r="AN3930" s="15"/>
      <c r="AO3930" s="15"/>
      <c r="AP3930" s="15"/>
      <c r="AQ3930" s="15"/>
      <c r="AR3930" s="15"/>
      <c r="AS3930" s="15"/>
      <c r="AT3930" s="15"/>
      <c r="AU3930" s="15"/>
      <c r="AV3930" s="15"/>
      <c r="AW3930" s="15"/>
    </row>
    <row r="3931" spans="3:49" x14ac:dyDescent="0.2">
      <c r="C3931" s="15"/>
      <c r="D3931" s="15"/>
      <c r="E3931" s="15"/>
      <c r="F3931" s="15"/>
      <c r="G3931" s="15"/>
      <c r="H3931" s="15"/>
      <c r="I3931" s="15"/>
      <c r="J3931" s="15"/>
      <c r="K3931" s="15"/>
      <c r="L3931" s="28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  <c r="AA3931" s="15"/>
      <c r="AB3931" s="15"/>
      <c r="AC3931" s="15"/>
      <c r="AD3931" s="15"/>
      <c r="AE3931" s="15"/>
      <c r="AF3931" s="15"/>
      <c r="AG3931" s="15"/>
      <c r="AH3931" s="15"/>
      <c r="AI3931" s="15"/>
      <c r="AJ3931" s="15"/>
      <c r="AK3931" s="15"/>
      <c r="AL3931" s="15"/>
      <c r="AM3931" s="15"/>
      <c r="AN3931" s="15"/>
      <c r="AO3931" s="15"/>
      <c r="AP3931" s="15"/>
      <c r="AQ3931" s="15"/>
      <c r="AR3931" s="15"/>
      <c r="AS3931" s="15"/>
      <c r="AT3931" s="15"/>
      <c r="AU3931" s="15"/>
      <c r="AV3931" s="15"/>
      <c r="AW3931" s="15"/>
    </row>
    <row r="3932" spans="3:49" x14ac:dyDescent="0.2">
      <c r="C3932" s="15"/>
      <c r="D3932" s="15"/>
      <c r="E3932" s="15"/>
      <c r="F3932" s="15"/>
      <c r="G3932" s="15"/>
      <c r="H3932" s="15"/>
      <c r="I3932" s="15"/>
      <c r="J3932" s="15"/>
      <c r="K3932" s="15"/>
      <c r="L3932" s="28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  <c r="AA3932" s="15"/>
      <c r="AB3932" s="15"/>
      <c r="AC3932" s="15"/>
      <c r="AD3932" s="15"/>
      <c r="AE3932" s="15"/>
      <c r="AF3932" s="15"/>
      <c r="AG3932" s="15"/>
      <c r="AH3932" s="15"/>
      <c r="AI3932" s="15"/>
      <c r="AJ3932" s="15"/>
      <c r="AK3932" s="15"/>
      <c r="AL3932" s="15"/>
      <c r="AM3932" s="15"/>
      <c r="AN3932" s="15"/>
      <c r="AO3932" s="15"/>
      <c r="AP3932" s="15"/>
      <c r="AQ3932" s="15"/>
      <c r="AR3932" s="15"/>
      <c r="AS3932" s="15"/>
      <c r="AT3932" s="15"/>
      <c r="AU3932" s="15"/>
      <c r="AV3932" s="15"/>
      <c r="AW3932" s="15"/>
    </row>
    <row r="3933" spans="3:49" x14ac:dyDescent="0.2">
      <c r="C3933" s="15"/>
      <c r="D3933" s="15"/>
      <c r="E3933" s="15"/>
      <c r="F3933" s="15"/>
      <c r="G3933" s="15"/>
      <c r="H3933" s="15"/>
      <c r="I3933" s="15"/>
      <c r="J3933" s="15"/>
      <c r="K3933" s="15"/>
      <c r="L3933" s="28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  <c r="AA3933" s="15"/>
      <c r="AB3933" s="15"/>
      <c r="AC3933" s="15"/>
      <c r="AD3933" s="15"/>
      <c r="AE3933" s="15"/>
      <c r="AF3933" s="15"/>
      <c r="AG3933" s="15"/>
      <c r="AH3933" s="15"/>
      <c r="AI3933" s="15"/>
      <c r="AJ3933" s="15"/>
      <c r="AK3933" s="15"/>
      <c r="AL3933" s="15"/>
      <c r="AM3933" s="15"/>
      <c r="AN3933" s="15"/>
      <c r="AO3933" s="15"/>
      <c r="AP3933" s="15"/>
      <c r="AQ3933" s="15"/>
      <c r="AR3933" s="15"/>
      <c r="AS3933" s="15"/>
      <c r="AT3933" s="15"/>
      <c r="AU3933" s="15"/>
      <c r="AV3933" s="15"/>
      <c r="AW3933" s="15"/>
    </row>
    <row r="3934" spans="3:49" x14ac:dyDescent="0.2">
      <c r="C3934" s="15"/>
      <c r="D3934" s="15"/>
      <c r="E3934" s="15"/>
      <c r="F3934" s="15"/>
      <c r="G3934" s="15"/>
      <c r="H3934" s="15"/>
      <c r="I3934" s="15"/>
      <c r="J3934" s="15"/>
      <c r="K3934" s="15"/>
      <c r="L3934" s="28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  <c r="AA3934" s="15"/>
      <c r="AB3934" s="15"/>
      <c r="AC3934" s="15"/>
      <c r="AD3934" s="15"/>
      <c r="AE3934" s="15"/>
      <c r="AF3934" s="15"/>
      <c r="AG3934" s="15"/>
      <c r="AH3934" s="15"/>
      <c r="AI3934" s="15"/>
      <c r="AJ3934" s="15"/>
      <c r="AK3934" s="15"/>
      <c r="AL3934" s="15"/>
      <c r="AM3934" s="15"/>
      <c r="AN3934" s="15"/>
      <c r="AO3934" s="15"/>
      <c r="AP3934" s="15"/>
      <c r="AQ3934" s="15"/>
      <c r="AR3934" s="15"/>
      <c r="AS3934" s="15"/>
      <c r="AT3934" s="15"/>
      <c r="AU3934" s="15"/>
      <c r="AV3934" s="15"/>
      <c r="AW3934" s="15"/>
    </row>
    <row r="3935" spans="3:49" x14ac:dyDescent="0.2">
      <c r="C3935" s="15"/>
      <c r="D3935" s="15"/>
      <c r="E3935" s="15"/>
      <c r="F3935" s="15"/>
      <c r="G3935" s="15"/>
      <c r="H3935" s="15"/>
      <c r="I3935" s="15"/>
      <c r="J3935" s="15"/>
      <c r="K3935" s="15"/>
      <c r="L3935" s="28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  <c r="AA3935" s="15"/>
      <c r="AB3935" s="15"/>
      <c r="AC3935" s="15"/>
      <c r="AD3935" s="15"/>
      <c r="AE3935" s="15"/>
      <c r="AF3935" s="15"/>
      <c r="AG3935" s="15"/>
      <c r="AH3935" s="15"/>
      <c r="AI3935" s="15"/>
      <c r="AJ3935" s="15"/>
      <c r="AK3935" s="15"/>
      <c r="AL3935" s="15"/>
      <c r="AM3935" s="15"/>
      <c r="AN3935" s="15"/>
      <c r="AO3935" s="15"/>
      <c r="AP3935" s="15"/>
      <c r="AQ3935" s="15"/>
      <c r="AR3935" s="15"/>
      <c r="AS3935" s="15"/>
      <c r="AT3935" s="15"/>
      <c r="AU3935" s="15"/>
      <c r="AV3935" s="15"/>
      <c r="AW3935" s="15"/>
    </row>
    <row r="3936" spans="3:49" x14ac:dyDescent="0.2">
      <c r="C3936" s="15"/>
      <c r="D3936" s="15"/>
      <c r="E3936" s="15"/>
      <c r="F3936" s="15"/>
      <c r="G3936" s="15"/>
      <c r="H3936" s="15"/>
      <c r="I3936" s="15"/>
      <c r="J3936" s="15"/>
      <c r="K3936" s="15"/>
      <c r="L3936" s="28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  <c r="AA3936" s="15"/>
      <c r="AB3936" s="15"/>
      <c r="AC3936" s="15"/>
      <c r="AD3936" s="15"/>
      <c r="AE3936" s="15"/>
      <c r="AF3936" s="15"/>
      <c r="AG3936" s="15"/>
      <c r="AH3936" s="15"/>
      <c r="AI3936" s="15"/>
      <c r="AJ3936" s="15"/>
      <c r="AK3936" s="15"/>
      <c r="AL3936" s="15"/>
      <c r="AM3936" s="15"/>
      <c r="AN3936" s="15"/>
      <c r="AO3936" s="15"/>
      <c r="AP3936" s="15"/>
      <c r="AQ3936" s="15"/>
      <c r="AR3936" s="15"/>
      <c r="AS3936" s="15"/>
      <c r="AT3936" s="15"/>
      <c r="AU3936" s="15"/>
      <c r="AV3936" s="15"/>
      <c r="AW3936" s="15"/>
    </row>
    <row r="3937" spans="3:49" x14ac:dyDescent="0.2">
      <c r="C3937" s="15"/>
      <c r="D3937" s="15"/>
      <c r="E3937" s="15"/>
      <c r="F3937" s="15"/>
      <c r="G3937" s="15"/>
      <c r="H3937" s="15"/>
      <c r="I3937" s="15"/>
      <c r="J3937" s="15"/>
      <c r="K3937" s="15"/>
      <c r="L3937" s="28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  <c r="AA3937" s="15"/>
      <c r="AB3937" s="15"/>
      <c r="AC3937" s="15"/>
      <c r="AD3937" s="15"/>
      <c r="AE3937" s="15"/>
      <c r="AF3937" s="15"/>
      <c r="AG3937" s="15"/>
      <c r="AH3937" s="15"/>
      <c r="AI3937" s="15"/>
      <c r="AJ3937" s="15"/>
      <c r="AK3937" s="15"/>
      <c r="AL3937" s="15"/>
      <c r="AM3937" s="15"/>
      <c r="AN3937" s="15"/>
      <c r="AO3937" s="15"/>
      <c r="AP3937" s="15"/>
      <c r="AQ3937" s="15"/>
      <c r="AR3937" s="15"/>
      <c r="AS3937" s="15"/>
      <c r="AT3937" s="15"/>
      <c r="AU3937" s="15"/>
      <c r="AV3937" s="15"/>
      <c r="AW3937" s="15"/>
    </row>
    <row r="3938" spans="3:49" x14ac:dyDescent="0.2">
      <c r="C3938" s="15"/>
      <c r="D3938" s="15"/>
      <c r="E3938" s="15"/>
      <c r="F3938" s="15"/>
      <c r="G3938" s="15"/>
      <c r="H3938" s="15"/>
      <c r="I3938" s="15"/>
      <c r="J3938" s="15"/>
      <c r="K3938" s="15"/>
      <c r="L3938" s="28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  <c r="AA3938" s="15"/>
      <c r="AB3938" s="15"/>
      <c r="AC3938" s="15"/>
      <c r="AD3938" s="15"/>
      <c r="AE3938" s="15"/>
      <c r="AF3938" s="15"/>
      <c r="AG3938" s="15"/>
      <c r="AH3938" s="15"/>
      <c r="AI3938" s="15"/>
      <c r="AJ3938" s="15"/>
      <c r="AK3938" s="15"/>
      <c r="AL3938" s="15"/>
      <c r="AM3938" s="15"/>
      <c r="AN3938" s="15"/>
      <c r="AO3938" s="15"/>
      <c r="AP3938" s="15"/>
      <c r="AQ3938" s="15"/>
      <c r="AR3938" s="15"/>
      <c r="AS3938" s="15"/>
      <c r="AT3938" s="15"/>
      <c r="AU3938" s="15"/>
      <c r="AV3938" s="15"/>
      <c r="AW3938" s="15"/>
    </row>
    <row r="3939" spans="3:49" x14ac:dyDescent="0.2">
      <c r="C3939" s="15"/>
      <c r="D3939" s="15"/>
      <c r="E3939" s="15"/>
      <c r="F3939" s="15"/>
      <c r="G3939" s="15"/>
      <c r="H3939" s="15"/>
      <c r="I3939" s="15"/>
      <c r="J3939" s="15"/>
      <c r="K3939" s="15"/>
      <c r="L3939" s="28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  <c r="AA3939" s="15"/>
      <c r="AB3939" s="15"/>
      <c r="AC3939" s="15"/>
      <c r="AD3939" s="15"/>
      <c r="AE3939" s="15"/>
      <c r="AF3939" s="15"/>
      <c r="AG3939" s="15"/>
      <c r="AH3939" s="15"/>
      <c r="AI3939" s="15"/>
      <c r="AJ3939" s="15"/>
      <c r="AK3939" s="15"/>
      <c r="AL3939" s="15"/>
      <c r="AM3939" s="15"/>
      <c r="AN3939" s="15"/>
      <c r="AO3939" s="15"/>
      <c r="AP3939" s="15"/>
      <c r="AQ3939" s="15"/>
      <c r="AR3939" s="15"/>
      <c r="AS3939" s="15"/>
      <c r="AT3939" s="15"/>
      <c r="AU3939" s="15"/>
      <c r="AV3939" s="15"/>
      <c r="AW3939" s="15"/>
    </row>
    <row r="3940" spans="3:49" x14ac:dyDescent="0.2">
      <c r="C3940" s="15"/>
      <c r="D3940" s="15"/>
      <c r="E3940" s="15"/>
      <c r="F3940" s="15"/>
      <c r="G3940" s="15"/>
      <c r="H3940" s="15"/>
      <c r="I3940" s="15"/>
      <c r="J3940" s="15"/>
      <c r="K3940" s="15"/>
      <c r="L3940" s="28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  <c r="AA3940" s="15"/>
      <c r="AB3940" s="15"/>
      <c r="AC3940" s="15"/>
      <c r="AD3940" s="15"/>
      <c r="AE3940" s="15"/>
      <c r="AF3940" s="15"/>
      <c r="AG3940" s="15"/>
      <c r="AH3940" s="15"/>
      <c r="AI3940" s="15"/>
      <c r="AJ3940" s="15"/>
      <c r="AK3940" s="15"/>
      <c r="AL3940" s="15"/>
      <c r="AM3940" s="15"/>
      <c r="AN3940" s="15"/>
      <c r="AO3940" s="15"/>
      <c r="AP3940" s="15"/>
      <c r="AQ3940" s="15"/>
      <c r="AR3940" s="15"/>
      <c r="AS3940" s="15"/>
      <c r="AT3940" s="15"/>
      <c r="AU3940" s="15"/>
      <c r="AV3940" s="15"/>
      <c r="AW3940" s="15"/>
    </row>
    <row r="3941" spans="3:49" x14ac:dyDescent="0.2">
      <c r="C3941" s="15"/>
      <c r="D3941" s="15"/>
      <c r="E3941" s="15"/>
      <c r="F3941" s="15"/>
      <c r="G3941" s="15"/>
      <c r="H3941" s="15"/>
      <c r="I3941" s="15"/>
      <c r="J3941" s="15"/>
      <c r="K3941" s="15"/>
      <c r="L3941" s="28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  <c r="AA3941" s="15"/>
      <c r="AB3941" s="15"/>
      <c r="AC3941" s="15"/>
      <c r="AD3941" s="15"/>
      <c r="AE3941" s="15"/>
      <c r="AF3941" s="15"/>
      <c r="AG3941" s="15"/>
      <c r="AH3941" s="15"/>
      <c r="AI3941" s="15"/>
      <c r="AJ3941" s="15"/>
      <c r="AK3941" s="15"/>
      <c r="AL3941" s="15"/>
      <c r="AM3941" s="15"/>
      <c r="AN3941" s="15"/>
      <c r="AO3941" s="15"/>
      <c r="AP3941" s="15"/>
      <c r="AQ3941" s="15"/>
      <c r="AR3941" s="15"/>
      <c r="AS3941" s="15"/>
      <c r="AT3941" s="15"/>
      <c r="AU3941" s="15"/>
      <c r="AV3941" s="15"/>
      <c r="AW3941" s="15"/>
    </row>
    <row r="3942" spans="3:49" x14ac:dyDescent="0.2">
      <c r="C3942" s="15"/>
      <c r="D3942" s="15"/>
      <c r="E3942" s="15"/>
      <c r="F3942" s="15"/>
      <c r="G3942" s="15"/>
      <c r="H3942" s="15"/>
      <c r="I3942" s="15"/>
      <c r="J3942" s="15"/>
      <c r="K3942" s="15"/>
      <c r="L3942" s="28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  <c r="AA3942" s="15"/>
      <c r="AB3942" s="15"/>
      <c r="AC3942" s="15"/>
      <c r="AD3942" s="15"/>
      <c r="AE3942" s="15"/>
      <c r="AF3942" s="15"/>
      <c r="AG3942" s="15"/>
      <c r="AH3942" s="15"/>
      <c r="AI3942" s="15"/>
      <c r="AJ3942" s="15"/>
      <c r="AK3942" s="15"/>
      <c r="AL3942" s="15"/>
      <c r="AM3942" s="15"/>
      <c r="AN3942" s="15"/>
      <c r="AO3942" s="15"/>
      <c r="AP3942" s="15"/>
      <c r="AQ3942" s="15"/>
      <c r="AR3942" s="15"/>
      <c r="AS3942" s="15"/>
      <c r="AT3942" s="15"/>
      <c r="AU3942" s="15"/>
      <c r="AV3942" s="15"/>
      <c r="AW3942" s="15"/>
    </row>
    <row r="3943" spans="3:49" x14ac:dyDescent="0.2">
      <c r="C3943" s="15"/>
      <c r="D3943" s="15"/>
      <c r="E3943" s="15"/>
      <c r="F3943" s="15"/>
      <c r="G3943" s="15"/>
      <c r="H3943" s="15"/>
      <c r="I3943" s="15"/>
      <c r="J3943" s="15"/>
      <c r="K3943" s="15"/>
      <c r="L3943" s="28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  <c r="AA3943" s="15"/>
      <c r="AB3943" s="15"/>
      <c r="AC3943" s="15"/>
      <c r="AD3943" s="15"/>
      <c r="AE3943" s="15"/>
      <c r="AF3943" s="15"/>
      <c r="AG3943" s="15"/>
      <c r="AH3943" s="15"/>
      <c r="AI3943" s="15"/>
      <c r="AJ3943" s="15"/>
      <c r="AK3943" s="15"/>
      <c r="AL3943" s="15"/>
      <c r="AM3943" s="15"/>
      <c r="AN3943" s="15"/>
      <c r="AO3943" s="15"/>
      <c r="AP3943" s="15"/>
      <c r="AQ3943" s="15"/>
      <c r="AR3943" s="15"/>
      <c r="AS3943" s="15"/>
      <c r="AT3943" s="15"/>
      <c r="AU3943" s="15"/>
      <c r="AV3943" s="15"/>
      <c r="AW3943" s="15"/>
    </row>
    <row r="3944" spans="3:49" x14ac:dyDescent="0.2">
      <c r="C3944" s="15"/>
      <c r="D3944" s="15"/>
      <c r="E3944" s="15"/>
      <c r="F3944" s="15"/>
      <c r="G3944" s="15"/>
      <c r="H3944" s="15"/>
      <c r="I3944" s="15"/>
      <c r="J3944" s="15"/>
      <c r="K3944" s="15"/>
      <c r="L3944" s="28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  <c r="AA3944" s="15"/>
      <c r="AB3944" s="15"/>
      <c r="AC3944" s="15"/>
      <c r="AD3944" s="15"/>
      <c r="AE3944" s="15"/>
      <c r="AF3944" s="15"/>
      <c r="AG3944" s="15"/>
      <c r="AH3944" s="15"/>
      <c r="AI3944" s="15"/>
      <c r="AJ3944" s="15"/>
      <c r="AK3944" s="15"/>
      <c r="AL3944" s="15"/>
      <c r="AM3944" s="15"/>
      <c r="AN3944" s="15"/>
      <c r="AO3944" s="15"/>
      <c r="AP3944" s="15"/>
      <c r="AQ3944" s="15"/>
      <c r="AR3944" s="15"/>
      <c r="AS3944" s="15"/>
      <c r="AT3944" s="15"/>
      <c r="AU3944" s="15"/>
      <c r="AV3944" s="15"/>
      <c r="AW3944" s="15"/>
    </row>
    <row r="3945" spans="3:49" x14ac:dyDescent="0.2">
      <c r="C3945" s="15"/>
      <c r="D3945" s="15"/>
      <c r="E3945" s="15"/>
      <c r="F3945" s="15"/>
      <c r="G3945" s="15"/>
      <c r="H3945" s="15"/>
      <c r="I3945" s="15"/>
      <c r="J3945" s="15"/>
      <c r="K3945" s="15"/>
      <c r="L3945" s="28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  <c r="AA3945" s="15"/>
      <c r="AB3945" s="15"/>
      <c r="AC3945" s="15"/>
      <c r="AD3945" s="15"/>
      <c r="AE3945" s="15"/>
      <c r="AF3945" s="15"/>
      <c r="AG3945" s="15"/>
      <c r="AH3945" s="15"/>
      <c r="AI3945" s="15"/>
      <c r="AJ3945" s="15"/>
      <c r="AK3945" s="15"/>
      <c r="AL3945" s="15"/>
      <c r="AM3945" s="15"/>
      <c r="AN3945" s="15"/>
      <c r="AO3945" s="15"/>
      <c r="AP3945" s="15"/>
      <c r="AQ3945" s="15"/>
      <c r="AR3945" s="15"/>
      <c r="AS3945" s="15"/>
      <c r="AT3945" s="15"/>
      <c r="AU3945" s="15"/>
      <c r="AV3945" s="15"/>
      <c r="AW3945" s="15"/>
    </row>
    <row r="3946" spans="3:49" x14ac:dyDescent="0.2">
      <c r="C3946" s="15"/>
      <c r="D3946" s="15"/>
      <c r="E3946" s="15"/>
      <c r="F3946" s="15"/>
      <c r="G3946" s="15"/>
      <c r="H3946" s="15"/>
      <c r="I3946" s="15"/>
      <c r="J3946" s="15"/>
      <c r="K3946" s="15"/>
      <c r="L3946" s="28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  <c r="AA3946" s="15"/>
      <c r="AB3946" s="15"/>
      <c r="AC3946" s="15"/>
      <c r="AD3946" s="15"/>
      <c r="AE3946" s="15"/>
      <c r="AF3946" s="15"/>
      <c r="AG3946" s="15"/>
      <c r="AH3946" s="15"/>
      <c r="AI3946" s="15"/>
      <c r="AJ3946" s="15"/>
      <c r="AK3946" s="15"/>
      <c r="AL3946" s="15"/>
      <c r="AM3946" s="15"/>
      <c r="AN3946" s="15"/>
      <c r="AO3946" s="15"/>
      <c r="AP3946" s="15"/>
      <c r="AQ3946" s="15"/>
      <c r="AR3946" s="15"/>
      <c r="AS3946" s="15"/>
      <c r="AT3946" s="15"/>
      <c r="AU3946" s="15"/>
      <c r="AV3946" s="15"/>
      <c r="AW3946" s="15"/>
    </row>
    <row r="3947" spans="3:49" x14ac:dyDescent="0.2">
      <c r="C3947" s="15"/>
      <c r="D3947" s="15"/>
      <c r="E3947" s="15"/>
      <c r="F3947" s="15"/>
      <c r="G3947" s="15"/>
      <c r="H3947" s="15"/>
      <c r="I3947" s="15"/>
      <c r="J3947" s="15"/>
      <c r="K3947" s="15"/>
      <c r="L3947" s="28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  <c r="AA3947" s="15"/>
      <c r="AB3947" s="15"/>
      <c r="AC3947" s="15"/>
      <c r="AD3947" s="15"/>
      <c r="AE3947" s="15"/>
      <c r="AF3947" s="15"/>
      <c r="AG3947" s="15"/>
      <c r="AH3947" s="15"/>
      <c r="AI3947" s="15"/>
      <c r="AJ3947" s="15"/>
      <c r="AK3947" s="15"/>
      <c r="AL3947" s="15"/>
      <c r="AM3947" s="15"/>
      <c r="AN3947" s="15"/>
      <c r="AO3947" s="15"/>
      <c r="AP3947" s="15"/>
      <c r="AQ3947" s="15"/>
      <c r="AR3947" s="15"/>
      <c r="AS3947" s="15"/>
      <c r="AT3947" s="15"/>
      <c r="AU3947" s="15"/>
      <c r="AV3947" s="15"/>
      <c r="AW3947" s="15"/>
    </row>
    <row r="3948" spans="3:49" x14ac:dyDescent="0.2">
      <c r="C3948" s="15"/>
      <c r="D3948" s="15"/>
      <c r="E3948" s="15"/>
      <c r="F3948" s="15"/>
      <c r="G3948" s="15"/>
      <c r="H3948" s="15"/>
      <c r="I3948" s="15"/>
      <c r="J3948" s="15"/>
      <c r="K3948" s="15"/>
      <c r="L3948" s="28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  <c r="AA3948" s="15"/>
      <c r="AB3948" s="15"/>
      <c r="AC3948" s="15"/>
      <c r="AD3948" s="15"/>
      <c r="AE3948" s="15"/>
      <c r="AF3948" s="15"/>
      <c r="AG3948" s="15"/>
      <c r="AH3948" s="15"/>
      <c r="AI3948" s="15"/>
      <c r="AJ3948" s="15"/>
      <c r="AK3948" s="15"/>
      <c r="AL3948" s="15"/>
      <c r="AM3948" s="15"/>
      <c r="AN3948" s="15"/>
      <c r="AO3948" s="15"/>
      <c r="AP3948" s="15"/>
      <c r="AQ3948" s="15"/>
      <c r="AR3948" s="15"/>
      <c r="AS3948" s="15"/>
      <c r="AT3948" s="15"/>
      <c r="AU3948" s="15"/>
      <c r="AV3948" s="15"/>
      <c r="AW3948" s="15"/>
    </row>
    <row r="3949" spans="3:49" x14ac:dyDescent="0.2">
      <c r="C3949" s="15"/>
      <c r="D3949" s="15"/>
      <c r="E3949" s="15"/>
      <c r="F3949" s="15"/>
      <c r="G3949" s="15"/>
      <c r="H3949" s="15"/>
      <c r="I3949" s="15"/>
      <c r="J3949" s="15"/>
      <c r="K3949" s="15"/>
      <c r="L3949" s="28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  <c r="AA3949" s="15"/>
      <c r="AB3949" s="15"/>
      <c r="AC3949" s="15"/>
      <c r="AD3949" s="15"/>
      <c r="AE3949" s="15"/>
      <c r="AF3949" s="15"/>
      <c r="AG3949" s="15"/>
      <c r="AH3949" s="15"/>
      <c r="AI3949" s="15"/>
      <c r="AJ3949" s="15"/>
      <c r="AK3949" s="15"/>
      <c r="AL3949" s="15"/>
      <c r="AM3949" s="15"/>
      <c r="AN3949" s="15"/>
      <c r="AO3949" s="15"/>
      <c r="AP3949" s="15"/>
      <c r="AQ3949" s="15"/>
      <c r="AR3949" s="15"/>
      <c r="AS3949" s="15"/>
      <c r="AT3949" s="15"/>
      <c r="AU3949" s="15"/>
      <c r="AV3949" s="15"/>
      <c r="AW3949" s="15"/>
    </row>
    <row r="3950" spans="3:49" x14ac:dyDescent="0.2">
      <c r="C3950" s="15"/>
      <c r="D3950" s="15"/>
      <c r="E3950" s="15"/>
      <c r="F3950" s="15"/>
      <c r="G3950" s="15"/>
      <c r="H3950" s="15"/>
      <c r="I3950" s="15"/>
      <c r="J3950" s="15"/>
      <c r="K3950" s="15"/>
      <c r="L3950" s="28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  <c r="AA3950" s="15"/>
      <c r="AB3950" s="15"/>
      <c r="AC3950" s="15"/>
      <c r="AD3950" s="15"/>
      <c r="AE3950" s="15"/>
      <c r="AF3950" s="15"/>
      <c r="AG3950" s="15"/>
      <c r="AH3950" s="15"/>
      <c r="AI3950" s="15"/>
      <c r="AJ3950" s="15"/>
      <c r="AK3950" s="15"/>
      <c r="AL3950" s="15"/>
      <c r="AM3950" s="15"/>
      <c r="AN3950" s="15"/>
      <c r="AO3950" s="15"/>
      <c r="AP3950" s="15"/>
      <c r="AQ3950" s="15"/>
      <c r="AR3950" s="15"/>
      <c r="AS3950" s="15"/>
      <c r="AT3950" s="15"/>
      <c r="AU3950" s="15"/>
      <c r="AV3950" s="15"/>
      <c r="AW3950" s="15"/>
    </row>
    <row r="3951" spans="3:49" x14ac:dyDescent="0.2">
      <c r="C3951" s="15"/>
      <c r="D3951" s="15"/>
      <c r="E3951" s="15"/>
      <c r="F3951" s="15"/>
      <c r="G3951" s="15"/>
      <c r="H3951" s="15"/>
      <c r="I3951" s="15"/>
      <c r="J3951" s="15"/>
      <c r="K3951" s="15"/>
      <c r="L3951" s="28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  <c r="AA3951" s="15"/>
      <c r="AB3951" s="15"/>
      <c r="AC3951" s="15"/>
      <c r="AD3951" s="15"/>
      <c r="AE3951" s="15"/>
      <c r="AF3951" s="15"/>
      <c r="AG3951" s="15"/>
      <c r="AH3951" s="15"/>
      <c r="AI3951" s="15"/>
      <c r="AJ3951" s="15"/>
      <c r="AK3951" s="15"/>
      <c r="AL3951" s="15"/>
      <c r="AM3951" s="15"/>
      <c r="AN3951" s="15"/>
      <c r="AO3951" s="15"/>
      <c r="AP3951" s="15"/>
      <c r="AQ3951" s="15"/>
      <c r="AR3951" s="15"/>
      <c r="AS3951" s="15"/>
      <c r="AT3951" s="15"/>
      <c r="AU3951" s="15"/>
      <c r="AV3951" s="15"/>
      <c r="AW3951" s="15"/>
    </row>
    <row r="3952" spans="3:49" x14ac:dyDescent="0.2">
      <c r="C3952" s="15"/>
      <c r="D3952" s="15"/>
      <c r="E3952" s="15"/>
      <c r="F3952" s="15"/>
      <c r="G3952" s="15"/>
      <c r="H3952" s="15"/>
      <c r="I3952" s="15"/>
      <c r="J3952" s="15"/>
      <c r="K3952" s="15"/>
      <c r="L3952" s="28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  <c r="AA3952" s="15"/>
      <c r="AB3952" s="15"/>
      <c r="AC3952" s="15"/>
      <c r="AD3952" s="15"/>
      <c r="AE3952" s="15"/>
      <c r="AF3952" s="15"/>
      <c r="AG3952" s="15"/>
      <c r="AH3952" s="15"/>
      <c r="AI3952" s="15"/>
      <c r="AJ3952" s="15"/>
      <c r="AK3952" s="15"/>
      <c r="AL3952" s="15"/>
      <c r="AM3952" s="15"/>
      <c r="AN3952" s="15"/>
      <c r="AO3952" s="15"/>
      <c r="AP3952" s="15"/>
      <c r="AQ3952" s="15"/>
      <c r="AR3952" s="15"/>
      <c r="AS3952" s="15"/>
      <c r="AT3952" s="15"/>
      <c r="AU3952" s="15"/>
      <c r="AV3952" s="15"/>
      <c r="AW3952" s="15"/>
    </row>
    <row r="3953" spans="3:49" x14ac:dyDescent="0.2">
      <c r="C3953" s="15"/>
      <c r="D3953" s="15"/>
      <c r="E3953" s="15"/>
      <c r="F3953" s="15"/>
      <c r="G3953" s="15"/>
      <c r="H3953" s="15"/>
      <c r="I3953" s="15"/>
      <c r="J3953" s="15"/>
      <c r="K3953" s="15"/>
      <c r="L3953" s="28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  <c r="AA3953" s="15"/>
      <c r="AB3953" s="15"/>
      <c r="AC3953" s="15"/>
      <c r="AD3953" s="15"/>
      <c r="AE3953" s="15"/>
      <c r="AF3953" s="15"/>
      <c r="AG3953" s="15"/>
      <c r="AH3953" s="15"/>
      <c r="AI3953" s="15"/>
      <c r="AJ3953" s="15"/>
      <c r="AK3953" s="15"/>
      <c r="AL3953" s="15"/>
      <c r="AM3953" s="15"/>
      <c r="AN3953" s="15"/>
      <c r="AO3953" s="15"/>
      <c r="AP3953" s="15"/>
      <c r="AQ3953" s="15"/>
      <c r="AR3953" s="15"/>
      <c r="AS3953" s="15"/>
      <c r="AT3953" s="15"/>
      <c r="AU3953" s="15"/>
      <c r="AV3953" s="15"/>
      <c r="AW3953" s="15"/>
    </row>
    <row r="3954" spans="3:49" x14ac:dyDescent="0.2">
      <c r="C3954" s="15"/>
      <c r="D3954" s="15"/>
      <c r="E3954" s="15"/>
      <c r="F3954" s="15"/>
      <c r="G3954" s="15"/>
      <c r="H3954" s="15"/>
      <c r="I3954" s="15"/>
      <c r="J3954" s="15"/>
      <c r="K3954" s="15"/>
      <c r="L3954" s="28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  <c r="AA3954" s="15"/>
      <c r="AB3954" s="15"/>
      <c r="AC3954" s="15"/>
      <c r="AD3954" s="15"/>
      <c r="AE3954" s="15"/>
      <c r="AF3954" s="15"/>
      <c r="AG3954" s="15"/>
      <c r="AH3954" s="15"/>
      <c r="AI3954" s="15"/>
      <c r="AJ3954" s="15"/>
      <c r="AK3954" s="15"/>
      <c r="AL3954" s="15"/>
      <c r="AM3954" s="15"/>
      <c r="AN3954" s="15"/>
      <c r="AO3954" s="15"/>
      <c r="AP3954" s="15"/>
      <c r="AQ3954" s="15"/>
      <c r="AR3954" s="15"/>
      <c r="AS3954" s="15"/>
      <c r="AT3954" s="15"/>
      <c r="AU3954" s="15"/>
      <c r="AV3954" s="15"/>
      <c r="AW3954" s="15"/>
    </row>
    <row r="3955" spans="3:49" x14ac:dyDescent="0.2">
      <c r="C3955" s="15"/>
      <c r="D3955" s="15"/>
      <c r="E3955" s="15"/>
      <c r="F3955" s="15"/>
      <c r="G3955" s="15"/>
      <c r="H3955" s="15"/>
      <c r="I3955" s="15"/>
      <c r="J3955" s="15"/>
      <c r="K3955" s="15"/>
      <c r="L3955" s="28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  <c r="AA3955" s="15"/>
      <c r="AB3955" s="15"/>
      <c r="AC3955" s="15"/>
      <c r="AD3955" s="15"/>
      <c r="AE3955" s="15"/>
      <c r="AF3955" s="15"/>
      <c r="AG3955" s="15"/>
      <c r="AH3955" s="15"/>
      <c r="AI3955" s="15"/>
      <c r="AJ3955" s="15"/>
      <c r="AK3955" s="15"/>
      <c r="AL3955" s="15"/>
      <c r="AM3955" s="15"/>
      <c r="AN3955" s="15"/>
      <c r="AO3955" s="15"/>
      <c r="AP3955" s="15"/>
      <c r="AQ3955" s="15"/>
      <c r="AR3955" s="15"/>
      <c r="AS3955" s="15"/>
      <c r="AT3955" s="15"/>
      <c r="AU3955" s="15"/>
      <c r="AV3955" s="15"/>
      <c r="AW3955" s="15"/>
    </row>
    <row r="3956" spans="3:49" x14ac:dyDescent="0.2">
      <c r="C3956" s="15"/>
      <c r="D3956" s="15"/>
      <c r="E3956" s="15"/>
      <c r="F3956" s="15"/>
      <c r="G3956" s="15"/>
      <c r="H3956" s="15"/>
      <c r="I3956" s="15"/>
      <c r="J3956" s="15"/>
      <c r="K3956" s="15"/>
      <c r="L3956" s="28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  <c r="AA3956" s="15"/>
      <c r="AB3956" s="15"/>
      <c r="AC3956" s="15"/>
      <c r="AD3956" s="15"/>
      <c r="AE3956" s="15"/>
      <c r="AF3956" s="15"/>
      <c r="AG3956" s="15"/>
      <c r="AH3956" s="15"/>
      <c r="AI3956" s="15"/>
      <c r="AJ3956" s="15"/>
      <c r="AK3956" s="15"/>
      <c r="AL3956" s="15"/>
      <c r="AM3956" s="15"/>
      <c r="AN3956" s="15"/>
      <c r="AO3956" s="15"/>
      <c r="AP3956" s="15"/>
      <c r="AQ3956" s="15"/>
      <c r="AR3956" s="15"/>
      <c r="AS3956" s="15"/>
      <c r="AT3956" s="15"/>
      <c r="AU3956" s="15"/>
      <c r="AV3956" s="15"/>
      <c r="AW3956" s="15"/>
    </row>
    <row r="3957" spans="3:49" x14ac:dyDescent="0.2">
      <c r="C3957" s="15"/>
      <c r="D3957" s="15"/>
      <c r="E3957" s="15"/>
      <c r="F3957" s="15"/>
      <c r="G3957" s="15"/>
      <c r="H3957" s="15"/>
      <c r="I3957" s="15"/>
      <c r="J3957" s="15"/>
      <c r="K3957" s="15"/>
      <c r="L3957" s="28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  <c r="AA3957" s="15"/>
      <c r="AB3957" s="15"/>
      <c r="AC3957" s="15"/>
      <c r="AD3957" s="15"/>
      <c r="AE3957" s="15"/>
      <c r="AF3957" s="15"/>
      <c r="AG3957" s="15"/>
      <c r="AH3957" s="15"/>
      <c r="AI3957" s="15"/>
      <c r="AJ3957" s="15"/>
      <c r="AK3957" s="15"/>
      <c r="AL3957" s="15"/>
      <c r="AM3957" s="15"/>
      <c r="AN3957" s="15"/>
      <c r="AO3957" s="15"/>
      <c r="AP3957" s="15"/>
      <c r="AQ3957" s="15"/>
      <c r="AR3957" s="15"/>
      <c r="AS3957" s="15"/>
      <c r="AT3957" s="15"/>
      <c r="AU3957" s="15"/>
      <c r="AV3957" s="15"/>
      <c r="AW3957" s="15"/>
    </row>
    <row r="3958" spans="3:49" x14ac:dyDescent="0.2">
      <c r="C3958" s="15"/>
      <c r="D3958" s="15"/>
      <c r="E3958" s="15"/>
      <c r="F3958" s="15"/>
      <c r="G3958" s="15"/>
      <c r="H3958" s="15"/>
      <c r="I3958" s="15"/>
      <c r="J3958" s="15"/>
      <c r="K3958" s="15"/>
      <c r="L3958" s="28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  <c r="AA3958" s="15"/>
      <c r="AB3958" s="15"/>
      <c r="AC3958" s="15"/>
      <c r="AD3958" s="15"/>
      <c r="AE3958" s="15"/>
      <c r="AF3958" s="15"/>
      <c r="AG3958" s="15"/>
      <c r="AH3958" s="15"/>
      <c r="AI3958" s="15"/>
      <c r="AJ3958" s="15"/>
      <c r="AK3958" s="15"/>
      <c r="AL3958" s="15"/>
      <c r="AM3958" s="15"/>
      <c r="AN3958" s="15"/>
      <c r="AO3958" s="15"/>
      <c r="AP3958" s="15"/>
      <c r="AQ3958" s="15"/>
      <c r="AR3958" s="15"/>
      <c r="AS3958" s="15"/>
      <c r="AT3958" s="15"/>
      <c r="AU3958" s="15"/>
      <c r="AV3958" s="15"/>
      <c r="AW3958" s="15"/>
    </row>
    <row r="3959" spans="3:49" x14ac:dyDescent="0.2">
      <c r="C3959" s="15"/>
      <c r="D3959" s="15"/>
      <c r="E3959" s="15"/>
      <c r="F3959" s="15"/>
      <c r="G3959" s="15"/>
      <c r="H3959" s="15"/>
      <c r="I3959" s="15"/>
      <c r="J3959" s="15"/>
      <c r="K3959" s="15"/>
      <c r="L3959" s="28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  <c r="AA3959" s="15"/>
      <c r="AB3959" s="15"/>
      <c r="AC3959" s="15"/>
      <c r="AD3959" s="15"/>
      <c r="AE3959" s="15"/>
      <c r="AF3959" s="15"/>
      <c r="AG3959" s="15"/>
      <c r="AH3959" s="15"/>
      <c r="AI3959" s="15"/>
      <c r="AJ3959" s="15"/>
      <c r="AK3959" s="15"/>
      <c r="AL3959" s="15"/>
      <c r="AM3959" s="15"/>
      <c r="AN3959" s="15"/>
      <c r="AO3959" s="15"/>
      <c r="AP3959" s="15"/>
      <c r="AQ3959" s="15"/>
      <c r="AR3959" s="15"/>
      <c r="AS3959" s="15"/>
      <c r="AT3959" s="15"/>
      <c r="AU3959" s="15"/>
      <c r="AV3959" s="15"/>
      <c r="AW3959" s="15"/>
    </row>
    <row r="3960" spans="3:49" x14ac:dyDescent="0.2">
      <c r="C3960" s="15"/>
      <c r="D3960" s="15"/>
      <c r="E3960" s="15"/>
      <c r="F3960" s="15"/>
      <c r="G3960" s="15"/>
      <c r="H3960" s="15"/>
      <c r="I3960" s="15"/>
      <c r="J3960" s="15"/>
      <c r="K3960" s="15"/>
      <c r="L3960" s="28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  <c r="AA3960" s="15"/>
      <c r="AB3960" s="15"/>
      <c r="AC3960" s="15"/>
      <c r="AD3960" s="15"/>
      <c r="AE3960" s="15"/>
      <c r="AF3960" s="15"/>
      <c r="AG3960" s="15"/>
      <c r="AH3960" s="15"/>
      <c r="AI3960" s="15"/>
      <c r="AJ3960" s="15"/>
      <c r="AK3960" s="15"/>
      <c r="AL3960" s="15"/>
      <c r="AM3960" s="15"/>
      <c r="AN3960" s="15"/>
      <c r="AO3960" s="15"/>
      <c r="AP3960" s="15"/>
      <c r="AQ3960" s="15"/>
      <c r="AR3960" s="15"/>
      <c r="AS3960" s="15"/>
      <c r="AT3960" s="15"/>
      <c r="AU3960" s="15"/>
      <c r="AV3960" s="15"/>
      <c r="AW3960" s="15"/>
    </row>
    <row r="3961" spans="3:49" x14ac:dyDescent="0.2">
      <c r="C3961" s="15"/>
      <c r="D3961" s="15"/>
      <c r="E3961" s="15"/>
      <c r="F3961" s="15"/>
      <c r="G3961" s="15"/>
      <c r="H3961" s="15"/>
      <c r="I3961" s="15"/>
      <c r="J3961" s="15"/>
      <c r="K3961" s="15"/>
      <c r="L3961" s="28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  <c r="AA3961" s="15"/>
      <c r="AB3961" s="15"/>
      <c r="AC3961" s="15"/>
      <c r="AD3961" s="15"/>
      <c r="AE3961" s="15"/>
      <c r="AF3961" s="15"/>
      <c r="AG3961" s="15"/>
      <c r="AH3961" s="15"/>
      <c r="AI3961" s="15"/>
      <c r="AJ3961" s="15"/>
      <c r="AK3961" s="15"/>
      <c r="AL3961" s="15"/>
      <c r="AM3961" s="15"/>
      <c r="AN3961" s="15"/>
      <c r="AO3961" s="15"/>
      <c r="AP3961" s="15"/>
      <c r="AQ3961" s="15"/>
      <c r="AR3961" s="15"/>
      <c r="AS3961" s="15"/>
      <c r="AT3961" s="15"/>
      <c r="AU3961" s="15"/>
      <c r="AV3961" s="15"/>
      <c r="AW3961" s="15"/>
    </row>
    <row r="3962" spans="3:49" x14ac:dyDescent="0.2">
      <c r="C3962" s="15"/>
      <c r="D3962" s="15"/>
      <c r="E3962" s="15"/>
      <c r="F3962" s="15"/>
      <c r="G3962" s="15"/>
      <c r="H3962" s="15"/>
      <c r="I3962" s="15"/>
      <c r="J3962" s="15"/>
      <c r="K3962" s="15"/>
      <c r="L3962" s="28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  <c r="AA3962" s="15"/>
      <c r="AB3962" s="15"/>
      <c r="AC3962" s="15"/>
      <c r="AD3962" s="15"/>
      <c r="AE3962" s="15"/>
      <c r="AF3962" s="15"/>
      <c r="AG3962" s="15"/>
      <c r="AH3962" s="15"/>
      <c r="AI3962" s="15"/>
      <c r="AJ3962" s="15"/>
      <c r="AK3962" s="15"/>
      <c r="AL3962" s="15"/>
      <c r="AM3962" s="15"/>
      <c r="AN3962" s="15"/>
      <c r="AO3962" s="15"/>
      <c r="AP3962" s="15"/>
      <c r="AQ3962" s="15"/>
      <c r="AR3962" s="15"/>
      <c r="AS3962" s="15"/>
      <c r="AT3962" s="15"/>
      <c r="AU3962" s="15"/>
      <c r="AV3962" s="15"/>
      <c r="AW3962" s="15"/>
    </row>
    <row r="3963" spans="3:49" x14ac:dyDescent="0.2">
      <c r="C3963" s="15"/>
      <c r="D3963" s="15"/>
      <c r="E3963" s="15"/>
      <c r="F3963" s="15"/>
      <c r="G3963" s="15"/>
      <c r="H3963" s="15"/>
      <c r="I3963" s="15"/>
      <c r="J3963" s="15"/>
      <c r="K3963" s="15"/>
      <c r="L3963" s="28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  <c r="AA3963" s="15"/>
      <c r="AB3963" s="15"/>
      <c r="AC3963" s="15"/>
      <c r="AD3963" s="15"/>
      <c r="AE3963" s="15"/>
      <c r="AF3963" s="15"/>
      <c r="AG3963" s="15"/>
      <c r="AH3963" s="15"/>
      <c r="AI3963" s="15"/>
      <c r="AJ3963" s="15"/>
      <c r="AK3963" s="15"/>
      <c r="AL3963" s="15"/>
      <c r="AM3963" s="15"/>
      <c r="AN3963" s="15"/>
      <c r="AO3963" s="15"/>
      <c r="AP3963" s="15"/>
      <c r="AQ3963" s="15"/>
      <c r="AR3963" s="15"/>
      <c r="AS3963" s="15"/>
      <c r="AT3963" s="15"/>
      <c r="AU3963" s="15"/>
      <c r="AV3963" s="15"/>
      <c r="AW3963" s="15"/>
    </row>
    <row r="3964" spans="3:49" x14ac:dyDescent="0.2">
      <c r="C3964" s="15"/>
      <c r="D3964" s="15"/>
      <c r="E3964" s="15"/>
      <c r="F3964" s="15"/>
      <c r="G3964" s="15"/>
      <c r="H3964" s="15"/>
      <c r="I3964" s="15"/>
      <c r="J3964" s="15"/>
      <c r="K3964" s="15"/>
      <c r="L3964" s="28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  <c r="AA3964" s="15"/>
      <c r="AB3964" s="15"/>
      <c r="AC3964" s="15"/>
      <c r="AD3964" s="15"/>
      <c r="AE3964" s="15"/>
      <c r="AF3964" s="15"/>
      <c r="AG3964" s="15"/>
      <c r="AH3964" s="15"/>
      <c r="AI3964" s="15"/>
      <c r="AJ3964" s="15"/>
      <c r="AK3964" s="15"/>
      <c r="AL3964" s="15"/>
      <c r="AM3964" s="15"/>
      <c r="AN3964" s="15"/>
      <c r="AO3964" s="15"/>
      <c r="AP3964" s="15"/>
      <c r="AQ3964" s="15"/>
      <c r="AR3964" s="15"/>
      <c r="AS3964" s="15"/>
      <c r="AT3964" s="15"/>
      <c r="AU3964" s="15"/>
      <c r="AV3964" s="15"/>
      <c r="AW3964" s="15"/>
    </row>
    <row r="3965" spans="3:49" x14ac:dyDescent="0.2">
      <c r="C3965" s="15"/>
      <c r="D3965" s="15"/>
      <c r="E3965" s="15"/>
      <c r="F3965" s="15"/>
      <c r="G3965" s="15"/>
      <c r="H3965" s="15"/>
      <c r="I3965" s="15"/>
      <c r="J3965" s="15"/>
      <c r="K3965" s="15"/>
      <c r="L3965" s="28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  <c r="AA3965" s="15"/>
      <c r="AB3965" s="15"/>
      <c r="AC3965" s="15"/>
      <c r="AD3965" s="15"/>
      <c r="AE3965" s="15"/>
      <c r="AF3965" s="15"/>
      <c r="AG3965" s="15"/>
      <c r="AH3965" s="15"/>
      <c r="AI3965" s="15"/>
      <c r="AJ3965" s="15"/>
      <c r="AK3965" s="15"/>
      <c r="AL3965" s="15"/>
      <c r="AM3965" s="15"/>
      <c r="AN3965" s="15"/>
      <c r="AO3965" s="15"/>
      <c r="AP3965" s="15"/>
      <c r="AQ3965" s="15"/>
      <c r="AR3965" s="15"/>
      <c r="AS3965" s="15"/>
      <c r="AT3965" s="15"/>
      <c r="AU3965" s="15"/>
      <c r="AV3965" s="15"/>
      <c r="AW3965" s="15"/>
    </row>
    <row r="3966" spans="3:49" x14ac:dyDescent="0.2">
      <c r="C3966" s="15"/>
      <c r="D3966" s="15"/>
      <c r="E3966" s="15"/>
      <c r="F3966" s="15"/>
      <c r="G3966" s="15"/>
      <c r="H3966" s="15"/>
      <c r="I3966" s="15"/>
      <c r="J3966" s="15"/>
      <c r="K3966" s="15"/>
      <c r="L3966" s="28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  <c r="AA3966" s="15"/>
      <c r="AB3966" s="15"/>
      <c r="AC3966" s="15"/>
      <c r="AD3966" s="15"/>
      <c r="AE3966" s="15"/>
      <c r="AF3966" s="15"/>
      <c r="AG3966" s="15"/>
      <c r="AH3966" s="15"/>
      <c r="AI3966" s="15"/>
      <c r="AJ3966" s="15"/>
      <c r="AK3966" s="15"/>
      <c r="AL3966" s="15"/>
      <c r="AM3966" s="15"/>
      <c r="AN3966" s="15"/>
      <c r="AO3966" s="15"/>
      <c r="AP3966" s="15"/>
      <c r="AQ3966" s="15"/>
      <c r="AR3966" s="15"/>
      <c r="AS3966" s="15"/>
      <c r="AT3966" s="15"/>
      <c r="AU3966" s="15"/>
      <c r="AV3966" s="15"/>
      <c r="AW3966" s="15"/>
    </row>
    <row r="3967" spans="3:49" x14ac:dyDescent="0.2">
      <c r="C3967" s="15"/>
      <c r="D3967" s="15"/>
      <c r="E3967" s="15"/>
      <c r="F3967" s="15"/>
      <c r="G3967" s="15"/>
      <c r="H3967" s="15"/>
      <c r="I3967" s="15"/>
      <c r="J3967" s="15"/>
      <c r="K3967" s="15"/>
      <c r="L3967" s="28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  <c r="AA3967" s="15"/>
      <c r="AB3967" s="15"/>
      <c r="AC3967" s="15"/>
      <c r="AD3967" s="15"/>
      <c r="AE3967" s="15"/>
      <c r="AF3967" s="15"/>
      <c r="AG3967" s="15"/>
      <c r="AH3967" s="15"/>
      <c r="AI3967" s="15"/>
      <c r="AJ3967" s="15"/>
      <c r="AK3967" s="15"/>
      <c r="AL3967" s="15"/>
      <c r="AM3967" s="15"/>
      <c r="AN3967" s="15"/>
      <c r="AO3967" s="15"/>
      <c r="AP3967" s="15"/>
      <c r="AQ3967" s="15"/>
      <c r="AR3967" s="15"/>
      <c r="AS3967" s="15"/>
      <c r="AT3967" s="15"/>
      <c r="AU3967" s="15"/>
      <c r="AV3967" s="15"/>
      <c r="AW3967" s="15"/>
    </row>
    <row r="3968" spans="3:49" x14ac:dyDescent="0.2">
      <c r="C3968" s="15"/>
      <c r="D3968" s="15"/>
      <c r="E3968" s="15"/>
      <c r="F3968" s="15"/>
      <c r="G3968" s="15"/>
      <c r="H3968" s="15"/>
      <c r="I3968" s="15"/>
      <c r="J3968" s="15"/>
      <c r="K3968" s="15"/>
      <c r="L3968" s="28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  <c r="AA3968" s="15"/>
      <c r="AB3968" s="15"/>
      <c r="AC3968" s="15"/>
      <c r="AD3968" s="15"/>
      <c r="AE3968" s="15"/>
      <c r="AF3968" s="15"/>
      <c r="AG3968" s="15"/>
      <c r="AH3968" s="15"/>
      <c r="AI3968" s="15"/>
      <c r="AJ3968" s="15"/>
      <c r="AK3968" s="15"/>
      <c r="AL3968" s="15"/>
      <c r="AM3968" s="15"/>
      <c r="AN3968" s="15"/>
      <c r="AO3968" s="15"/>
      <c r="AP3968" s="15"/>
      <c r="AQ3968" s="15"/>
      <c r="AR3968" s="15"/>
      <c r="AS3968" s="15"/>
      <c r="AT3968" s="15"/>
      <c r="AU3968" s="15"/>
      <c r="AV3968" s="15"/>
      <c r="AW3968" s="15"/>
    </row>
    <row r="3969" spans="3:49" x14ac:dyDescent="0.2">
      <c r="C3969" s="15"/>
      <c r="D3969" s="15"/>
      <c r="E3969" s="15"/>
      <c r="F3969" s="15"/>
      <c r="G3969" s="15"/>
      <c r="H3969" s="15"/>
      <c r="I3969" s="15"/>
      <c r="J3969" s="15"/>
      <c r="K3969" s="15"/>
      <c r="L3969" s="28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  <c r="AA3969" s="15"/>
      <c r="AB3969" s="15"/>
      <c r="AC3969" s="15"/>
      <c r="AD3969" s="15"/>
      <c r="AE3969" s="15"/>
      <c r="AF3969" s="15"/>
      <c r="AG3969" s="15"/>
      <c r="AH3969" s="15"/>
      <c r="AI3969" s="15"/>
      <c r="AJ3969" s="15"/>
      <c r="AK3969" s="15"/>
      <c r="AL3969" s="15"/>
      <c r="AM3969" s="15"/>
      <c r="AN3969" s="15"/>
      <c r="AO3969" s="15"/>
      <c r="AP3969" s="15"/>
      <c r="AQ3969" s="15"/>
      <c r="AR3969" s="15"/>
      <c r="AS3969" s="15"/>
      <c r="AT3969" s="15"/>
      <c r="AU3969" s="15"/>
      <c r="AV3969" s="15"/>
      <c r="AW3969" s="15"/>
    </row>
    <row r="3970" spans="3:49" x14ac:dyDescent="0.2">
      <c r="C3970" s="15"/>
      <c r="D3970" s="15"/>
      <c r="E3970" s="15"/>
      <c r="F3970" s="15"/>
      <c r="G3970" s="15"/>
      <c r="H3970" s="15"/>
      <c r="I3970" s="15"/>
      <c r="J3970" s="15"/>
      <c r="K3970" s="15"/>
      <c r="L3970" s="28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  <c r="AA3970" s="15"/>
      <c r="AB3970" s="15"/>
      <c r="AC3970" s="15"/>
      <c r="AD3970" s="15"/>
      <c r="AE3970" s="15"/>
      <c r="AF3970" s="15"/>
      <c r="AG3970" s="15"/>
      <c r="AH3970" s="15"/>
      <c r="AI3970" s="15"/>
      <c r="AJ3970" s="15"/>
      <c r="AK3970" s="15"/>
      <c r="AL3970" s="15"/>
      <c r="AM3970" s="15"/>
      <c r="AN3970" s="15"/>
      <c r="AO3970" s="15"/>
      <c r="AP3970" s="15"/>
      <c r="AQ3970" s="15"/>
      <c r="AR3970" s="15"/>
      <c r="AS3970" s="15"/>
      <c r="AT3970" s="15"/>
      <c r="AU3970" s="15"/>
      <c r="AV3970" s="15"/>
      <c r="AW3970" s="15"/>
    </row>
    <row r="3971" spans="3:49" x14ac:dyDescent="0.2">
      <c r="C3971" s="15"/>
      <c r="D3971" s="15"/>
      <c r="E3971" s="15"/>
      <c r="F3971" s="15"/>
      <c r="G3971" s="15"/>
      <c r="H3971" s="15"/>
      <c r="I3971" s="15"/>
      <c r="J3971" s="15"/>
      <c r="K3971" s="15"/>
      <c r="L3971" s="28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  <c r="AA3971" s="15"/>
      <c r="AB3971" s="15"/>
      <c r="AC3971" s="15"/>
      <c r="AD3971" s="15"/>
      <c r="AE3971" s="15"/>
      <c r="AF3971" s="15"/>
      <c r="AG3971" s="15"/>
      <c r="AH3971" s="15"/>
      <c r="AI3971" s="15"/>
      <c r="AJ3971" s="15"/>
      <c r="AK3971" s="15"/>
      <c r="AL3971" s="15"/>
      <c r="AM3971" s="15"/>
      <c r="AN3971" s="15"/>
      <c r="AO3971" s="15"/>
      <c r="AP3971" s="15"/>
      <c r="AQ3971" s="15"/>
      <c r="AR3971" s="15"/>
      <c r="AS3971" s="15"/>
      <c r="AT3971" s="15"/>
      <c r="AU3971" s="15"/>
      <c r="AV3971" s="15"/>
      <c r="AW3971" s="15"/>
    </row>
    <row r="3972" spans="3:49" x14ac:dyDescent="0.2">
      <c r="C3972" s="15"/>
      <c r="D3972" s="15"/>
      <c r="E3972" s="15"/>
      <c r="F3972" s="15"/>
      <c r="G3972" s="15"/>
      <c r="H3972" s="15"/>
      <c r="I3972" s="15"/>
      <c r="J3972" s="15"/>
      <c r="K3972" s="15"/>
      <c r="L3972" s="28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  <c r="AA3972" s="15"/>
      <c r="AB3972" s="15"/>
      <c r="AC3972" s="15"/>
      <c r="AD3972" s="15"/>
      <c r="AE3972" s="15"/>
      <c r="AF3972" s="15"/>
      <c r="AG3972" s="15"/>
      <c r="AH3972" s="15"/>
      <c r="AI3972" s="15"/>
      <c r="AJ3972" s="15"/>
      <c r="AK3972" s="15"/>
      <c r="AL3972" s="15"/>
      <c r="AM3972" s="15"/>
      <c r="AN3972" s="15"/>
      <c r="AO3972" s="15"/>
      <c r="AP3972" s="15"/>
      <c r="AQ3972" s="15"/>
      <c r="AR3972" s="15"/>
      <c r="AS3972" s="15"/>
      <c r="AT3972" s="15"/>
      <c r="AU3972" s="15"/>
      <c r="AV3972" s="15"/>
      <c r="AW3972" s="15"/>
    </row>
    <row r="3973" spans="3:49" x14ac:dyDescent="0.2">
      <c r="C3973" s="15"/>
      <c r="D3973" s="15"/>
      <c r="E3973" s="15"/>
      <c r="F3973" s="15"/>
      <c r="G3973" s="15"/>
      <c r="H3973" s="15"/>
      <c r="I3973" s="15"/>
      <c r="J3973" s="15"/>
      <c r="K3973" s="15"/>
      <c r="L3973" s="28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  <c r="AA3973" s="15"/>
      <c r="AB3973" s="15"/>
      <c r="AC3973" s="15"/>
      <c r="AD3973" s="15"/>
      <c r="AE3973" s="15"/>
      <c r="AF3973" s="15"/>
      <c r="AG3973" s="15"/>
      <c r="AH3973" s="15"/>
      <c r="AI3973" s="15"/>
      <c r="AJ3973" s="15"/>
      <c r="AK3973" s="15"/>
      <c r="AL3973" s="15"/>
      <c r="AM3973" s="15"/>
      <c r="AN3973" s="15"/>
      <c r="AO3973" s="15"/>
      <c r="AP3973" s="15"/>
      <c r="AQ3973" s="15"/>
      <c r="AR3973" s="15"/>
      <c r="AS3973" s="15"/>
      <c r="AT3973" s="15"/>
      <c r="AU3973" s="15"/>
      <c r="AV3973" s="15"/>
      <c r="AW3973" s="15"/>
    </row>
    <row r="3974" spans="3:49" x14ac:dyDescent="0.2">
      <c r="C3974" s="15"/>
      <c r="D3974" s="15"/>
      <c r="E3974" s="15"/>
      <c r="F3974" s="15"/>
      <c r="G3974" s="15"/>
      <c r="H3974" s="15"/>
      <c r="I3974" s="15"/>
      <c r="J3974" s="15"/>
      <c r="K3974" s="15"/>
      <c r="L3974" s="28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  <c r="AA3974" s="15"/>
      <c r="AB3974" s="15"/>
      <c r="AC3974" s="15"/>
      <c r="AD3974" s="15"/>
      <c r="AE3974" s="15"/>
      <c r="AF3974" s="15"/>
      <c r="AG3974" s="15"/>
      <c r="AH3974" s="15"/>
      <c r="AI3974" s="15"/>
      <c r="AJ3974" s="15"/>
      <c r="AK3974" s="15"/>
      <c r="AL3974" s="15"/>
      <c r="AM3974" s="15"/>
      <c r="AN3974" s="15"/>
      <c r="AO3974" s="15"/>
      <c r="AP3974" s="15"/>
      <c r="AQ3974" s="15"/>
      <c r="AR3974" s="15"/>
      <c r="AS3974" s="15"/>
      <c r="AT3974" s="15"/>
      <c r="AU3974" s="15"/>
      <c r="AV3974" s="15"/>
      <c r="AW3974" s="15"/>
    </row>
    <row r="3975" spans="3:49" x14ac:dyDescent="0.2">
      <c r="C3975" s="15"/>
      <c r="D3975" s="15"/>
      <c r="E3975" s="15"/>
      <c r="F3975" s="15"/>
      <c r="G3975" s="15"/>
      <c r="H3975" s="15"/>
      <c r="I3975" s="15"/>
      <c r="J3975" s="15"/>
      <c r="K3975" s="15"/>
      <c r="L3975" s="28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  <c r="AA3975" s="15"/>
      <c r="AB3975" s="15"/>
      <c r="AC3975" s="15"/>
      <c r="AD3975" s="15"/>
      <c r="AE3975" s="15"/>
      <c r="AF3975" s="15"/>
      <c r="AG3975" s="15"/>
      <c r="AH3975" s="15"/>
      <c r="AI3975" s="15"/>
      <c r="AJ3975" s="15"/>
      <c r="AK3975" s="15"/>
      <c r="AL3975" s="15"/>
      <c r="AM3975" s="15"/>
      <c r="AN3975" s="15"/>
      <c r="AO3975" s="15"/>
      <c r="AP3975" s="15"/>
      <c r="AQ3975" s="15"/>
      <c r="AR3975" s="15"/>
      <c r="AS3975" s="15"/>
      <c r="AT3975" s="15"/>
      <c r="AU3975" s="15"/>
      <c r="AV3975" s="15"/>
      <c r="AW3975" s="15"/>
    </row>
    <row r="3976" spans="3:49" x14ac:dyDescent="0.2">
      <c r="C3976" s="15"/>
      <c r="D3976" s="15"/>
      <c r="E3976" s="15"/>
      <c r="F3976" s="15"/>
      <c r="G3976" s="15"/>
      <c r="H3976" s="15"/>
      <c r="I3976" s="15"/>
      <c r="J3976" s="15"/>
      <c r="K3976" s="15"/>
      <c r="L3976" s="28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  <c r="AA3976" s="15"/>
      <c r="AB3976" s="15"/>
      <c r="AC3976" s="15"/>
      <c r="AD3976" s="15"/>
      <c r="AE3976" s="15"/>
      <c r="AF3976" s="15"/>
      <c r="AG3976" s="15"/>
      <c r="AH3976" s="15"/>
      <c r="AI3976" s="15"/>
      <c r="AJ3976" s="15"/>
      <c r="AK3976" s="15"/>
      <c r="AL3976" s="15"/>
      <c r="AM3976" s="15"/>
      <c r="AN3976" s="15"/>
      <c r="AO3976" s="15"/>
      <c r="AP3976" s="15"/>
      <c r="AQ3976" s="15"/>
      <c r="AR3976" s="15"/>
      <c r="AS3976" s="15"/>
      <c r="AT3976" s="15"/>
      <c r="AU3976" s="15"/>
      <c r="AV3976" s="15"/>
      <c r="AW3976" s="15"/>
    </row>
    <row r="3977" spans="3:49" x14ac:dyDescent="0.2">
      <c r="C3977" s="15"/>
      <c r="D3977" s="15"/>
      <c r="E3977" s="15"/>
      <c r="F3977" s="15"/>
      <c r="G3977" s="15"/>
      <c r="H3977" s="15"/>
      <c r="I3977" s="15"/>
      <c r="J3977" s="15"/>
      <c r="K3977" s="15"/>
      <c r="L3977" s="28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  <c r="AA3977" s="15"/>
      <c r="AB3977" s="15"/>
      <c r="AC3977" s="15"/>
      <c r="AD3977" s="15"/>
      <c r="AE3977" s="15"/>
      <c r="AF3977" s="15"/>
      <c r="AG3977" s="15"/>
      <c r="AH3977" s="15"/>
      <c r="AI3977" s="15"/>
      <c r="AJ3977" s="15"/>
      <c r="AK3977" s="15"/>
      <c r="AL3977" s="15"/>
      <c r="AM3977" s="15"/>
      <c r="AN3977" s="15"/>
      <c r="AO3977" s="15"/>
      <c r="AP3977" s="15"/>
      <c r="AQ3977" s="15"/>
      <c r="AR3977" s="15"/>
      <c r="AS3977" s="15"/>
      <c r="AT3977" s="15"/>
      <c r="AU3977" s="15"/>
      <c r="AV3977" s="15"/>
      <c r="AW3977" s="15"/>
    </row>
    <row r="3978" spans="3:49" x14ac:dyDescent="0.2">
      <c r="C3978" s="15"/>
      <c r="D3978" s="15"/>
      <c r="E3978" s="15"/>
      <c r="F3978" s="15"/>
      <c r="G3978" s="15"/>
      <c r="H3978" s="15"/>
      <c r="I3978" s="15"/>
      <c r="J3978" s="15"/>
      <c r="K3978" s="15"/>
      <c r="L3978" s="28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  <c r="AA3978" s="15"/>
      <c r="AB3978" s="15"/>
      <c r="AC3978" s="15"/>
      <c r="AD3978" s="15"/>
      <c r="AE3978" s="15"/>
      <c r="AF3978" s="15"/>
      <c r="AG3978" s="15"/>
      <c r="AH3978" s="15"/>
      <c r="AI3978" s="15"/>
      <c r="AJ3978" s="15"/>
      <c r="AK3978" s="15"/>
      <c r="AL3978" s="15"/>
      <c r="AM3978" s="15"/>
      <c r="AN3978" s="15"/>
      <c r="AO3978" s="15"/>
      <c r="AP3978" s="15"/>
      <c r="AQ3978" s="15"/>
      <c r="AR3978" s="15"/>
      <c r="AS3978" s="15"/>
      <c r="AT3978" s="15"/>
      <c r="AU3978" s="15"/>
      <c r="AV3978" s="15"/>
      <c r="AW3978" s="15"/>
    </row>
    <row r="3979" spans="3:49" x14ac:dyDescent="0.2">
      <c r="C3979" s="15"/>
      <c r="D3979" s="15"/>
      <c r="E3979" s="15"/>
      <c r="F3979" s="15"/>
      <c r="G3979" s="15"/>
      <c r="H3979" s="15"/>
      <c r="I3979" s="15"/>
      <c r="J3979" s="15"/>
      <c r="K3979" s="15"/>
      <c r="L3979" s="28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  <c r="AA3979" s="15"/>
      <c r="AB3979" s="15"/>
      <c r="AC3979" s="15"/>
      <c r="AD3979" s="15"/>
      <c r="AE3979" s="15"/>
      <c r="AF3979" s="15"/>
      <c r="AG3979" s="15"/>
      <c r="AH3979" s="15"/>
      <c r="AI3979" s="15"/>
      <c r="AJ3979" s="15"/>
      <c r="AK3979" s="15"/>
      <c r="AL3979" s="15"/>
      <c r="AM3979" s="15"/>
      <c r="AN3979" s="15"/>
      <c r="AO3979" s="15"/>
      <c r="AP3979" s="15"/>
      <c r="AQ3979" s="15"/>
      <c r="AR3979" s="15"/>
      <c r="AS3979" s="15"/>
      <c r="AT3979" s="15"/>
      <c r="AU3979" s="15"/>
      <c r="AV3979" s="15"/>
      <c r="AW3979" s="15"/>
    </row>
    <row r="3980" spans="3:49" x14ac:dyDescent="0.2">
      <c r="C3980" s="15"/>
      <c r="D3980" s="15"/>
      <c r="E3980" s="15"/>
      <c r="F3980" s="15"/>
      <c r="G3980" s="15"/>
      <c r="H3980" s="15"/>
      <c r="I3980" s="15"/>
      <c r="J3980" s="15"/>
      <c r="K3980" s="15"/>
      <c r="L3980" s="28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  <c r="AA3980" s="15"/>
      <c r="AB3980" s="15"/>
      <c r="AC3980" s="15"/>
      <c r="AD3980" s="15"/>
      <c r="AE3980" s="15"/>
      <c r="AF3980" s="15"/>
      <c r="AG3980" s="15"/>
      <c r="AH3980" s="15"/>
      <c r="AI3980" s="15"/>
      <c r="AJ3980" s="15"/>
      <c r="AK3980" s="15"/>
      <c r="AL3980" s="15"/>
      <c r="AM3980" s="15"/>
      <c r="AN3980" s="15"/>
      <c r="AO3980" s="15"/>
      <c r="AP3980" s="15"/>
      <c r="AQ3980" s="15"/>
      <c r="AR3980" s="15"/>
      <c r="AS3980" s="15"/>
      <c r="AT3980" s="15"/>
      <c r="AU3980" s="15"/>
      <c r="AV3980" s="15"/>
      <c r="AW3980" s="15"/>
    </row>
    <row r="3981" spans="3:49" x14ac:dyDescent="0.2">
      <c r="C3981" s="15"/>
      <c r="D3981" s="15"/>
      <c r="E3981" s="15"/>
      <c r="F3981" s="15"/>
      <c r="G3981" s="15"/>
      <c r="H3981" s="15"/>
      <c r="I3981" s="15"/>
      <c r="J3981" s="15"/>
      <c r="K3981" s="15"/>
      <c r="L3981" s="28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  <c r="AA3981" s="15"/>
      <c r="AB3981" s="15"/>
      <c r="AC3981" s="15"/>
      <c r="AD3981" s="15"/>
      <c r="AE3981" s="15"/>
      <c r="AF3981" s="15"/>
      <c r="AG3981" s="15"/>
      <c r="AH3981" s="15"/>
      <c r="AI3981" s="15"/>
      <c r="AJ3981" s="15"/>
      <c r="AK3981" s="15"/>
      <c r="AL3981" s="15"/>
      <c r="AM3981" s="15"/>
      <c r="AN3981" s="15"/>
      <c r="AO3981" s="15"/>
      <c r="AP3981" s="15"/>
      <c r="AQ3981" s="15"/>
      <c r="AR3981" s="15"/>
      <c r="AS3981" s="15"/>
      <c r="AT3981" s="15"/>
      <c r="AU3981" s="15"/>
      <c r="AV3981" s="15"/>
      <c r="AW3981" s="15"/>
    </row>
    <row r="3982" spans="3:49" x14ac:dyDescent="0.2">
      <c r="C3982" s="15"/>
      <c r="D3982" s="15"/>
      <c r="E3982" s="15"/>
      <c r="F3982" s="15"/>
      <c r="G3982" s="15"/>
      <c r="H3982" s="15"/>
      <c r="I3982" s="15"/>
      <c r="J3982" s="15"/>
      <c r="K3982" s="15"/>
      <c r="L3982" s="28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  <c r="AA3982" s="15"/>
      <c r="AB3982" s="15"/>
      <c r="AC3982" s="15"/>
      <c r="AD3982" s="15"/>
      <c r="AE3982" s="15"/>
      <c r="AF3982" s="15"/>
      <c r="AG3982" s="15"/>
      <c r="AH3982" s="15"/>
      <c r="AI3982" s="15"/>
      <c r="AJ3982" s="15"/>
      <c r="AK3982" s="15"/>
      <c r="AL3982" s="15"/>
      <c r="AM3982" s="15"/>
      <c r="AN3982" s="15"/>
      <c r="AO3982" s="15"/>
      <c r="AP3982" s="15"/>
      <c r="AQ3982" s="15"/>
      <c r="AR3982" s="15"/>
      <c r="AS3982" s="15"/>
      <c r="AT3982" s="15"/>
      <c r="AU3982" s="15"/>
      <c r="AV3982" s="15"/>
      <c r="AW3982" s="15"/>
    </row>
    <row r="3983" spans="3:49" x14ac:dyDescent="0.2">
      <c r="C3983" s="15"/>
      <c r="D3983" s="15"/>
      <c r="E3983" s="15"/>
      <c r="F3983" s="15"/>
      <c r="G3983" s="15"/>
      <c r="H3983" s="15"/>
      <c r="I3983" s="15"/>
      <c r="J3983" s="15"/>
      <c r="K3983" s="15"/>
      <c r="L3983" s="28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  <c r="AA3983" s="15"/>
      <c r="AB3983" s="15"/>
      <c r="AC3983" s="15"/>
      <c r="AD3983" s="15"/>
      <c r="AE3983" s="15"/>
      <c r="AF3983" s="15"/>
      <c r="AG3983" s="15"/>
      <c r="AH3983" s="15"/>
      <c r="AI3983" s="15"/>
      <c r="AJ3983" s="15"/>
      <c r="AK3983" s="15"/>
      <c r="AL3983" s="15"/>
      <c r="AM3983" s="15"/>
      <c r="AN3983" s="15"/>
      <c r="AO3983" s="15"/>
      <c r="AP3983" s="15"/>
      <c r="AQ3983" s="15"/>
      <c r="AR3983" s="15"/>
      <c r="AS3983" s="15"/>
      <c r="AT3983" s="15"/>
      <c r="AU3983" s="15"/>
      <c r="AV3983" s="15"/>
      <c r="AW3983" s="15"/>
    </row>
    <row r="3984" spans="3:49" x14ac:dyDescent="0.2">
      <c r="C3984" s="15"/>
      <c r="D3984" s="15"/>
      <c r="E3984" s="15"/>
      <c r="F3984" s="15"/>
      <c r="G3984" s="15"/>
      <c r="H3984" s="15"/>
      <c r="I3984" s="15"/>
      <c r="J3984" s="15"/>
      <c r="K3984" s="15"/>
      <c r="L3984" s="28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  <c r="AA3984" s="15"/>
      <c r="AB3984" s="15"/>
      <c r="AC3984" s="15"/>
      <c r="AD3984" s="15"/>
      <c r="AE3984" s="15"/>
      <c r="AF3984" s="15"/>
      <c r="AG3984" s="15"/>
      <c r="AH3984" s="15"/>
      <c r="AI3984" s="15"/>
      <c r="AJ3984" s="15"/>
      <c r="AK3984" s="15"/>
      <c r="AL3984" s="15"/>
      <c r="AM3984" s="15"/>
      <c r="AN3984" s="15"/>
      <c r="AO3984" s="15"/>
      <c r="AP3984" s="15"/>
      <c r="AQ3984" s="15"/>
      <c r="AR3984" s="15"/>
      <c r="AS3984" s="15"/>
      <c r="AT3984" s="15"/>
      <c r="AU3984" s="15"/>
      <c r="AV3984" s="15"/>
      <c r="AW3984" s="15"/>
    </row>
    <row r="3985" spans="3:49" x14ac:dyDescent="0.2">
      <c r="C3985" s="15"/>
      <c r="D3985" s="15"/>
      <c r="E3985" s="15"/>
      <c r="F3985" s="15"/>
      <c r="G3985" s="15"/>
      <c r="H3985" s="15"/>
      <c r="I3985" s="15"/>
      <c r="J3985" s="15"/>
      <c r="K3985" s="15"/>
      <c r="L3985" s="28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  <c r="AA3985" s="15"/>
      <c r="AB3985" s="15"/>
      <c r="AC3985" s="15"/>
      <c r="AD3985" s="15"/>
      <c r="AE3985" s="15"/>
      <c r="AF3985" s="15"/>
      <c r="AG3985" s="15"/>
      <c r="AH3985" s="15"/>
      <c r="AI3985" s="15"/>
      <c r="AJ3985" s="15"/>
      <c r="AK3985" s="15"/>
      <c r="AL3985" s="15"/>
      <c r="AM3985" s="15"/>
      <c r="AN3985" s="15"/>
      <c r="AO3985" s="15"/>
      <c r="AP3985" s="15"/>
      <c r="AQ3985" s="15"/>
      <c r="AR3985" s="15"/>
      <c r="AS3985" s="15"/>
      <c r="AT3985" s="15"/>
      <c r="AU3985" s="15"/>
      <c r="AV3985" s="15"/>
      <c r="AW3985" s="15"/>
    </row>
    <row r="3986" spans="3:49" x14ac:dyDescent="0.2">
      <c r="C3986" s="15"/>
      <c r="D3986" s="15"/>
      <c r="E3986" s="15"/>
      <c r="F3986" s="15"/>
      <c r="G3986" s="15"/>
      <c r="H3986" s="15"/>
      <c r="I3986" s="15"/>
      <c r="J3986" s="15"/>
      <c r="K3986" s="15"/>
      <c r="L3986" s="28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  <c r="AA3986" s="15"/>
      <c r="AB3986" s="15"/>
      <c r="AC3986" s="15"/>
      <c r="AD3986" s="15"/>
      <c r="AE3986" s="15"/>
      <c r="AF3986" s="15"/>
      <c r="AG3986" s="15"/>
      <c r="AH3986" s="15"/>
      <c r="AI3986" s="15"/>
      <c r="AJ3986" s="15"/>
      <c r="AK3986" s="15"/>
      <c r="AL3986" s="15"/>
      <c r="AM3986" s="15"/>
      <c r="AN3986" s="15"/>
      <c r="AO3986" s="15"/>
      <c r="AP3986" s="15"/>
      <c r="AQ3986" s="15"/>
      <c r="AR3986" s="15"/>
      <c r="AS3986" s="15"/>
      <c r="AT3986" s="15"/>
      <c r="AU3986" s="15"/>
      <c r="AV3986" s="15"/>
      <c r="AW3986" s="15"/>
    </row>
    <row r="3987" spans="3:49" x14ac:dyDescent="0.2">
      <c r="C3987" s="15"/>
      <c r="D3987" s="15"/>
      <c r="E3987" s="15"/>
      <c r="F3987" s="15"/>
      <c r="G3987" s="15"/>
      <c r="H3987" s="15"/>
      <c r="I3987" s="15"/>
      <c r="J3987" s="15"/>
      <c r="K3987" s="15"/>
      <c r="L3987" s="28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  <c r="AA3987" s="15"/>
      <c r="AB3987" s="15"/>
      <c r="AC3987" s="15"/>
      <c r="AD3987" s="15"/>
      <c r="AE3987" s="15"/>
      <c r="AF3987" s="15"/>
      <c r="AG3987" s="15"/>
      <c r="AH3987" s="15"/>
      <c r="AI3987" s="15"/>
      <c r="AJ3987" s="15"/>
      <c r="AK3987" s="15"/>
      <c r="AL3987" s="15"/>
      <c r="AM3987" s="15"/>
      <c r="AN3987" s="15"/>
      <c r="AO3987" s="15"/>
      <c r="AP3987" s="15"/>
      <c r="AQ3987" s="15"/>
      <c r="AR3987" s="15"/>
      <c r="AS3987" s="15"/>
      <c r="AT3987" s="15"/>
      <c r="AU3987" s="15"/>
      <c r="AV3987" s="15"/>
      <c r="AW3987" s="15"/>
    </row>
    <row r="3988" spans="3:49" x14ac:dyDescent="0.2">
      <c r="C3988" s="15"/>
      <c r="D3988" s="15"/>
      <c r="E3988" s="15"/>
      <c r="F3988" s="15"/>
      <c r="G3988" s="15"/>
      <c r="H3988" s="15"/>
      <c r="I3988" s="15"/>
      <c r="J3988" s="15"/>
      <c r="K3988" s="15"/>
      <c r="L3988" s="28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  <c r="AA3988" s="15"/>
      <c r="AB3988" s="15"/>
      <c r="AC3988" s="15"/>
      <c r="AD3988" s="15"/>
      <c r="AE3988" s="15"/>
      <c r="AF3988" s="15"/>
      <c r="AG3988" s="15"/>
      <c r="AH3988" s="15"/>
      <c r="AI3988" s="15"/>
      <c r="AJ3988" s="15"/>
      <c r="AK3988" s="15"/>
      <c r="AL3988" s="15"/>
      <c r="AM3988" s="15"/>
      <c r="AN3988" s="15"/>
      <c r="AO3988" s="15"/>
      <c r="AP3988" s="15"/>
      <c r="AQ3988" s="15"/>
      <c r="AR3988" s="15"/>
      <c r="AS3988" s="15"/>
      <c r="AT3988" s="15"/>
      <c r="AU3988" s="15"/>
      <c r="AV3988" s="15"/>
      <c r="AW3988" s="15"/>
    </row>
    <row r="3989" spans="3:49" x14ac:dyDescent="0.2">
      <c r="C3989" s="15"/>
      <c r="D3989" s="15"/>
      <c r="E3989" s="15"/>
      <c r="F3989" s="15"/>
      <c r="G3989" s="15"/>
      <c r="H3989" s="15"/>
      <c r="I3989" s="15"/>
      <c r="J3989" s="15"/>
      <c r="K3989" s="15"/>
      <c r="L3989" s="28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  <c r="AA3989" s="15"/>
      <c r="AB3989" s="15"/>
      <c r="AC3989" s="15"/>
      <c r="AD3989" s="15"/>
      <c r="AE3989" s="15"/>
      <c r="AF3989" s="15"/>
      <c r="AG3989" s="15"/>
      <c r="AH3989" s="15"/>
      <c r="AI3989" s="15"/>
      <c r="AJ3989" s="15"/>
      <c r="AK3989" s="15"/>
      <c r="AL3989" s="15"/>
      <c r="AM3989" s="15"/>
      <c r="AN3989" s="15"/>
      <c r="AO3989" s="15"/>
      <c r="AP3989" s="15"/>
      <c r="AQ3989" s="15"/>
      <c r="AR3989" s="15"/>
      <c r="AS3989" s="15"/>
      <c r="AT3989" s="15"/>
      <c r="AU3989" s="15"/>
      <c r="AV3989" s="15"/>
      <c r="AW3989" s="15"/>
    </row>
    <row r="3990" spans="3:49" x14ac:dyDescent="0.2">
      <c r="C3990" s="15"/>
      <c r="D3990" s="15"/>
      <c r="E3990" s="15"/>
      <c r="F3990" s="15"/>
      <c r="G3990" s="15"/>
      <c r="H3990" s="15"/>
      <c r="I3990" s="15"/>
      <c r="J3990" s="15"/>
      <c r="K3990" s="15"/>
      <c r="L3990" s="28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  <c r="AA3990" s="15"/>
      <c r="AB3990" s="15"/>
      <c r="AC3990" s="15"/>
      <c r="AD3990" s="15"/>
      <c r="AE3990" s="15"/>
      <c r="AF3990" s="15"/>
      <c r="AG3990" s="15"/>
      <c r="AH3990" s="15"/>
      <c r="AI3990" s="15"/>
      <c r="AJ3990" s="15"/>
      <c r="AK3990" s="15"/>
      <c r="AL3990" s="15"/>
      <c r="AM3990" s="15"/>
      <c r="AN3990" s="15"/>
      <c r="AO3990" s="15"/>
      <c r="AP3990" s="15"/>
      <c r="AQ3990" s="15"/>
      <c r="AR3990" s="15"/>
      <c r="AS3990" s="15"/>
      <c r="AT3990" s="15"/>
      <c r="AU3990" s="15"/>
      <c r="AV3990" s="15"/>
      <c r="AW3990" s="15"/>
    </row>
    <row r="3991" spans="3:49" x14ac:dyDescent="0.2">
      <c r="C3991" s="15"/>
      <c r="D3991" s="15"/>
      <c r="E3991" s="15"/>
      <c r="F3991" s="15"/>
      <c r="G3991" s="15"/>
      <c r="H3991" s="15"/>
      <c r="I3991" s="15"/>
      <c r="J3991" s="15"/>
      <c r="K3991" s="15"/>
      <c r="L3991" s="28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  <c r="AA3991" s="15"/>
      <c r="AB3991" s="15"/>
      <c r="AC3991" s="15"/>
      <c r="AD3991" s="15"/>
      <c r="AE3991" s="15"/>
      <c r="AF3991" s="15"/>
      <c r="AG3991" s="15"/>
      <c r="AH3991" s="15"/>
      <c r="AI3991" s="15"/>
      <c r="AJ3991" s="15"/>
      <c r="AK3991" s="15"/>
      <c r="AL3991" s="15"/>
      <c r="AM3991" s="15"/>
      <c r="AN3991" s="15"/>
      <c r="AO3991" s="15"/>
      <c r="AP3991" s="15"/>
      <c r="AQ3991" s="15"/>
      <c r="AR3991" s="15"/>
      <c r="AS3991" s="15"/>
      <c r="AT3991" s="15"/>
      <c r="AU3991" s="15"/>
      <c r="AV3991" s="15"/>
      <c r="AW3991" s="15"/>
    </row>
    <row r="3992" spans="3:49" x14ac:dyDescent="0.2">
      <c r="C3992" s="15"/>
      <c r="D3992" s="15"/>
      <c r="E3992" s="15"/>
      <c r="F3992" s="15"/>
      <c r="G3992" s="15"/>
      <c r="H3992" s="15"/>
      <c r="I3992" s="15"/>
      <c r="J3992" s="15"/>
      <c r="K3992" s="15"/>
      <c r="L3992" s="28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  <c r="AA3992" s="15"/>
      <c r="AB3992" s="15"/>
      <c r="AC3992" s="15"/>
      <c r="AD3992" s="15"/>
      <c r="AE3992" s="15"/>
      <c r="AF3992" s="15"/>
      <c r="AG3992" s="15"/>
      <c r="AH3992" s="15"/>
      <c r="AI3992" s="15"/>
      <c r="AJ3992" s="15"/>
      <c r="AK3992" s="15"/>
      <c r="AL3992" s="15"/>
      <c r="AM3992" s="15"/>
      <c r="AN3992" s="15"/>
      <c r="AO3992" s="15"/>
      <c r="AP3992" s="15"/>
      <c r="AQ3992" s="15"/>
      <c r="AR3992" s="15"/>
      <c r="AS3992" s="15"/>
      <c r="AT3992" s="15"/>
      <c r="AU3992" s="15"/>
      <c r="AV3992" s="15"/>
      <c r="AW3992" s="15"/>
    </row>
    <row r="3993" spans="3:49" x14ac:dyDescent="0.2">
      <c r="C3993" s="15"/>
      <c r="D3993" s="15"/>
      <c r="E3993" s="15"/>
      <c r="F3993" s="15"/>
      <c r="G3993" s="15"/>
      <c r="H3993" s="15"/>
      <c r="I3993" s="15"/>
      <c r="J3993" s="15"/>
      <c r="K3993" s="15"/>
      <c r="L3993" s="28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  <c r="AA3993" s="15"/>
      <c r="AB3993" s="15"/>
      <c r="AC3993" s="15"/>
      <c r="AD3993" s="15"/>
      <c r="AE3993" s="15"/>
      <c r="AF3993" s="15"/>
      <c r="AG3993" s="15"/>
      <c r="AH3993" s="15"/>
      <c r="AI3993" s="15"/>
      <c r="AJ3993" s="15"/>
      <c r="AK3993" s="15"/>
      <c r="AL3993" s="15"/>
      <c r="AM3993" s="15"/>
      <c r="AN3993" s="15"/>
      <c r="AO3993" s="15"/>
      <c r="AP3993" s="15"/>
      <c r="AQ3993" s="15"/>
      <c r="AR3993" s="15"/>
      <c r="AS3993" s="15"/>
      <c r="AT3993" s="15"/>
      <c r="AU3993" s="15"/>
      <c r="AV3993" s="15"/>
      <c r="AW3993" s="15"/>
    </row>
    <row r="3994" spans="3:49" x14ac:dyDescent="0.2">
      <c r="C3994" s="15"/>
      <c r="D3994" s="15"/>
      <c r="E3994" s="15"/>
      <c r="F3994" s="15"/>
      <c r="G3994" s="15"/>
      <c r="H3994" s="15"/>
      <c r="I3994" s="15"/>
      <c r="J3994" s="15"/>
      <c r="K3994" s="15"/>
      <c r="L3994" s="28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  <c r="AA3994" s="15"/>
      <c r="AB3994" s="15"/>
      <c r="AC3994" s="15"/>
      <c r="AD3994" s="15"/>
      <c r="AE3994" s="15"/>
      <c r="AF3994" s="15"/>
      <c r="AG3994" s="15"/>
      <c r="AH3994" s="15"/>
      <c r="AI3994" s="15"/>
      <c r="AJ3994" s="15"/>
      <c r="AK3994" s="15"/>
      <c r="AL3994" s="15"/>
      <c r="AM3994" s="15"/>
      <c r="AN3994" s="15"/>
      <c r="AO3994" s="15"/>
      <c r="AP3994" s="15"/>
      <c r="AQ3994" s="15"/>
      <c r="AR3994" s="15"/>
      <c r="AS3994" s="15"/>
      <c r="AT3994" s="15"/>
      <c r="AU3994" s="15"/>
      <c r="AV3994" s="15"/>
      <c r="AW3994" s="15"/>
    </row>
    <row r="3995" spans="3:49" x14ac:dyDescent="0.2">
      <c r="C3995" s="15"/>
      <c r="D3995" s="15"/>
      <c r="E3995" s="15"/>
      <c r="F3995" s="15"/>
      <c r="G3995" s="15"/>
      <c r="H3995" s="15"/>
      <c r="I3995" s="15"/>
      <c r="J3995" s="15"/>
      <c r="K3995" s="15"/>
      <c r="L3995" s="28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  <c r="AA3995" s="15"/>
      <c r="AB3995" s="15"/>
      <c r="AC3995" s="15"/>
      <c r="AD3995" s="15"/>
      <c r="AE3995" s="15"/>
      <c r="AF3995" s="15"/>
      <c r="AG3995" s="15"/>
      <c r="AH3995" s="15"/>
      <c r="AI3995" s="15"/>
      <c r="AJ3995" s="15"/>
      <c r="AK3995" s="15"/>
      <c r="AL3995" s="15"/>
      <c r="AM3995" s="15"/>
      <c r="AN3995" s="15"/>
      <c r="AO3995" s="15"/>
      <c r="AP3995" s="15"/>
      <c r="AQ3995" s="15"/>
      <c r="AR3995" s="15"/>
      <c r="AS3995" s="15"/>
      <c r="AT3995" s="15"/>
      <c r="AU3995" s="15"/>
      <c r="AV3995" s="15"/>
      <c r="AW3995" s="15"/>
    </row>
    <row r="3996" spans="3:49" x14ac:dyDescent="0.2">
      <c r="C3996" s="15"/>
      <c r="D3996" s="15"/>
      <c r="E3996" s="15"/>
      <c r="F3996" s="15"/>
      <c r="G3996" s="15"/>
      <c r="H3996" s="15"/>
      <c r="I3996" s="15"/>
      <c r="J3996" s="15"/>
      <c r="K3996" s="15"/>
      <c r="L3996" s="28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  <c r="AA3996" s="15"/>
      <c r="AB3996" s="15"/>
      <c r="AC3996" s="15"/>
      <c r="AD3996" s="15"/>
      <c r="AE3996" s="15"/>
      <c r="AF3996" s="15"/>
      <c r="AG3996" s="15"/>
      <c r="AH3996" s="15"/>
      <c r="AI3996" s="15"/>
      <c r="AJ3996" s="15"/>
      <c r="AK3996" s="15"/>
      <c r="AL3996" s="15"/>
      <c r="AM3996" s="15"/>
      <c r="AN3996" s="15"/>
      <c r="AO3996" s="15"/>
      <c r="AP3996" s="15"/>
      <c r="AQ3996" s="15"/>
      <c r="AR3996" s="15"/>
      <c r="AS3996" s="15"/>
      <c r="AT3996" s="15"/>
      <c r="AU3996" s="15"/>
      <c r="AV3996" s="15"/>
      <c r="AW3996" s="15"/>
    </row>
    <row r="3997" spans="3:49" x14ac:dyDescent="0.2">
      <c r="C3997" s="15"/>
      <c r="D3997" s="15"/>
      <c r="E3997" s="15"/>
      <c r="F3997" s="15"/>
      <c r="G3997" s="15"/>
      <c r="H3997" s="15"/>
      <c r="I3997" s="15"/>
      <c r="J3997" s="15"/>
      <c r="K3997" s="15"/>
      <c r="L3997" s="28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  <c r="AA3997" s="15"/>
      <c r="AB3997" s="15"/>
      <c r="AC3997" s="15"/>
      <c r="AD3997" s="15"/>
      <c r="AE3997" s="15"/>
      <c r="AF3997" s="15"/>
      <c r="AG3997" s="15"/>
      <c r="AH3997" s="15"/>
      <c r="AI3997" s="15"/>
      <c r="AJ3997" s="15"/>
      <c r="AK3997" s="15"/>
      <c r="AL3997" s="15"/>
      <c r="AM3997" s="15"/>
      <c r="AN3997" s="15"/>
      <c r="AO3997" s="15"/>
      <c r="AP3997" s="15"/>
      <c r="AQ3997" s="15"/>
      <c r="AR3997" s="15"/>
      <c r="AS3997" s="15"/>
      <c r="AT3997" s="15"/>
      <c r="AU3997" s="15"/>
      <c r="AV3997" s="15"/>
      <c r="AW3997" s="15"/>
    </row>
    <row r="3998" spans="3:49" x14ac:dyDescent="0.2">
      <c r="C3998" s="15"/>
      <c r="D3998" s="15"/>
      <c r="E3998" s="15"/>
      <c r="F3998" s="15"/>
      <c r="G3998" s="15"/>
      <c r="H3998" s="15"/>
      <c r="I3998" s="15"/>
      <c r="J3998" s="15"/>
      <c r="K3998" s="15"/>
      <c r="L3998" s="28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  <c r="AA3998" s="15"/>
      <c r="AB3998" s="15"/>
      <c r="AC3998" s="15"/>
      <c r="AD3998" s="15"/>
      <c r="AE3998" s="15"/>
      <c r="AF3998" s="15"/>
      <c r="AG3998" s="15"/>
      <c r="AH3998" s="15"/>
      <c r="AI3998" s="15"/>
      <c r="AJ3998" s="15"/>
      <c r="AK3998" s="15"/>
      <c r="AL3998" s="15"/>
      <c r="AM3998" s="15"/>
      <c r="AN3998" s="15"/>
      <c r="AO3998" s="15"/>
      <c r="AP3998" s="15"/>
      <c r="AQ3998" s="15"/>
      <c r="AR3998" s="15"/>
      <c r="AS3998" s="15"/>
      <c r="AT3998" s="15"/>
      <c r="AU3998" s="15"/>
      <c r="AV3998" s="15"/>
      <c r="AW3998" s="15"/>
    </row>
    <row r="3999" spans="3:49" x14ac:dyDescent="0.2">
      <c r="C3999" s="15"/>
      <c r="D3999" s="15"/>
      <c r="E3999" s="15"/>
      <c r="F3999" s="15"/>
      <c r="G3999" s="15"/>
      <c r="H3999" s="15"/>
      <c r="I3999" s="15"/>
      <c r="J3999" s="15"/>
      <c r="K3999" s="15"/>
      <c r="L3999" s="28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  <c r="AA3999" s="15"/>
      <c r="AB3999" s="15"/>
      <c r="AC3999" s="15"/>
      <c r="AD3999" s="15"/>
      <c r="AE3999" s="15"/>
      <c r="AF3999" s="15"/>
      <c r="AG3999" s="15"/>
      <c r="AH3999" s="15"/>
      <c r="AI3999" s="15"/>
      <c r="AJ3999" s="15"/>
      <c r="AK3999" s="15"/>
      <c r="AL3999" s="15"/>
      <c r="AM3999" s="15"/>
      <c r="AN3999" s="15"/>
      <c r="AO3999" s="15"/>
      <c r="AP3999" s="15"/>
      <c r="AQ3999" s="15"/>
      <c r="AR3999" s="15"/>
      <c r="AS3999" s="15"/>
      <c r="AT3999" s="15"/>
      <c r="AU3999" s="15"/>
      <c r="AV3999" s="15"/>
      <c r="AW3999" s="15"/>
    </row>
    <row r="4000" spans="3:49" x14ac:dyDescent="0.2">
      <c r="C4000" s="15"/>
      <c r="D4000" s="15"/>
      <c r="E4000" s="15"/>
      <c r="F4000" s="15"/>
      <c r="G4000" s="15"/>
      <c r="H4000" s="15"/>
      <c r="I4000" s="15"/>
      <c r="J4000" s="15"/>
      <c r="K4000" s="15"/>
      <c r="L4000" s="28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  <c r="AA4000" s="15"/>
      <c r="AB4000" s="15"/>
      <c r="AC4000" s="15"/>
      <c r="AD4000" s="15"/>
      <c r="AE4000" s="15"/>
      <c r="AF4000" s="15"/>
      <c r="AG4000" s="15"/>
      <c r="AH4000" s="15"/>
      <c r="AI4000" s="15"/>
      <c r="AJ4000" s="15"/>
      <c r="AK4000" s="15"/>
      <c r="AL4000" s="15"/>
      <c r="AM4000" s="15"/>
      <c r="AN4000" s="15"/>
      <c r="AO4000" s="15"/>
      <c r="AP4000" s="15"/>
      <c r="AQ4000" s="15"/>
      <c r="AR4000" s="15"/>
      <c r="AS4000" s="15"/>
      <c r="AT4000" s="15"/>
      <c r="AU4000" s="15"/>
      <c r="AV4000" s="15"/>
      <c r="AW4000" s="15"/>
    </row>
    <row r="4001" spans="3:49" x14ac:dyDescent="0.2">
      <c r="C4001" s="15"/>
      <c r="D4001" s="15"/>
      <c r="E4001" s="15"/>
      <c r="F4001" s="15"/>
      <c r="G4001" s="15"/>
      <c r="H4001" s="15"/>
      <c r="I4001" s="15"/>
      <c r="J4001" s="15"/>
      <c r="K4001" s="15"/>
      <c r="L4001" s="28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  <c r="AA4001" s="15"/>
      <c r="AB4001" s="15"/>
      <c r="AC4001" s="15"/>
      <c r="AD4001" s="15"/>
      <c r="AE4001" s="15"/>
      <c r="AF4001" s="15"/>
      <c r="AG4001" s="15"/>
      <c r="AH4001" s="15"/>
      <c r="AI4001" s="15"/>
      <c r="AJ4001" s="15"/>
      <c r="AK4001" s="15"/>
      <c r="AL4001" s="15"/>
      <c r="AM4001" s="15"/>
      <c r="AN4001" s="15"/>
      <c r="AO4001" s="15"/>
      <c r="AP4001" s="15"/>
      <c r="AQ4001" s="15"/>
      <c r="AR4001" s="15"/>
      <c r="AS4001" s="15"/>
      <c r="AT4001" s="15"/>
      <c r="AU4001" s="15"/>
      <c r="AV4001" s="15"/>
      <c r="AW4001" s="15"/>
    </row>
    <row r="4002" spans="3:49" x14ac:dyDescent="0.2">
      <c r="C4002" s="15"/>
      <c r="D4002" s="15"/>
      <c r="E4002" s="15"/>
      <c r="F4002" s="15"/>
      <c r="G4002" s="15"/>
      <c r="H4002" s="15"/>
      <c r="I4002" s="15"/>
      <c r="J4002" s="15"/>
      <c r="K4002" s="15"/>
      <c r="L4002" s="28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  <c r="AA4002" s="15"/>
      <c r="AB4002" s="15"/>
      <c r="AC4002" s="15"/>
      <c r="AD4002" s="15"/>
      <c r="AE4002" s="15"/>
      <c r="AF4002" s="15"/>
      <c r="AG4002" s="15"/>
      <c r="AH4002" s="15"/>
      <c r="AI4002" s="15"/>
      <c r="AJ4002" s="15"/>
      <c r="AK4002" s="15"/>
      <c r="AL4002" s="15"/>
      <c r="AM4002" s="15"/>
      <c r="AN4002" s="15"/>
      <c r="AO4002" s="15"/>
      <c r="AP4002" s="15"/>
      <c r="AQ4002" s="15"/>
      <c r="AR4002" s="15"/>
      <c r="AS4002" s="15"/>
      <c r="AT4002" s="15"/>
      <c r="AU4002" s="15"/>
      <c r="AV4002" s="15"/>
      <c r="AW4002" s="15"/>
    </row>
    <row r="4003" spans="3:49" x14ac:dyDescent="0.2">
      <c r="C4003" s="15"/>
      <c r="D4003" s="15"/>
      <c r="E4003" s="15"/>
      <c r="F4003" s="15"/>
      <c r="G4003" s="15"/>
      <c r="H4003" s="15"/>
      <c r="I4003" s="15"/>
      <c r="J4003" s="15"/>
      <c r="K4003" s="15"/>
      <c r="L4003" s="28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  <c r="AA4003" s="15"/>
      <c r="AB4003" s="15"/>
      <c r="AC4003" s="15"/>
      <c r="AD4003" s="15"/>
      <c r="AE4003" s="15"/>
      <c r="AF4003" s="15"/>
      <c r="AG4003" s="15"/>
      <c r="AH4003" s="15"/>
      <c r="AI4003" s="15"/>
      <c r="AJ4003" s="15"/>
      <c r="AK4003" s="15"/>
      <c r="AL4003" s="15"/>
      <c r="AM4003" s="15"/>
      <c r="AN4003" s="15"/>
      <c r="AO4003" s="15"/>
      <c r="AP4003" s="15"/>
      <c r="AQ4003" s="15"/>
      <c r="AR4003" s="15"/>
      <c r="AS4003" s="15"/>
      <c r="AT4003" s="15"/>
      <c r="AU4003" s="15"/>
      <c r="AV4003" s="15"/>
      <c r="AW4003" s="15"/>
    </row>
    <row r="4004" spans="3:49" x14ac:dyDescent="0.2">
      <c r="C4004" s="15"/>
      <c r="D4004" s="15"/>
      <c r="E4004" s="15"/>
      <c r="F4004" s="15"/>
      <c r="G4004" s="15"/>
      <c r="H4004" s="15"/>
      <c r="I4004" s="15"/>
      <c r="J4004" s="15"/>
      <c r="K4004" s="15"/>
      <c r="L4004" s="28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  <c r="AA4004" s="15"/>
      <c r="AB4004" s="15"/>
      <c r="AC4004" s="15"/>
      <c r="AD4004" s="15"/>
      <c r="AE4004" s="15"/>
      <c r="AF4004" s="15"/>
      <c r="AG4004" s="15"/>
      <c r="AH4004" s="15"/>
      <c r="AI4004" s="15"/>
      <c r="AJ4004" s="15"/>
      <c r="AK4004" s="15"/>
      <c r="AL4004" s="15"/>
      <c r="AM4004" s="15"/>
      <c r="AN4004" s="15"/>
      <c r="AO4004" s="15"/>
      <c r="AP4004" s="15"/>
      <c r="AQ4004" s="15"/>
      <c r="AR4004" s="15"/>
      <c r="AS4004" s="15"/>
      <c r="AT4004" s="15"/>
      <c r="AU4004" s="15"/>
      <c r="AV4004" s="15"/>
      <c r="AW4004" s="15"/>
    </row>
    <row r="4005" spans="3:49" x14ac:dyDescent="0.2">
      <c r="C4005" s="15"/>
      <c r="D4005" s="15"/>
      <c r="E4005" s="15"/>
      <c r="F4005" s="15"/>
      <c r="G4005" s="15"/>
      <c r="H4005" s="15"/>
      <c r="I4005" s="15"/>
      <c r="J4005" s="15"/>
      <c r="K4005" s="15"/>
      <c r="L4005" s="28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  <c r="AA4005" s="15"/>
      <c r="AB4005" s="15"/>
      <c r="AC4005" s="15"/>
      <c r="AD4005" s="15"/>
      <c r="AE4005" s="15"/>
      <c r="AF4005" s="15"/>
      <c r="AG4005" s="15"/>
      <c r="AH4005" s="15"/>
      <c r="AI4005" s="15"/>
      <c r="AJ4005" s="15"/>
      <c r="AK4005" s="15"/>
      <c r="AL4005" s="15"/>
      <c r="AM4005" s="15"/>
      <c r="AN4005" s="15"/>
      <c r="AO4005" s="15"/>
      <c r="AP4005" s="15"/>
      <c r="AQ4005" s="15"/>
      <c r="AR4005" s="15"/>
      <c r="AS4005" s="15"/>
      <c r="AT4005" s="15"/>
      <c r="AU4005" s="15"/>
      <c r="AV4005" s="15"/>
      <c r="AW4005" s="15"/>
    </row>
    <row r="4006" spans="3:49" x14ac:dyDescent="0.2">
      <c r="C4006" s="15"/>
      <c r="D4006" s="15"/>
      <c r="E4006" s="15"/>
      <c r="F4006" s="15"/>
      <c r="G4006" s="15"/>
      <c r="H4006" s="15"/>
      <c r="I4006" s="15"/>
      <c r="J4006" s="15"/>
      <c r="K4006" s="15"/>
      <c r="L4006" s="28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  <c r="AA4006" s="15"/>
      <c r="AB4006" s="15"/>
      <c r="AC4006" s="15"/>
      <c r="AD4006" s="15"/>
      <c r="AE4006" s="15"/>
      <c r="AF4006" s="15"/>
      <c r="AG4006" s="15"/>
      <c r="AH4006" s="15"/>
      <c r="AI4006" s="15"/>
      <c r="AJ4006" s="15"/>
      <c r="AK4006" s="15"/>
      <c r="AL4006" s="15"/>
      <c r="AM4006" s="15"/>
      <c r="AN4006" s="15"/>
      <c r="AO4006" s="15"/>
      <c r="AP4006" s="15"/>
      <c r="AQ4006" s="15"/>
      <c r="AR4006" s="15"/>
      <c r="AS4006" s="15"/>
      <c r="AT4006" s="15"/>
      <c r="AU4006" s="15"/>
      <c r="AV4006" s="15"/>
      <c r="AW4006" s="15"/>
    </row>
    <row r="4007" spans="3:49" x14ac:dyDescent="0.2">
      <c r="C4007" s="15"/>
      <c r="D4007" s="15"/>
      <c r="E4007" s="15"/>
      <c r="F4007" s="15"/>
      <c r="G4007" s="15"/>
      <c r="H4007" s="15"/>
      <c r="I4007" s="15"/>
      <c r="J4007" s="15"/>
      <c r="K4007" s="15"/>
      <c r="L4007" s="28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  <c r="AA4007" s="15"/>
      <c r="AB4007" s="15"/>
      <c r="AC4007" s="15"/>
      <c r="AD4007" s="15"/>
      <c r="AE4007" s="15"/>
      <c r="AF4007" s="15"/>
      <c r="AG4007" s="15"/>
      <c r="AH4007" s="15"/>
      <c r="AI4007" s="15"/>
      <c r="AJ4007" s="15"/>
      <c r="AK4007" s="15"/>
      <c r="AL4007" s="15"/>
      <c r="AM4007" s="15"/>
      <c r="AN4007" s="15"/>
      <c r="AO4007" s="15"/>
      <c r="AP4007" s="15"/>
      <c r="AQ4007" s="15"/>
      <c r="AR4007" s="15"/>
      <c r="AS4007" s="15"/>
      <c r="AT4007" s="15"/>
      <c r="AU4007" s="15"/>
      <c r="AV4007" s="15"/>
      <c r="AW4007" s="15"/>
    </row>
    <row r="4008" spans="3:49" x14ac:dyDescent="0.2">
      <c r="C4008" s="15"/>
      <c r="D4008" s="15"/>
      <c r="E4008" s="15"/>
      <c r="F4008" s="15"/>
      <c r="G4008" s="15"/>
      <c r="H4008" s="15"/>
      <c r="I4008" s="15"/>
      <c r="J4008" s="15"/>
      <c r="K4008" s="15"/>
      <c r="L4008" s="28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  <c r="AA4008" s="15"/>
      <c r="AB4008" s="15"/>
      <c r="AC4008" s="15"/>
      <c r="AD4008" s="15"/>
      <c r="AE4008" s="15"/>
      <c r="AF4008" s="15"/>
      <c r="AG4008" s="15"/>
      <c r="AH4008" s="15"/>
      <c r="AI4008" s="15"/>
      <c r="AJ4008" s="15"/>
      <c r="AK4008" s="15"/>
      <c r="AL4008" s="15"/>
      <c r="AM4008" s="15"/>
      <c r="AN4008" s="15"/>
      <c r="AO4008" s="15"/>
      <c r="AP4008" s="15"/>
      <c r="AQ4008" s="15"/>
      <c r="AR4008" s="15"/>
      <c r="AS4008" s="15"/>
      <c r="AT4008" s="15"/>
      <c r="AU4008" s="15"/>
      <c r="AV4008" s="15"/>
      <c r="AW4008" s="15"/>
    </row>
    <row r="4009" spans="3:49" x14ac:dyDescent="0.2">
      <c r="C4009" s="15"/>
      <c r="D4009" s="15"/>
      <c r="E4009" s="15"/>
      <c r="F4009" s="15"/>
      <c r="G4009" s="15"/>
      <c r="H4009" s="15"/>
      <c r="I4009" s="15"/>
      <c r="J4009" s="15"/>
      <c r="K4009" s="15"/>
      <c r="L4009" s="28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  <c r="AA4009" s="15"/>
      <c r="AB4009" s="15"/>
      <c r="AC4009" s="15"/>
      <c r="AD4009" s="15"/>
      <c r="AE4009" s="15"/>
      <c r="AF4009" s="15"/>
      <c r="AG4009" s="15"/>
      <c r="AH4009" s="15"/>
      <c r="AI4009" s="15"/>
      <c r="AJ4009" s="15"/>
      <c r="AK4009" s="15"/>
      <c r="AL4009" s="15"/>
      <c r="AM4009" s="15"/>
      <c r="AN4009" s="15"/>
      <c r="AO4009" s="15"/>
      <c r="AP4009" s="15"/>
      <c r="AQ4009" s="15"/>
      <c r="AR4009" s="15"/>
      <c r="AS4009" s="15"/>
      <c r="AT4009" s="15"/>
      <c r="AU4009" s="15"/>
      <c r="AV4009" s="15"/>
      <c r="AW4009" s="15"/>
    </row>
    <row r="4010" spans="3:49" x14ac:dyDescent="0.2">
      <c r="C4010" s="15"/>
      <c r="D4010" s="15"/>
      <c r="E4010" s="15"/>
      <c r="F4010" s="15"/>
      <c r="G4010" s="15"/>
      <c r="H4010" s="15"/>
      <c r="I4010" s="15"/>
      <c r="J4010" s="15"/>
      <c r="K4010" s="15"/>
      <c r="L4010" s="28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  <c r="AA4010" s="15"/>
      <c r="AB4010" s="15"/>
      <c r="AC4010" s="15"/>
      <c r="AD4010" s="15"/>
      <c r="AE4010" s="15"/>
      <c r="AF4010" s="15"/>
      <c r="AG4010" s="15"/>
      <c r="AH4010" s="15"/>
      <c r="AI4010" s="15"/>
      <c r="AJ4010" s="15"/>
      <c r="AK4010" s="15"/>
      <c r="AL4010" s="15"/>
      <c r="AM4010" s="15"/>
      <c r="AN4010" s="15"/>
      <c r="AO4010" s="15"/>
      <c r="AP4010" s="15"/>
      <c r="AQ4010" s="15"/>
      <c r="AR4010" s="15"/>
      <c r="AS4010" s="15"/>
      <c r="AT4010" s="15"/>
      <c r="AU4010" s="15"/>
      <c r="AV4010" s="15"/>
      <c r="AW4010" s="15"/>
    </row>
    <row r="4011" spans="3:49" x14ac:dyDescent="0.2">
      <c r="C4011" s="15"/>
      <c r="D4011" s="15"/>
      <c r="E4011" s="15"/>
      <c r="F4011" s="15"/>
      <c r="G4011" s="15"/>
      <c r="H4011" s="15"/>
      <c r="I4011" s="15"/>
      <c r="J4011" s="15"/>
      <c r="K4011" s="15"/>
      <c r="L4011" s="28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  <c r="AA4011" s="15"/>
      <c r="AB4011" s="15"/>
      <c r="AC4011" s="15"/>
      <c r="AD4011" s="15"/>
      <c r="AE4011" s="15"/>
      <c r="AF4011" s="15"/>
      <c r="AG4011" s="15"/>
      <c r="AH4011" s="15"/>
      <c r="AI4011" s="15"/>
      <c r="AJ4011" s="15"/>
      <c r="AK4011" s="15"/>
      <c r="AL4011" s="15"/>
      <c r="AM4011" s="15"/>
      <c r="AN4011" s="15"/>
      <c r="AO4011" s="15"/>
      <c r="AP4011" s="15"/>
      <c r="AQ4011" s="15"/>
      <c r="AR4011" s="15"/>
      <c r="AS4011" s="15"/>
      <c r="AT4011" s="15"/>
      <c r="AU4011" s="15"/>
      <c r="AV4011" s="15"/>
      <c r="AW4011" s="15"/>
    </row>
    <row r="4012" spans="3:49" x14ac:dyDescent="0.2">
      <c r="C4012" s="15"/>
      <c r="D4012" s="15"/>
      <c r="E4012" s="15"/>
      <c r="F4012" s="15"/>
      <c r="G4012" s="15"/>
      <c r="H4012" s="15"/>
      <c r="I4012" s="15"/>
      <c r="J4012" s="15"/>
      <c r="K4012" s="15"/>
      <c r="L4012" s="28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  <c r="AA4012" s="15"/>
      <c r="AB4012" s="15"/>
      <c r="AC4012" s="15"/>
      <c r="AD4012" s="15"/>
      <c r="AE4012" s="15"/>
      <c r="AF4012" s="15"/>
      <c r="AG4012" s="15"/>
      <c r="AH4012" s="15"/>
      <c r="AI4012" s="15"/>
      <c r="AJ4012" s="15"/>
      <c r="AK4012" s="15"/>
      <c r="AL4012" s="15"/>
      <c r="AM4012" s="15"/>
      <c r="AN4012" s="15"/>
      <c r="AO4012" s="15"/>
      <c r="AP4012" s="15"/>
      <c r="AQ4012" s="15"/>
      <c r="AR4012" s="15"/>
      <c r="AS4012" s="15"/>
      <c r="AT4012" s="15"/>
      <c r="AU4012" s="15"/>
      <c r="AV4012" s="15"/>
      <c r="AW4012" s="15"/>
    </row>
    <row r="4013" spans="3:49" x14ac:dyDescent="0.2">
      <c r="C4013" s="15"/>
      <c r="D4013" s="15"/>
      <c r="E4013" s="15"/>
      <c r="F4013" s="15"/>
      <c r="G4013" s="15"/>
      <c r="H4013" s="15"/>
      <c r="I4013" s="15"/>
      <c r="J4013" s="15"/>
      <c r="K4013" s="15"/>
      <c r="L4013" s="28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  <c r="AA4013" s="15"/>
      <c r="AB4013" s="15"/>
      <c r="AC4013" s="15"/>
      <c r="AD4013" s="15"/>
      <c r="AE4013" s="15"/>
      <c r="AF4013" s="15"/>
      <c r="AG4013" s="15"/>
      <c r="AH4013" s="15"/>
      <c r="AI4013" s="15"/>
      <c r="AJ4013" s="15"/>
      <c r="AK4013" s="15"/>
      <c r="AL4013" s="15"/>
      <c r="AM4013" s="15"/>
      <c r="AN4013" s="15"/>
      <c r="AO4013" s="15"/>
      <c r="AP4013" s="15"/>
      <c r="AQ4013" s="15"/>
      <c r="AR4013" s="15"/>
      <c r="AS4013" s="15"/>
      <c r="AT4013" s="15"/>
      <c r="AU4013" s="15"/>
      <c r="AV4013" s="15"/>
      <c r="AW4013" s="15"/>
    </row>
    <row r="4014" spans="3:49" x14ac:dyDescent="0.2">
      <c r="C4014" s="15"/>
      <c r="D4014" s="15"/>
      <c r="E4014" s="15"/>
      <c r="F4014" s="15"/>
      <c r="G4014" s="15"/>
      <c r="H4014" s="15"/>
      <c r="I4014" s="15"/>
      <c r="J4014" s="15"/>
      <c r="K4014" s="15"/>
      <c r="L4014" s="28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  <c r="AA4014" s="15"/>
      <c r="AB4014" s="15"/>
      <c r="AC4014" s="15"/>
      <c r="AD4014" s="15"/>
      <c r="AE4014" s="15"/>
      <c r="AF4014" s="15"/>
      <c r="AG4014" s="15"/>
      <c r="AH4014" s="15"/>
      <c r="AI4014" s="15"/>
      <c r="AJ4014" s="15"/>
      <c r="AK4014" s="15"/>
      <c r="AL4014" s="15"/>
      <c r="AM4014" s="15"/>
      <c r="AN4014" s="15"/>
      <c r="AO4014" s="15"/>
      <c r="AP4014" s="15"/>
      <c r="AQ4014" s="15"/>
      <c r="AR4014" s="15"/>
      <c r="AS4014" s="15"/>
      <c r="AT4014" s="15"/>
      <c r="AU4014" s="15"/>
      <c r="AV4014" s="15"/>
      <c r="AW4014" s="15"/>
    </row>
    <row r="4015" spans="3:49" x14ac:dyDescent="0.2">
      <c r="C4015" s="15"/>
      <c r="D4015" s="15"/>
      <c r="E4015" s="15"/>
      <c r="F4015" s="15"/>
      <c r="G4015" s="15"/>
      <c r="H4015" s="15"/>
      <c r="I4015" s="15"/>
      <c r="J4015" s="15"/>
      <c r="K4015" s="15"/>
      <c r="L4015" s="28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  <c r="AA4015" s="15"/>
      <c r="AB4015" s="15"/>
      <c r="AC4015" s="15"/>
      <c r="AD4015" s="15"/>
      <c r="AE4015" s="15"/>
      <c r="AF4015" s="15"/>
      <c r="AG4015" s="15"/>
      <c r="AH4015" s="15"/>
      <c r="AI4015" s="15"/>
      <c r="AJ4015" s="15"/>
      <c r="AK4015" s="15"/>
      <c r="AL4015" s="15"/>
      <c r="AM4015" s="15"/>
      <c r="AN4015" s="15"/>
      <c r="AO4015" s="15"/>
      <c r="AP4015" s="15"/>
      <c r="AQ4015" s="15"/>
      <c r="AR4015" s="15"/>
      <c r="AS4015" s="15"/>
      <c r="AT4015" s="15"/>
      <c r="AU4015" s="15"/>
      <c r="AV4015" s="15"/>
      <c r="AW4015" s="15"/>
    </row>
    <row r="4016" spans="3:49" x14ac:dyDescent="0.2">
      <c r="C4016" s="15"/>
      <c r="D4016" s="15"/>
      <c r="E4016" s="15"/>
      <c r="F4016" s="15"/>
      <c r="G4016" s="15"/>
      <c r="H4016" s="15"/>
      <c r="I4016" s="15"/>
      <c r="J4016" s="15"/>
      <c r="K4016" s="15"/>
      <c r="L4016" s="28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  <c r="AA4016" s="15"/>
      <c r="AB4016" s="15"/>
      <c r="AC4016" s="15"/>
      <c r="AD4016" s="15"/>
      <c r="AE4016" s="15"/>
      <c r="AF4016" s="15"/>
      <c r="AG4016" s="15"/>
      <c r="AH4016" s="15"/>
      <c r="AI4016" s="15"/>
      <c r="AJ4016" s="15"/>
      <c r="AK4016" s="15"/>
      <c r="AL4016" s="15"/>
      <c r="AM4016" s="15"/>
      <c r="AN4016" s="15"/>
      <c r="AO4016" s="15"/>
      <c r="AP4016" s="15"/>
      <c r="AQ4016" s="15"/>
      <c r="AR4016" s="15"/>
      <c r="AS4016" s="15"/>
      <c r="AT4016" s="15"/>
      <c r="AU4016" s="15"/>
      <c r="AV4016" s="15"/>
      <c r="AW4016" s="15"/>
    </row>
    <row r="4017" spans="3:49" x14ac:dyDescent="0.2">
      <c r="C4017" s="15"/>
      <c r="D4017" s="15"/>
      <c r="E4017" s="15"/>
      <c r="F4017" s="15"/>
      <c r="G4017" s="15"/>
      <c r="H4017" s="15"/>
      <c r="I4017" s="15"/>
      <c r="J4017" s="15"/>
      <c r="K4017" s="15"/>
      <c r="L4017" s="28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  <c r="AA4017" s="15"/>
      <c r="AB4017" s="15"/>
      <c r="AC4017" s="15"/>
      <c r="AD4017" s="15"/>
      <c r="AE4017" s="15"/>
      <c r="AF4017" s="15"/>
      <c r="AG4017" s="15"/>
      <c r="AH4017" s="15"/>
      <c r="AI4017" s="15"/>
      <c r="AJ4017" s="15"/>
      <c r="AK4017" s="15"/>
      <c r="AL4017" s="15"/>
      <c r="AM4017" s="15"/>
      <c r="AN4017" s="15"/>
      <c r="AO4017" s="15"/>
      <c r="AP4017" s="15"/>
      <c r="AQ4017" s="15"/>
      <c r="AR4017" s="15"/>
      <c r="AS4017" s="15"/>
      <c r="AT4017" s="15"/>
      <c r="AU4017" s="15"/>
      <c r="AV4017" s="15"/>
      <c r="AW4017" s="15"/>
    </row>
    <row r="4018" spans="3:49" x14ac:dyDescent="0.2">
      <c r="C4018" s="15"/>
      <c r="D4018" s="15"/>
      <c r="E4018" s="15"/>
      <c r="F4018" s="15"/>
      <c r="G4018" s="15"/>
      <c r="H4018" s="15"/>
      <c r="I4018" s="15"/>
      <c r="J4018" s="15"/>
      <c r="K4018" s="15"/>
      <c r="L4018" s="28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  <c r="AA4018" s="15"/>
      <c r="AB4018" s="15"/>
      <c r="AC4018" s="15"/>
      <c r="AD4018" s="15"/>
      <c r="AE4018" s="15"/>
      <c r="AF4018" s="15"/>
      <c r="AG4018" s="15"/>
      <c r="AH4018" s="15"/>
      <c r="AI4018" s="15"/>
      <c r="AJ4018" s="15"/>
      <c r="AK4018" s="15"/>
      <c r="AL4018" s="15"/>
      <c r="AM4018" s="15"/>
      <c r="AN4018" s="15"/>
      <c r="AO4018" s="15"/>
      <c r="AP4018" s="15"/>
      <c r="AQ4018" s="15"/>
      <c r="AR4018" s="15"/>
      <c r="AS4018" s="15"/>
      <c r="AT4018" s="15"/>
      <c r="AU4018" s="15"/>
      <c r="AV4018" s="15"/>
      <c r="AW4018" s="15"/>
    </row>
    <row r="4019" spans="3:49" x14ac:dyDescent="0.2">
      <c r="C4019" s="15"/>
      <c r="D4019" s="15"/>
      <c r="E4019" s="15"/>
      <c r="F4019" s="15"/>
      <c r="G4019" s="15"/>
      <c r="H4019" s="15"/>
      <c r="I4019" s="15"/>
      <c r="J4019" s="15"/>
      <c r="K4019" s="15"/>
      <c r="L4019" s="28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  <c r="AA4019" s="15"/>
      <c r="AB4019" s="15"/>
      <c r="AC4019" s="15"/>
      <c r="AD4019" s="15"/>
      <c r="AE4019" s="15"/>
      <c r="AF4019" s="15"/>
      <c r="AG4019" s="15"/>
      <c r="AH4019" s="15"/>
      <c r="AI4019" s="15"/>
      <c r="AJ4019" s="15"/>
      <c r="AK4019" s="15"/>
      <c r="AL4019" s="15"/>
      <c r="AM4019" s="15"/>
      <c r="AN4019" s="15"/>
      <c r="AO4019" s="15"/>
      <c r="AP4019" s="15"/>
      <c r="AQ4019" s="15"/>
      <c r="AR4019" s="15"/>
      <c r="AS4019" s="15"/>
      <c r="AT4019" s="15"/>
      <c r="AU4019" s="15"/>
      <c r="AV4019" s="15"/>
      <c r="AW4019" s="15"/>
    </row>
    <row r="4020" spans="3:49" x14ac:dyDescent="0.2">
      <c r="C4020" s="15"/>
      <c r="D4020" s="15"/>
      <c r="E4020" s="15"/>
      <c r="F4020" s="15"/>
      <c r="G4020" s="15"/>
      <c r="H4020" s="15"/>
      <c r="I4020" s="15"/>
      <c r="J4020" s="15"/>
      <c r="K4020" s="15"/>
      <c r="L4020" s="28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  <c r="AA4020" s="15"/>
      <c r="AB4020" s="15"/>
      <c r="AC4020" s="15"/>
      <c r="AD4020" s="15"/>
      <c r="AE4020" s="15"/>
      <c r="AF4020" s="15"/>
      <c r="AG4020" s="15"/>
      <c r="AH4020" s="15"/>
      <c r="AI4020" s="15"/>
      <c r="AJ4020" s="15"/>
      <c r="AK4020" s="15"/>
      <c r="AL4020" s="15"/>
      <c r="AM4020" s="15"/>
      <c r="AN4020" s="15"/>
      <c r="AO4020" s="15"/>
      <c r="AP4020" s="15"/>
      <c r="AQ4020" s="15"/>
      <c r="AR4020" s="15"/>
      <c r="AS4020" s="15"/>
      <c r="AT4020" s="15"/>
      <c r="AU4020" s="15"/>
      <c r="AV4020" s="15"/>
      <c r="AW4020" s="15"/>
    </row>
    <row r="4021" spans="3:49" x14ac:dyDescent="0.2">
      <c r="C4021" s="15"/>
      <c r="D4021" s="15"/>
      <c r="E4021" s="15"/>
      <c r="F4021" s="15"/>
      <c r="G4021" s="15"/>
      <c r="H4021" s="15"/>
      <c r="I4021" s="15"/>
      <c r="J4021" s="15"/>
      <c r="K4021" s="15"/>
      <c r="L4021" s="28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  <c r="AA4021" s="15"/>
      <c r="AB4021" s="15"/>
      <c r="AC4021" s="15"/>
      <c r="AD4021" s="15"/>
      <c r="AE4021" s="15"/>
      <c r="AF4021" s="15"/>
      <c r="AG4021" s="15"/>
      <c r="AH4021" s="15"/>
      <c r="AI4021" s="15"/>
      <c r="AJ4021" s="15"/>
      <c r="AK4021" s="15"/>
      <c r="AL4021" s="15"/>
      <c r="AM4021" s="15"/>
      <c r="AN4021" s="15"/>
      <c r="AO4021" s="15"/>
      <c r="AP4021" s="15"/>
      <c r="AQ4021" s="15"/>
      <c r="AR4021" s="15"/>
      <c r="AS4021" s="15"/>
      <c r="AT4021" s="15"/>
      <c r="AU4021" s="15"/>
      <c r="AV4021" s="15"/>
      <c r="AW4021" s="15"/>
    </row>
    <row r="4022" spans="3:49" x14ac:dyDescent="0.2">
      <c r="C4022" s="15"/>
      <c r="D4022" s="15"/>
      <c r="E4022" s="15"/>
      <c r="F4022" s="15"/>
      <c r="G4022" s="15"/>
      <c r="H4022" s="15"/>
      <c r="I4022" s="15"/>
      <c r="J4022" s="15"/>
      <c r="K4022" s="15"/>
      <c r="L4022" s="28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  <c r="AA4022" s="15"/>
      <c r="AB4022" s="15"/>
      <c r="AC4022" s="15"/>
      <c r="AD4022" s="15"/>
      <c r="AE4022" s="15"/>
      <c r="AF4022" s="15"/>
      <c r="AG4022" s="15"/>
      <c r="AH4022" s="15"/>
      <c r="AI4022" s="15"/>
      <c r="AJ4022" s="15"/>
      <c r="AK4022" s="15"/>
      <c r="AL4022" s="15"/>
      <c r="AM4022" s="15"/>
      <c r="AN4022" s="15"/>
      <c r="AO4022" s="15"/>
      <c r="AP4022" s="15"/>
      <c r="AQ4022" s="15"/>
      <c r="AR4022" s="15"/>
      <c r="AS4022" s="15"/>
      <c r="AT4022" s="15"/>
      <c r="AU4022" s="15"/>
      <c r="AV4022" s="15"/>
      <c r="AW4022" s="15"/>
    </row>
    <row r="4023" spans="3:49" x14ac:dyDescent="0.2">
      <c r="C4023" s="15"/>
      <c r="D4023" s="15"/>
      <c r="E4023" s="15"/>
      <c r="F4023" s="15"/>
      <c r="G4023" s="15"/>
      <c r="H4023" s="15"/>
      <c r="I4023" s="15"/>
      <c r="J4023" s="15"/>
      <c r="K4023" s="15"/>
      <c r="L4023" s="28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  <c r="AA4023" s="15"/>
      <c r="AB4023" s="15"/>
      <c r="AC4023" s="15"/>
      <c r="AD4023" s="15"/>
      <c r="AE4023" s="15"/>
      <c r="AF4023" s="15"/>
      <c r="AG4023" s="15"/>
      <c r="AH4023" s="15"/>
      <c r="AI4023" s="15"/>
      <c r="AJ4023" s="15"/>
      <c r="AK4023" s="15"/>
      <c r="AL4023" s="15"/>
      <c r="AM4023" s="15"/>
      <c r="AN4023" s="15"/>
      <c r="AO4023" s="15"/>
      <c r="AP4023" s="15"/>
      <c r="AQ4023" s="15"/>
      <c r="AR4023" s="15"/>
      <c r="AS4023" s="15"/>
      <c r="AT4023" s="15"/>
      <c r="AU4023" s="15"/>
      <c r="AV4023" s="15"/>
      <c r="AW4023" s="15"/>
    </row>
    <row r="4024" spans="3:49" x14ac:dyDescent="0.2">
      <c r="C4024" s="15"/>
      <c r="D4024" s="15"/>
      <c r="E4024" s="15"/>
      <c r="F4024" s="15"/>
      <c r="G4024" s="15"/>
      <c r="H4024" s="15"/>
      <c r="I4024" s="15"/>
      <c r="J4024" s="15"/>
      <c r="K4024" s="15"/>
      <c r="L4024" s="28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  <c r="AA4024" s="15"/>
      <c r="AB4024" s="15"/>
      <c r="AC4024" s="15"/>
      <c r="AD4024" s="15"/>
      <c r="AE4024" s="15"/>
      <c r="AF4024" s="15"/>
      <c r="AG4024" s="15"/>
      <c r="AH4024" s="15"/>
      <c r="AI4024" s="15"/>
      <c r="AJ4024" s="15"/>
      <c r="AK4024" s="15"/>
      <c r="AL4024" s="15"/>
      <c r="AM4024" s="15"/>
      <c r="AN4024" s="15"/>
      <c r="AO4024" s="15"/>
      <c r="AP4024" s="15"/>
      <c r="AQ4024" s="15"/>
      <c r="AR4024" s="15"/>
      <c r="AS4024" s="15"/>
      <c r="AT4024" s="15"/>
      <c r="AU4024" s="15"/>
      <c r="AV4024" s="15"/>
      <c r="AW4024" s="15"/>
    </row>
    <row r="4025" spans="3:49" x14ac:dyDescent="0.2">
      <c r="C4025" s="15"/>
      <c r="D4025" s="15"/>
      <c r="E4025" s="15"/>
      <c r="F4025" s="15"/>
      <c r="G4025" s="15"/>
      <c r="H4025" s="15"/>
      <c r="I4025" s="15"/>
      <c r="J4025" s="15"/>
      <c r="K4025" s="15"/>
      <c r="L4025" s="28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  <c r="AA4025" s="15"/>
      <c r="AB4025" s="15"/>
      <c r="AC4025" s="15"/>
      <c r="AD4025" s="15"/>
      <c r="AE4025" s="15"/>
      <c r="AF4025" s="15"/>
      <c r="AG4025" s="15"/>
      <c r="AH4025" s="15"/>
      <c r="AI4025" s="15"/>
      <c r="AJ4025" s="15"/>
      <c r="AK4025" s="15"/>
      <c r="AL4025" s="15"/>
      <c r="AM4025" s="15"/>
      <c r="AN4025" s="15"/>
      <c r="AO4025" s="15"/>
      <c r="AP4025" s="15"/>
      <c r="AQ4025" s="15"/>
      <c r="AR4025" s="15"/>
      <c r="AS4025" s="15"/>
      <c r="AT4025" s="15"/>
      <c r="AU4025" s="15"/>
      <c r="AV4025" s="15"/>
      <c r="AW4025" s="15"/>
    </row>
    <row r="4026" spans="3:49" x14ac:dyDescent="0.2">
      <c r="C4026" s="15"/>
      <c r="D4026" s="15"/>
      <c r="E4026" s="15"/>
      <c r="F4026" s="15"/>
      <c r="G4026" s="15"/>
      <c r="H4026" s="15"/>
      <c r="I4026" s="15"/>
      <c r="J4026" s="15"/>
      <c r="K4026" s="15"/>
      <c r="L4026" s="28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  <c r="AA4026" s="15"/>
      <c r="AB4026" s="15"/>
      <c r="AC4026" s="15"/>
      <c r="AD4026" s="15"/>
      <c r="AE4026" s="15"/>
      <c r="AF4026" s="15"/>
      <c r="AG4026" s="15"/>
      <c r="AH4026" s="15"/>
      <c r="AI4026" s="15"/>
      <c r="AJ4026" s="15"/>
      <c r="AK4026" s="15"/>
      <c r="AL4026" s="15"/>
      <c r="AM4026" s="15"/>
      <c r="AN4026" s="15"/>
      <c r="AO4026" s="15"/>
      <c r="AP4026" s="15"/>
      <c r="AQ4026" s="15"/>
      <c r="AR4026" s="15"/>
      <c r="AS4026" s="15"/>
      <c r="AT4026" s="15"/>
      <c r="AU4026" s="15"/>
      <c r="AV4026" s="15"/>
      <c r="AW4026" s="15"/>
    </row>
    <row r="4027" spans="3:49" x14ac:dyDescent="0.2">
      <c r="C4027" s="15"/>
      <c r="D4027" s="15"/>
      <c r="E4027" s="15"/>
      <c r="F4027" s="15"/>
      <c r="G4027" s="15"/>
      <c r="H4027" s="15"/>
      <c r="I4027" s="15"/>
      <c r="J4027" s="15"/>
      <c r="K4027" s="15"/>
      <c r="L4027" s="28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  <c r="AA4027" s="15"/>
      <c r="AB4027" s="15"/>
      <c r="AC4027" s="15"/>
      <c r="AD4027" s="15"/>
      <c r="AE4027" s="15"/>
      <c r="AF4027" s="15"/>
      <c r="AG4027" s="15"/>
      <c r="AH4027" s="15"/>
      <c r="AI4027" s="15"/>
      <c r="AJ4027" s="15"/>
      <c r="AK4027" s="15"/>
      <c r="AL4027" s="15"/>
      <c r="AM4027" s="15"/>
      <c r="AN4027" s="15"/>
      <c r="AO4027" s="15"/>
      <c r="AP4027" s="15"/>
      <c r="AQ4027" s="15"/>
      <c r="AR4027" s="15"/>
      <c r="AS4027" s="15"/>
      <c r="AT4027" s="15"/>
      <c r="AU4027" s="15"/>
      <c r="AV4027" s="15"/>
      <c r="AW4027" s="15"/>
    </row>
    <row r="4028" spans="3:49" x14ac:dyDescent="0.2">
      <c r="C4028" s="15"/>
      <c r="D4028" s="15"/>
      <c r="E4028" s="15"/>
      <c r="F4028" s="15"/>
      <c r="G4028" s="15"/>
      <c r="H4028" s="15"/>
      <c r="I4028" s="15"/>
      <c r="J4028" s="15"/>
      <c r="K4028" s="15"/>
      <c r="L4028" s="28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  <c r="AA4028" s="15"/>
      <c r="AB4028" s="15"/>
      <c r="AC4028" s="15"/>
      <c r="AD4028" s="15"/>
      <c r="AE4028" s="15"/>
      <c r="AF4028" s="15"/>
      <c r="AG4028" s="15"/>
      <c r="AH4028" s="15"/>
      <c r="AI4028" s="15"/>
      <c r="AJ4028" s="15"/>
      <c r="AK4028" s="15"/>
      <c r="AL4028" s="15"/>
      <c r="AM4028" s="15"/>
      <c r="AN4028" s="15"/>
      <c r="AO4028" s="15"/>
      <c r="AP4028" s="15"/>
      <c r="AQ4028" s="15"/>
      <c r="AR4028" s="15"/>
      <c r="AS4028" s="15"/>
      <c r="AT4028" s="15"/>
      <c r="AU4028" s="15"/>
      <c r="AV4028" s="15"/>
      <c r="AW4028" s="15"/>
    </row>
    <row r="4029" spans="3:49" x14ac:dyDescent="0.2">
      <c r="C4029" s="15"/>
      <c r="D4029" s="15"/>
      <c r="E4029" s="15"/>
      <c r="F4029" s="15"/>
      <c r="G4029" s="15"/>
      <c r="H4029" s="15"/>
      <c r="I4029" s="15"/>
      <c r="J4029" s="15"/>
      <c r="K4029" s="15"/>
      <c r="L4029" s="28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  <c r="AA4029" s="15"/>
      <c r="AB4029" s="15"/>
      <c r="AC4029" s="15"/>
      <c r="AD4029" s="15"/>
      <c r="AE4029" s="15"/>
      <c r="AF4029" s="15"/>
      <c r="AG4029" s="15"/>
      <c r="AH4029" s="15"/>
      <c r="AI4029" s="15"/>
      <c r="AJ4029" s="15"/>
      <c r="AK4029" s="15"/>
      <c r="AL4029" s="15"/>
      <c r="AM4029" s="15"/>
      <c r="AN4029" s="15"/>
      <c r="AO4029" s="15"/>
      <c r="AP4029" s="15"/>
      <c r="AQ4029" s="15"/>
      <c r="AR4029" s="15"/>
      <c r="AS4029" s="15"/>
      <c r="AT4029" s="15"/>
      <c r="AU4029" s="15"/>
      <c r="AV4029" s="15"/>
      <c r="AW4029" s="15"/>
    </row>
    <row r="4030" spans="3:49" x14ac:dyDescent="0.2">
      <c r="C4030" s="15"/>
      <c r="D4030" s="15"/>
      <c r="E4030" s="15"/>
      <c r="F4030" s="15"/>
      <c r="G4030" s="15"/>
      <c r="H4030" s="15"/>
      <c r="I4030" s="15"/>
      <c r="J4030" s="15"/>
      <c r="K4030" s="15"/>
      <c r="L4030" s="28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  <c r="AA4030" s="15"/>
      <c r="AB4030" s="15"/>
      <c r="AC4030" s="15"/>
      <c r="AD4030" s="15"/>
      <c r="AE4030" s="15"/>
      <c r="AF4030" s="15"/>
      <c r="AG4030" s="15"/>
      <c r="AH4030" s="15"/>
      <c r="AI4030" s="15"/>
      <c r="AJ4030" s="15"/>
      <c r="AK4030" s="15"/>
      <c r="AL4030" s="15"/>
      <c r="AM4030" s="15"/>
      <c r="AN4030" s="15"/>
      <c r="AO4030" s="15"/>
      <c r="AP4030" s="15"/>
      <c r="AQ4030" s="15"/>
      <c r="AR4030" s="15"/>
      <c r="AS4030" s="15"/>
      <c r="AT4030" s="15"/>
      <c r="AU4030" s="15"/>
      <c r="AV4030" s="15"/>
      <c r="AW4030" s="15"/>
    </row>
    <row r="4031" spans="3:49" x14ac:dyDescent="0.2">
      <c r="C4031" s="15"/>
      <c r="D4031" s="15"/>
      <c r="E4031" s="15"/>
      <c r="F4031" s="15"/>
      <c r="G4031" s="15"/>
      <c r="H4031" s="15"/>
      <c r="I4031" s="15"/>
      <c r="J4031" s="15"/>
      <c r="K4031" s="15"/>
      <c r="L4031" s="28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  <c r="AA4031" s="15"/>
      <c r="AB4031" s="15"/>
      <c r="AC4031" s="15"/>
      <c r="AD4031" s="15"/>
      <c r="AE4031" s="15"/>
      <c r="AF4031" s="15"/>
      <c r="AG4031" s="15"/>
      <c r="AH4031" s="15"/>
      <c r="AI4031" s="15"/>
      <c r="AJ4031" s="15"/>
      <c r="AK4031" s="15"/>
      <c r="AL4031" s="15"/>
      <c r="AM4031" s="15"/>
      <c r="AN4031" s="15"/>
      <c r="AO4031" s="15"/>
      <c r="AP4031" s="15"/>
      <c r="AQ4031" s="15"/>
      <c r="AR4031" s="15"/>
      <c r="AS4031" s="15"/>
      <c r="AT4031" s="15"/>
      <c r="AU4031" s="15"/>
      <c r="AV4031" s="15"/>
      <c r="AW4031" s="15"/>
    </row>
    <row r="4032" spans="3:49" x14ac:dyDescent="0.2">
      <c r="C4032" s="15"/>
      <c r="D4032" s="15"/>
      <c r="E4032" s="15"/>
      <c r="F4032" s="15"/>
      <c r="G4032" s="15"/>
      <c r="H4032" s="15"/>
      <c r="I4032" s="15"/>
      <c r="J4032" s="15"/>
      <c r="K4032" s="15"/>
      <c r="L4032" s="28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  <c r="AA4032" s="15"/>
      <c r="AB4032" s="15"/>
      <c r="AC4032" s="15"/>
      <c r="AD4032" s="15"/>
      <c r="AE4032" s="15"/>
      <c r="AF4032" s="15"/>
      <c r="AG4032" s="15"/>
      <c r="AH4032" s="15"/>
      <c r="AI4032" s="15"/>
      <c r="AJ4032" s="15"/>
      <c r="AK4032" s="15"/>
      <c r="AL4032" s="15"/>
      <c r="AM4032" s="15"/>
      <c r="AN4032" s="15"/>
      <c r="AO4032" s="15"/>
      <c r="AP4032" s="15"/>
      <c r="AQ4032" s="15"/>
      <c r="AR4032" s="15"/>
      <c r="AS4032" s="15"/>
      <c r="AT4032" s="15"/>
      <c r="AU4032" s="15"/>
      <c r="AV4032" s="15"/>
      <c r="AW4032" s="15"/>
    </row>
    <row r="4033" spans="3:49" x14ac:dyDescent="0.2">
      <c r="C4033" s="15"/>
      <c r="D4033" s="15"/>
      <c r="E4033" s="15"/>
      <c r="F4033" s="15"/>
      <c r="G4033" s="15"/>
      <c r="H4033" s="15"/>
      <c r="I4033" s="15"/>
      <c r="J4033" s="15"/>
      <c r="K4033" s="15"/>
      <c r="L4033" s="28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  <c r="AA4033" s="15"/>
      <c r="AB4033" s="15"/>
      <c r="AC4033" s="15"/>
      <c r="AD4033" s="15"/>
      <c r="AE4033" s="15"/>
      <c r="AF4033" s="15"/>
      <c r="AG4033" s="15"/>
      <c r="AH4033" s="15"/>
      <c r="AI4033" s="15"/>
      <c r="AJ4033" s="15"/>
      <c r="AK4033" s="15"/>
      <c r="AL4033" s="15"/>
      <c r="AM4033" s="15"/>
      <c r="AN4033" s="15"/>
      <c r="AO4033" s="15"/>
      <c r="AP4033" s="15"/>
      <c r="AQ4033" s="15"/>
      <c r="AR4033" s="15"/>
      <c r="AS4033" s="15"/>
      <c r="AT4033" s="15"/>
      <c r="AU4033" s="15"/>
      <c r="AV4033" s="15"/>
      <c r="AW4033" s="15"/>
    </row>
    <row r="4034" spans="3:49" x14ac:dyDescent="0.2">
      <c r="C4034" s="15"/>
      <c r="D4034" s="15"/>
      <c r="E4034" s="15"/>
      <c r="F4034" s="15"/>
      <c r="G4034" s="15"/>
      <c r="H4034" s="15"/>
      <c r="I4034" s="15"/>
      <c r="J4034" s="15"/>
      <c r="K4034" s="15"/>
      <c r="L4034" s="28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  <c r="AA4034" s="15"/>
      <c r="AB4034" s="15"/>
      <c r="AC4034" s="15"/>
      <c r="AD4034" s="15"/>
      <c r="AE4034" s="15"/>
      <c r="AF4034" s="15"/>
      <c r="AG4034" s="15"/>
      <c r="AH4034" s="15"/>
      <c r="AI4034" s="15"/>
      <c r="AJ4034" s="15"/>
      <c r="AK4034" s="15"/>
      <c r="AL4034" s="15"/>
      <c r="AM4034" s="15"/>
      <c r="AN4034" s="15"/>
      <c r="AO4034" s="15"/>
      <c r="AP4034" s="15"/>
      <c r="AQ4034" s="15"/>
      <c r="AR4034" s="15"/>
      <c r="AS4034" s="15"/>
      <c r="AT4034" s="15"/>
      <c r="AU4034" s="15"/>
      <c r="AV4034" s="15"/>
      <c r="AW4034" s="15"/>
    </row>
    <row r="4035" spans="3:49" x14ac:dyDescent="0.2">
      <c r="C4035" s="15"/>
      <c r="D4035" s="15"/>
      <c r="E4035" s="15"/>
      <c r="F4035" s="15"/>
      <c r="G4035" s="15"/>
      <c r="H4035" s="15"/>
      <c r="I4035" s="15"/>
      <c r="J4035" s="15"/>
      <c r="K4035" s="15"/>
      <c r="L4035" s="28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  <c r="AA4035" s="15"/>
      <c r="AB4035" s="15"/>
      <c r="AC4035" s="15"/>
      <c r="AD4035" s="15"/>
      <c r="AE4035" s="15"/>
      <c r="AF4035" s="15"/>
      <c r="AG4035" s="15"/>
      <c r="AH4035" s="15"/>
      <c r="AI4035" s="15"/>
      <c r="AJ4035" s="15"/>
      <c r="AK4035" s="15"/>
      <c r="AL4035" s="15"/>
      <c r="AM4035" s="15"/>
      <c r="AN4035" s="15"/>
      <c r="AO4035" s="15"/>
      <c r="AP4035" s="15"/>
      <c r="AQ4035" s="15"/>
      <c r="AR4035" s="15"/>
      <c r="AS4035" s="15"/>
      <c r="AT4035" s="15"/>
      <c r="AU4035" s="15"/>
      <c r="AV4035" s="15"/>
      <c r="AW4035" s="15"/>
    </row>
    <row r="4036" spans="3:49" x14ac:dyDescent="0.2">
      <c r="C4036" s="15"/>
      <c r="D4036" s="15"/>
      <c r="E4036" s="15"/>
      <c r="F4036" s="15"/>
      <c r="G4036" s="15"/>
      <c r="H4036" s="15"/>
      <c r="I4036" s="15"/>
      <c r="J4036" s="15"/>
      <c r="K4036" s="15"/>
      <c r="L4036" s="28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  <c r="AA4036" s="15"/>
      <c r="AB4036" s="15"/>
      <c r="AC4036" s="15"/>
      <c r="AD4036" s="15"/>
      <c r="AE4036" s="15"/>
      <c r="AF4036" s="15"/>
      <c r="AG4036" s="15"/>
      <c r="AH4036" s="15"/>
      <c r="AI4036" s="15"/>
      <c r="AJ4036" s="15"/>
      <c r="AK4036" s="15"/>
      <c r="AL4036" s="15"/>
      <c r="AM4036" s="15"/>
      <c r="AN4036" s="15"/>
      <c r="AO4036" s="15"/>
      <c r="AP4036" s="15"/>
      <c r="AQ4036" s="15"/>
      <c r="AR4036" s="15"/>
      <c r="AS4036" s="15"/>
      <c r="AT4036" s="15"/>
      <c r="AU4036" s="15"/>
      <c r="AV4036" s="15"/>
      <c r="AW4036" s="15"/>
    </row>
    <row r="4037" spans="3:49" x14ac:dyDescent="0.2">
      <c r="C4037" s="15"/>
      <c r="D4037" s="15"/>
      <c r="E4037" s="15"/>
      <c r="F4037" s="15"/>
      <c r="G4037" s="15"/>
      <c r="H4037" s="15"/>
      <c r="I4037" s="15"/>
      <c r="J4037" s="15"/>
      <c r="K4037" s="15"/>
      <c r="L4037" s="28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  <c r="AA4037" s="15"/>
      <c r="AB4037" s="15"/>
      <c r="AC4037" s="15"/>
      <c r="AD4037" s="15"/>
      <c r="AE4037" s="15"/>
      <c r="AF4037" s="15"/>
      <c r="AG4037" s="15"/>
      <c r="AH4037" s="15"/>
      <c r="AI4037" s="15"/>
      <c r="AJ4037" s="15"/>
      <c r="AK4037" s="15"/>
      <c r="AL4037" s="15"/>
      <c r="AM4037" s="15"/>
      <c r="AN4037" s="15"/>
      <c r="AO4037" s="15"/>
      <c r="AP4037" s="15"/>
      <c r="AQ4037" s="15"/>
      <c r="AR4037" s="15"/>
      <c r="AS4037" s="15"/>
      <c r="AT4037" s="15"/>
      <c r="AU4037" s="15"/>
      <c r="AV4037" s="15"/>
      <c r="AW4037" s="15"/>
    </row>
    <row r="4038" spans="3:49" x14ac:dyDescent="0.2">
      <c r="C4038" s="15"/>
      <c r="D4038" s="15"/>
      <c r="E4038" s="15"/>
      <c r="F4038" s="15"/>
      <c r="G4038" s="15"/>
      <c r="H4038" s="15"/>
      <c r="I4038" s="15"/>
      <c r="J4038" s="15"/>
      <c r="K4038" s="15"/>
      <c r="L4038" s="28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  <c r="AA4038" s="15"/>
      <c r="AB4038" s="15"/>
      <c r="AC4038" s="15"/>
      <c r="AD4038" s="15"/>
      <c r="AE4038" s="15"/>
      <c r="AF4038" s="15"/>
      <c r="AG4038" s="15"/>
      <c r="AH4038" s="15"/>
      <c r="AI4038" s="15"/>
      <c r="AJ4038" s="15"/>
      <c r="AK4038" s="15"/>
      <c r="AL4038" s="15"/>
      <c r="AM4038" s="15"/>
      <c r="AN4038" s="15"/>
      <c r="AO4038" s="15"/>
      <c r="AP4038" s="15"/>
      <c r="AQ4038" s="15"/>
      <c r="AR4038" s="15"/>
      <c r="AS4038" s="15"/>
      <c r="AT4038" s="15"/>
      <c r="AU4038" s="15"/>
      <c r="AV4038" s="15"/>
      <c r="AW4038" s="15"/>
    </row>
    <row r="4039" spans="3:49" x14ac:dyDescent="0.2">
      <c r="C4039" s="15"/>
      <c r="D4039" s="15"/>
      <c r="E4039" s="15"/>
      <c r="F4039" s="15"/>
      <c r="G4039" s="15"/>
      <c r="H4039" s="15"/>
      <c r="I4039" s="15"/>
      <c r="J4039" s="15"/>
      <c r="K4039" s="15"/>
      <c r="L4039" s="28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  <c r="AA4039" s="15"/>
      <c r="AB4039" s="15"/>
      <c r="AC4039" s="15"/>
      <c r="AD4039" s="15"/>
      <c r="AE4039" s="15"/>
      <c r="AF4039" s="15"/>
      <c r="AG4039" s="15"/>
      <c r="AH4039" s="15"/>
      <c r="AI4039" s="15"/>
      <c r="AJ4039" s="15"/>
      <c r="AK4039" s="15"/>
      <c r="AL4039" s="15"/>
      <c r="AM4039" s="15"/>
      <c r="AN4039" s="15"/>
      <c r="AO4039" s="15"/>
      <c r="AP4039" s="15"/>
      <c r="AQ4039" s="15"/>
      <c r="AR4039" s="15"/>
      <c r="AS4039" s="15"/>
      <c r="AT4039" s="15"/>
      <c r="AU4039" s="15"/>
      <c r="AV4039" s="15"/>
      <c r="AW4039" s="15"/>
    </row>
    <row r="4040" spans="3:49" x14ac:dyDescent="0.2">
      <c r="C4040" s="15"/>
      <c r="D4040" s="15"/>
      <c r="E4040" s="15"/>
      <c r="F4040" s="15"/>
      <c r="G4040" s="15"/>
      <c r="H4040" s="15"/>
      <c r="I4040" s="15"/>
      <c r="J4040" s="15"/>
      <c r="K4040" s="15"/>
      <c r="L4040" s="28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  <c r="AA4040" s="15"/>
      <c r="AB4040" s="15"/>
      <c r="AC4040" s="15"/>
      <c r="AD4040" s="15"/>
      <c r="AE4040" s="15"/>
      <c r="AF4040" s="15"/>
      <c r="AG4040" s="15"/>
      <c r="AH4040" s="15"/>
      <c r="AI4040" s="15"/>
      <c r="AJ4040" s="15"/>
      <c r="AK4040" s="15"/>
      <c r="AL4040" s="15"/>
      <c r="AM4040" s="15"/>
      <c r="AN4040" s="15"/>
      <c r="AO4040" s="15"/>
      <c r="AP4040" s="15"/>
      <c r="AQ4040" s="15"/>
      <c r="AR4040" s="15"/>
      <c r="AS4040" s="15"/>
      <c r="AT4040" s="15"/>
      <c r="AU4040" s="15"/>
      <c r="AV4040" s="15"/>
      <c r="AW4040" s="15"/>
    </row>
    <row r="4041" spans="3:49" x14ac:dyDescent="0.2">
      <c r="C4041" s="15"/>
      <c r="D4041" s="15"/>
      <c r="E4041" s="15"/>
      <c r="F4041" s="15"/>
      <c r="G4041" s="15"/>
      <c r="H4041" s="15"/>
      <c r="I4041" s="15"/>
      <c r="J4041" s="15"/>
      <c r="K4041" s="15"/>
      <c r="L4041" s="28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  <c r="AA4041" s="15"/>
      <c r="AB4041" s="15"/>
      <c r="AC4041" s="15"/>
      <c r="AD4041" s="15"/>
      <c r="AE4041" s="15"/>
      <c r="AF4041" s="15"/>
      <c r="AG4041" s="15"/>
      <c r="AH4041" s="15"/>
      <c r="AI4041" s="15"/>
      <c r="AJ4041" s="15"/>
      <c r="AK4041" s="15"/>
      <c r="AL4041" s="15"/>
      <c r="AM4041" s="15"/>
      <c r="AN4041" s="15"/>
      <c r="AO4041" s="15"/>
      <c r="AP4041" s="15"/>
      <c r="AQ4041" s="15"/>
      <c r="AR4041" s="15"/>
      <c r="AS4041" s="15"/>
      <c r="AT4041" s="15"/>
      <c r="AU4041" s="15"/>
      <c r="AV4041" s="15"/>
      <c r="AW4041" s="15"/>
    </row>
    <row r="4042" spans="3:49" x14ac:dyDescent="0.2">
      <c r="C4042" s="15"/>
      <c r="D4042" s="15"/>
      <c r="E4042" s="15"/>
      <c r="F4042" s="15"/>
      <c r="G4042" s="15"/>
      <c r="H4042" s="15"/>
      <c r="I4042" s="15"/>
      <c r="J4042" s="15"/>
      <c r="K4042" s="15"/>
      <c r="L4042" s="28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  <c r="AA4042" s="15"/>
      <c r="AB4042" s="15"/>
      <c r="AC4042" s="15"/>
      <c r="AD4042" s="15"/>
      <c r="AE4042" s="15"/>
      <c r="AF4042" s="15"/>
      <c r="AG4042" s="15"/>
      <c r="AH4042" s="15"/>
      <c r="AI4042" s="15"/>
      <c r="AJ4042" s="15"/>
      <c r="AK4042" s="15"/>
      <c r="AL4042" s="15"/>
      <c r="AM4042" s="15"/>
      <c r="AN4042" s="15"/>
      <c r="AO4042" s="15"/>
      <c r="AP4042" s="15"/>
      <c r="AQ4042" s="15"/>
      <c r="AR4042" s="15"/>
      <c r="AS4042" s="15"/>
      <c r="AT4042" s="15"/>
      <c r="AU4042" s="15"/>
      <c r="AV4042" s="15"/>
      <c r="AW4042" s="15"/>
    </row>
    <row r="4043" spans="3:49" x14ac:dyDescent="0.2">
      <c r="C4043" s="15"/>
      <c r="D4043" s="15"/>
      <c r="E4043" s="15"/>
      <c r="F4043" s="15"/>
      <c r="G4043" s="15"/>
      <c r="H4043" s="15"/>
      <c r="I4043" s="15"/>
      <c r="J4043" s="15"/>
      <c r="K4043" s="15"/>
      <c r="L4043" s="28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  <c r="AA4043" s="15"/>
      <c r="AB4043" s="15"/>
      <c r="AC4043" s="15"/>
      <c r="AD4043" s="15"/>
      <c r="AE4043" s="15"/>
      <c r="AF4043" s="15"/>
      <c r="AG4043" s="15"/>
      <c r="AH4043" s="15"/>
      <c r="AI4043" s="15"/>
      <c r="AJ4043" s="15"/>
      <c r="AK4043" s="15"/>
      <c r="AL4043" s="15"/>
      <c r="AM4043" s="15"/>
      <c r="AN4043" s="15"/>
      <c r="AO4043" s="15"/>
      <c r="AP4043" s="15"/>
      <c r="AQ4043" s="15"/>
      <c r="AR4043" s="15"/>
      <c r="AS4043" s="15"/>
      <c r="AT4043" s="15"/>
      <c r="AU4043" s="15"/>
      <c r="AV4043" s="15"/>
      <c r="AW4043" s="15"/>
    </row>
    <row r="4044" spans="3:49" x14ac:dyDescent="0.2">
      <c r="C4044" s="15"/>
      <c r="D4044" s="15"/>
      <c r="E4044" s="15"/>
      <c r="F4044" s="15"/>
      <c r="G4044" s="15"/>
      <c r="H4044" s="15"/>
      <c r="I4044" s="15"/>
      <c r="J4044" s="15"/>
      <c r="K4044" s="15"/>
      <c r="L4044" s="28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  <c r="AA4044" s="15"/>
      <c r="AB4044" s="15"/>
      <c r="AC4044" s="15"/>
      <c r="AD4044" s="15"/>
      <c r="AE4044" s="15"/>
      <c r="AF4044" s="15"/>
      <c r="AG4044" s="15"/>
      <c r="AH4044" s="15"/>
      <c r="AI4044" s="15"/>
      <c r="AJ4044" s="15"/>
      <c r="AK4044" s="15"/>
      <c r="AL4044" s="15"/>
      <c r="AM4044" s="15"/>
      <c r="AN4044" s="15"/>
      <c r="AO4044" s="15"/>
      <c r="AP4044" s="15"/>
      <c r="AQ4044" s="15"/>
      <c r="AR4044" s="15"/>
      <c r="AS4044" s="15"/>
      <c r="AT4044" s="15"/>
      <c r="AU4044" s="15"/>
      <c r="AV4044" s="15"/>
      <c r="AW4044" s="15"/>
    </row>
    <row r="4045" spans="3:49" x14ac:dyDescent="0.2">
      <c r="C4045" s="15"/>
      <c r="D4045" s="15"/>
      <c r="E4045" s="15"/>
      <c r="F4045" s="15"/>
      <c r="G4045" s="15"/>
      <c r="H4045" s="15"/>
      <c r="I4045" s="15"/>
      <c r="J4045" s="15"/>
      <c r="K4045" s="15"/>
      <c r="L4045" s="28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  <c r="AA4045" s="15"/>
      <c r="AB4045" s="15"/>
      <c r="AC4045" s="15"/>
      <c r="AD4045" s="15"/>
      <c r="AE4045" s="15"/>
      <c r="AF4045" s="15"/>
      <c r="AG4045" s="15"/>
      <c r="AH4045" s="15"/>
      <c r="AI4045" s="15"/>
      <c r="AJ4045" s="15"/>
      <c r="AK4045" s="15"/>
      <c r="AL4045" s="15"/>
      <c r="AM4045" s="15"/>
      <c r="AN4045" s="15"/>
      <c r="AO4045" s="15"/>
      <c r="AP4045" s="15"/>
      <c r="AQ4045" s="15"/>
      <c r="AR4045" s="15"/>
      <c r="AS4045" s="15"/>
      <c r="AT4045" s="15"/>
      <c r="AU4045" s="15"/>
      <c r="AV4045" s="15"/>
      <c r="AW4045" s="15"/>
    </row>
    <row r="4046" spans="3:49" x14ac:dyDescent="0.2">
      <c r="C4046" s="15"/>
      <c r="D4046" s="15"/>
      <c r="E4046" s="15"/>
      <c r="F4046" s="15"/>
      <c r="G4046" s="15"/>
      <c r="H4046" s="15"/>
      <c r="I4046" s="15"/>
      <c r="J4046" s="15"/>
      <c r="K4046" s="15"/>
      <c r="L4046" s="28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  <c r="AA4046" s="15"/>
      <c r="AB4046" s="15"/>
      <c r="AC4046" s="15"/>
      <c r="AD4046" s="15"/>
      <c r="AE4046" s="15"/>
      <c r="AF4046" s="15"/>
      <c r="AG4046" s="15"/>
      <c r="AH4046" s="15"/>
      <c r="AI4046" s="15"/>
      <c r="AJ4046" s="15"/>
      <c r="AK4046" s="15"/>
      <c r="AL4046" s="15"/>
      <c r="AM4046" s="15"/>
      <c r="AN4046" s="15"/>
      <c r="AO4046" s="15"/>
      <c r="AP4046" s="15"/>
      <c r="AQ4046" s="15"/>
      <c r="AR4046" s="15"/>
      <c r="AS4046" s="15"/>
      <c r="AT4046" s="15"/>
      <c r="AU4046" s="15"/>
      <c r="AV4046" s="15"/>
      <c r="AW4046" s="15"/>
    </row>
    <row r="4047" spans="3:49" x14ac:dyDescent="0.2">
      <c r="C4047" s="15"/>
      <c r="D4047" s="15"/>
      <c r="E4047" s="15"/>
      <c r="F4047" s="15"/>
      <c r="G4047" s="15"/>
      <c r="H4047" s="15"/>
      <c r="I4047" s="15"/>
      <c r="J4047" s="15"/>
      <c r="K4047" s="15"/>
      <c r="L4047" s="28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  <c r="AA4047" s="15"/>
      <c r="AB4047" s="15"/>
      <c r="AC4047" s="15"/>
      <c r="AD4047" s="15"/>
      <c r="AE4047" s="15"/>
      <c r="AF4047" s="15"/>
      <c r="AG4047" s="15"/>
      <c r="AH4047" s="15"/>
      <c r="AI4047" s="15"/>
      <c r="AJ4047" s="15"/>
      <c r="AK4047" s="15"/>
      <c r="AL4047" s="15"/>
      <c r="AM4047" s="15"/>
      <c r="AN4047" s="15"/>
      <c r="AO4047" s="15"/>
      <c r="AP4047" s="15"/>
      <c r="AQ4047" s="15"/>
      <c r="AR4047" s="15"/>
      <c r="AS4047" s="15"/>
      <c r="AT4047" s="15"/>
      <c r="AU4047" s="15"/>
      <c r="AV4047" s="15"/>
      <c r="AW4047" s="15"/>
    </row>
    <row r="4048" spans="3:49" x14ac:dyDescent="0.2">
      <c r="C4048" s="15"/>
      <c r="D4048" s="15"/>
      <c r="E4048" s="15"/>
      <c r="F4048" s="15"/>
      <c r="G4048" s="15"/>
      <c r="H4048" s="15"/>
      <c r="I4048" s="15"/>
      <c r="J4048" s="15"/>
      <c r="K4048" s="15"/>
      <c r="L4048" s="28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  <c r="AA4048" s="15"/>
      <c r="AB4048" s="15"/>
      <c r="AC4048" s="15"/>
      <c r="AD4048" s="15"/>
      <c r="AE4048" s="15"/>
      <c r="AF4048" s="15"/>
      <c r="AG4048" s="15"/>
      <c r="AH4048" s="15"/>
      <c r="AI4048" s="15"/>
      <c r="AJ4048" s="15"/>
      <c r="AK4048" s="15"/>
      <c r="AL4048" s="15"/>
      <c r="AM4048" s="15"/>
      <c r="AN4048" s="15"/>
      <c r="AO4048" s="15"/>
      <c r="AP4048" s="15"/>
      <c r="AQ4048" s="15"/>
      <c r="AR4048" s="15"/>
      <c r="AS4048" s="15"/>
      <c r="AT4048" s="15"/>
      <c r="AU4048" s="15"/>
      <c r="AV4048" s="15"/>
      <c r="AW4048" s="15"/>
    </row>
    <row r="4049" spans="3:49" x14ac:dyDescent="0.2">
      <c r="C4049" s="15"/>
      <c r="D4049" s="15"/>
      <c r="E4049" s="15"/>
      <c r="F4049" s="15"/>
      <c r="G4049" s="15"/>
      <c r="H4049" s="15"/>
      <c r="I4049" s="15"/>
      <c r="J4049" s="15"/>
      <c r="K4049" s="15"/>
      <c r="L4049" s="28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  <c r="AA4049" s="15"/>
      <c r="AB4049" s="15"/>
      <c r="AC4049" s="15"/>
      <c r="AD4049" s="15"/>
      <c r="AE4049" s="15"/>
      <c r="AF4049" s="15"/>
      <c r="AG4049" s="15"/>
      <c r="AH4049" s="15"/>
      <c r="AI4049" s="15"/>
      <c r="AJ4049" s="15"/>
      <c r="AK4049" s="15"/>
      <c r="AL4049" s="15"/>
      <c r="AM4049" s="15"/>
      <c r="AN4049" s="15"/>
      <c r="AO4049" s="15"/>
      <c r="AP4049" s="15"/>
      <c r="AQ4049" s="15"/>
      <c r="AR4049" s="15"/>
      <c r="AS4049" s="15"/>
      <c r="AT4049" s="15"/>
      <c r="AU4049" s="15"/>
      <c r="AV4049" s="15"/>
      <c r="AW4049" s="15"/>
    </row>
    <row r="4050" spans="3:49" x14ac:dyDescent="0.2">
      <c r="C4050" s="15"/>
      <c r="D4050" s="15"/>
      <c r="E4050" s="15"/>
      <c r="F4050" s="15"/>
      <c r="G4050" s="15"/>
      <c r="H4050" s="15"/>
      <c r="I4050" s="15"/>
      <c r="J4050" s="15"/>
      <c r="K4050" s="15"/>
      <c r="L4050" s="28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  <c r="AA4050" s="15"/>
      <c r="AB4050" s="15"/>
      <c r="AC4050" s="15"/>
      <c r="AD4050" s="15"/>
      <c r="AE4050" s="15"/>
      <c r="AF4050" s="15"/>
      <c r="AG4050" s="15"/>
      <c r="AH4050" s="15"/>
      <c r="AI4050" s="15"/>
      <c r="AJ4050" s="15"/>
      <c r="AK4050" s="15"/>
      <c r="AL4050" s="15"/>
      <c r="AM4050" s="15"/>
      <c r="AN4050" s="15"/>
      <c r="AO4050" s="15"/>
      <c r="AP4050" s="15"/>
      <c r="AQ4050" s="15"/>
      <c r="AR4050" s="15"/>
      <c r="AS4050" s="15"/>
      <c r="AT4050" s="15"/>
      <c r="AU4050" s="15"/>
      <c r="AV4050" s="15"/>
      <c r="AW4050" s="15"/>
    </row>
    <row r="4051" spans="3:49" x14ac:dyDescent="0.2">
      <c r="C4051" s="15"/>
      <c r="D4051" s="15"/>
      <c r="E4051" s="15"/>
      <c r="F4051" s="15"/>
      <c r="G4051" s="15"/>
      <c r="H4051" s="15"/>
      <c r="I4051" s="15"/>
      <c r="J4051" s="15"/>
      <c r="K4051" s="15"/>
      <c r="L4051" s="28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  <c r="AA4051" s="15"/>
      <c r="AB4051" s="15"/>
      <c r="AC4051" s="15"/>
      <c r="AD4051" s="15"/>
      <c r="AE4051" s="15"/>
      <c r="AF4051" s="15"/>
      <c r="AG4051" s="15"/>
      <c r="AH4051" s="15"/>
      <c r="AI4051" s="15"/>
      <c r="AJ4051" s="15"/>
      <c r="AK4051" s="15"/>
      <c r="AL4051" s="15"/>
      <c r="AM4051" s="15"/>
      <c r="AN4051" s="15"/>
      <c r="AO4051" s="15"/>
      <c r="AP4051" s="15"/>
      <c r="AQ4051" s="15"/>
      <c r="AR4051" s="15"/>
      <c r="AS4051" s="15"/>
      <c r="AT4051" s="15"/>
      <c r="AU4051" s="15"/>
      <c r="AV4051" s="15"/>
      <c r="AW4051" s="15"/>
    </row>
    <row r="4052" spans="3:49" x14ac:dyDescent="0.2">
      <c r="C4052" s="15"/>
      <c r="D4052" s="15"/>
      <c r="E4052" s="15"/>
      <c r="F4052" s="15"/>
      <c r="G4052" s="15"/>
      <c r="H4052" s="15"/>
      <c r="I4052" s="15"/>
      <c r="J4052" s="15"/>
      <c r="K4052" s="15"/>
      <c r="L4052" s="28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  <c r="AA4052" s="15"/>
      <c r="AB4052" s="15"/>
      <c r="AC4052" s="15"/>
      <c r="AD4052" s="15"/>
      <c r="AE4052" s="15"/>
      <c r="AF4052" s="15"/>
      <c r="AG4052" s="15"/>
      <c r="AH4052" s="15"/>
      <c r="AI4052" s="15"/>
      <c r="AJ4052" s="15"/>
      <c r="AK4052" s="15"/>
      <c r="AL4052" s="15"/>
      <c r="AM4052" s="15"/>
      <c r="AN4052" s="15"/>
      <c r="AO4052" s="15"/>
      <c r="AP4052" s="15"/>
      <c r="AQ4052" s="15"/>
      <c r="AR4052" s="15"/>
      <c r="AS4052" s="15"/>
      <c r="AT4052" s="15"/>
      <c r="AU4052" s="15"/>
      <c r="AV4052" s="15"/>
      <c r="AW4052" s="15"/>
    </row>
    <row r="4053" spans="3:49" x14ac:dyDescent="0.2">
      <c r="C4053" s="15"/>
      <c r="D4053" s="15"/>
      <c r="E4053" s="15"/>
      <c r="F4053" s="15"/>
      <c r="G4053" s="15"/>
      <c r="H4053" s="15"/>
      <c r="I4053" s="15"/>
      <c r="J4053" s="15"/>
      <c r="K4053" s="15"/>
      <c r="L4053" s="28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  <c r="AA4053" s="15"/>
      <c r="AB4053" s="15"/>
      <c r="AC4053" s="15"/>
      <c r="AD4053" s="15"/>
      <c r="AE4053" s="15"/>
      <c r="AF4053" s="15"/>
      <c r="AG4053" s="15"/>
      <c r="AH4053" s="15"/>
      <c r="AI4053" s="15"/>
      <c r="AJ4053" s="15"/>
      <c r="AK4053" s="15"/>
      <c r="AL4053" s="15"/>
      <c r="AM4053" s="15"/>
      <c r="AN4053" s="15"/>
      <c r="AO4053" s="15"/>
      <c r="AP4053" s="15"/>
      <c r="AQ4053" s="15"/>
      <c r="AR4053" s="15"/>
      <c r="AS4053" s="15"/>
      <c r="AT4053" s="15"/>
      <c r="AU4053" s="15"/>
      <c r="AV4053" s="15"/>
      <c r="AW4053" s="15"/>
    </row>
    <row r="4054" spans="3:49" x14ac:dyDescent="0.2">
      <c r="C4054" s="15"/>
      <c r="D4054" s="15"/>
      <c r="E4054" s="15"/>
      <c r="F4054" s="15"/>
      <c r="G4054" s="15"/>
      <c r="H4054" s="15"/>
      <c r="I4054" s="15"/>
      <c r="J4054" s="15"/>
      <c r="K4054" s="15"/>
      <c r="L4054" s="28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  <c r="AA4054" s="15"/>
      <c r="AB4054" s="15"/>
      <c r="AC4054" s="15"/>
      <c r="AD4054" s="15"/>
      <c r="AE4054" s="15"/>
      <c r="AF4054" s="15"/>
      <c r="AG4054" s="15"/>
      <c r="AH4054" s="15"/>
      <c r="AI4054" s="15"/>
      <c r="AJ4054" s="15"/>
      <c r="AK4054" s="15"/>
      <c r="AL4054" s="15"/>
      <c r="AM4054" s="15"/>
      <c r="AN4054" s="15"/>
      <c r="AO4054" s="15"/>
      <c r="AP4054" s="15"/>
      <c r="AQ4054" s="15"/>
      <c r="AR4054" s="15"/>
      <c r="AS4054" s="15"/>
      <c r="AT4054" s="15"/>
      <c r="AU4054" s="15"/>
      <c r="AV4054" s="15"/>
      <c r="AW4054" s="15"/>
    </row>
    <row r="4055" spans="3:49" x14ac:dyDescent="0.2">
      <c r="C4055" s="15"/>
      <c r="D4055" s="15"/>
      <c r="E4055" s="15"/>
      <c r="F4055" s="15"/>
      <c r="G4055" s="15"/>
      <c r="H4055" s="15"/>
      <c r="I4055" s="15"/>
      <c r="J4055" s="15"/>
      <c r="K4055" s="15"/>
      <c r="L4055" s="28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  <c r="AA4055" s="15"/>
      <c r="AB4055" s="15"/>
      <c r="AC4055" s="15"/>
      <c r="AD4055" s="15"/>
      <c r="AE4055" s="15"/>
      <c r="AF4055" s="15"/>
      <c r="AG4055" s="15"/>
      <c r="AH4055" s="15"/>
      <c r="AI4055" s="15"/>
      <c r="AJ4055" s="15"/>
      <c r="AK4055" s="15"/>
      <c r="AL4055" s="15"/>
      <c r="AM4055" s="15"/>
      <c r="AN4055" s="15"/>
      <c r="AO4055" s="15"/>
      <c r="AP4055" s="15"/>
      <c r="AQ4055" s="15"/>
      <c r="AR4055" s="15"/>
      <c r="AS4055" s="15"/>
      <c r="AT4055" s="15"/>
      <c r="AU4055" s="15"/>
      <c r="AV4055" s="15"/>
      <c r="AW4055" s="15"/>
    </row>
    <row r="4056" spans="3:49" x14ac:dyDescent="0.2">
      <c r="C4056" s="15"/>
      <c r="D4056" s="15"/>
      <c r="E4056" s="15"/>
      <c r="F4056" s="15"/>
      <c r="G4056" s="15"/>
      <c r="H4056" s="15"/>
      <c r="I4056" s="15"/>
      <c r="J4056" s="15"/>
      <c r="K4056" s="15"/>
      <c r="L4056" s="28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  <c r="AA4056" s="15"/>
      <c r="AB4056" s="15"/>
      <c r="AC4056" s="15"/>
      <c r="AD4056" s="15"/>
      <c r="AE4056" s="15"/>
      <c r="AF4056" s="15"/>
      <c r="AG4056" s="15"/>
      <c r="AH4056" s="15"/>
      <c r="AI4056" s="15"/>
      <c r="AJ4056" s="15"/>
      <c r="AK4056" s="15"/>
      <c r="AL4056" s="15"/>
      <c r="AM4056" s="15"/>
      <c r="AN4056" s="15"/>
      <c r="AO4056" s="15"/>
      <c r="AP4056" s="15"/>
      <c r="AQ4056" s="15"/>
      <c r="AR4056" s="15"/>
      <c r="AS4056" s="15"/>
      <c r="AT4056" s="15"/>
      <c r="AU4056" s="15"/>
      <c r="AV4056" s="15"/>
      <c r="AW4056" s="15"/>
    </row>
    <row r="4057" spans="3:49" x14ac:dyDescent="0.2">
      <c r="C4057" s="15"/>
      <c r="D4057" s="15"/>
      <c r="E4057" s="15"/>
      <c r="F4057" s="15"/>
      <c r="G4057" s="15"/>
      <c r="H4057" s="15"/>
      <c r="I4057" s="15"/>
      <c r="J4057" s="15"/>
      <c r="K4057" s="15"/>
      <c r="L4057" s="28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  <c r="AA4057" s="15"/>
      <c r="AB4057" s="15"/>
      <c r="AC4057" s="15"/>
      <c r="AD4057" s="15"/>
      <c r="AE4057" s="15"/>
      <c r="AF4057" s="15"/>
      <c r="AG4057" s="15"/>
      <c r="AH4057" s="15"/>
      <c r="AI4057" s="15"/>
      <c r="AJ4057" s="15"/>
      <c r="AK4057" s="15"/>
      <c r="AL4057" s="15"/>
      <c r="AM4057" s="15"/>
      <c r="AN4057" s="15"/>
      <c r="AO4057" s="15"/>
      <c r="AP4057" s="15"/>
      <c r="AQ4057" s="15"/>
      <c r="AR4057" s="15"/>
      <c r="AS4057" s="15"/>
      <c r="AT4057" s="15"/>
      <c r="AU4057" s="15"/>
      <c r="AV4057" s="15"/>
      <c r="AW4057" s="15"/>
    </row>
    <row r="4058" spans="3:49" x14ac:dyDescent="0.2">
      <c r="C4058" s="15"/>
      <c r="D4058" s="15"/>
      <c r="E4058" s="15"/>
      <c r="F4058" s="15"/>
      <c r="G4058" s="15"/>
      <c r="H4058" s="15"/>
      <c r="I4058" s="15"/>
      <c r="J4058" s="15"/>
      <c r="K4058" s="15"/>
      <c r="L4058" s="28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  <c r="AA4058" s="15"/>
      <c r="AB4058" s="15"/>
      <c r="AC4058" s="15"/>
      <c r="AD4058" s="15"/>
      <c r="AE4058" s="15"/>
      <c r="AF4058" s="15"/>
      <c r="AG4058" s="15"/>
      <c r="AH4058" s="15"/>
      <c r="AI4058" s="15"/>
      <c r="AJ4058" s="15"/>
      <c r="AK4058" s="15"/>
      <c r="AL4058" s="15"/>
      <c r="AM4058" s="15"/>
      <c r="AN4058" s="15"/>
      <c r="AO4058" s="15"/>
      <c r="AP4058" s="15"/>
      <c r="AQ4058" s="15"/>
      <c r="AR4058" s="15"/>
      <c r="AS4058" s="15"/>
      <c r="AT4058" s="15"/>
      <c r="AU4058" s="15"/>
      <c r="AV4058" s="15"/>
      <c r="AW4058" s="15"/>
    </row>
    <row r="4059" spans="3:49" x14ac:dyDescent="0.2">
      <c r="C4059" s="15"/>
      <c r="D4059" s="15"/>
      <c r="E4059" s="15"/>
      <c r="F4059" s="15"/>
      <c r="G4059" s="15"/>
      <c r="H4059" s="15"/>
      <c r="I4059" s="15"/>
      <c r="J4059" s="15"/>
      <c r="K4059" s="15"/>
      <c r="L4059" s="28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  <c r="AA4059" s="15"/>
      <c r="AB4059" s="15"/>
      <c r="AC4059" s="15"/>
      <c r="AD4059" s="15"/>
      <c r="AE4059" s="15"/>
      <c r="AF4059" s="15"/>
      <c r="AG4059" s="15"/>
      <c r="AH4059" s="15"/>
      <c r="AI4059" s="15"/>
      <c r="AJ4059" s="15"/>
      <c r="AK4059" s="15"/>
      <c r="AL4059" s="15"/>
      <c r="AM4059" s="15"/>
      <c r="AN4059" s="15"/>
      <c r="AO4059" s="15"/>
      <c r="AP4059" s="15"/>
      <c r="AQ4059" s="15"/>
      <c r="AR4059" s="15"/>
      <c r="AS4059" s="15"/>
      <c r="AT4059" s="15"/>
      <c r="AU4059" s="15"/>
      <c r="AV4059" s="15"/>
      <c r="AW4059" s="15"/>
    </row>
    <row r="4060" spans="3:49" x14ac:dyDescent="0.2">
      <c r="C4060" s="15"/>
      <c r="D4060" s="15"/>
      <c r="E4060" s="15"/>
      <c r="F4060" s="15"/>
      <c r="G4060" s="15"/>
      <c r="H4060" s="15"/>
      <c r="I4060" s="15"/>
      <c r="J4060" s="15"/>
      <c r="K4060" s="15"/>
      <c r="L4060" s="28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  <c r="AA4060" s="15"/>
      <c r="AB4060" s="15"/>
      <c r="AC4060" s="15"/>
      <c r="AD4060" s="15"/>
      <c r="AE4060" s="15"/>
      <c r="AF4060" s="15"/>
      <c r="AG4060" s="15"/>
      <c r="AH4060" s="15"/>
      <c r="AI4060" s="15"/>
      <c r="AJ4060" s="15"/>
      <c r="AK4060" s="15"/>
      <c r="AL4060" s="15"/>
      <c r="AM4060" s="15"/>
      <c r="AN4060" s="15"/>
      <c r="AO4060" s="15"/>
      <c r="AP4060" s="15"/>
      <c r="AQ4060" s="15"/>
      <c r="AR4060" s="15"/>
      <c r="AS4060" s="15"/>
      <c r="AT4060" s="15"/>
      <c r="AU4060" s="15"/>
      <c r="AV4060" s="15"/>
      <c r="AW4060" s="15"/>
    </row>
    <row r="4061" spans="3:49" x14ac:dyDescent="0.2">
      <c r="C4061" s="15"/>
      <c r="D4061" s="15"/>
      <c r="E4061" s="15"/>
      <c r="F4061" s="15"/>
      <c r="G4061" s="15"/>
      <c r="H4061" s="15"/>
      <c r="I4061" s="15"/>
      <c r="J4061" s="15"/>
      <c r="K4061" s="15"/>
      <c r="L4061" s="28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  <c r="AA4061" s="15"/>
      <c r="AB4061" s="15"/>
      <c r="AC4061" s="15"/>
      <c r="AD4061" s="15"/>
      <c r="AE4061" s="15"/>
      <c r="AF4061" s="15"/>
      <c r="AG4061" s="15"/>
      <c r="AH4061" s="15"/>
      <c r="AI4061" s="15"/>
      <c r="AJ4061" s="15"/>
      <c r="AK4061" s="15"/>
      <c r="AL4061" s="15"/>
      <c r="AM4061" s="15"/>
      <c r="AN4061" s="15"/>
      <c r="AO4061" s="15"/>
      <c r="AP4061" s="15"/>
      <c r="AQ4061" s="15"/>
      <c r="AR4061" s="15"/>
      <c r="AS4061" s="15"/>
      <c r="AT4061" s="15"/>
      <c r="AU4061" s="15"/>
      <c r="AV4061" s="15"/>
      <c r="AW4061" s="15"/>
    </row>
    <row r="4062" spans="3:49" x14ac:dyDescent="0.2">
      <c r="C4062" s="15"/>
      <c r="D4062" s="15"/>
      <c r="E4062" s="15"/>
      <c r="F4062" s="15"/>
      <c r="G4062" s="15"/>
      <c r="H4062" s="15"/>
      <c r="I4062" s="15"/>
      <c r="J4062" s="15"/>
      <c r="K4062" s="15"/>
      <c r="L4062" s="28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  <c r="AA4062" s="15"/>
      <c r="AB4062" s="15"/>
      <c r="AC4062" s="15"/>
      <c r="AD4062" s="15"/>
      <c r="AE4062" s="15"/>
      <c r="AF4062" s="15"/>
      <c r="AG4062" s="15"/>
      <c r="AH4062" s="15"/>
      <c r="AI4062" s="15"/>
      <c r="AJ4062" s="15"/>
      <c r="AK4062" s="15"/>
      <c r="AL4062" s="15"/>
      <c r="AM4062" s="15"/>
      <c r="AN4062" s="15"/>
      <c r="AO4062" s="15"/>
      <c r="AP4062" s="15"/>
      <c r="AQ4062" s="15"/>
      <c r="AR4062" s="15"/>
      <c r="AS4062" s="15"/>
      <c r="AT4062" s="15"/>
      <c r="AU4062" s="15"/>
      <c r="AV4062" s="15"/>
      <c r="AW4062" s="15"/>
    </row>
    <row r="4063" spans="3:49" x14ac:dyDescent="0.2">
      <c r="C4063" s="15"/>
      <c r="D4063" s="15"/>
      <c r="E4063" s="15"/>
      <c r="F4063" s="15"/>
      <c r="G4063" s="15"/>
      <c r="H4063" s="15"/>
      <c r="I4063" s="15"/>
      <c r="J4063" s="15"/>
      <c r="K4063" s="15"/>
      <c r="L4063" s="28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  <c r="AA4063" s="15"/>
      <c r="AB4063" s="15"/>
      <c r="AC4063" s="15"/>
      <c r="AD4063" s="15"/>
      <c r="AE4063" s="15"/>
      <c r="AF4063" s="15"/>
      <c r="AG4063" s="15"/>
      <c r="AH4063" s="15"/>
      <c r="AI4063" s="15"/>
      <c r="AJ4063" s="15"/>
      <c r="AK4063" s="15"/>
      <c r="AL4063" s="15"/>
      <c r="AM4063" s="15"/>
      <c r="AN4063" s="15"/>
      <c r="AO4063" s="15"/>
      <c r="AP4063" s="15"/>
      <c r="AQ4063" s="15"/>
      <c r="AR4063" s="15"/>
      <c r="AS4063" s="15"/>
      <c r="AT4063" s="15"/>
      <c r="AU4063" s="15"/>
      <c r="AV4063" s="15"/>
      <c r="AW4063" s="15"/>
    </row>
    <row r="4064" spans="3:49" x14ac:dyDescent="0.2">
      <c r="C4064" s="15"/>
      <c r="D4064" s="15"/>
      <c r="E4064" s="15"/>
      <c r="F4064" s="15"/>
      <c r="G4064" s="15"/>
      <c r="H4064" s="15"/>
      <c r="I4064" s="15"/>
      <c r="J4064" s="15"/>
      <c r="K4064" s="15"/>
      <c r="L4064" s="28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  <c r="AA4064" s="15"/>
      <c r="AB4064" s="15"/>
      <c r="AC4064" s="15"/>
      <c r="AD4064" s="15"/>
      <c r="AE4064" s="15"/>
      <c r="AF4064" s="15"/>
      <c r="AG4064" s="15"/>
      <c r="AH4064" s="15"/>
      <c r="AI4064" s="15"/>
      <c r="AJ4064" s="15"/>
      <c r="AK4064" s="15"/>
      <c r="AL4064" s="15"/>
      <c r="AM4064" s="15"/>
      <c r="AN4064" s="15"/>
      <c r="AO4064" s="15"/>
      <c r="AP4064" s="15"/>
      <c r="AQ4064" s="15"/>
      <c r="AR4064" s="15"/>
      <c r="AS4064" s="15"/>
      <c r="AT4064" s="15"/>
      <c r="AU4064" s="15"/>
      <c r="AV4064" s="15"/>
      <c r="AW4064" s="15"/>
    </row>
    <row r="4065" spans="3:49" x14ac:dyDescent="0.2">
      <c r="C4065" s="15"/>
      <c r="D4065" s="15"/>
      <c r="E4065" s="15"/>
      <c r="F4065" s="15"/>
      <c r="G4065" s="15"/>
      <c r="H4065" s="15"/>
      <c r="I4065" s="15"/>
      <c r="J4065" s="15"/>
      <c r="K4065" s="15"/>
      <c r="L4065" s="28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  <c r="AA4065" s="15"/>
      <c r="AB4065" s="15"/>
      <c r="AC4065" s="15"/>
      <c r="AD4065" s="15"/>
      <c r="AE4065" s="15"/>
      <c r="AF4065" s="15"/>
      <c r="AG4065" s="15"/>
      <c r="AH4065" s="15"/>
      <c r="AI4065" s="15"/>
      <c r="AJ4065" s="15"/>
      <c r="AK4065" s="15"/>
      <c r="AL4065" s="15"/>
      <c r="AM4065" s="15"/>
      <c r="AN4065" s="15"/>
      <c r="AO4065" s="15"/>
      <c r="AP4065" s="15"/>
      <c r="AQ4065" s="15"/>
      <c r="AR4065" s="15"/>
      <c r="AS4065" s="15"/>
      <c r="AT4065" s="15"/>
      <c r="AU4065" s="15"/>
      <c r="AV4065" s="15"/>
      <c r="AW4065" s="15"/>
    </row>
    <row r="4066" spans="3:49" x14ac:dyDescent="0.2">
      <c r="C4066" s="15"/>
      <c r="D4066" s="15"/>
      <c r="E4066" s="15"/>
      <c r="F4066" s="15"/>
      <c r="G4066" s="15"/>
      <c r="H4066" s="15"/>
      <c r="I4066" s="15"/>
      <c r="J4066" s="15"/>
      <c r="K4066" s="15"/>
      <c r="L4066" s="28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  <c r="AA4066" s="15"/>
      <c r="AB4066" s="15"/>
      <c r="AC4066" s="15"/>
      <c r="AD4066" s="15"/>
      <c r="AE4066" s="15"/>
      <c r="AF4066" s="15"/>
      <c r="AG4066" s="15"/>
      <c r="AH4066" s="15"/>
      <c r="AI4066" s="15"/>
      <c r="AJ4066" s="15"/>
      <c r="AK4066" s="15"/>
      <c r="AL4066" s="15"/>
      <c r="AM4066" s="15"/>
      <c r="AN4066" s="15"/>
      <c r="AO4066" s="15"/>
      <c r="AP4066" s="15"/>
      <c r="AQ4066" s="15"/>
      <c r="AR4066" s="15"/>
      <c r="AS4066" s="15"/>
      <c r="AT4066" s="15"/>
      <c r="AU4066" s="15"/>
      <c r="AV4066" s="15"/>
      <c r="AW4066" s="15"/>
    </row>
    <row r="4067" spans="3:49" x14ac:dyDescent="0.2">
      <c r="C4067" s="15"/>
      <c r="D4067" s="15"/>
      <c r="E4067" s="15"/>
      <c r="F4067" s="15"/>
      <c r="G4067" s="15"/>
      <c r="H4067" s="15"/>
      <c r="I4067" s="15"/>
      <c r="J4067" s="15"/>
      <c r="K4067" s="15"/>
      <c r="L4067" s="28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  <c r="AA4067" s="15"/>
      <c r="AB4067" s="15"/>
      <c r="AC4067" s="15"/>
      <c r="AD4067" s="15"/>
      <c r="AE4067" s="15"/>
      <c r="AF4067" s="15"/>
      <c r="AG4067" s="15"/>
      <c r="AH4067" s="15"/>
      <c r="AI4067" s="15"/>
      <c r="AJ4067" s="15"/>
      <c r="AK4067" s="15"/>
      <c r="AL4067" s="15"/>
      <c r="AM4067" s="15"/>
      <c r="AN4067" s="15"/>
      <c r="AO4067" s="15"/>
      <c r="AP4067" s="15"/>
      <c r="AQ4067" s="15"/>
      <c r="AR4067" s="15"/>
      <c r="AS4067" s="15"/>
      <c r="AT4067" s="15"/>
      <c r="AU4067" s="15"/>
      <c r="AV4067" s="15"/>
      <c r="AW4067" s="15"/>
    </row>
    <row r="4068" spans="3:49" x14ac:dyDescent="0.2">
      <c r="C4068" s="15"/>
      <c r="D4068" s="15"/>
      <c r="E4068" s="15"/>
      <c r="F4068" s="15"/>
      <c r="G4068" s="15"/>
      <c r="H4068" s="15"/>
      <c r="I4068" s="15"/>
      <c r="J4068" s="15"/>
      <c r="K4068" s="15"/>
      <c r="L4068" s="28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  <c r="AA4068" s="15"/>
      <c r="AB4068" s="15"/>
      <c r="AC4068" s="15"/>
      <c r="AD4068" s="15"/>
      <c r="AE4068" s="15"/>
      <c r="AF4068" s="15"/>
      <c r="AG4068" s="15"/>
      <c r="AH4068" s="15"/>
      <c r="AI4068" s="15"/>
      <c r="AJ4068" s="15"/>
      <c r="AK4068" s="15"/>
      <c r="AL4068" s="15"/>
      <c r="AM4068" s="15"/>
      <c r="AN4068" s="15"/>
      <c r="AO4068" s="15"/>
      <c r="AP4068" s="15"/>
      <c r="AQ4068" s="15"/>
      <c r="AR4068" s="15"/>
      <c r="AS4068" s="15"/>
      <c r="AT4068" s="15"/>
      <c r="AU4068" s="15"/>
      <c r="AV4068" s="15"/>
      <c r="AW4068" s="15"/>
    </row>
    <row r="4069" spans="3:49" x14ac:dyDescent="0.2">
      <c r="C4069" s="15"/>
      <c r="D4069" s="15"/>
      <c r="E4069" s="15"/>
      <c r="F4069" s="15"/>
      <c r="G4069" s="15"/>
      <c r="H4069" s="15"/>
      <c r="I4069" s="15"/>
      <c r="J4069" s="15"/>
      <c r="K4069" s="15"/>
      <c r="L4069" s="28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  <c r="AA4069" s="15"/>
      <c r="AB4069" s="15"/>
      <c r="AC4069" s="15"/>
      <c r="AD4069" s="15"/>
      <c r="AE4069" s="15"/>
      <c r="AF4069" s="15"/>
      <c r="AG4069" s="15"/>
      <c r="AH4069" s="15"/>
      <c r="AI4069" s="15"/>
      <c r="AJ4069" s="15"/>
      <c r="AK4069" s="15"/>
      <c r="AL4069" s="15"/>
      <c r="AM4069" s="15"/>
      <c r="AN4069" s="15"/>
      <c r="AO4069" s="15"/>
      <c r="AP4069" s="15"/>
      <c r="AQ4069" s="15"/>
      <c r="AR4069" s="15"/>
      <c r="AS4069" s="15"/>
      <c r="AT4069" s="15"/>
      <c r="AU4069" s="15"/>
      <c r="AV4069" s="15"/>
      <c r="AW4069" s="15"/>
    </row>
    <row r="4070" spans="3:49" x14ac:dyDescent="0.2">
      <c r="C4070" s="15"/>
      <c r="D4070" s="15"/>
      <c r="E4070" s="15"/>
      <c r="F4070" s="15"/>
      <c r="G4070" s="15"/>
      <c r="H4070" s="15"/>
      <c r="I4070" s="15"/>
      <c r="J4070" s="15"/>
      <c r="K4070" s="15"/>
      <c r="L4070" s="28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  <c r="AA4070" s="15"/>
      <c r="AB4070" s="15"/>
      <c r="AC4070" s="15"/>
      <c r="AD4070" s="15"/>
      <c r="AE4070" s="15"/>
      <c r="AF4070" s="15"/>
      <c r="AG4070" s="15"/>
      <c r="AH4070" s="15"/>
      <c r="AI4070" s="15"/>
      <c r="AJ4070" s="15"/>
      <c r="AK4070" s="15"/>
      <c r="AL4070" s="15"/>
      <c r="AM4070" s="15"/>
      <c r="AN4070" s="15"/>
      <c r="AO4070" s="15"/>
      <c r="AP4070" s="15"/>
      <c r="AQ4070" s="15"/>
      <c r="AR4070" s="15"/>
      <c r="AS4070" s="15"/>
      <c r="AT4070" s="15"/>
      <c r="AU4070" s="15"/>
      <c r="AV4070" s="15"/>
      <c r="AW4070" s="15"/>
    </row>
    <row r="4071" spans="3:49" x14ac:dyDescent="0.2">
      <c r="C4071" s="15"/>
      <c r="D4071" s="15"/>
      <c r="E4071" s="15"/>
      <c r="F4071" s="15"/>
      <c r="G4071" s="15"/>
      <c r="H4071" s="15"/>
      <c r="I4071" s="15"/>
      <c r="J4071" s="15"/>
      <c r="K4071" s="15"/>
      <c r="L4071" s="28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  <c r="AA4071" s="15"/>
      <c r="AB4071" s="15"/>
      <c r="AC4071" s="15"/>
      <c r="AD4071" s="15"/>
      <c r="AE4071" s="15"/>
      <c r="AF4071" s="15"/>
      <c r="AG4071" s="15"/>
      <c r="AH4071" s="15"/>
      <c r="AI4071" s="15"/>
      <c r="AJ4071" s="15"/>
      <c r="AK4071" s="15"/>
      <c r="AL4071" s="15"/>
      <c r="AM4071" s="15"/>
      <c r="AN4071" s="15"/>
      <c r="AO4071" s="15"/>
      <c r="AP4071" s="15"/>
      <c r="AQ4071" s="15"/>
      <c r="AR4071" s="15"/>
      <c r="AS4071" s="15"/>
      <c r="AT4071" s="15"/>
      <c r="AU4071" s="15"/>
      <c r="AV4071" s="15"/>
      <c r="AW4071" s="15"/>
    </row>
    <row r="4072" spans="3:49" x14ac:dyDescent="0.2">
      <c r="C4072" s="15"/>
      <c r="D4072" s="15"/>
      <c r="E4072" s="15"/>
      <c r="F4072" s="15"/>
      <c r="G4072" s="15"/>
      <c r="H4072" s="15"/>
      <c r="I4072" s="15"/>
      <c r="J4072" s="15"/>
      <c r="K4072" s="15"/>
      <c r="L4072" s="28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  <c r="AA4072" s="15"/>
      <c r="AB4072" s="15"/>
      <c r="AC4072" s="15"/>
      <c r="AD4072" s="15"/>
      <c r="AE4072" s="15"/>
      <c r="AF4072" s="15"/>
      <c r="AG4072" s="15"/>
      <c r="AH4072" s="15"/>
      <c r="AI4072" s="15"/>
      <c r="AJ4072" s="15"/>
      <c r="AK4072" s="15"/>
      <c r="AL4072" s="15"/>
      <c r="AM4072" s="15"/>
      <c r="AN4072" s="15"/>
      <c r="AO4072" s="15"/>
      <c r="AP4072" s="15"/>
      <c r="AQ4072" s="15"/>
      <c r="AR4072" s="15"/>
      <c r="AS4072" s="15"/>
      <c r="AT4072" s="15"/>
      <c r="AU4072" s="15"/>
      <c r="AV4072" s="15"/>
      <c r="AW4072" s="15"/>
    </row>
    <row r="4073" spans="3:49" x14ac:dyDescent="0.2">
      <c r="C4073" s="15"/>
      <c r="D4073" s="15"/>
      <c r="E4073" s="15"/>
      <c r="F4073" s="15"/>
      <c r="G4073" s="15"/>
      <c r="H4073" s="15"/>
      <c r="I4073" s="15"/>
      <c r="J4073" s="15"/>
      <c r="K4073" s="15"/>
      <c r="L4073" s="28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  <c r="AA4073" s="15"/>
      <c r="AB4073" s="15"/>
      <c r="AC4073" s="15"/>
      <c r="AD4073" s="15"/>
      <c r="AE4073" s="15"/>
      <c r="AF4073" s="15"/>
      <c r="AG4073" s="15"/>
      <c r="AH4073" s="15"/>
      <c r="AI4073" s="15"/>
      <c r="AJ4073" s="15"/>
      <c r="AK4073" s="15"/>
      <c r="AL4073" s="15"/>
      <c r="AM4073" s="15"/>
      <c r="AN4073" s="15"/>
      <c r="AO4073" s="15"/>
      <c r="AP4073" s="15"/>
      <c r="AQ4073" s="15"/>
      <c r="AR4073" s="15"/>
      <c r="AS4073" s="15"/>
      <c r="AT4073" s="15"/>
      <c r="AU4073" s="15"/>
      <c r="AV4073" s="15"/>
      <c r="AW4073" s="15"/>
    </row>
    <row r="4074" spans="3:49" x14ac:dyDescent="0.2">
      <c r="C4074" s="15"/>
      <c r="D4074" s="15"/>
      <c r="E4074" s="15"/>
      <c r="F4074" s="15"/>
      <c r="G4074" s="15"/>
      <c r="H4074" s="15"/>
      <c r="I4074" s="15"/>
      <c r="J4074" s="15"/>
      <c r="K4074" s="15"/>
      <c r="L4074" s="28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  <c r="AA4074" s="15"/>
      <c r="AB4074" s="15"/>
      <c r="AC4074" s="15"/>
      <c r="AD4074" s="15"/>
      <c r="AE4074" s="15"/>
      <c r="AF4074" s="15"/>
      <c r="AG4074" s="15"/>
      <c r="AH4074" s="15"/>
      <c r="AI4074" s="15"/>
      <c r="AJ4074" s="15"/>
      <c r="AK4074" s="15"/>
      <c r="AL4074" s="15"/>
      <c r="AM4074" s="15"/>
      <c r="AN4074" s="15"/>
      <c r="AO4074" s="15"/>
      <c r="AP4074" s="15"/>
      <c r="AQ4074" s="15"/>
      <c r="AR4074" s="15"/>
      <c r="AS4074" s="15"/>
      <c r="AT4074" s="15"/>
      <c r="AU4074" s="15"/>
      <c r="AV4074" s="15"/>
      <c r="AW4074" s="15"/>
    </row>
    <row r="4075" spans="3:49" x14ac:dyDescent="0.2">
      <c r="C4075" s="15"/>
      <c r="D4075" s="15"/>
      <c r="E4075" s="15"/>
      <c r="F4075" s="15"/>
      <c r="G4075" s="15"/>
      <c r="H4075" s="15"/>
      <c r="I4075" s="15"/>
      <c r="J4075" s="15"/>
      <c r="K4075" s="15"/>
      <c r="L4075" s="28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  <c r="AA4075" s="15"/>
      <c r="AB4075" s="15"/>
      <c r="AC4075" s="15"/>
      <c r="AD4075" s="15"/>
      <c r="AE4075" s="15"/>
      <c r="AF4075" s="15"/>
      <c r="AG4075" s="15"/>
      <c r="AH4075" s="15"/>
      <c r="AI4075" s="15"/>
      <c r="AJ4075" s="15"/>
      <c r="AK4075" s="15"/>
      <c r="AL4075" s="15"/>
      <c r="AM4075" s="15"/>
      <c r="AN4075" s="15"/>
      <c r="AO4075" s="15"/>
      <c r="AP4075" s="15"/>
      <c r="AQ4075" s="15"/>
      <c r="AR4075" s="15"/>
      <c r="AS4075" s="15"/>
      <c r="AT4075" s="15"/>
      <c r="AU4075" s="15"/>
      <c r="AV4075" s="15"/>
      <c r="AW4075" s="15"/>
    </row>
    <row r="4076" spans="3:49" x14ac:dyDescent="0.2">
      <c r="C4076" s="15"/>
      <c r="D4076" s="15"/>
      <c r="E4076" s="15"/>
      <c r="F4076" s="15"/>
      <c r="G4076" s="15"/>
      <c r="H4076" s="15"/>
      <c r="I4076" s="15"/>
      <c r="J4076" s="15"/>
      <c r="K4076" s="15"/>
      <c r="L4076" s="28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  <c r="AA4076" s="15"/>
      <c r="AB4076" s="15"/>
      <c r="AC4076" s="15"/>
      <c r="AD4076" s="15"/>
      <c r="AE4076" s="15"/>
      <c r="AF4076" s="15"/>
      <c r="AG4076" s="15"/>
      <c r="AH4076" s="15"/>
      <c r="AI4076" s="15"/>
      <c r="AJ4076" s="15"/>
      <c r="AK4076" s="15"/>
      <c r="AL4076" s="15"/>
      <c r="AM4076" s="15"/>
      <c r="AN4076" s="15"/>
      <c r="AO4076" s="15"/>
      <c r="AP4076" s="15"/>
      <c r="AQ4076" s="15"/>
      <c r="AR4076" s="15"/>
      <c r="AS4076" s="15"/>
      <c r="AT4076" s="15"/>
      <c r="AU4076" s="15"/>
      <c r="AV4076" s="15"/>
      <c r="AW4076" s="15"/>
    </row>
    <row r="4077" spans="3:49" x14ac:dyDescent="0.2">
      <c r="C4077" s="15"/>
      <c r="D4077" s="15"/>
      <c r="E4077" s="15"/>
      <c r="F4077" s="15"/>
      <c r="G4077" s="15"/>
      <c r="H4077" s="15"/>
      <c r="I4077" s="15"/>
      <c r="J4077" s="15"/>
      <c r="K4077" s="15"/>
      <c r="L4077" s="28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  <c r="AA4077" s="15"/>
      <c r="AB4077" s="15"/>
      <c r="AC4077" s="15"/>
      <c r="AD4077" s="15"/>
      <c r="AE4077" s="15"/>
      <c r="AF4077" s="15"/>
      <c r="AG4077" s="15"/>
      <c r="AH4077" s="15"/>
      <c r="AI4077" s="15"/>
      <c r="AJ4077" s="15"/>
      <c r="AK4077" s="15"/>
      <c r="AL4077" s="15"/>
      <c r="AM4077" s="15"/>
      <c r="AN4077" s="15"/>
      <c r="AO4077" s="15"/>
      <c r="AP4077" s="15"/>
      <c r="AQ4077" s="15"/>
      <c r="AR4077" s="15"/>
      <c r="AS4077" s="15"/>
      <c r="AT4077" s="15"/>
      <c r="AU4077" s="15"/>
      <c r="AV4077" s="15"/>
      <c r="AW4077" s="15"/>
    </row>
    <row r="4078" spans="3:49" x14ac:dyDescent="0.2">
      <c r="C4078" s="15"/>
      <c r="D4078" s="15"/>
      <c r="E4078" s="15"/>
      <c r="F4078" s="15"/>
      <c r="G4078" s="15"/>
      <c r="H4078" s="15"/>
      <c r="I4078" s="15"/>
      <c r="J4078" s="15"/>
      <c r="K4078" s="15"/>
      <c r="L4078" s="28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  <c r="AA4078" s="15"/>
      <c r="AB4078" s="15"/>
      <c r="AC4078" s="15"/>
      <c r="AD4078" s="15"/>
      <c r="AE4078" s="15"/>
      <c r="AF4078" s="15"/>
      <c r="AG4078" s="15"/>
      <c r="AH4078" s="15"/>
      <c r="AI4078" s="15"/>
      <c r="AJ4078" s="15"/>
      <c r="AK4078" s="15"/>
      <c r="AL4078" s="15"/>
      <c r="AM4078" s="15"/>
      <c r="AN4078" s="15"/>
      <c r="AO4078" s="15"/>
      <c r="AP4078" s="15"/>
      <c r="AQ4078" s="15"/>
      <c r="AR4078" s="15"/>
      <c r="AS4078" s="15"/>
      <c r="AT4078" s="15"/>
      <c r="AU4078" s="15"/>
      <c r="AV4078" s="15"/>
      <c r="AW4078" s="15"/>
    </row>
    <row r="4079" spans="3:49" x14ac:dyDescent="0.2">
      <c r="C4079" s="15"/>
      <c r="D4079" s="15"/>
      <c r="E4079" s="15"/>
      <c r="F4079" s="15"/>
      <c r="G4079" s="15"/>
      <c r="H4079" s="15"/>
      <c r="I4079" s="15"/>
      <c r="J4079" s="15"/>
      <c r="K4079" s="15"/>
      <c r="L4079" s="28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  <c r="AA4079" s="15"/>
      <c r="AB4079" s="15"/>
      <c r="AC4079" s="15"/>
      <c r="AD4079" s="15"/>
      <c r="AE4079" s="15"/>
      <c r="AF4079" s="15"/>
      <c r="AG4079" s="15"/>
      <c r="AH4079" s="15"/>
      <c r="AI4079" s="15"/>
      <c r="AJ4079" s="15"/>
      <c r="AK4079" s="15"/>
      <c r="AL4079" s="15"/>
      <c r="AM4079" s="15"/>
      <c r="AN4079" s="15"/>
      <c r="AO4079" s="15"/>
      <c r="AP4079" s="15"/>
      <c r="AQ4079" s="15"/>
      <c r="AR4079" s="15"/>
      <c r="AS4079" s="15"/>
      <c r="AT4079" s="15"/>
      <c r="AU4079" s="15"/>
      <c r="AV4079" s="15"/>
      <c r="AW4079" s="15"/>
    </row>
    <row r="4080" spans="3:49" x14ac:dyDescent="0.2">
      <c r="C4080" s="15"/>
      <c r="D4080" s="15"/>
      <c r="E4080" s="15"/>
      <c r="F4080" s="15"/>
      <c r="G4080" s="15"/>
      <c r="H4080" s="15"/>
      <c r="I4080" s="15"/>
      <c r="J4080" s="15"/>
      <c r="K4080" s="15"/>
      <c r="L4080" s="28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  <c r="AA4080" s="15"/>
      <c r="AB4080" s="15"/>
      <c r="AC4080" s="15"/>
      <c r="AD4080" s="15"/>
      <c r="AE4080" s="15"/>
      <c r="AF4080" s="15"/>
      <c r="AG4080" s="15"/>
      <c r="AH4080" s="15"/>
      <c r="AI4080" s="15"/>
      <c r="AJ4080" s="15"/>
      <c r="AK4080" s="15"/>
      <c r="AL4080" s="15"/>
      <c r="AM4080" s="15"/>
      <c r="AN4080" s="15"/>
      <c r="AO4080" s="15"/>
      <c r="AP4080" s="15"/>
      <c r="AQ4080" s="15"/>
      <c r="AR4080" s="15"/>
      <c r="AS4080" s="15"/>
      <c r="AT4080" s="15"/>
      <c r="AU4080" s="15"/>
      <c r="AV4080" s="15"/>
      <c r="AW4080" s="15"/>
    </row>
    <row r="4081" spans="3:49" x14ac:dyDescent="0.2">
      <c r="C4081" s="15"/>
      <c r="D4081" s="15"/>
      <c r="E4081" s="15"/>
      <c r="F4081" s="15"/>
      <c r="G4081" s="15"/>
      <c r="H4081" s="15"/>
      <c r="I4081" s="15"/>
      <c r="J4081" s="15"/>
      <c r="K4081" s="15"/>
      <c r="L4081" s="28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  <c r="AA4081" s="15"/>
      <c r="AB4081" s="15"/>
      <c r="AC4081" s="15"/>
      <c r="AD4081" s="15"/>
      <c r="AE4081" s="15"/>
      <c r="AF4081" s="15"/>
      <c r="AG4081" s="15"/>
      <c r="AH4081" s="15"/>
      <c r="AI4081" s="15"/>
      <c r="AJ4081" s="15"/>
      <c r="AK4081" s="15"/>
      <c r="AL4081" s="15"/>
      <c r="AM4081" s="15"/>
      <c r="AN4081" s="15"/>
      <c r="AO4081" s="15"/>
      <c r="AP4081" s="15"/>
      <c r="AQ4081" s="15"/>
      <c r="AR4081" s="15"/>
      <c r="AS4081" s="15"/>
      <c r="AT4081" s="15"/>
      <c r="AU4081" s="15"/>
      <c r="AV4081" s="15"/>
      <c r="AW4081" s="15"/>
    </row>
    <row r="4082" spans="3:49" x14ac:dyDescent="0.2">
      <c r="C4082" s="15"/>
      <c r="D4082" s="15"/>
      <c r="E4082" s="15"/>
      <c r="F4082" s="15"/>
      <c r="G4082" s="15"/>
      <c r="H4082" s="15"/>
      <c r="I4082" s="15"/>
      <c r="J4082" s="15"/>
      <c r="K4082" s="15"/>
      <c r="L4082" s="28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  <c r="AA4082" s="15"/>
      <c r="AB4082" s="15"/>
      <c r="AC4082" s="15"/>
      <c r="AD4082" s="15"/>
      <c r="AE4082" s="15"/>
      <c r="AF4082" s="15"/>
      <c r="AG4082" s="15"/>
      <c r="AH4082" s="15"/>
      <c r="AI4082" s="15"/>
      <c r="AJ4082" s="15"/>
      <c r="AK4082" s="15"/>
      <c r="AL4082" s="15"/>
      <c r="AM4082" s="15"/>
      <c r="AN4082" s="15"/>
      <c r="AO4082" s="15"/>
      <c r="AP4082" s="15"/>
      <c r="AQ4082" s="15"/>
      <c r="AR4082" s="15"/>
      <c r="AS4082" s="15"/>
      <c r="AT4082" s="15"/>
      <c r="AU4082" s="15"/>
      <c r="AV4082" s="15"/>
      <c r="AW4082" s="15"/>
    </row>
    <row r="4083" spans="3:49" x14ac:dyDescent="0.2">
      <c r="C4083" s="15"/>
      <c r="D4083" s="15"/>
      <c r="E4083" s="15"/>
      <c r="F4083" s="15"/>
      <c r="G4083" s="15"/>
      <c r="H4083" s="15"/>
      <c r="I4083" s="15"/>
      <c r="J4083" s="15"/>
      <c r="K4083" s="15"/>
      <c r="L4083" s="28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  <c r="AA4083" s="15"/>
      <c r="AB4083" s="15"/>
      <c r="AC4083" s="15"/>
      <c r="AD4083" s="15"/>
      <c r="AE4083" s="15"/>
      <c r="AF4083" s="15"/>
      <c r="AG4083" s="15"/>
      <c r="AH4083" s="15"/>
      <c r="AI4083" s="15"/>
      <c r="AJ4083" s="15"/>
      <c r="AK4083" s="15"/>
      <c r="AL4083" s="15"/>
      <c r="AM4083" s="15"/>
      <c r="AN4083" s="15"/>
      <c r="AO4083" s="15"/>
      <c r="AP4083" s="15"/>
      <c r="AQ4083" s="15"/>
      <c r="AR4083" s="15"/>
      <c r="AS4083" s="15"/>
      <c r="AT4083" s="15"/>
      <c r="AU4083" s="15"/>
      <c r="AV4083" s="15"/>
      <c r="AW4083" s="15"/>
    </row>
    <row r="4084" spans="3:49" x14ac:dyDescent="0.2">
      <c r="C4084" s="15"/>
      <c r="D4084" s="15"/>
      <c r="E4084" s="15"/>
      <c r="F4084" s="15"/>
      <c r="G4084" s="15"/>
      <c r="H4084" s="15"/>
      <c r="I4084" s="15"/>
      <c r="J4084" s="15"/>
      <c r="K4084" s="15"/>
      <c r="L4084" s="28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  <c r="AA4084" s="15"/>
      <c r="AB4084" s="15"/>
      <c r="AC4084" s="15"/>
      <c r="AD4084" s="15"/>
      <c r="AE4084" s="15"/>
      <c r="AF4084" s="15"/>
      <c r="AG4084" s="15"/>
      <c r="AH4084" s="15"/>
      <c r="AI4084" s="15"/>
      <c r="AJ4084" s="15"/>
      <c r="AK4084" s="15"/>
      <c r="AL4084" s="15"/>
      <c r="AM4084" s="15"/>
      <c r="AN4084" s="15"/>
      <c r="AO4084" s="15"/>
      <c r="AP4084" s="15"/>
      <c r="AQ4084" s="15"/>
      <c r="AR4084" s="15"/>
      <c r="AS4084" s="15"/>
      <c r="AT4084" s="15"/>
      <c r="AU4084" s="15"/>
      <c r="AV4084" s="15"/>
      <c r="AW4084" s="15"/>
    </row>
    <row r="4085" spans="3:49" x14ac:dyDescent="0.2">
      <c r="C4085" s="15"/>
      <c r="D4085" s="15"/>
      <c r="E4085" s="15"/>
      <c r="F4085" s="15"/>
      <c r="G4085" s="15"/>
      <c r="H4085" s="15"/>
      <c r="I4085" s="15"/>
      <c r="J4085" s="15"/>
      <c r="K4085" s="15"/>
      <c r="L4085" s="28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  <c r="AA4085" s="15"/>
      <c r="AB4085" s="15"/>
      <c r="AC4085" s="15"/>
      <c r="AD4085" s="15"/>
      <c r="AE4085" s="15"/>
      <c r="AF4085" s="15"/>
      <c r="AG4085" s="15"/>
      <c r="AH4085" s="15"/>
      <c r="AI4085" s="15"/>
      <c r="AJ4085" s="15"/>
      <c r="AK4085" s="15"/>
      <c r="AL4085" s="15"/>
      <c r="AM4085" s="15"/>
      <c r="AN4085" s="15"/>
      <c r="AO4085" s="15"/>
      <c r="AP4085" s="15"/>
      <c r="AQ4085" s="15"/>
      <c r="AR4085" s="15"/>
      <c r="AS4085" s="15"/>
      <c r="AT4085" s="15"/>
      <c r="AU4085" s="15"/>
      <c r="AV4085" s="15"/>
      <c r="AW4085" s="15"/>
    </row>
    <row r="4086" spans="3:49" x14ac:dyDescent="0.2">
      <c r="C4086" s="15"/>
      <c r="D4086" s="15"/>
      <c r="E4086" s="15"/>
      <c r="F4086" s="15"/>
      <c r="G4086" s="15"/>
      <c r="H4086" s="15"/>
      <c r="I4086" s="15"/>
      <c r="J4086" s="15"/>
      <c r="K4086" s="15"/>
      <c r="L4086" s="28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  <c r="AA4086" s="15"/>
      <c r="AB4086" s="15"/>
      <c r="AC4086" s="15"/>
      <c r="AD4086" s="15"/>
      <c r="AE4086" s="15"/>
      <c r="AF4086" s="15"/>
      <c r="AG4086" s="15"/>
      <c r="AH4086" s="15"/>
      <c r="AI4086" s="15"/>
      <c r="AJ4086" s="15"/>
      <c r="AK4086" s="15"/>
      <c r="AL4086" s="15"/>
      <c r="AM4086" s="15"/>
      <c r="AN4086" s="15"/>
      <c r="AO4086" s="15"/>
      <c r="AP4086" s="15"/>
      <c r="AQ4086" s="15"/>
      <c r="AR4086" s="15"/>
      <c r="AS4086" s="15"/>
      <c r="AT4086" s="15"/>
      <c r="AU4086" s="15"/>
      <c r="AV4086" s="15"/>
      <c r="AW4086" s="15"/>
    </row>
    <row r="4087" spans="3:49" x14ac:dyDescent="0.2">
      <c r="C4087" s="15"/>
      <c r="D4087" s="15"/>
      <c r="E4087" s="15"/>
      <c r="F4087" s="15"/>
      <c r="G4087" s="15"/>
      <c r="H4087" s="15"/>
      <c r="I4087" s="15"/>
      <c r="J4087" s="15"/>
      <c r="K4087" s="15"/>
      <c r="L4087" s="28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  <c r="AA4087" s="15"/>
      <c r="AB4087" s="15"/>
      <c r="AC4087" s="15"/>
      <c r="AD4087" s="15"/>
      <c r="AE4087" s="15"/>
      <c r="AF4087" s="15"/>
      <c r="AG4087" s="15"/>
      <c r="AH4087" s="15"/>
      <c r="AI4087" s="15"/>
      <c r="AJ4087" s="15"/>
      <c r="AK4087" s="15"/>
      <c r="AL4087" s="15"/>
      <c r="AM4087" s="15"/>
      <c r="AN4087" s="15"/>
      <c r="AO4087" s="15"/>
      <c r="AP4087" s="15"/>
      <c r="AQ4087" s="15"/>
      <c r="AR4087" s="15"/>
      <c r="AS4087" s="15"/>
      <c r="AT4087" s="15"/>
      <c r="AU4087" s="15"/>
      <c r="AV4087" s="15"/>
      <c r="AW4087" s="15"/>
    </row>
    <row r="4088" spans="3:49" x14ac:dyDescent="0.2">
      <c r="C4088" s="15"/>
      <c r="D4088" s="15"/>
      <c r="E4088" s="15"/>
      <c r="F4088" s="15"/>
      <c r="G4088" s="15"/>
      <c r="H4088" s="15"/>
      <c r="I4088" s="15"/>
      <c r="J4088" s="15"/>
      <c r="K4088" s="15"/>
      <c r="L4088" s="28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  <c r="AA4088" s="15"/>
      <c r="AB4088" s="15"/>
      <c r="AC4088" s="15"/>
      <c r="AD4088" s="15"/>
      <c r="AE4088" s="15"/>
      <c r="AF4088" s="15"/>
      <c r="AG4088" s="15"/>
      <c r="AH4088" s="15"/>
      <c r="AI4088" s="15"/>
      <c r="AJ4088" s="15"/>
      <c r="AK4088" s="15"/>
      <c r="AL4088" s="15"/>
      <c r="AM4088" s="15"/>
      <c r="AN4088" s="15"/>
      <c r="AO4088" s="15"/>
      <c r="AP4088" s="15"/>
      <c r="AQ4088" s="15"/>
      <c r="AR4088" s="15"/>
      <c r="AS4088" s="15"/>
      <c r="AT4088" s="15"/>
      <c r="AU4088" s="15"/>
      <c r="AV4088" s="15"/>
      <c r="AW4088" s="15"/>
    </row>
    <row r="4089" spans="3:49" x14ac:dyDescent="0.2">
      <c r="C4089" s="15"/>
      <c r="D4089" s="15"/>
      <c r="E4089" s="15"/>
      <c r="F4089" s="15"/>
      <c r="G4089" s="15"/>
      <c r="H4089" s="15"/>
      <c r="I4089" s="15"/>
      <c r="J4089" s="15"/>
      <c r="K4089" s="15"/>
      <c r="L4089" s="28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  <c r="AA4089" s="15"/>
      <c r="AB4089" s="15"/>
      <c r="AC4089" s="15"/>
      <c r="AD4089" s="15"/>
      <c r="AE4089" s="15"/>
      <c r="AF4089" s="15"/>
      <c r="AG4089" s="15"/>
      <c r="AH4089" s="15"/>
      <c r="AI4089" s="15"/>
      <c r="AJ4089" s="15"/>
      <c r="AK4089" s="15"/>
      <c r="AL4089" s="15"/>
      <c r="AM4089" s="15"/>
      <c r="AN4089" s="15"/>
      <c r="AO4089" s="15"/>
      <c r="AP4089" s="15"/>
      <c r="AQ4089" s="15"/>
      <c r="AR4089" s="15"/>
      <c r="AS4089" s="15"/>
      <c r="AT4089" s="15"/>
      <c r="AU4089" s="15"/>
      <c r="AV4089" s="15"/>
      <c r="AW4089" s="15"/>
    </row>
    <row r="4090" spans="3:49" x14ac:dyDescent="0.2">
      <c r="C4090" s="15"/>
      <c r="D4090" s="15"/>
      <c r="E4090" s="15"/>
      <c r="F4090" s="15"/>
      <c r="G4090" s="15"/>
      <c r="H4090" s="15"/>
      <c r="I4090" s="15"/>
      <c r="J4090" s="15"/>
      <c r="K4090" s="15"/>
      <c r="L4090" s="28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  <c r="AA4090" s="15"/>
      <c r="AB4090" s="15"/>
      <c r="AC4090" s="15"/>
      <c r="AD4090" s="15"/>
      <c r="AE4090" s="15"/>
      <c r="AF4090" s="15"/>
      <c r="AG4090" s="15"/>
      <c r="AH4090" s="15"/>
      <c r="AI4090" s="15"/>
      <c r="AJ4090" s="15"/>
      <c r="AK4090" s="15"/>
      <c r="AL4090" s="15"/>
      <c r="AM4090" s="15"/>
      <c r="AN4090" s="15"/>
      <c r="AO4090" s="15"/>
      <c r="AP4090" s="15"/>
      <c r="AQ4090" s="15"/>
      <c r="AR4090" s="15"/>
      <c r="AS4090" s="15"/>
      <c r="AT4090" s="15"/>
      <c r="AU4090" s="15"/>
      <c r="AV4090" s="15"/>
      <c r="AW4090" s="15"/>
    </row>
    <row r="4091" spans="3:49" x14ac:dyDescent="0.2">
      <c r="C4091" s="15"/>
      <c r="D4091" s="15"/>
      <c r="E4091" s="15"/>
      <c r="F4091" s="15"/>
      <c r="G4091" s="15"/>
      <c r="H4091" s="15"/>
      <c r="I4091" s="15"/>
      <c r="J4091" s="15"/>
      <c r="K4091" s="15"/>
      <c r="L4091" s="28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  <c r="AA4091" s="15"/>
      <c r="AB4091" s="15"/>
      <c r="AC4091" s="15"/>
      <c r="AD4091" s="15"/>
      <c r="AE4091" s="15"/>
      <c r="AF4091" s="15"/>
      <c r="AG4091" s="15"/>
      <c r="AH4091" s="15"/>
      <c r="AI4091" s="15"/>
      <c r="AJ4091" s="15"/>
      <c r="AK4091" s="15"/>
      <c r="AL4091" s="15"/>
      <c r="AM4091" s="15"/>
      <c r="AN4091" s="15"/>
      <c r="AO4091" s="15"/>
      <c r="AP4091" s="15"/>
      <c r="AQ4091" s="15"/>
      <c r="AR4091" s="15"/>
      <c r="AS4091" s="15"/>
      <c r="AT4091" s="15"/>
      <c r="AU4091" s="15"/>
      <c r="AV4091" s="15"/>
      <c r="AW4091" s="15"/>
    </row>
    <row r="4092" spans="3:49" x14ac:dyDescent="0.2">
      <c r="C4092" s="15"/>
      <c r="D4092" s="15"/>
      <c r="E4092" s="15"/>
      <c r="F4092" s="15"/>
      <c r="G4092" s="15"/>
      <c r="H4092" s="15"/>
      <c r="I4092" s="15"/>
      <c r="J4092" s="15"/>
      <c r="K4092" s="15"/>
      <c r="L4092" s="28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  <c r="AA4092" s="15"/>
      <c r="AB4092" s="15"/>
      <c r="AC4092" s="15"/>
      <c r="AD4092" s="15"/>
      <c r="AE4092" s="15"/>
      <c r="AF4092" s="15"/>
      <c r="AG4092" s="15"/>
      <c r="AH4092" s="15"/>
      <c r="AI4092" s="15"/>
      <c r="AJ4092" s="15"/>
      <c r="AK4092" s="15"/>
      <c r="AL4092" s="15"/>
      <c r="AM4092" s="15"/>
      <c r="AN4092" s="15"/>
      <c r="AO4092" s="15"/>
      <c r="AP4092" s="15"/>
      <c r="AQ4092" s="15"/>
      <c r="AR4092" s="15"/>
      <c r="AS4092" s="15"/>
      <c r="AT4092" s="15"/>
      <c r="AU4092" s="15"/>
      <c r="AV4092" s="15"/>
      <c r="AW4092" s="15"/>
    </row>
    <row r="4093" spans="3:49" x14ac:dyDescent="0.2">
      <c r="C4093" s="15"/>
      <c r="D4093" s="15"/>
      <c r="E4093" s="15"/>
      <c r="F4093" s="15"/>
      <c r="G4093" s="15"/>
      <c r="H4093" s="15"/>
      <c r="I4093" s="15"/>
      <c r="J4093" s="15"/>
      <c r="K4093" s="15"/>
      <c r="L4093" s="28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  <c r="AA4093" s="15"/>
      <c r="AB4093" s="15"/>
      <c r="AC4093" s="15"/>
      <c r="AD4093" s="15"/>
      <c r="AE4093" s="15"/>
      <c r="AF4093" s="15"/>
      <c r="AG4093" s="15"/>
      <c r="AH4093" s="15"/>
      <c r="AI4093" s="15"/>
      <c r="AJ4093" s="15"/>
      <c r="AK4093" s="15"/>
      <c r="AL4093" s="15"/>
      <c r="AM4093" s="15"/>
      <c r="AN4093" s="15"/>
      <c r="AO4093" s="15"/>
      <c r="AP4093" s="15"/>
      <c r="AQ4093" s="15"/>
      <c r="AR4093" s="15"/>
      <c r="AS4093" s="15"/>
      <c r="AT4093" s="15"/>
      <c r="AU4093" s="15"/>
      <c r="AV4093" s="15"/>
      <c r="AW4093" s="15"/>
    </row>
    <row r="4094" spans="3:49" x14ac:dyDescent="0.2">
      <c r="C4094" s="15"/>
      <c r="D4094" s="15"/>
      <c r="E4094" s="15"/>
      <c r="F4094" s="15"/>
      <c r="G4094" s="15"/>
      <c r="H4094" s="15"/>
      <c r="I4094" s="15"/>
      <c r="J4094" s="15"/>
      <c r="K4094" s="15"/>
      <c r="L4094" s="28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  <c r="AA4094" s="15"/>
      <c r="AB4094" s="15"/>
      <c r="AC4094" s="15"/>
      <c r="AD4094" s="15"/>
      <c r="AE4094" s="15"/>
      <c r="AF4094" s="15"/>
      <c r="AG4094" s="15"/>
      <c r="AH4094" s="15"/>
      <c r="AI4094" s="15"/>
      <c r="AJ4094" s="15"/>
      <c r="AK4094" s="15"/>
      <c r="AL4094" s="15"/>
      <c r="AM4094" s="15"/>
      <c r="AN4094" s="15"/>
      <c r="AO4094" s="15"/>
      <c r="AP4094" s="15"/>
      <c r="AQ4094" s="15"/>
      <c r="AR4094" s="15"/>
      <c r="AS4094" s="15"/>
      <c r="AT4094" s="15"/>
      <c r="AU4094" s="15"/>
      <c r="AV4094" s="15"/>
      <c r="AW4094" s="15"/>
    </row>
    <row r="4095" spans="3:49" x14ac:dyDescent="0.2">
      <c r="C4095" s="15"/>
      <c r="D4095" s="15"/>
      <c r="E4095" s="15"/>
      <c r="F4095" s="15"/>
      <c r="G4095" s="15"/>
      <c r="H4095" s="15"/>
      <c r="I4095" s="15"/>
      <c r="J4095" s="15"/>
      <c r="K4095" s="15"/>
      <c r="L4095" s="28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  <c r="AA4095" s="15"/>
      <c r="AB4095" s="15"/>
      <c r="AC4095" s="15"/>
      <c r="AD4095" s="15"/>
      <c r="AE4095" s="15"/>
      <c r="AF4095" s="15"/>
      <c r="AG4095" s="15"/>
      <c r="AH4095" s="15"/>
      <c r="AI4095" s="15"/>
      <c r="AJ4095" s="15"/>
      <c r="AK4095" s="15"/>
      <c r="AL4095" s="15"/>
      <c r="AM4095" s="15"/>
      <c r="AN4095" s="15"/>
      <c r="AO4095" s="15"/>
      <c r="AP4095" s="15"/>
      <c r="AQ4095" s="15"/>
      <c r="AR4095" s="15"/>
      <c r="AS4095" s="15"/>
      <c r="AT4095" s="15"/>
      <c r="AU4095" s="15"/>
      <c r="AV4095" s="15"/>
      <c r="AW4095" s="15"/>
    </row>
    <row r="4096" spans="3:49" x14ac:dyDescent="0.2">
      <c r="C4096" s="15"/>
      <c r="D4096" s="15"/>
      <c r="E4096" s="15"/>
      <c r="F4096" s="15"/>
      <c r="G4096" s="15"/>
      <c r="H4096" s="15"/>
      <c r="I4096" s="15"/>
      <c r="J4096" s="15"/>
      <c r="K4096" s="15"/>
      <c r="L4096" s="28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  <c r="AA4096" s="15"/>
      <c r="AB4096" s="15"/>
      <c r="AC4096" s="15"/>
      <c r="AD4096" s="15"/>
      <c r="AE4096" s="15"/>
      <c r="AF4096" s="15"/>
      <c r="AG4096" s="15"/>
      <c r="AH4096" s="15"/>
      <c r="AI4096" s="15"/>
      <c r="AJ4096" s="15"/>
      <c r="AK4096" s="15"/>
      <c r="AL4096" s="15"/>
      <c r="AM4096" s="15"/>
      <c r="AN4096" s="15"/>
      <c r="AO4096" s="15"/>
      <c r="AP4096" s="15"/>
      <c r="AQ4096" s="15"/>
      <c r="AR4096" s="15"/>
      <c r="AS4096" s="15"/>
      <c r="AT4096" s="15"/>
      <c r="AU4096" s="15"/>
      <c r="AV4096" s="15"/>
      <c r="AW4096" s="15"/>
    </row>
    <row r="4097" spans="3:49" x14ac:dyDescent="0.2">
      <c r="C4097" s="15"/>
      <c r="D4097" s="15"/>
      <c r="E4097" s="15"/>
      <c r="F4097" s="15"/>
      <c r="G4097" s="15"/>
      <c r="H4097" s="15"/>
      <c r="I4097" s="15"/>
      <c r="J4097" s="15"/>
      <c r="K4097" s="15"/>
      <c r="L4097" s="28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  <c r="AA4097" s="15"/>
      <c r="AB4097" s="15"/>
      <c r="AC4097" s="15"/>
      <c r="AD4097" s="15"/>
      <c r="AE4097" s="15"/>
      <c r="AF4097" s="15"/>
      <c r="AG4097" s="15"/>
      <c r="AH4097" s="15"/>
      <c r="AI4097" s="15"/>
      <c r="AJ4097" s="15"/>
      <c r="AK4097" s="15"/>
      <c r="AL4097" s="15"/>
      <c r="AM4097" s="15"/>
      <c r="AN4097" s="15"/>
      <c r="AO4097" s="15"/>
      <c r="AP4097" s="15"/>
      <c r="AQ4097" s="15"/>
      <c r="AR4097" s="15"/>
      <c r="AS4097" s="15"/>
      <c r="AT4097" s="15"/>
      <c r="AU4097" s="15"/>
      <c r="AV4097" s="15"/>
      <c r="AW4097" s="15"/>
    </row>
    <row r="4098" spans="3:49" x14ac:dyDescent="0.2">
      <c r="C4098" s="15"/>
      <c r="D4098" s="15"/>
      <c r="E4098" s="15"/>
      <c r="F4098" s="15"/>
      <c r="G4098" s="15"/>
      <c r="H4098" s="15"/>
      <c r="I4098" s="15"/>
      <c r="J4098" s="15"/>
      <c r="K4098" s="15"/>
      <c r="L4098" s="28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  <c r="AA4098" s="15"/>
      <c r="AB4098" s="15"/>
      <c r="AC4098" s="15"/>
      <c r="AD4098" s="15"/>
      <c r="AE4098" s="15"/>
      <c r="AF4098" s="15"/>
      <c r="AG4098" s="15"/>
      <c r="AH4098" s="15"/>
      <c r="AI4098" s="15"/>
      <c r="AJ4098" s="15"/>
      <c r="AK4098" s="15"/>
      <c r="AL4098" s="15"/>
      <c r="AM4098" s="15"/>
      <c r="AN4098" s="15"/>
      <c r="AO4098" s="15"/>
      <c r="AP4098" s="15"/>
      <c r="AQ4098" s="15"/>
      <c r="AR4098" s="15"/>
      <c r="AS4098" s="15"/>
      <c r="AT4098" s="15"/>
      <c r="AU4098" s="15"/>
      <c r="AV4098" s="15"/>
      <c r="AW4098" s="15"/>
    </row>
    <row r="4099" spans="3:49" x14ac:dyDescent="0.2">
      <c r="C4099" s="15"/>
      <c r="D4099" s="15"/>
      <c r="E4099" s="15"/>
      <c r="F4099" s="15"/>
      <c r="G4099" s="15"/>
      <c r="H4099" s="15"/>
      <c r="I4099" s="15"/>
      <c r="J4099" s="15"/>
      <c r="K4099" s="15"/>
      <c r="L4099" s="28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  <c r="AA4099" s="15"/>
      <c r="AB4099" s="15"/>
      <c r="AC4099" s="15"/>
      <c r="AD4099" s="15"/>
      <c r="AE4099" s="15"/>
      <c r="AF4099" s="15"/>
      <c r="AG4099" s="15"/>
      <c r="AH4099" s="15"/>
      <c r="AI4099" s="15"/>
      <c r="AJ4099" s="15"/>
      <c r="AK4099" s="15"/>
      <c r="AL4099" s="15"/>
      <c r="AM4099" s="15"/>
      <c r="AN4099" s="15"/>
      <c r="AO4099" s="15"/>
      <c r="AP4099" s="15"/>
      <c r="AQ4099" s="15"/>
      <c r="AR4099" s="15"/>
      <c r="AS4099" s="15"/>
      <c r="AT4099" s="15"/>
      <c r="AU4099" s="15"/>
      <c r="AV4099" s="15"/>
      <c r="AW4099" s="15"/>
    </row>
    <row r="4100" spans="3:49" x14ac:dyDescent="0.2">
      <c r="C4100" s="15"/>
      <c r="D4100" s="15"/>
      <c r="E4100" s="15"/>
      <c r="F4100" s="15"/>
      <c r="G4100" s="15"/>
      <c r="H4100" s="15"/>
      <c r="I4100" s="15"/>
      <c r="J4100" s="15"/>
      <c r="K4100" s="15"/>
      <c r="L4100" s="28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  <c r="AA4100" s="15"/>
      <c r="AB4100" s="15"/>
      <c r="AC4100" s="15"/>
      <c r="AD4100" s="15"/>
      <c r="AE4100" s="15"/>
      <c r="AF4100" s="15"/>
      <c r="AG4100" s="15"/>
      <c r="AH4100" s="15"/>
      <c r="AI4100" s="15"/>
      <c r="AJ4100" s="15"/>
      <c r="AK4100" s="15"/>
      <c r="AL4100" s="15"/>
      <c r="AM4100" s="15"/>
      <c r="AN4100" s="15"/>
      <c r="AO4100" s="15"/>
      <c r="AP4100" s="15"/>
      <c r="AQ4100" s="15"/>
      <c r="AR4100" s="15"/>
      <c r="AS4100" s="15"/>
      <c r="AT4100" s="15"/>
      <c r="AU4100" s="15"/>
      <c r="AV4100" s="15"/>
      <c r="AW4100" s="15"/>
    </row>
    <row r="4101" spans="3:49" x14ac:dyDescent="0.2">
      <c r="C4101" s="15"/>
      <c r="D4101" s="15"/>
      <c r="E4101" s="15"/>
      <c r="F4101" s="15"/>
      <c r="G4101" s="15"/>
      <c r="H4101" s="15"/>
      <c r="I4101" s="15"/>
      <c r="J4101" s="15"/>
      <c r="K4101" s="15"/>
      <c r="L4101" s="28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  <c r="AA4101" s="15"/>
      <c r="AB4101" s="15"/>
      <c r="AC4101" s="15"/>
      <c r="AD4101" s="15"/>
      <c r="AE4101" s="15"/>
      <c r="AF4101" s="15"/>
      <c r="AG4101" s="15"/>
      <c r="AH4101" s="15"/>
      <c r="AI4101" s="15"/>
      <c r="AJ4101" s="15"/>
      <c r="AK4101" s="15"/>
      <c r="AL4101" s="15"/>
      <c r="AM4101" s="15"/>
      <c r="AN4101" s="15"/>
      <c r="AO4101" s="15"/>
      <c r="AP4101" s="15"/>
      <c r="AQ4101" s="15"/>
      <c r="AR4101" s="15"/>
      <c r="AS4101" s="15"/>
      <c r="AT4101" s="15"/>
      <c r="AU4101" s="15"/>
      <c r="AV4101" s="15"/>
      <c r="AW4101" s="15"/>
    </row>
    <row r="4102" spans="3:49" x14ac:dyDescent="0.2">
      <c r="C4102" s="15"/>
      <c r="D4102" s="15"/>
      <c r="E4102" s="15"/>
      <c r="F4102" s="15"/>
      <c r="G4102" s="15"/>
      <c r="H4102" s="15"/>
      <c r="I4102" s="15"/>
      <c r="J4102" s="15"/>
      <c r="K4102" s="15"/>
      <c r="L4102" s="28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  <c r="AA4102" s="15"/>
      <c r="AB4102" s="15"/>
      <c r="AC4102" s="15"/>
      <c r="AD4102" s="15"/>
      <c r="AE4102" s="15"/>
      <c r="AF4102" s="15"/>
      <c r="AG4102" s="15"/>
      <c r="AH4102" s="15"/>
      <c r="AI4102" s="15"/>
      <c r="AJ4102" s="15"/>
      <c r="AK4102" s="15"/>
      <c r="AL4102" s="15"/>
      <c r="AM4102" s="15"/>
      <c r="AN4102" s="15"/>
      <c r="AO4102" s="15"/>
      <c r="AP4102" s="15"/>
      <c r="AQ4102" s="15"/>
      <c r="AR4102" s="15"/>
      <c r="AS4102" s="15"/>
      <c r="AT4102" s="15"/>
      <c r="AU4102" s="15"/>
      <c r="AV4102" s="15"/>
      <c r="AW4102" s="15"/>
    </row>
    <row r="4103" spans="3:49" x14ac:dyDescent="0.2">
      <c r="C4103" s="15"/>
      <c r="D4103" s="15"/>
      <c r="E4103" s="15"/>
      <c r="F4103" s="15"/>
      <c r="G4103" s="15"/>
      <c r="H4103" s="15"/>
      <c r="I4103" s="15"/>
      <c r="J4103" s="15"/>
      <c r="K4103" s="15"/>
      <c r="L4103" s="28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  <c r="AA4103" s="15"/>
      <c r="AB4103" s="15"/>
      <c r="AC4103" s="15"/>
      <c r="AD4103" s="15"/>
      <c r="AE4103" s="15"/>
      <c r="AF4103" s="15"/>
      <c r="AG4103" s="15"/>
      <c r="AH4103" s="15"/>
      <c r="AI4103" s="15"/>
      <c r="AJ4103" s="15"/>
      <c r="AK4103" s="15"/>
      <c r="AL4103" s="15"/>
      <c r="AM4103" s="15"/>
      <c r="AN4103" s="15"/>
      <c r="AO4103" s="15"/>
      <c r="AP4103" s="15"/>
      <c r="AQ4103" s="15"/>
      <c r="AR4103" s="15"/>
      <c r="AS4103" s="15"/>
      <c r="AT4103" s="15"/>
      <c r="AU4103" s="15"/>
      <c r="AV4103" s="15"/>
      <c r="AW4103" s="15"/>
    </row>
    <row r="4104" spans="3:49" x14ac:dyDescent="0.2">
      <c r="C4104" s="15"/>
      <c r="D4104" s="15"/>
      <c r="E4104" s="15"/>
      <c r="F4104" s="15"/>
      <c r="G4104" s="15"/>
      <c r="H4104" s="15"/>
      <c r="I4104" s="15"/>
      <c r="J4104" s="15"/>
      <c r="K4104" s="15"/>
      <c r="L4104" s="28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  <c r="AA4104" s="15"/>
      <c r="AB4104" s="15"/>
      <c r="AC4104" s="15"/>
      <c r="AD4104" s="15"/>
      <c r="AE4104" s="15"/>
      <c r="AF4104" s="15"/>
      <c r="AG4104" s="15"/>
      <c r="AH4104" s="15"/>
      <c r="AI4104" s="15"/>
      <c r="AJ4104" s="15"/>
      <c r="AK4104" s="15"/>
      <c r="AL4104" s="15"/>
      <c r="AM4104" s="15"/>
      <c r="AN4104" s="15"/>
      <c r="AO4104" s="15"/>
      <c r="AP4104" s="15"/>
      <c r="AQ4104" s="15"/>
      <c r="AR4104" s="15"/>
      <c r="AS4104" s="15"/>
      <c r="AT4104" s="15"/>
      <c r="AU4104" s="15"/>
      <c r="AV4104" s="15"/>
      <c r="AW4104" s="15"/>
    </row>
    <row r="4105" spans="3:49" x14ac:dyDescent="0.2">
      <c r="C4105" s="15"/>
      <c r="D4105" s="15"/>
      <c r="E4105" s="15"/>
      <c r="F4105" s="15"/>
      <c r="G4105" s="15"/>
      <c r="H4105" s="15"/>
      <c r="I4105" s="15"/>
      <c r="J4105" s="15"/>
      <c r="K4105" s="15"/>
      <c r="L4105" s="28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  <c r="AA4105" s="15"/>
      <c r="AB4105" s="15"/>
      <c r="AC4105" s="15"/>
      <c r="AD4105" s="15"/>
      <c r="AE4105" s="15"/>
      <c r="AF4105" s="15"/>
      <c r="AG4105" s="15"/>
      <c r="AH4105" s="15"/>
      <c r="AI4105" s="15"/>
      <c r="AJ4105" s="15"/>
      <c r="AK4105" s="15"/>
      <c r="AL4105" s="15"/>
      <c r="AM4105" s="15"/>
      <c r="AN4105" s="15"/>
      <c r="AO4105" s="15"/>
      <c r="AP4105" s="15"/>
      <c r="AQ4105" s="15"/>
      <c r="AR4105" s="15"/>
      <c r="AS4105" s="15"/>
      <c r="AT4105" s="15"/>
      <c r="AU4105" s="15"/>
      <c r="AV4105" s="15"/>
      <c r="AW4105" s="15"/>
    </row>
    <row r="4106" spans="3:49" x14ac:dyDescent="0.2">
      <c r="C4106" s="15"/>
      <c r="D4106" s="15"/>
      <c r="E4106" s="15"/>
      <c r="F4106" s="15"/>
      <c r="G4106" s="15"/>
      <c r="H4106" s="15"/>
      <c r="I4106" s="15"/>
      <c r="J4106" s="15"/>
      <c r="K4106" s="15"/>
      <c r="L4106" s="28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  <c r="AA4106" s="15"/>
      <c r="AB4106" s="15"/>
      <c r="AC4106" s="15"/>
      <c r="AD4106" s="15"/>
      <c r="AE4106" s="15"/>
      <c r="AF4106" s="15"/>
      <c r="AG4106" s="15"/>
      <c r="AH4106" s="15"/>
      <c r="AI4106" s="15"/>
      <c r="AJ4106" s="15"/>
      <c r="AK4106" s="15"/>
      <c r="AL4106" s="15"/>
      <c r="AM4106" s="15"/>
      <c r="AN4106" s="15"/>
      <c r="AO4106" s="15"/>
      <c r="AP4106" s="15"/>
      <c r="AQ4106" s="15"/>
      <c r="AR4106" s="15"/>
      <c r="AS4106" s="15"/>
      <c r="AT4106" s="15"/>
      <c r="AU4106" s="15"/>
      <c r="AV4106" s="15"/>
      <c r="AW4106" s="15"/>
    </row>
    <row r="4107" spans="3:49" x14ac:dyDescent="0.2">
      <c r="C4107" s="15"/>
      <c r="D4107" s="15"/>
      <c r="E4107" s="15"/>
      <c r="F4107" s="15"/>
      <c r="G4107" s="15"/>
      <c r="H4107" s="15"/>
      <c r="I4107" s="15"/>
      <c r="J4107" s="15"/>
      <c r="K4107" s="15"/>
      <c r="L4107" s="28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  <c r="AA4107" s="15"/>
      <c r="AB4107" s="15"/>
      <c r="AC4107" s="15"/>
      <c r="AD4107" s="15"/>
      <c r="AE4107" s="15"/>
      <c r="AF4107" s="15"/>
      <c r="AG4107" s="15"/>
      <c r="AH4107" s="15"/>
      <c r="AI4107" s="15"/>
      <c r="AJ4107" s="15"/>
      <c r="AK4107" s="15"/>
      <c r="AL4107" s="15"/>
      <c r="AM4107" s="15"/>
      <c r="AN4107" s="15"/>
      <c r="AO4107" s="15"/>
      <c r="AP4107" s="15"/>
      <c r="AQ4107" s="15"/>
      <c r="AR4107" s="15"/>
      <c r="AS4107" s="15"/>
      <c r="AT4107" s="15"/>
      <c r="AU4107" s="15"/>
      <c r="AV4107" s="15"/>
      <c r="AW4107" s="15"/>
    </row>
    <row r="4108" spans="3:49" x14ac:dyDescent="0.2">
      <c r="C4108" s="15"/>
      <c r="D4108" s="15"/>
      <c r="E4108" s="15"/>
      <c r="F4108" s="15"/>
      <c r="G4108" s="15"/>
      <c r="H4108" s="15"/>
      <c r="I4108" s="15"/>
      <c r="J4108" s="15"/>
      <c r="K4108" s="15"/>
      <c r="L4108" s="28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  <c r="AA4108" s="15"/>
      <c r="AB4108" s="15"/>
      <c r="AC4108" s="15"/>
      <c r="AD4108" s="15"/>
      <c r="AE4108" s="15"/>
      <c r="AF4108" s="15"/>
      <c r="AG4108" s="15"/>
      <c r="AH4108" s="15"/>
      <c r="AI4108" s="15"/>
      <c r="AJ4108" s="15"/>
      <c r="AK4108" s="15"/>
      <c r="AL4108" s="15"/>
      <c r="AM4108" s="15"/>
      <c r="AN4108" s="15"/>
      <c r="AO4108" s="15"/>
      <c r="AP4108" s="15"/>
      <c r="AQ4108" s="15"/>
      <c r="AR4108" s="15"/>
      <c r="AS4108" s="15"/>
      <c r="AT4108" s="15"/>
      <c r="AU4108" s="15"/>
      <c r="AV4108" s="15"/>
      <c r="AW4108" s="15"/>
    </row>
    <row r="4109" spans="3:49" x14ac:dyDescent="0.2">
      <c r="C4109" s="15"/>
      <c r="D4109" s="15"/>
      <c r="E4109" s="15"/>
      <c r="F4109" s="15"/>
      <c r="G4109" s="15"/>
      <c r="H4109" s="15"/>
      <c r="I4109" s="15"/>
      <c r="J4109" s="15"/>
      <c r="K4109" s="15"/>
      <c r="L4109" s="28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  <c r="AA4109" s="15"/>
      <c r="AB4109" s="15"/>
      <c r="AC4109" s="15"/>
      <c r="AD4109" s="15"/>
      <c r="AE4109" s="15"/>
      <c r="AF4109" s="15"/>
      <c r="AG4109" s="15"/>
      <c r="AH4109" s="15"/>
      <c r="AI4109" s="15"/>
      <c r="AJ4109" s="15"/>
      <c r="AK4109" s="15"/>
      <c r="AL4109" s="15"/>
      <c r="AM4109" s="15"/>
      <c r="AN4109" s="15"/>
      <c r="AO4109" s="15"/>
      <c r="AP4109" s="15"/>
      <c r="AQ4109" s="15"/>
      <c r="AR4109" s="15"/>
      <c r="AS4109" s="15"/>
      <c r="AT4109" s="15"/>
      <c r="AU4109" s="15"/>
      <c r="AV4109" s="15"/>
      <c r="AW4109" s="15"/>
    </row>
    <row r="4110" spans="3:49" x14ac:dyDescent="0.2">
      <c r="C4110" s="15"/>
      <c r="D4110" s="15"/>
      <c r="E4110" s="15"/>
      <c r="F4110" s="15"/>
      <c r="G4110" s="15"/>
      <c r="H4110" s="15"/>
      <c r="I4110" s="15"/>
      <c r="J4110" s="15"/>
      <c r="K4110" s="15"/>
      <c r="L4110" s="28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  <c r="AA4110" s="15"/>
      <c r="AB4110" s="15"/>
      <c r="AC4110" s="15"/>
      <c r="AD4110" s="15"/>
      <c r="AE4110" s="15"/>
      <c r="AF4110" s="15"/>
      <c r="AG4110" s="15"/>
      <c r="AH4110" s="15"/>
      <c r="AI4110" s="15"/>
      <c r="AJ4110" s="15"/>
      <c r="AK4110" s="15"/>
      <c r="AL4110" s="15"/>
      <c r="AM4110" s="15"/>
      <c r="AN4110" s="15"/>
      <c r="AO4110" s="15"/>
      <c r="AP4110" s="15"/>
      <c r="AQ4110" s="15"/>
      <c r="AR4110" s="15"/>
      <c r="AS4110" s="15"/>
      <c r="AT4110" s="15"/>
      <c r="AU4110" s="15"/>
      <c r="AV4110" s="15"/>
      <c r="AW4110" s="15"/>
    </row>
    <row r="4111" spans="3:49" x14ac:dyDescent="0.2">
      <c r="C4111" s="15"/>
      <c r="D4111" s="15"/>
      <c r="E4111" s="15"/>
      <c r="F4111" s="15"/>
      <c r="G4111" s="15"/>
      <c r="H4111" s="15"/>
      <c r="I4111" s="15"/>
      <c r="J4111" s="15"/>
      <c r="K4111" s="15"/>
      <c r="L4111" s="28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  <c r="AA4111" s="15"/>
      <c r="AB4111" s="15"/>
      <c r="AC4111" s="15"/>
      <c r="AD4111" s="15"/>
      <c r="AE4111" s="15"/>
      <c r="AF4111" s="15"/>
      <c r="AG4111" s="15"/>
      <c r="AH4111" s="15"/>
      <c r="AI4111" s="15"/>
      <c r="AJ4111" s="15"/>
      <c r="AK4111" s="15"/>
      <c r="AL4111" s="15"/>
      <c r="AM4111" s="15"/>
      <c r="AN4111" s="15"/>
      <c r="AO4111" s="15"/>
      <c r="AP4111" s="15"/>
      <c r="AQ4111" s="15"/>
      <c r="AR4111" s="15"/>
      <c r="AS4111" s="15"/>
      <c r="AT4111" s="15"/>
      <c r="AU4111" s="15"/>
      <c r="AV4111" s="15"/>
      <c r="AW4111" s="15"/>
    </row>
    <row r="4112" spans="3:49" x14ac:dyDescent="0.2">
      <c r="C4112" s="15"/>
      <c r="D4112" s="15"/>
      <c r="E4112" s="15"/>
      <c r="F4112" s="15"/>
      <c r="G4112" s="15"/>
      <c r="H4112" s="15"/>
      <c r="I4112" s="15"/>
      <c r="J4112" s="15"/>
      <c r="K4112" s="15"/>
      <c r="L4112" s="28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  <c r="AA4112" s="15"/>
      <c r="AB4112" s="15"/>
      <c r="AC4112" s="15"/>
      <c r="AD4112" s="15"/>
      <c r="AE4112" s="15"/>
      <c r="AF4112" s="15"/>
      <c r="AG4112" s="15"/>
      <c r="AH4112" s="15"/>
      <c r="AI4112" s="15"/>
      <c r="AJ4112" s="15"/>
      <c r="AK4112" s="15"/>
      <c r="AL4112" s="15"/>
      <c r="AM4112" s="15"/>
      <c r="AN4112" s="15"/>
      <c r="AO4112" s="15"/>
      <c r="AP4112" s="15"/>
      <c r="AQ4112" s="15"/>
      <c r="AR4112" s="15"/>
      <c r="AS4112" s="15"/>
      <c r="AT4112" s="15"/>
      <c r="AU4112" s="15"/>
      <c r="AV4112" s="15"/>
      <c r="AW4112" s="15"/>
    </row>
    <row r="4113" spans="3:49" x14ac:dyDescent="0.2">
      <c r="C4113" s="15"/>
      <c r="D4113" s="15"/>
      <c r="E4113" s="15"/>
      <c r="F4113" s="15"/>
      <c r="G4113" s="15"/>
      <c r="H4113" s="15"/>
      <c r="I4113" s="15"/>
      <c r="J4113" s="15"/>
      <c r="K4113" s="15"/>
      <c r="L4113" s="28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  <c r="AA4113" s="15"/>
      <c r="AB4113" s="15"/>
      <c r="AC4113" s="15"/>
      <c r="AD4113" s="15"/>
      <c r="AE4113" s="15"/>
      <c r="AF4113" s="15"/>
      <c r="AG4113" s="15"/>
      <c r="AH4113" s="15"/>
      <c r="AI4113" s="15"/>
      <c r="AJ4113" s="15"/>
      <c r="AK4113" s="15"/>
      <c r="AL4113" s="15"/>
      <c r="AM4113" s="15"/>
      <c r="AN4113" s="15"/>
      <c r="AO4113" s="15"/>
      <c r="AP4113" s="15"/>
      <c r="AQ4113" s="15"/>
      <c r="AR4113" s="15"/>
      <c r="AS4113" s="15"/>
      <c r="AT4113" s="15"/>
      <c r="AU4113" s="15"/>
      <c r="AV4113" s="15"/>
      <c r="AW4113" s="15"/>
    </row>
    <row r="4114" spans="3:49" x14ac:dyDescent="0.2">
      <c r="C4114" s="15"/>
      <c r="D4114" s="15"/>
      <c r="E4114" s="15"/>
      <c r="F4114" s="15"/>
      <c r="G4114" s="15"/>
      <c r="H4114" s="15"/>
      <c r="I4114" s="15"/>
      <c r="J4114" s="15"/>
      <c r="K4114" s="15"/>
      <c r="L4114" s="28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  <c r="AA4114" s="15"/>
      <c r="AB4114" s="15"/>
      <c r="AC4114" s="15"/>
      <c r="AD4114" s="15"/>
      <c r="AE4114" s="15"/>
      <c r="AF4114" s="15"/>
      <c r="AG4114" s="15"/>
      <c r="AH4114" s="15"/>
      <c r="AI4114" s="15"/>
      <c r="AJ4114" s="15"/>
      <c r="AK4114" s="15"/>
      <c r="AL4114" s="15"/>
      <c r="AM4114" s="15"/>
      <c r="AN4114" s="15"/>
      <c r="AO4114" s="15"/>
      <c r="AP4114" s="15"/>
      <c r="AQ4114" s="15"/>
      <c r="AR4114" s="15"/>
      <c r="AS4114" s="15"/>
      <c r="AT4114" s="15"/>
      <c r="AU4114" s="15"/>
      <c r="AV4114" s="15"/>
      <c r="AW4114" s="15"/>
    </row>
    <row r="4115" spans="3:49" x14ac:dyDescent="0.2">
      <c r="C4115" s="15"/>
      <c r="D4115" s="15"/>
      <c r="E4115" s="15"/>
      <c r="F4115" s="15"/>
      <c r="G4115" s="15"/>
      <c r="H4115" s="15"/>
      <c r="I4115" s="15"/>
      <c r="J4115" s="15"/>
      <c r="K4115" s="15"/>
      <c r="L4115" s="28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  <c r="AA4115" s="15"/>
      <c r="AB4115" s="15"/>
      <c r="AC4115" s="15"/>
      <c r="AD4115" s="15"/>
      <c r="AE4115" s="15"/>
      <c r="AF4115" s="15"/>
      <c r="AG4115" s="15"/>
      <c r="AH4115" s="15"/>
      <c r="AI4115" s="15"/>
      <c r="AJ4115" s="15"/>
      <c r="AK4115" s="15"/>
      <c r="AL4115" s="15"/>
      <c r="AM4115" s="15"/>
      <c r="AN4115" s="15"/>
      <c r="AO4115" s="15"/>
      <c r="AP4115" s="15"/>
      <c r="AQ4115" s="15"/>
      <c r="AR4115" s="15"/>
      <c r="AS4115" s="15"/>
      <c r="AT4115" s="15"/>
      <c r="AU4115" s="15"/>
      <c r="AV4115" s="15"/>
      <c r="AW4115" s="15"/>
    </row>
    <row r="4116" spans="3:49" x14ac:dyDescent="0.2">
      <c r="C4116" s="15"/>
      <c r="D4116" s="15"/>
      <c r="E4116" s="15"/>
      <c r="F4116" s="15"/>
      <c r="G4116" s="15"/>
      <c r="H4116" s="15"/>
      <c r="I4116" s="15"/>
      <c r="J4116" s="15"/>
      <c r="K4116" s="15"/>
      <c r="L4116" s="28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  <c r="AA4116" s="15"/>
      <c r="AB4116" s="15"/>
      <c r="AC4116" s="15"/>
      <c r="AD4116" s="15"/>
      <c r="AE4116" s="15"/>
      <c r="AF4116" s="15"/>
      <c r="AG4116" s="15"/>
      <c r="AH4116" s="15"/>
      <c r="AI4116" s="15"/>
      <c r="AJ4116" s="15"/>
      <c r="AK4116" s="15"/>
      <c r="AL4116" s="15"/>
      <c r="AM4116" s="15"/>
      <c r="AN4116" s="15"/>
      <c r="AO4116" s="15"/>
      <c r="AP4116" s="15"/>
      <c r="AQ4116" s="15"/>
      <c r="AR4116" s="15"/>
      <c r="AS4116" s="15"/>
      <c r="AT4116" s="15"/>
      <c r="AU4116" s="15"/>
      <c r="AV4116" s="15"/>
      <c r="AW4116" s="15"/>
    </row>
    <row r="4117" spans="3:49" x14ac:dyDescent="0.2">
      <c r="C4117" s="15"/>
      <c r="D4117" s="15"/>
      <c r="E4117" s="15"/>
      <c r="F4117" s="15"/>
      <c r="G4117" s="15"/>
      <c r="H4117" s="15"/>
      <c r="I4117" s="15"/>
      <c r="J4117" s="15"/>
      <c r="K4117" s="15"/>
      <c r="L4117" s="28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  <c r="AA4117" s="15"/>
      <c r="AB4117" s="15"/>
      <c r="AC4117" s="15"/>
      <c r="AD4117" s="15"/>
      <c r="AE4117" s="15"/>
      <c r="AF4117" s="15"/>
      <c r="AG4117" s="15"/>
      <c r="AH4117" s="15"/>
      <c r="AI4117" s="15"/>
      <c r="AJ4117" s="15"/>
      <c r="AK4117" s="15"/>
      <c r="AL4117" s="15"/>
      <c r="AM4117" s="15"/>
      <c r="AN4117" s="15"/>
      <c r="AO4117" s="15"/>
      <c r="AP4117" s="15"/>
      <c r="AQ4117" s="15"/>
      <c r="AR4117" s="15"/>
      <c r="AS4117" s="15"/>
      <c r="AT4117" s="15"/>
      <c r="AU4117" s="15"/>
      <c r="AV4117" s="15"/>
      <c r="AW4117" s="15"/>
    </row>
    <row r="4118" spans="3:49" x14ac:dyDescent="0.2">
      <c r="C4118" s="15"/>
      <c r="D4118" s="15"/>
      <c r="E4118" s="15"/>
      <c r="F4118" s="15"/>
      <c r="G4118" s="15"/>
      <c r="H4118" s="15"/>
      <c r="I4118" s="15"/>
      <c r="J4118" s="15"/>
      <c r="K4118" s="15"/>
      <c r="L4118" s="28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  <c r="AA4118" s="15"/>
      <c r="AB4118" s="15"/>
      <c r="AC4118" s="15"/>
      <c r="AD4118" s="15"/>
      <c r="AE4118" s="15"/>
      <c r="AF4118" s="15"/>
      <c r="AG4118" s="15"/>
      <c r="AH4118" s="15"/>
      <c r="AI4118" s="15"/>
      <c r="AJ4118" s="15"/>
      <c r="AK4118" s="15"/>
      <c r="AL4118" s="15"/>
      <c r="AM4118" s="15"/>
      <c r="AN4118" s="15"/>
      <c r="AO4118" s="15"/>
      <c r="AP4118" s="15"/>
      <c r="AQ4118" s="15"/>
      <c r="AR4118" s="15"/>
      <c r="AS4118" s="15"/>
      <c r="AT4118" s="15"/>
      <c r="AU4118" s="15"/>
      <c r="AV4118" s="15"/>
      <c r="AW4118" s="15"/>
    </row>
    <row r="4119" spans="3:49" x14ac:dyDescent="0.2">
      <c r="C4119" s="15"/>
      <c r="D4119" s="15"/>
      <c r="E4119" s="15"/>
      <c r="F4119" s="15"/>
      <c r="G4119" s="15"/>
      <c r="H4119" s="15"/>
      <c r="I4119" s="15"/>
      <c r="J4119" s="15"/>
      <c r="K4119" s="15"/>
      <c r="L4119" s="28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  <c r="AA4119" s="15"/>
      <c r="AB4119" s="15"/>
      <c r="AC4119" s="15"/>
      <c r="AD4119" s="15"/>
      <c r="AE4119" s="15"/>
      <c r="AF4119" s="15"/>
      <c r="AG4119" s="15"/>
      <c r="AH4119" s="15"/>
      <c r="AI4119" s="15"/>
      <c r="AJ4119" s="15"/>
      <c r="AK4119" s="15"/>
      <c r="AL4119" s="15"/>
      <c r="AM4119" s="15"/>
      <c r="AN4119" s="15"/>
      <c r="AO4119" s="15"/>
      <c r="AP4119" s="15"/>
      <c r="AQ4119" s="15"/>
      <c r="AR4119" s="15"/>
      <c r="AS4119" s="15"/>
      <c r="AT4119" s="15"/>
      <c r="AU4119" s="15"/>
      <c r="AV4119" s="15"/>
      <c r="AW4119" s="15"/>
    </row>
    <row r="4120" spans="3:49" x14ac:dyDescent="0.2">
      <c r="C4120" s="15"/>
      <c r="D4120" s="15"/>
      <c r="E4120" s="15"/>
      <c r="F4120" s="15"/>
      <c r="G4120" s="15"/>
      <c r="H4120" s="15"/>
      <c r="I4120" s="15"/>
      <c r="J4120" s="15"/>
      <c r="K4120" s="15"/>
      <c r="L4120" s="28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  <c r="AA4120" s="15"/>
      <c r="AB4120" s="15"/>
      <c r="AC4120" s="15"/>
      <c r="AD4120" s="15"/>
      <c r="AE4120" s="15"/>
      <c r="AF4120" s="15"/>
      <c r="AG4120" s="15"/>
      <c r="AH4120" s="15"/>
      <c r="AI4120" s="15"/>
      <c r="AJ4120" s="15"/>
      <c r="AK4120" s="15"/>
      <c r="AL4120" s="15"/>
      <c r="AM4120" s="15"/>
      <c r="AN4120" s="15"/>
      <c r="AO4120" s="15"/>
      <c r="AP4120" s="15"/>
      <c r="AQ4120" s="15"/>
      <c r="AR4120" s="15"/>
      <c r="AS4120" s="15"/>
      <c r="AT4120" s="15"/>
      <c r="AU4120" s="15"/>
      <c r="AV4120" s="15"/>
      <c r="AW4120" s="15"/>
    </row>
    <row r="4121" spans="3:49" x14ac:dyDescent="0.2">
      <c r="C4121" s="15"/>
      <c r="D4121" s="15"/>
      <c r="E4121" s="15"/>
      <c r="F4121" s="15"/>
      <c r="G4121" s="15"/>
      <c r="H4121" s="15"/>
      <c r="I4121" s="15"/>
      <c r="J4121" s="15"/>
      <c r="K4121" s="15"/>
      <c r="L4121" s="28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  <c r="AA4121" s="15"/>
      <c r="AB4121" s="15"/>
      <c r="AC4121" s="15"/>
      <c r="AD4121" s="15"/>
      <c r="AE4121" s="15"/>
      <c r="AF4121" s="15"/>
      <c r="AG4121" s="15"/>
      <c r="AH4121" s="15"/>
      <c r="AI4121" s="15"/>
      <c r="AJ4121" s="15"/>
      <c r="AK4121" s="15"/>
      <c r="AL4121" s="15"/>
      <c r="AM4121" s="15"/>
      <c r="AN4121" s="15"/>
      <c r="AO4121" s="15"/>
      <c r="AP4121" s="15"/>
      <c r="AQ4121" s="15"/>
      <c r="AR4121" s="15"/>
      <c r="AS4121" s="15"/>
      <c r="AT4121" s="15"/>
      <c r="AU4121" s="15"/>
      <c r="AV4121" s="15"/>
      <c r="AW4121" s="15"/>
    </row>
    <row r="4122" spans="3:49" x14ac:dyDescent="0.2">
      <c r="C4122" s="15"/>
      <c r="D4122" s="15"/>
      <c r="E4122" s="15"/>
      <c r="F4122" s="15"/>
      <c r="G4122" s="15"/>
      <c r="H4122" s="15"/>
      <c r="I4122" s="15"/>
      <c r="J4122" s="15"/>
      <c r="K4122" s="15"/>
      <c r="L4122" s="28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  <c r="AA4122" s="15"/>
      <c r="AB4122" s="15"/>
      <c r="AC4122" s="15"/>
      <c r="AD4122" s="15"/>
      <c r="AE4122" s="15"/>
      <c r="AF4122" s="15"/>
      <c r="AG4122" s="15"/>
      <c r="AH4122" s="15"/>
      <c r="AI4122" s="15"/>
      <c r="AJ4122" s="15"/>
      <c r="AK4122" s="15"/>
      <c r="AL4122" s="15"/>
      <c r="AM4122" s="15"/>
      <c r="AN4122" s="15"/>
      <c r="AO4122" s="15"/>
      <c r="AP4122" s="15"/>
      <c r="AQ4122" s="15"/>
      <c r="AR4122" s="15"/>
      <c r="AS4122" s="15"/>
      <c r="AT4122" s="15"/>
      <c r="AU4122" s="15"/>
      <c r="AV4122" s="15"/>
      <c r="AW4122" s="15"/>
    </row>
    <row r="4123" spans="3:49" x14ac:dyDescent="0.2">
      <c r="C4123" s="15"/>
      <c r="D4123" s="15"/>
      <c r="E4123" s="15"/>
      <c r="F4123" s="15"/>
      <c r="G4123" s="15"/>
      <c r="H4123" s="15"/>
      <c r="I4123" s="15"/>
      <c r="J4123" s="15"/>
      <c r="K4123" s="15"/>
      <c r="L4123" s="28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  <c r="AA4123" s="15"/>
      <c r="AB4123" s="15"/>
      <c r="AC4123" s="15"/>
      <c r="AD4123" s="15"/>
      <c r="AE4123" s="15"/>
      <c r="AF4123" s="15"/>
      <c r="AG4123" s="15"/>
      <c r="AH4123" s="15"/>
      <c r="AI4123" s="15"/>
      <c r="AJ4123" s="15"/>
      <c r="AK4123" s="15"/>
      <c r="AL4123" s="15"/>
      <c r="AM4123" s="15"/>
      <c r="AN4123" s="15"/>
      <c r="AO4123" s="15"/>
      <c r="AP4123" s="15"/>
      <c r="AQ4123" s="15"/>
      <c r="AR4123" s="15"/>
      <c r="AS4123" s="15"/>
      <c r="AT4123" s="15"/>
      <c r="AU4123" s="15"/>
      <c r="AV4123" s="15"/>
      <c r="AW4123" s="15"/>
    </row>
    <row r="4124" spans="3:49" x14ac:dyDescent="0.2">
      <c r="C4124" s="15"/>
      <c r="D4124" s="15"/>
      <c r="E4124" s="15"/>
      <c r="F4124" s="15"/>
      <c r="G4124" s="15"/>
      <c r="H4124" s="15"/>
      <c r="I4124" s="15"/>
      <c r="J4124" s="15"/>
      <c r="K4124" s="15"/>
      <c r="L4124" s="28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  <c r="AA4124" s="15"/>
      <c r="AB4124" s="15"/>
      <c r="AC4124" s="15"/>
      <c r="AD4124" s="15"/>
      <c r="AE4124" s="15"/>
      <c r="AF4124" s="15"/>
      <c r="AG4124" s="15"/>
      <c r="AH4124" s="15"/>
      <c r="AI4124" s="15"/>
      <c r="AJ4124" s="15"/>
      <c r="AK4124" s="15"/>
      <c r="AL4124" s="15"/>
      <c r="AM4124" s="15"/>
      <c r="AN4124" s="15"/>
      <c r="AO4124" s="15"/>
      <c r="AP4124" s="15"/>
      <c r="AQ4124" s="15"/>
      <c r="AR4124" s="15"/>
      <c r="AS4124" s="15"/>
      <c r="AT4124" s="15"/>
      <c r="AU4124" s="15"/>
      <c r="AV4124" s="15"/>
      <c r="AW4124" s="15"/>
    </row>
    <row r="4125" spans="3:49" x14ac:dyDescent="0.2">
      <c r="C4125" s="15"/>
      <c r="D4125" s="15"/>
      <c r="E4125" s="15"/>
      <c r="F4125" s="15"/>
      <c r="G4125" s="15"/>
      <c r="H4125" s="15"/>
      <c r="I4125" s="15"/>
      <c r="J4125" s="15"/>
      <c r="K4125" s="15"/>
      <c r="L4125" s="28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  <c r="AA4125" s="15"/>
      <c r="AB4125" s="15"/>
      <c r="AC4125" s="15"/>
      <c r="AD4125" s="15"/>
      <c r="AE4125" s="15"/>
      <c r="AF4125" s="15"/>
      <c r="AG4125" s="15"/>
      <c r="AH4125" s="15"/>
      <c r="AI4125" s="15"/>
      <c r="AJ4125" s="15"/>
      <c r="AK4125" s="15"/>
      <c r="AL4125" s="15"/>
      <c r="AM4125" s="15"/>
      <c r="AN4125" s="15"/>
      <c r="AO4125" s="15"/>
      <c r="AP4125" s="15"/>
      <c r="AQ4125" s="15"/>
      <c r="AR4125" s="15"/>
      <c r="AS4125" s="15"/>
      <c r="AT4125" s="15"/>
      <c r="AU4125" s="15"/>
      <c r="AV4125" s="15"/>
      <c r="AW4125" s="15"/>
    </row>
    <row r="4126" spans="3:49" x14ac:dyDescent="0.2">
      <c r="C4126" s="15"/>
      <c r="D4126" s="15"/>
      <c r="E4126" s="15"/>
      <c r="F4126" s="15"/>
      <c r="G4126" s="15"/>
      <c r="H4126" s="15"/>
      <c r="I4126" s="15"/>
      <c r="J4126" s="15"/>
      <c r="K4126" s="15"/>
      <c r="L4126" s="28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  <c r="AA4126" s="15"/>
      <c r="AB4126" s="15"/>
      <c r="AC4126" s="15"/>
      <c r="AD4126" s="15"/>
      <c r="AE4126" s="15"/>
      <c r="AF4126" s="15"/>
      <c r="AG4126" s="15"/>
      <c r="AH4126" s="15"/>
      <c r="AI4126" s="15"/>
      <c r="AJ4126" s="15"/>
      <c r="AK4126" s="15"/>
      <c r="AL4126" s="15"/>
      <c r="AM4126" s="15"/>
      <c r="AN4126" s="15"/>
      <c r="AO4126" s="15"/>
      <c r="AP4126" s="15"/>
      <c r="AQ4126" s="15"/>
      <c r="AR4126" s="15"/>
      <c r="AS4126" s="15"/>
      <c r="AT4126" s="15"/>
      <c r="AU4126" s="15"/>
      <c r="AV4126" s="15"/>
      <c r="AW4126" s="15"/>
    </row>
    <row r="4127" spans="3:49" x14ac:dyDescent="0.2">
      <c r="C4127" s="15"/>
      <c r="D4127" s="15"/>
      <c r="E4127" s="15"/>
      <c r="F4127" s="15"/>
      <c r="G4127" s="15"/>
      <c r="H4127" s="15"/>
      <c r="I4127" s="15"/>
      <c r="J4127" s="15"/>
      <c r="K4127" s="15"/>
      <c r="L4127" s="28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  <c r="AA4127" s="15"/>
      <c r="AB4127" s="15"/>
      <c r="AC4127" s="15"/>
      <c r="AD4127" s="15"/>
      <c r="AE4127" s="15"/>
      <c r="AF4127" s="15"/>
      <c r="AG4127" s="15"/>
      <c r="AH4127" s="15"/>
      <c r="AI4127" s="15"/>
      <c r="AJ4127" s="15"/>
      <c r="AK4127" s="15"/>
      <c r="AL4127" s="15"/>
      <c r="AM4127" s="15"/>
      <c r="AN4127" s="15"/>
      <c r="AO4127" s="15"/>
      <c r="AP4127" s="15"/>
      <c r="AQ4127" s="15"/>
      <c r="AR4127" s="15"/>
      <c r="AS4127" s="15"/>
      <c r="AT4127" s="15"/>
      <c r="AU4127" s="15"/>
      <c r="AV4127" s="15"/>
      <c r="AW4127" s="15"/>
    </row>
    <row r="4128" spans="3:49" x14ac:dyDescent="0.2">
      <c r="C4128" s="15"/>
      <c r="D4128" s="15"/>
      <c r="E4128" s="15"/>
      <c r="F4128" s="15"/>
      <c r="G4128" s="15"/>
      <c r="H4128" s="15"/>
      <c r="I4128" s="15"/>
      <c r="J4128" s="15"/>
      <c r="K4128" s="15"/>
      <c r="L4128" s="28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  <c r="AA4128" s="15"/>
      <c r="AB4128" s="15"/>
      <c r="AC4128" s="15"/>
      <c r="AD4128" s="15"/>
      <c r="AE4128" s="15"/>
      <c r="AF4128" s="15"/>
      <c r="AG4128" s="15"/>
      <c r="AH4128" s="15"/>
      <c r="AI4128" s="15"/>
      <c r="AJ4128" s="15"/>
      <c r="AK4128" s="15"/>
      <c r="AL4128" s="15"/>
      <c r="AM4128" s="15"/>
      <c r="AN4128" s="15"/>
      <c r="AO4128" s="15"/>
      <c r="AP4128" s="15"/>
      <c r="AQ4128" s="15"/>
      <c r="AR4128" s="15"/>
      <c r="AS4128" s="15"/>
      <c r="AT4128" s="15"/>
      <c r="AU4128" s="15"/>
      <c r="AV4128" s="15"/>
      <c r="AW4128" s="15"/>
    </row>
    <row r="4129" spans="3:49" x14ac:dyDescent="0.2">
      <c r="C4129" s="15"/>
      <c r="D4129" s="15"/>
      <c r="E4129" s="15"/>
      <c r="F4129" s="15"/>
      <c r="G4129" s="15"/>
      <c r="H4129" s="15"/>
      <c r="I4129" s="15"/>
      <c r="J4129" s="15"/>
      <c r="K4129" s="15"/>
      <c r="L4129" s="28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  <c r="AA4129" s="15"/>
      <c r="AB4129" s="15"/>
      <c r="AC4129" s="15"/>
      <c r="AD4129" s="15"/>
      <c r="AE4129" s="15"/>
      <c r="AF4129" s="15"/>
      <c r="AG4129" s="15"/>
      <c r="AH4129" s="15"/>
      <c r="AI4129" s="15"/>
      <c r="AJ4129" s="15"/>
      <c r="AK4129" s="15"/>
      <c r="AL4129" s="15"/>
      <c r="AM4129" s="15"/>
      <c r="AN4129" s="15"/>
      <c r="AO4129" s="15"/>
      <c r="AP4129" s="15"/>
      <c r="AQ4129" s="15"/>
      <c r="AR4129" s="15"/>
      <c r="AS4129" s="15"/>
      <c r="AT4129" s="15"/>
      <c r="AU4129" s="15"/>
      <c r="AV4129" s="15"/>
      <c r="AW4129" s="15"/>
    </row>
    <row r="4130" spans="3:49" x14ac:dyDescent="0.2">
      <c r="C4130" s="15"/>
      <c r="D4130" s="15"/>
      <c r="E4130" s="15"/>
      <c r="F4130" s="15"/>
      <c r="G4130" s="15"/>
      <c r="H4130" s="15"/>
      <c r="I4130" s="15"/>
      <c r="J4130" s="15"/>
      <c r="K4130" s="15"/>
      <c r="L4130" s="28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  <c r="AA4130" s="15"/>
      <c r="AB4130" s="15"/>
      <c r="AC4130" s="15"/>
      <c r="AD4130" s="15"/>
      <c r="AE4130" s="15"/>
      <c r="AF4130" s="15"/>
      <c r="AG4130" s="15"/>
      <c r="AH4130" s="15"/>
      <c r="AI4130" s="15"/>
      <c r="AJ4130" s="15"/>
      <c r="AK4130" s="15"/>
      <c r="AL4130" s="15"/>
      <c r="AM4130" s="15"/>
      <c r="AN4130" s="15"/>
      <c r="AO4130" s="15"/>
      <c r="AP4130" s="15"/>
      <c r="AQ4130" s="15"/>
      <c r="AR4130" s="15"/>
      <c r="AS4130" s="15"/>
      <c r="AT4130" s="15"/>
      <c r="AU4130" s="15"/>
      <c r="AV4130" s="15"/>
      <c r="AW4130" s="15"/>
    </row>
    <row r="4131" spans="3:49" x14ac:dyDescent="0.2">
      <c r="C4131" s="15"/>
      <c r="D4131" s="15"/>
      <c r="E4131" s="15"/>
      <c r="F4131" s="15"/>
      <c r="G4131" s="15"/>
      <c r="H4131" s="15"/>
      <c r="I4131" s="15"/>
      <c r="J4131" s="15"/>
      <c r="K4131" s="15"/>
      <c r="L4131" s="28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  <c r="AA4131" s="15"/>
      <c r="AB4131" s="15"/>
      <c r="AC4131" s="15"/>
      <c r="AD4131" s="15"/>
      <c r="AE4131" s="15"/>
      <c r="AF4131" s="15"/>
      <c r="AG4131" s="15"/>
      <c r="AH4131" s="15"/>
      <c r="AI4131" s="15"/>
      <c r="AJ4131" s="15"/>
      <c r="AK4131" s="15"/>
      <c r="AL4131" s="15"/>
      <c r="AM4131" s="15"/>
      <c r="AN4131" s="15"/>
      <c r="AO4131" s="15"/>
      <c r="AP4131" s="15"/>
      <c r="AQ4131" s="15"/>
      <c r="AR4131" s="15"/>
      <c r="AS4131" s="15"/>
      <c r="AT4131" s="15"/>
      <c r="AU4131" s="15"/>
      <c r="AV4131" s="15"/>
      <c r="AW4131" s="15"/>
    </row>
    <row r="4132" spans="3:49" x14ac:dyDescent="0.2">
      <c r="C4132" s="15"/>
      <c r="D4132" s="15"/>
      <c r="E4132" s="15"/>
      <c r="F4132" s="15"/>
      <c r="G4132" s="15"/>
      <c r="H4132" s="15"/>
      <c r="I4132" s="15"/>
      <c r="J4132" s="15"/>
      <c r="K4132" s="15"/>
      <c r="L4132" s="28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  <c r="AA4132" s="15"/>
      <c r="AB4132" s="15"/>
      <c r="AC4132" s="15"/>
      <c r="AD4132" s="15"/>
      <c r="AE4132" s="15"/>
      <c r="AF4132" s="15"/>
      <c r="AG4132" s="15"/>
      <c r="AH4132" s="15"/>
      <c r="AI4132" s="15"/>
      <c r="AJ4132" s="15"/>
      <c r="AK4132" s="15"/>
      <c r="AL4132" s="15"/>
      <c r="AM4132" s="15"/>
      <c r="AN4132" s="15"/>
      <c r="AO4132" s="15"/>
      <c r="AP4132" s="15"/>
      <c r="AQ4132" s="15"/>
      <c r="AR4132" s="15"/>
      <c r="AS4132" s="15"/>
      <c r="AT4132" s="15"/>
      <c r="AU4132" s="15"/>
      <c r="AV4132" s="15"/>
      <c r="AW4132" s="15"/>
    </row>
    <row r="4133" spans="3:49" x14ac:dyDescent="0.2">
      <c r="C4133" s="15"/>
      <c r="D4133" s="15"/>
      <c r="E4133" s="15"/>
      <c r="F4133" s="15"/>
      <c r="G4133" s="15"/>
      <c r="H4133" s="15"/>
      <c r="I4133" s="15"/>
      <c r="J4133" s="15"/>
      <c r="K4133" s="15"/>
      <c r="L4133" s="28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  <c r="AA4133" s="15"/>
      <c r="AB4133" s="15"/>
      <c r="AC4133" s="15"/>
      <c r="AD4133" s="15"/>
      <c r="AE4133" s="15"/>
      <c r="AF4133" s="15"/>
      <c r="AG4133" s="15"/>
      <c r="AH4133" s="15"/>
      <c r="AI4133" s="15"/>
      <c r="AJ4133" s="15"/>
      <c r="AK4133" s="15"/>
      <c r="AL4133" s="15"/>
      <c r="AM4133" s="15"/>
      <c r="AN4133" s="15"/>
      <c r="AO4133" s="15"/>
      <c r="AP4133" s="15"/>
      <c r="AQ4133" s="15"/>
      <c r="AR4133" s="15"/>
      <c r="AS4133" s="15"/>
      <c r="AT4133" s="15"/>
      <c r="AU4133" s="15"/>
      <c r="AV4133" s="15"/>
      <c r="AW4133" s="15"/>
    </row>
    <row r="4134" spans="3:49" x14ac:dyDescent="0.2">
      <c r="C4134" s="15"/>
      <c r="D4134" s="15"/>
      <c r="E4134" s="15"/>
      <c r="F4134" s="15"/>
      <c r="G4134" s="15"/>
      <c r="H4134" s="15"/>
      <c r="I4134" s="15"/>
      <c r="J4134" s="15"/>
      <c r="K4134" s="15"/>
      <c r="L4134" s="28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  <c r="AA4134" s="15"/>
      <c r="AB4134" s="15"/>
      <c r="AC4134" s="15"/>
      <c r="AD4134" s="15"/>
      <c r="AE4134" s="15"/>
      <c r="AF4134" s="15"/>
      <c r="AG4134" s="15"/>
      <c r="AH4134" s="15"/>
      <c r="AI4134" s="15"/>
      <c r="AJ4134" s="15"/>
      <c r="AK4134" s="15"/>
      <c r="AL4134" s="15"/>
      <c r="AM4134" s="15"/>
      <c r="AN4134" s="15"/>
      <c r="AO4134" s="15"/>
      <c r="AP4134" s="15"/>
      <c r="AQ4134" s="15"/>
      <c r="AR4134" s="15"/>
      <c r="AS4134" s="15"/>
      <c r="AT4134" s="15"/>
      <c r="AU4134" s="15"/>
      <c r="AV4134" s="15"/>
      <c r="AW4134" s="15"/>
    </row>
    <row r="4135" spans="3:49" x14ac:dyDescent="0.2">
      <c r="C4135" s="15"/>
      <c r="D4135" s="15"/>
      <c r="E4135" s="15"/>
      <c r="F4135" s="15"/>
      <c r="G4135" s="15"/>
      <c r="H4135" s="15"/>
      <c r="I4135" s="15"/>
      <c r="J4135" s="15"/>
      <c r="K4135" s="15"/>
      <c r="L4135" s="28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  <c r="AA4135" s="15"/>
      <c r="AB4135" s="15"/>
      <c r="AC4135" s="15"/>
      <c r="AD4135" s="15"/>
      <c r="AE4135" s="15"/>
      <c r="AF4135" s="15"/>
      <c r="AG4135" s="15"/>
      <c r="AH4135" s="15"/>
      <c r="AI4135" s="15"/>
      <c r="AJ4135" s="15"/>
      <c r="AK4135" s="15"/>
      <c r="AL4135" s="15"/>
      <c r="AM4135" s="15"/>
      <c r="AN4135" s="15"/>
      <c r="AO4135" s="15"/>
      <c r="AP4135" s="15"/>
      <c r="AQ4135" s="15"/>
      <c r="AR4135" s="15"/>
      <c r="AS4135" s="15"/>
      <c r="AT4135" s="15"/>
      <c r="AU4135" s="15"/>
      <c r="AV4135" s="15"/>
      <c r="AW4135" s="15"/>
    </row>
    <row r="4136" spans="3:49" x14ac:dyDescent="0.2">
      <c r="C4136" s="15"/>
      <c r="D4136" s="15"/>
      <c r="E4136" s="15"/>
      <c r="F4136" s="15"/>
      <c r="G4136" s="15"/>
      <c r="H4136" s="15"/>
      <c r="I4136" s="15"/>
      <c r="J4136" s="15"/>
      <c r="K4136" s="15"/>
      <c r="L4136" s="28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  <c r="AA4136" s="15"/>
      <c r="AB4136" s="15"/>
      <c r="AC4136" s="15"/>
      <c r="AD4136" s="15"/>
      <c r="AE4136" s="15"/>
      <c r="AF4136" s="15"/>
      <c r="AG4136" s="15"/>
      <c r="AH4136" s="15"/>
      <c r="AI4136" s="15"/>
      <c r="AJ4136" s="15"/>
      <c r="AK4136" s="15"/>
      <c r="AL4136" s="15"/>
      <c r="AM4136" s="15"/>
      <c r="AN4136" s="15"/>
      <c r="AO4136" s="15"/>
      <c r="AP4136" s="15"/>
      <c r="AQ4136" s="15"/>
      <c r="AR4136" s="15"/>
      <c r="AS4136" s="15"/>
      <c r="AT4136" s="15"/>
      <c r="AU4136" s="15"/>
      <c r="AV4136" s="15"/>
      <c r="AW4136" s="15"/>
    </row>
    <row r="4137" spans="3:49" x14ac:dyDescent="0.2">
      <c r="C4137" s="15"/>
      <c r="D4137" s="15"/>
      <c r="E4137" s="15"/>
      <c r="F4137" s="15"/>
      <c r="G4137" s="15"/>
      <c r="H4137" s="15"/>
      <c r="I4137" s="15"/>
      <c r="J4137" s="15"/>
      <c r="K4137" s="15"/>
      <c r="L4137" s="28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  <c r="AA4137" s="15"/>
      <c r="AB4137" s="15"/>
      <c r="AC4137" s="15"/>
      <c r="AD4137" s="15"/>
      <c r="AE4137" s="15"/>
      <c r="AF4137" s="15"/>
      <c r="AG4137" s="15"/>
      <c r="AH4137" s="15"/>
      <c r="AI4137" s="15"/>
      <c r="AJ4137" s="15"/>
      <c r="AK4137" s="15"/>
      <c r="AL4137" s="15"/>
      <c r="AM4137" s="15"/>
      <c r="AN4137" s="15"/>
      <c r="AO4137" s="15"/>
      <c r="AP4137" s="15"/>
      <c r="AQ4137" s="15"/>
      <c r="AR4137" s="15"/>
      <c r="AS4137" s="15"/>
      <c r="AT4137" s="15"/>
      <c r="AU4137" s="15"/>
      <c r="AV4137" s="15"/>
      <c r="AW4137" s="15"/>
    </row>
    <row r="4138" spans="3:49" x14ac:dyDescent="0.2">
      <c r="C4138" s="15"/>
      <c r="D4138" s="15"/>
      <c r="E4138" s="15"/>
      <c r="F4138" s="15"/>
      <c r="G4138" s="15"/>
      <c r="H4138" s="15"/>
      <c r="I4138" s="15"/>
      <c r="J4138" s="15"/>
      <c r="K4138" s="15"/>
      <c r="L4138" s="28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  <c r="AA4138" s="15"/>
      <c r="AB4138" s="15"/>
      <c r="AC4138" s="15"/>
      <c r="AD4138" s="15"/>
      <c r="AE4138" s="15"/>
      <c r="AF4138" s="15"/>
      <c r="AG4138" s="15"/>
      <c r="AH4138" s="15"/>
      <c r="AI4138" s="15"/>
      <c r="AJ4138" s="15"/>
      <c r="AK4138" s="15"/>
      <c r="AL4138" s="15"/>
      <c r="AM4138" s="15"/>
      <c r="AN4138" s="15"/>
      <c r="AO4138" s="15"/>
      <c r="AP4138" s="15"/>
      <c r="AQ4138" s="15"/>
      <c r="AR4138" s="15"/>
      <c r="AS4138" s="15"/>
      <c r="AT4138" s="15"/>
      <c r="AU4138" s="15"/>
      <c r="AV4138" s="15"/>
      <c r="AW4138" s="15"/>
    </row>
    <row r="4139" spans="3:49" x14ac:dyDescent="0.2">
      <c r="C4139" s="15"/>
      <c r="D4139" s="15"/>
      <c r="E4139" s="15"/>
      <c r="F4139" s="15"/>
      <c r="G4139" s="15"/>
      <c r="H4139" s="15"/>
      <c r="I4139" s="15"/>
      <c r="J4139" s="15"/>
      <c r="K4139" s="15"/>
      <c r="L4139" s="28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  <c r="AA4139" s="15"/>
      <c r="AB4139" s="15"/>
      <c r="AC4139" s="15"/>
      <c r="AD4139" s="15"/>
      <c r="AE4139" s="15"/>
      <c r="AF4139" s="15"/>
      <c r="AG4139" s="15"/>
      <c r="AH4139" s="15"/>
      <c r="AI4139" s="15"/>
      <c r="AJ4139" s="15"/>
      <c r="AK4139" s="15"/>
      <c r="AL4139" s="15"/>
      <c r="AM4139" s="15"/>
      <c r="AN4139" s="15"/>
      <c r="AO4139" s="15"/>
      <c r="AP4139" s="15"/>
      <c r="AQ4139" s="15"/>
      <c r="AR4139" s="15"/>
      <c r="AS4139" s="15"/>
      <c r="AT4139" s="15"/>
      <c r="AU4139" s="15"/>
      <c r="AV4139" s="15"/>
      <c r="AW4139" s="15"/>
    </row>
    <row r="4140" spans="3:49" x14ac:dyDescent="0.2">
      <c r="C4140" s="15"/>
      <c r="D4140" s="15"/>
      <c r="E4140" s="15"/>
      <c r="F4140" s="15"/>
      <c r="G4140" s="15"/>
      <c r="H4140" s="15"/>
      <c r="I4140" s="15"/>
      <c r="J4140" s="15"/>
      <c r="K4140" s="15"/>
      <c r="L4140" s="28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  <c r="AA4140" s="15"/>
      <c r="AB4140" s="15"/>
      <c r="AC4140" s="15"/>
      <c r="AD4140" s="15"/>
      <c r="AE4140" s="15"/>
      <c r="AF4140" s="15"/>
      <c r="AG4140" s="15"/>
      <c r="AH4140" s="15"/>
      <c r="AI4140" s="15"/>
      <c r="AJ4140" s="15"/>
      <c r="AK4140" s="15"/>
      <c r="AL4140" s="15"/>
      <c r="AM4140" s="15"/>
      <c r="AN4140" s="15"/>
      <c r="AO4140" s="15"/>
      <c r="AP4140" s="15"/>
      <c r="AQ4140" s="15"/>
      <c r="AR4140" s="15"/>
      <c r="AS4140" s="15"/>
      <c r="AT4140" s="15"/>
      <c r="AU4140" s="15"/>
      <c r="AV4140" s="15"/>
      <c r="AW4140" s="15"/>
    </row>
    <row r="4141" spans="3:49" x14ac:dyDescent="0.2">
      <c r="C4141" s="15"/>
      <c r="D4141" s="15"/>
      <c r="E4141" s="15"/>
      <c r="F4141" s="15"/>
      <c r="G4141" s="15"/>
      <c r="H4141" s="15"/>
      <c r="I4141" s="15"/>
      <c r="J4141" s="15"/>
      <c r="K4141" s="15"/>
      <c r="L4141" s="28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  <c r="AA4141" s="15"/>
      <c r="AB4141" s="15"/>
      <c r="AC4141" s="15"/>
      <c r="AD4141" s="15"/>
      <c r="AE4141" s="15"/>
      <c r="AF4141" s="15"/>
      <c r="AG4141" s="15"/>
      <c r="AH4141" s="15"/>
      <c r="AI4141" s="15"/>
      <c r="AJ4141" s="15"/>
      <c r="AK4141" s="15"/>
      <c r="AL4141" s="15"/>
      <c r="AM4141" s="15"/>
      <c r="AN4141" s="15"/>
      <c r="AO4141" s="15"/>
      <c r="AP4141" s="15"/>
      <c r="AQ4141" s="15"/>
      <c r="AR4141" s="15"/>
      <c r="AS4141" s="15"/>
      <c r="AT4141" s="15"/>
      <c r="AU4141" s="15"/>
      <c r="AV4141" s="15"/>
      <c r="AW4141" s="15"/>
    </row>
    <row r="4142" spans="3:49" x14ac:dyDescent="0.2">
      <c r="C4142" s="15"/>
      <c r="D4142" s="15"/>
      <c r="E4142" s="15"/>
      <c r="F4142" s="15"/>
      <c r="G4142" s="15"/>
      <c r="H4142" s="15"/>
      <c r="I4142" s="15"/>
      <c r="J4142" s="15"/>
      <c r="K4142" s="15"/>
      <c r="L4142" s="28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  <c r="AA4142" s="15"/>
      <c r="AB4142" s="15"/>
      <c r="AC4142" s="15"/>
      <c r="AD4142" s="15"/>
      <c r="AE4142" s="15"/>
      <c r="AF4142" s="15"/>
      <c r="AG4142" s="15"/>
      <c r="AH4142" s="15"/>
      <c r="AI4142" s="15"/>
      <c r="AJ4142" s="15"/>
      <c r="AK4142" s="15"/>
      <c r="AL4142" s="15"/>
      <c r="AM4142" s="15"/>
      <c r="AN4142" s="15"/>
      <c r="AO4142" s="15"/>
      <c r="AP4142" s="15"/>
      <c r="AQ4142" s="15"/>
      <c r="AR4142" s="15"/>
      <c r="AS4142" s="15"/>
      <c r="AT4142" s="15"/>
      <c r="AU4142" s="15"/>
      <c r="AV4142" s="15"/>
      <c r="AW4142" s="15"/>
    </row>
    <row r="4143" spans="3:49" x14ac:dyDescent="0.2">
      <c r="C4143" s="15"/>
      <c r="D4143" s="15"/>
      <c r="E4143" s="15"/>
      <c r="F4143" s="15"/>
      <c r="G4143" s="15"/>
      <c r="H4143" s="15"/>
      <c r="I4143" s="15"/>
      <c r="J4143" s="15"/>
      <c r="K4143" s="15"/>
      <c r="L4143" s="28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  <c r="AA4143" s="15"/>
      <c r="AB4143" s="15"/>
      <c r="AC4143" s="15"/>
      <c r="AD4143" s="15"/>
      <c r="AE4143" s="15"/>
      <c r="AF4143" s="15"/>
      <c r="AG4143" s="15"/>
      <c r="AH4143" s="15"/>
      <c r="AI4143" s="15"/>
      <c r="AJ4143" s="15"/>
      <c r="AK4143" s="15"/>
      <c r="AL4143" s="15"/>
      <c r="AM4143" s="15"/>
      <c r="AN4143" s="15"/>
      <c r="AO4143" s="15"/>
      <c r="AP4143" s="15"/>
      <c r="AQ4143" s="15"/>
      <c r="AR4143" s="15"/>
      <c r="AS4143" s="15"/>
      <c r="AT4143" s="15"/>
      <c r="AU4143" s="15"/>
      <c r="AV4143" s="15"/>
      <c r="AW4143" s="15"/>
    </row>
    <row r="4144" spans="3:49" x14ac:dyDescent="0.2">
      <c r="C4144" s="15"/>
      <c r="D4144" s="15"/>
      <c r="E4144" s="15"/>
      <c r="F4144" s="15"/>
      <c r="G4144" s="15"/>
      <c r="H4144" s="15"/>
      <c r="I4144" s="15"/>
      <c r="J4144" s="15"/>
      <c r="K4144" s="15"/>
      <c r="L4144" s="28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  <c r="AA4144" s="15"/>
      <c r="AB4144" s="15"/>
      <c r="AC4144" s="15"/>
      <c r="AD4144" s="15"/>
      <c r="AE4144" s="15"/>
      <c r="AF4144" s="15"/>
      <c r="AG4144" s="15"/>
      <c r="AH4144" s="15"/>
      <c r="AI4144" s="15"/>
      <c r="AJ4144" s="15"/>
      <c r="AK4144" s="15"/>
      <c r="AL4144" s="15"/>
      <c r="AM4144" s="15"/>
      <c r="AN4144" s="15"/>
      <c r="AO4144" s="15"/>
      <c r="AP4144" s="15"/>
      <c r="AQ4144" s="15"/>
      <c r="AR4144" s="15"/>
      <c r="AS4144" s="15"/>
      <c r="AT4144" s="15"/>
      <c r="AU4144" s="15"/>
      <c r="AV4144" s="15"/>
      <c r="AW4144" s="15"/>
    </row>
    <row r="4145" spans="3:49" x14ac:dyDescent="0.2">
      <c r="C4145" s="15"/>
      <c r="D4145" s="15"/>
      <c r="E4145" s="15"/>
      <c r="F4145" s="15"/>
      <c r="G4145" s="15"/>
      <c r="H4145" s="15"/>
      <c r="I4145" s="15"/>
      <c r="J4145" s="15"/>
      <c r="K4145" s="15"/>
      <c r="L4145" s="28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  <c r="AA4145" s="15"/>
      <c r="AB4145" s="15"/>
      <c r="AC4145" s="15"/>
      <c r="AD4145" s="15"/>
      <c r="AE4145" s="15"/>
      <c r="AF4145" s="15"/>
      <c r="AG4145" s="15"/>
      <c r="AH4145" s="15"/>
      <c r="AI4145" s="15"/>
      <c r="AJ4145" s="15"/>
      <c r="AK4145" s="15"/>
      <c r="AL4145" s="15"/>
      <c r="AM4145" s="15"/>
      <c r="AN4145" s="15"/>
      <c r="AO4145" s="15"/>
      <c r="AP4145" s="15"/>
      <c r="AQ4145" s="15"/>
      <c r="AR4145" s="15"/>
      <c r="AS4145" s="15"/>
      <c r="AT4145" s="15"/>
      <c r="AU4145" s="15"/>
      <c r="AV4145" s="15"/>
      <c r="AW4145" s="15"/>
    </row>
    <row r="4146" spans="3:49" x14ac:dyDescent="0.2">
      <c r="C4146" s="15"/>
      <c r="D4146" s="15"/>
      <c r="E4146" s="15"/>
      <c r="F4146" s="15"/>
      <c r="G4146" s="15"/>
      <c r="H4146" s="15"/>
      <c r="I4146" s="15"/>
      <c r="J4146" s="15"/>
      <c r="K4146" s="15"/>
      <c r="L4146" s="28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  <c r="AA4146" s="15"/>
      <c r="AB4146" s="15"/>
      <c r="AC4146" s="15"/>
      <c r="AD4146" s="15"/>
      <c r="AE4146" s="15"/>
      <c r="AF4146" s="15"/>
      <c r="AG4146" s="15"/>
      <c r="AH4146" s="15"/>
      <c r="AI4146" s="15"/>
      <c r="AJ4146" s="15"/>
      <c r="AK4146" s="15"/>
      <c r="AL4146" s="15"/>
      <c r="AM4146" s="15"/>
      <c r="AN4146" s="15"/>
      <c r="AO4146" s="15"/>
      <c r="AP4146" s="15"/>
      <c r="AQ4146" s="15"/>
      <c r="AR4146" s="15"/>
      <c r="AS4146" s="15"/>
      <c r="AT4146" s="15"/>
      <c r="AU4146" s="15"/>
      <c r="AV4146" s="15"/>
      <c r="AW4146" s="15"/>
    </row>
    <row r="4147" spans="3:49" x14ac:dyDescent="0.2">
      <c r="C4147" s="15"/>
      <c r="D4147" s="15"/>
      <c r="E4147" s="15"/>
      <c r="F4147" s="15"/>
      <c r="G4147" s="15"/>
      <c r="H4147" s="15"/>
      <c r="I4147" s="15"/>
      <c r="J4147" s="15"/>
      <c r="K4147" s="15"/>
      <c r="L4147" s="28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  <c r="AA4147" s="15"/>
      <c r="AB4147" s="15"/>
      <c r="AC4147" s="15"/>
      <c r="AD4147" s="15"/>
      <c r="AE4147" s="15"/>
      <c r="AF4147" s="15"/>
      <c r="AG4147" s="15"/>
      <c r="AH4147" s="15"/>
      <c r="AI4147" s="15"/>
      <c r="AJ4147" s="15"/>
      <c r="AK4147" s="15"/>
      <c r="AL4147" s="15"/>
      <c r="AM4147" s="15"/>
      <c r="AN4147" s="15"/>
      <c r="AO4147" s="15"/>
      <c r="AP4147" s="15"/>
      <c r="AQ4147" s="15"/>
      <c r="AR4147" s="15"/>
      <c r="AS4147" s="15"/>
      <c r="AT4147" s="15"/>
      <c r="AU4147" s="15"/>
      <c r="AV4147" s="15"/>
      <c r="AW4147" s="15"/>
    </row>
    <row r="4148" spans="3:49" x14ac:dyDescent="0.2">
      <c r="C4148" s="15"/>
      <c r="D4148" s="15"/>
      <c r="E4148" s="15"/>
      <c r="F4148" s="15"/>
      <c r="G4148" s="15"/>
      <c r="H4148" s="15"/>
      <c r="I4148" s="15"/>
      <c r="J4148" s="15"/>
      <c r="K4148" s="15"/>
      <c r="L4148" s="28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  <c r="AA4148" s="15"/>
      <c r="AB4148" s="15"/>
      <c r="AC4148" s="15"/>
      <c r="AD4148" s="15"/>
      <c r="AE4148" s="15"/>
      <c r="AF4148" s="15"/>
      <c r="AG4148" s="15"/>
      <c r="AH4148" s="15"/>
      <c r="AI4148" s="15"/>
      <c r="AJ4148" s="15"/>
      <c r="AK4148" s="15"/>
      <c r="AL4148" s="15"/>
      <c r="AM4148" s="15"/>
      <c r="AN4148" s="15"/>
      <c r="AO4148" s="15"/>
      <c r="AP4148" s="15"/>
      <c r="AQ4148" s="15"/>
      <c r="AR4148" s="15"/>
      <c r="AS4148" s="15"/>
      <c r="AT4148" s="15"/>
      <c r="AU4148" s="15"/>
      <c r="AV4148" s="15"/>
      <c r="AW4148" s="15"/>
    </row>
    <row r="4149" spans="3:49" x14ac:dyDescent="0.2">
      <c r="C4149" s="15"/>
      <c r="D4149" s="15"/>
      <c r="E4149" s="15"/>
      <c r="F4149" s="15"/>
      <c r="G4149" s="15"/>
      <c r="H4149" s="15"/>
      <c r="I4149" s="15"/>
      <c r="J4149" s="15"/>
      <c r="K4149" s="15"/>
      <c r="L4149" s="28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  <c r="AA4149" s="15"/>
      <c r="AB4149" s="15"/>
      <c r="AC4149" s="15"/>
      <c r="AD4149" s="15"/>
      <c r="AE4149" s="15"/>
      <c r="AF4149" s="15"/>
      <c r="AG4149" s="15"/>
      <c r="AH4149" s="15"/>
      <c r="AI4149" s="15"/>
      <c r="AJ4149" s="15"/>
      <c r="AK4149" s="15"/>
      <c r="AL4149" s="15"/>
      <c r="AM4149" s="15"/>
      <c r="AN4149" s="15"/>
      <c r="AO4149" s="15"/>
      <c r="AP4149" s="15"/>
      <c r="AQ4149" s="15"/>
      <c r="AR4149" s="15"/>
      <c r="AS4149" s="15"/>
      <c r="AT4149" s="15"/>
      <c r="AU4149" s="15"/>
      <c r="AV4149" s="15"/>
      <c r="AW4149" s="15"/>
    </row>
    <row r="4150" spans="3:49" x14ac:dyDescent="0.2">
      <c r="C4150" s="15"/>
      <c r="D4150" s="15"/>
      <c r="E4150" s="15"/>
      <c r="F4150" s="15"/>
      <c r="G4150" s="15"/>
      <c r="H4150" s="15"/>
      <c r="I4150" s="15"/>
      <c r="J4150" s="15"/>
      <c r="K4150" s="15"/>
      <c r="L4150" s="28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  <c r="AA4150" s="15"/>
      <c r="AB4150" s="15"/>
      <c r="AC4150" s="15"/>
      <c r="AD4150" s="15"/>
      <c r="AE4150" s="15"/>
      <c r="AF4150" s="15"/>
      <c r="AG4150" s="15"/>
      <c r="AH4150" s="15"/>
      <c r="AI4150" s="15"/>
      <c r="AJ4150" s="15"/>
      <c r="AK4150" s="15"/>
      <c r="AL4150" s="15"/>
      <c r="AM4150" s="15"/>
      <c r="AN4150" s="15"/>
      <c r="AO4150" s="15"/>
      <c r="AP4150" s="15"/>
      <c r="AQ4150" s="15"/>
      <c r="AR4150" s="15"/>
      <c r="AS4150" s="15"/>
      <c r="AT4150" s="15"/>
      <c r="AU4150" s="15"/>
      <c r="AV4150" s="15"/>
      <c r="AW4150" s="15"/>
    </row>
    <row r="4151" spans="3:49" x14ac:dyDescent="0.2">
      <c r="C4151" s="15"/>
      <c r="D4151" s="15"/>
      <c r="E4151" s="15"/>
      <c r="F4151" s="15"/>
      <c r="G4151" s="15"/>
      <c r="H4151" s="15"/>
      <c r="I4151" s="15"/>
      <c r="J4151" s="15"/>
      <c r="K4151" s="15"/>
      <c r="L4151" s="28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  <c r="AA4151" s="15"/>
      <c r="AB4151" s="15"/>
      <c r="AC4151" s="15"/>
      <c r="AD4151" s="15"/>
      <c r="AE4151" s="15"/>
      <c r="AF4151" s="15"/>
      <c r="AG4151" s="15"/>
      <c r="AH4151" s="15"/>
      <c r="AI4151" s="15"/>
      <c r="AJ4151" s="15"/>
      <c r="AK4151" s="15"/>
      <c r="AL4151" s="15"/>
      <c r="AM4151" s="15"/>
      <c r="AN4151" s="15"/>
      <c r="AO4151" s="15"/>
      <c r="AP4151" s="15"/>
      <c r="AQ4151" s="15"/>
      <c r="AR4151" s="15"/>
      <c r="AS4151" s="15"/>
      <c r="AT4151" s="15"/>
      <c r="AU4151" s="15"/>
      <c r="AV4151" s="15"/>
      <c r="AW4151" s="15"/>
    </row>
    <row r="4152" spans="3:49" x14ac:dyDescent="0.2">
      <c r="C4152" s="15"/>
      <c r="D4152" s="15"/>
      <c r="E4152" s="15"/>
      <c r="F4152" s="15"/>
      <c r="G4152" s="15"/>
      <c r="H4152" s="15"/>
      <c r="I4152" s="15"/>
      <c r="J4152" s="15"/>
      <c r="K4152" s="15"/>
      <c r="L4152" s="28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  <c r="AA4152" s="15"/>
      <c r="AB4152" s="15"/>
      <c r="AC4152" s="15"/>
      <c r="AD4152" s="15"/>
      <c r="AE4152" s="15"/>
      <c r="AF4152" s="15"/>
      <c r="AG4152" s="15"/>
      <c r="AH4152" s="15"/>
      <c r="AI4152" s="15"/>
      <c r="AJ4152" s="15"/>
      <c r="AK4152" s="15"/>
      <c r="AL4152" s="15"/>
      <c r="AM4152" s="15"/>
      <c r="AN4152" s="15"/>
      <c r="AO4152" s="15"/>
      <c r="AP4152" s="15"/>
      <c r="AQ4152" s="15"/>
      <c r="AR4152" s="15"/>
      <c r="AS4152" s="15"/>
      <c r="AT4152" s="15"/>
      <c r="AU4152" s="15"/>
      <c r="AV4152" s="15"/>
      <c r="AW4152" s="15"/>
    </row>
    <row r="4153" spans="3:49" x14ac:dyDescent="0.2">
      <c r="C4153" s="15"/>
      <c r="D4153" s="15"/>
      <c r="E4153" s="15"/>
      <c r="F4153" s="15"/>
      <c r="G4153" s="15"/>
      <c r="H4153" s="15"/>
      <c r="I4153" s="15"/>
      <c r="J4153" s="15"/>
      <c r="K4153" s="15"/>
      <c r="L4153" s="28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  <c r="AA4153" s="15"/>
      <c r="AB4153" s="15"/>
      <c r="AC4153" s="15"/>
      <c r="AD4153" s="15"/>
      <c r="AE4153" s="15"/>
      <c r="AF4153" s="15"/>
      <c r="AG4153" s="15"/>
      <c r="AH4153" s="15"/>
      <c r="AI4153" s="15"/>
      <c r="AJ4153" s="15"/>
      <c r="AK4153" s="15"/>
      <c r="AL4153" s="15"/>
      <c r="AM4153" s="15"/>
      <c r="AN4153" s="15"/>
      <c r="AO4153" s="15"/>
      <c r="AP4153" s="15"/>
      <c r="AQ4153" s="15"/>
      <c r="AR4153" s="15"/>
      <c r="AS4153" s="15"/>
      <c r="AT4153" s="15"/>
      <c r="AU4153" s="15"/>
      <c r="AV4153" s="15"/>
      <c r="AW4153" s="15"/>
    </row>
    <row r="4154" spans="3:49" x14ac:dyDescent="0.2">
      <c r="C4154" s="15"/>
      <c r="D4154" s="15"/>
      <c r="E4154" s="15"/>
      <c r="F4154" s="15"/>
      <c r="G4154" s="15"/>
      <c r="H4154" s="15"/>
      <c r="I4154" s="15"/>
      <c r="J4154" s="15"/>
      <c r="K4154" s="15"/>
      <c r="L4154" s="28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  <c r="AA4154" s="15"/>
      <c r="AB4154" s="15"/>
      <c r="AC4154" s="15"/>
      <c r="AD4154" s="15"/>
      <c r="AE4154" s="15"/>
      <c r="AF4154" s="15"/>
      <c r="AG4154" s="15"/>
      <c r="AH4154" s="15"/>
      <c r="AI4154" s="15"/>
      <c r="AJ4154" s="15"/>
      <c r="AK4154" s="15"/>
      <c r="AL4154" s="15"/>
      <c r="AM4154" s="15"/>
      <c r="AN4154" s="15"/>
      <c r="AO4154" s="15"/>
      <c r="AP4154" s="15"/>
      <c r="AQ4154" s="15"/>
      <c r="AR4154" s="15"/>
      <c r="AS4154" s="15"/>
      <c r="AT4154" s="15"/>
      <c r="AU4154" s="15"/>
      <c r="AV4154" s="15"/>
      <c r="AW4154" s="15"/>
    </row>
    <row r="4155" spans="3:49" x14ac:dyDescent="0.2">
      <c r="C4155" s="15"/>
      <c r="D4155" s="15"/>
      <c r="E4155" s="15"/>
      <c r="F4155" s="15"/>
      <c r="G4155" s="15"/>
      <c r="H4155" s="15"/>
      <c r="I4155" s="15"/>
      <c r="J4155" s="15"/>
      <c r="K4155" s="15"/>
      <c r="L4155" s="28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  <c r="AA4155" s="15"/>
      <c r="AB4155" s="15"/>
      <c r="AC4155" s="15"/>
      <c r="AD4155" s="15"/>
      <c r="AE4155" s="15"/>
      <c r="AF4155" s="15"/>
      <c r="AG4155" s="15"/>
      <c r="AH4155" s="15"/>
      <c r="AI4155" s="15"/>
      <c r="AJ4155" s="15"/>
      <c r="AK4155" s="15"/>
      <c r="AL4155" s="15"/>
      <c r="AM4155" s="15"/>
      <c r="AN4155" s="15"/>
      <c r="AO4155" s="15"/>
      <c r="AP4155" s="15"/>
      <c r="AQ4155" s="15"/>
      <c r="AR4155" s="15"/>
      <c r="AS4155" s="15"/>
      <c r="AT4155" s="15"/>
      <c r="AU4155" s="15"/>
      <c r="AV4155" s="15"/>
      <c r="AW4155" s="15"/>
    </row>
    <row r="4156" spans="3:49" x14ac:dyDescent="0.2">
      <c r="C4156" s="15"/>
      <c r="D4156" s="15"/>
      <c r="E4156" s="15"/>
      <c r="F4156" s="15"/>
      <c r="G4156" s="15"/>
      <c r="H4156" s="15"/>
      <c r="I4156" s="15"/>
      <c r="J4156" s="15"/>
      <c r="K4156" s="15"/>
      <c r="L4156" s="28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  <c r="AA4156" s="15"/>
      <c r="AB4156" s="15"/>
      <c r="AC4156" s="15"/>
      <c r="AD4156" s="15"/>
      <c r="AE4156" s="15"/>
      <c r="AF4156" s="15"/>
      <c r="AG4156" s="15"/>
      <c r="AH4156" s="15"/>
      <c r="AI4156" s="15"/>
      <c r="AJ4156" s="15"/>
      <c r="AK4156" s="15"/>
      <c r="AL4156" s="15"/>
      <c r="AM4156" s="15"/>
      <c r="AN4156" s="15"/>
      <c r="AO4156" s="15"/>
      <c r="AP4156" s="15"/>
      <c r="AQ4156" s="15"/>
      <c r="AR4156" s="15"/>
      <c r="AS4156" s="15"/>
      <c r="AT4156" s="15"/>
      <c r="AU4156" s="15"/>
      <c r="AV4156" s="15"/>
      <c r="AW4156" s="15"/>
    </row>
    <row r="4157" spans="3:49" x14ac:dyDescent="0.2">
      <c r="C4157" s="15"/>
      <c r="D4157" s="15"/>
      <c r="E4157" s="15"/>
      <c r="F4157" s="15"/>
      <c r="G4157" s="15"/>
      <c r="H4157" s="15"/>
      <c r="I4157" s="15"/>
      <c r="J4157" s="15"/>
      <c r="K4157" s="15"/>
      <c r="L4157" s="28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  <c r="AA4157" s="15"/>
      <c r="AB4157" s="15"/>
      <c r="AC4157" s="15"/>
      <c r="AD4157" s="15"/>
      <c r="AE4157" s="15"/>
      <c r="AF4157" s="15"/>
      <c r="AG4157" s="15"/>
      <c r="AH4157" s="15"/>
      <c r="AI4157" s="15"/>
      <c r="AJ4157" s="15"/>
      <c r="AK4157" s="15"/>
      <c r="AL4157" s="15"/>
      <c r="AM4157" s="15"/>
      <c r="AN4157" s="15"/>
      <c r="AO4157" s="15"/>
      <c r="AP4157" s="15"/>
      <c r="AQ4157" s="15"/>
      <c r="AR4157" s="15"/>
      <c r="AS4157" s="15"/>
      <c r="AT4157" s="15"/>
      <c r="AU4157" s="15"/>
      <c r="AV4157" s="15"/>
      <c r="AW4157" s="15"/>
    </row>
    <row r="4158" spans="3:49" x14ac:dyDescent="0.2">
      <c r="C4158" s="15"/>
      <c r="D4158" s="15"/>
      <c r="E4158" s="15"/>
      <c r="F4158" s="15"/>
      <c r="G4158" s="15"/>
      <c r="H4158" s="15"/>
      <c r="I4158" s="15"/>
      <c r="J4158" s="15"/>
      <c r="K4158" s="15"/>
      <c r="L4158" s="28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  <c r="AA4158" s="15"/>
      <c r="AB4158" s="15"/>
      <c r="AC4158" s="15"/>
      <c r="AD4158" s="15"/>
      <c r="AE4158" s="15"/>
      <c r="AF4158" s="15"/>
      <c r="AG4158" s="15"/>
      <c r="AH4158" s="15"/>
      <c r="AI4158" s="15"/>
      <c r="AJ4158" s="15"/>
      <c r="AK4158" s="15"/>
      <c r="AL4158" s="15"/>
      <c r="AM4158" s="15"/>
      <c r="AN4158" s="15"/>
      <c r="AO4158" s="15"/>
      <c r="AP4158" s="15"/>
      <c r="AQ4158" s="15"/>
      <c r="AR4158" s="15"/>
      <c r="AS4158" s="15"/>
      <c r="AT4158" s="15"/>
      <c r="AU4158" s="15"/>
      <c r="AV4158" s="15"/>
      <c r="AW4158" s="15"/>
    </row>
    <row r="4159" spans="3:49" x14ac:dyDescent="0.2">
      <c r="C4159" s="15"/>
      <c r="D4159" s="15"/>
      <c r="E4159" s="15"/>
      <c r="F4159" s="15"/>
      <c r="G4159" s="15"/>
      <c r="H4159" s="15"/>
      <c r="I4159" s="15"/>
      <c r="J4159" s="15"/>
      <c r="K4159" s="15"/>
      <c r="L4159" s="28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  <c r="AA4159" s="15"/>
      <c r="AB4159" s="15"/>
      <c r="AC4159" s="15"/>
      <c r="AD4159" s="15"/>
      <c r="AE4159" s="15"/>
      <c r="AF4159" s="15"/>
      <c r="AG4159" s="15"/>
      <c r="AH4159" s="15"/>
      <c r="AI4159" s="15"/>
      <c r="AJ4159" s="15"/>
      <c r="AK4159" s="15"/>
      <c r="AL4159" s="15"/>
      <c r="AM4159" s="15"/>
      <c r="AN4159" s="15"/>
      <c r="AO4159" s="15"/>
      <c r="AP4159" s="15"/>
      <c r="AQ4159" s="15"/>
      <c r="AR4159" s="15"/>
      <c r="AS4159" s="15"/>
      <c r="AT4159" s="15"/>
      <c r="AU4159" s="15"/>
      <c r="AV4159" s="15"/>
      <c r="AW4159" s="15"/>
    </row>
    <row r="4160" spans="3:49" x14ac:dyDescent="0.2">
      <c r="C4160" s="15"/>
      <c r="D4160" s="15"/>
      <c r="E4160" s="15"/>
      <c r="F4160" s="15"/>
      <c r="G4160" s="15"/>
      <c r="H4160" s="15"/>
      <c r="I4160" s="15"/>
      <c r="J4160" s="15"/>
      <c r="K4160" s="15"/>
      <c r="L4160" s="28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  <c r="AA4160" s="15"/>
      <c r="AB4160" s="15"/>
      <c r="AC4160" s="15"/>
      <c r="AD4160" s="15"/>
      <c r="AE4160" s="15"/>
      <c r="AF4160" s="15"/>
      <c r="AG4160" s="15"/>
      <c r="AH4160" s="15"/>
      <c r="AI4160" s="15"/>
      <c r="AJ4160" s="15"/>
      <c r="AK4160" s="15"/>
      <c r="AL4160" s="15"/>
      <c r="AM4160" s="15"/>
      <c r="AN4160" s="15"/>
      <c r="AO4160" s="15"/>
      <c r="AP4160" s="15"/>
      <c r="AQ4160" s="15"/>
      <c r="AR4160" s="15"/>
      <c r="AS4160" s="15"/>
      <c r="AT4160" s="15"/>
      <c r="AU4160" s="15"/>
      <c r="AV4160" s="15"/>
      <c r="AW4160" s="15"/>
    </row>
    <row r="4161" spans="3:49" x14ac:dyDescent="0.2">
      <c r="C4161" s="15"/>
      <c r="D4161" s="15"/>
      <c r="E4161" s="15"/>
      <c r="F4161" s="15"/>
      <c r="G4161" s="15"/>
      <c r="H4161" s="15"/>
      <c r="I4161" s="15"/>
      <c r="J4161" s="15"/>
      <c r="K4161" s="15"/>
      <c r="L4161" s="28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  <c r="AA4161" s="15"/>
      <c r="AB4161" s="15"/>
      <c r="AC4161" s="15"/>
      <c r="AD4161" s="15"/>
      <c r="AE4161" s="15"/>
      <c r="AF4161" s="15"/>
      <c r="AG4161" s="15"/>
      <c r="AH4161" s="15"/>
      <c r="AI4161" s="15"/>
      <c r="AJ4161" s="15"/>
      <c r="AK4161" s="15"/>
      <c r="AL4161" s="15"/>
      <c r="AM4161" s="15"/>
      <c r="AN4161" s="15"/>
      <c r="AO4161" s="15"/>
      <c r="AP4161" s="15"/>
      <c r="AQ4161" s="15"/>
      <c r="AR4161" s="15"/>
      <c r="AS4161" s="15"/>
      <c r="AT4161" s="15"/>
      <c r="AU4161" s="15"/>
      <c r="AV4161" s="15"/>
      <c r="AW4161" s="15"/>
    </row>
    <row r="4162" spans="3:49" x14ac:dyDescent="0.2">
      <c r="C4162" s="15"/>
      <c r="D4162" s="15"/>
      <c r="E4162" s="15"/>
      <c r="F4162" s="15"/>
      <c r="G4162" s="15"/>
      <c r="H4162" s="15"/>
      <c r="I4162" s="15"/>
      <c r="J4162" s="15"/>
      <c r="K4162" s="15"/>
      <c r="L4162" s="28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  <c r="AA4162" s="15"/>
      <c r="AB4162" s="15"/>
      <c r="AC4162" s="15"/>
      <c r="AD4162" s="15"/>
      <c r="AE4162" s="15"/>
      <c r="AF4162" s="15"/>
      <c r="AG4162" s="15"/>
      <c r="AH4162" s="15"/>
      <c r="AI4162" s="15"/>
      <c r="AJ4162" s="15"/>
      <c r="AK4162" s="15"/>
      <c r="AL4162" s="15"/>
      <c r="AM4162" s="15"/>
      <c r="AN4162" s="15"/>
      <c r="AO4162" s="15"/>
      <c r="AP4162" s="15"/>
      <c r="AQ4162" s="15"/>
      <c r="AR4162" s="15"/>
      <c r="AS4162" s="15"/>
      <c r="AT4162" s="15"/>
      <c r="AU4162" s="15"/>
      <c r="AV4162" s="15"/>
      <c r="AW4162" s="15"/>
    </row>
    <row r="4163" spans="3:49" x14ac:dyDescent="0.2">
      <c r="C4163" s="15"/>
      <c r="D4163" s="15"/>
      <c r="E4163" s="15"/>
      <c r="F4163" s="15"/>
      <c r="G4163" s="15"/>
      <c r="H4163" s="15"/>
      <c r="I4163" s="15"/>
      <c r="J4163" s="15"/>
      <c r="K4163" s="15"/>
      <c r="L4163" s="28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  <c r="AA4163" s="15"/>
      <c r="AB4163" s="15"/>
      <c r="AC4163" s="15"/>
      <c r="AD4163" s="15"/>
      <c r="AE4163" s="15"/>
      <c r="AF4163" s="15"/>
      <c r="AG4163" s="15"/>
      <c r="AH4163" s="15"/>
      <c r="AI4163" s="15"/>
      <c r="AJ4163" s="15"/>
      <c r="AK4163" s="15"/>
      <c r="AL4163" s="15"/>
      <c r="AM4163" s="15"/>
      <c r="AN4163" s="15"/>
      <c r="AO4163" s="15"/>
      <c r="AP4163" s="15"/>
      <c r="AQ4163" s="15"/>
      <c r="AR4163" s="15"/>
      <c r="AS4163" s="15"/>
      <c r="AT4163" s="15"/>
      <c r="AU4163" s="15"/>
      <c r="AV4163" s="15"/>
      <c r="AW4163" s="15"/>
    </row>
    <row r="4164" spans="3:49" x14ac:dyDescent="0.2">
      <c r="C4164" s="15"/>
      <c r="D4164" s="15"/>
      <c r="E4164" s="15"/>
      <c r="F4164" s="15"/>
      <c r="G4164" s="15"/>
      <c r="H4164" s="15"/>
      <c r="I4164" s="15"/>
      <c r="J4164" s="15"/>
      <c r="K4164" s="15"/>
      <c r="L4164" s="28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  <c r="AA4164" s="15"/>
      <c r="AB4164" s="15"/>
      <c r="AC4164" s="15"/>
      <c r="AD4164" s="15"/>
      <c r="AE4164" s="15"/>
      <c r="AF4164" s="15"/>
      <c r="AG4164" s="15"/>
      <c r="AH4164" s="15"/>
      <c r="AI4164" s="15"/>
      <c r="AJ4164" s="15"/>
      <c r="AK4164" s="15"/>
      <c r="AL4164" s="15"/>
      <c r="AM4164" s="15"/>
      <c r="AN4164" s="15"/>
      <c r="AO4164" s="15"/>
      <c r="AP4164" s="15"/>
      <c r="AQ4164" s="15"/>
      <c r="AR4164" s="15"/>
      <c r="AS4164" s="15"/>
      <c r="AT4164" s="15"/>
      <c r="AU4164" s="15"/>
      <c r="AV4164" s="15"/>
      <c r="AW4164" s="15"/>
    </row>
    <row r="4165" spans="3:49" x14ac:dyDescent="0.2">
      <c r="C4165" s="15"/>
      <c r="D4165" s="15"/>
      <c r="E4165" s="15"/>
      <c r="F4165" s="15"/>
      <c r="G4165" s="15"/>
      <c r="H4165" s="15"/>
      <c r="I4165" s="15"/>
      <c r="J4165" s="15"/>
      <c r="K4165" s="15"/>
      <c r="L4165" s="28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  <c r="AA4165" s="15"/>
      <c r="AB4165" s="15"/>
      <c r="AC4165" s="15"/>
      <c r="AD4165" s="15"/>
      <c r="AE4165" s="15"/>
      <c r="AF4165" s="15"/>
      <c r="AG4165" s="15"/>
      <c r="AH4165" s="15"/>
      <c r="AI4165" s="15"/>
      <c r="AJ4165" s="15"/>
      <c r="AK4165" s="15"/>
      <c r="AL4165" s="15"/>
      <c r="AM4165" s="15"/>
      <c r="AN4165" s="15"/>
      <c r="AO4165" s="15"/>
      <c r="AP4165" s="15"/>
      <c r="AQ4165" s="15"/>
      <c r="AR4165" s="15"/>
      <c r="AS4165" s="15"/>
      <c r="AT4165" s="15"/>
      <c r="AU4165" s="15"/>
      <c r="AV4165" s="15"/>
      <c r="AW4165" s="15"/>
    </row>
    <row r="4166" spans="3:49" x14ac:dyDescent="0.2">
      <c r="C4166" s="15"/>
      <c r="D4166" s="15"/>
      <c r="E4166" s="15"/>
      <c r="F4166" s="15"/>
      <c r="G4166" s="15"/>
      <c r="H4166" s="15"/>
      <c r="I4166" s="15"/>
      <c r="J4166" s="15"/>
      <c r="K4166" s="15"/>
      <c r="L4166" s="28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  <c r="AA4166" s="15"/>
      <c r="AB4166" s="15"/>
      <c r="AC4166" s="15"/>
      <c r="AD4166" s="15"/>
      <c r="AE4166" s="15"/>
      <c r="AF4166" s="15"/>
      <c r="AG4166" s="15"/>
      <c r="AH4166" s="15"/>
      <c r="AI4166" s="15"/>
      <c r="AJ4166" s="15"/>
      <c r="AK4166" s="15"/>
      <c r="AL4166" s="15"/>
      <c r="AM4166" s="15"/>
      <c r="AN4166" s="15"/>
      <c r="AO4166" s="15"/>
      <c r="AP4166" s="15"/>
      <c r="AQ4166" s="15"/>
      <c r="AR4166" s="15"/>
      <c r="AS4166" s="15"/>
      <c r="AT4166" s="15"/>
      <c r="AU4166" s="15"/>
      <c r="AV4166" s="15"/>
      <c r="AW4166" s="15"/>
    </row>
    <row r="4167" spans="3:49" x14ac:dyDescent="0.2">
      <c r="C4167" s="15"/>
      <c r="D4167" s="15"/>
      <c r="E4167" s="15"/>
      <c r="F4167" s="15"/>
      <c r="G4167" s="15"/>
      <c r="H4167" s="15"/>
      <c r="I4167" s="15"/>
      <c r="J4167" s="15"/>
      <c r="K4167" s="15"/>
      <c r="L4167" s="28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  <c r="AA4167" s="15"/>
      <c r="AB4167" s="15"/>
      <c r="AC4167" s="15"/>
      <c r="AD4167" s="15"/>
      <c r="AE4167" s="15"/>
      <c r="AF4167" s="15"/>
      <c r="AG4167" s="15"/>
      <c r="AH4167" s="15"/>
      <c r="AI4167" s="15"/>
      <c r="AJ4167" s="15"/>
      <c r="AK4167" s="15"/>
      <c r="AL4167" s="15"/>
      <c r="AM4167" s="15"/>
      <c r="AN4167" s="15"/>
      <c r="AO4167" s="15"/>
      <c r="AP4167" s="15"/>
      <c r="AQ4167" s="15"/>
      <c r="AR4167" s="15"/>
      <c r="AS4167" s="15"/>
      <c r="AT4167" s="15"/>
      <c r="AU4167" s="15"/>
      <c r="AV4167" s="15"/>
      <c r="AW4167" s="15"/>
    </row>
    <row r="4168" spans="3:49" x14ac:dyDescent="0.2">
      <c r="C4168" s="15"/>
      <c r="D4168" s="15"/>
      <c r="E4168" s="15"/>
      <c r="F4168" s="15"/>
      <c r="G4168" s="15"/>
      <c r="H4168" s="15"/>
      <c r="I4168" s="15"/>
      <c r="J4168" s="15"/>
      <c r="K4168" s="15"/>
      <c r="L4168" s="28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  <c r="AA4168" s="15"/>
      <c r="AB4168" s="15"/>
      <c r="AC4168" s="15"/>
      <c r="AD4168" s="15"/>
      <c r="AE4168" s="15"/>
      <c r="AF4168" s="15"/>
      <c r="AG4168" s="15"/>
      <c r="AH4168" s="15"/>
      <c r="AI4168" s="15"/>
      <c r="AJ4168" s="15"/>
      <c r="AK4168" s="15"/>
      <c r="AL4168" s="15"/>
      <c r="AM4168" s="15"/>
      <c r="AN4168" s="15"/>
      <c r="AO4168" s="15"/>
      <c r="AP4168" s="15"/>
      <c r="AQ4168" s="15"/>
      <c r="AR4168" s="15"/>
      <c r="AS4168" s="15"/>
      <c r="AT4168" s="15"/>
      <c r="AU4168" s="15"/>
      <c r="AV4168" s="15"/>
      <c r="AW4168" s="15"/>
    </row>
    <row r="4169" spans="3:49" x14ac:dyDescent="0.2">
      <c r="C4169" s="15"/>
      <c r="D4169" s="15"/>
      <c r="E4169" s="15"/>
      <c r="F4169" s="15"/>
      <c r="G4169" s="15"/>
      <c r="H4169" s="15"/>
      <c r="I4169" s="15"/>
      <c r="J4169" s="15"/>
      <c r="K4169" s="15"/>
      <c r="L4169" s="28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  <c r="AA4169" s="15"/>
      <c r="AB4169" s="15"/>
      <c r="AC4169" s="15"/>
      <c r="AD4169" s="15"/>
      <c r="AE4169" s="15"/>
      <c r="AF4169" s="15"/>
      <c r="AG4169" s="15"/>
      <c r="AH4169" s="15"/>
      <c r="AI4169" s="15"/>
      <c r="AJ4169" s="15"/>
      <c r="AK4169" s="15"/>
      <c r="AL4169" s="15"/>
      <c r="AM4169" s="15"/>
      <c r="AN4169" s="15"/>
      <c r="AO4169" s="15"/>
      <c r="AP4169" s="15"/>
      <c r="AQ4169" s="15"/>
      <c r="AR4169" s="15"/>
      <c r="AS4169" s="15"/>
      <c r="AT4169" s="15"/>
      <c r="AU4169" s="15"/>
      <c r="AV4169" s="15"/>
      <c r="AW4169" s="15"/>
    </row>
    <row r="4170" spans="3:49" x14ac:dyDescent="0.2">
      <c r="C4170" s="15"/>
      <c r="D4170" s="15"/>
      <c r="E4170" s="15"/>
      <c r="F4170" s="15"/>
      <c r="G4170" s="15"/>
      <c r="H4170" s="15"/>
      <c r="I4170" s="15"/>
      <c r="J4170" s="15"/>
      <c r="K4170" s="15"/>
      <c r="L4170" s="28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  <c r="AA4170" s="15"/>
      <c r="AB4170" s="15"/>
      <c r="AC4170" s="15"/>
      <c r="AD4170" s="15"/>
      <c r="AE4170" s="15"/>
      <c r="AF4170" s="15"/>
      <c r="AG4170" s="15"/>
      <c r="AH4170" s="15"/>
      <c r="AI4170" s="15"/>
      <c r="AJ4170" s="15"/>
      <c r="AK4170" s="15"/>
      <c r="AL4170" s="15"/>
      <c r="AM4170" s="15"/>
      <c r="AN4170" s="15"/>
      <c r="AO4170" s="15"/>
      <c r="AP4170" s="15"/>
      <c r="AQ4170" s="15"/>
      <c r="AR4170" s="15"/>
      <c r="AS4170" s="15"/>
      <c r="AT4170" s="15"/>
      <c r="AU4170" s="15"/>
      <c r="AV4170" s="15"/>
      <c r="AW4170" s="15"/>
    </row>
    <row r="4171" spans="3:49" x14ac:dyDescent="0.2">
      <c r="C4171" s="15"/>
      <c r="D4171" s="15"/>
      <c r="E4171" s="15"/>
      <c r="F4171" s="15"/>
      <c r="G4171" s="15"/>
      <c r="H4171" s="15"/>
      <c r="I4171" s="15"/>
      <c r="J4171" s="15"/>
      <c r="K4171" s="15"/>
      <c r="L4171" s="28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  <c r="AA4171" s="15"/>
      <c r="AB4171" s="15"/>
      <c r="AC4171" s="15"/>
      <c r="AD4171" s="15"/>
      <c r="AE4171" s="15"/>
      <c r="AF4171" s="15"/>
      <c r="AG4171" s="15"/>
      <c r="AH4171" s="15"/>
      <c r="AI4171" s="15"/>
      <c r="AJ4171" s="15"/>
      <c r="AK4171" s="15"/>
      <c r="AL4171" s="15"/>
      <c r="AM4171" s="15"/>
      <c r="AN4171" s="15"/>
      <c r="AO4171" s="15"/>
      <c r="AP4171" s="15"/>
      <c r="AQ4171" s="15"/>
      <c r="AR4171" s="15"/>
      <c r="AS4171" s="15"/>
      <c r="AT4171" s="15"/>
      <c r="AU4171" s="15"/>
      <c r="AV4171" s="15"/>
      <c r="AW4171" s="15"/>
    </row>
    <row r="4172" spans="3:49" x14ac:dyDescent="0.2">
      <c r="C4172" s="15"/>
      <c r="D4172" s="15"/>
      <c r="E4172" s="15"/>
      <c r="F4172" s="15"/>
      <c r="G4172" s="15"/>
      <c r="H4172" s="15"/>
      <c r="I4172" s="15"/>
      <c r="J4172" s="15"/>
      <c r="K4172" s="15"/>
      <c r="L4172" s="28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  <c r="AA4172" s="15"/>
      <c r="AB4172" s="15"/>
      <c r="AC4172" s="15"/>
      <c r="AD4172" s="15"/>
      <c r="AE4172" s="15"/>
      <c r="AF4172" s="15"/>
      <c r="AG4172" s="15"/>
      <c r="AH4172" s="15"/>
      <c r="AI4172" s="15"/>
      <c r="AJ4172" s="15"/>
      <c r="AK4172" s="15"/>
      <c r="AL4172" s="15"/>
      <c r="AM4172" s="15"/>
      <c r="AN4172" s="15"/>
      <c r="AO4172" s="15"/>
      <c r="AP4172" s="15"/>
      <c r="AQ4172" s="15"/>
      <c r="AR4172" s="15"/>
      <c r="AS4172" s="15"/>
      <c r="AT4172" s="15"/>
      <c r="AU4172" s="15"/>
      <c r="AV4172" s="15"/>
      <c r="AW4172" s="15"/>
    </row>
    <row r="4173" spans="3:49" x14ac:dyDescent="0.2">
      <c r="C4173" s="15"/>
      <c r="D4173" s="15"/>
      <c r="E4173" s="15"/>
      <c r="F4173" s="15"/>
      <c r="G4173" s="15"/>
      <c r="H4173" s="15"/>
      <c r="I4173" s="15"/>
      <c r="J4173" s="15"/>
      <c r="K4173" s="15"/>
      <c r="L4173" s="28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  <c r="AA4173" s="15"/>
      <c r="AB4173" s="15"/>
      <c r="AC4173" s="15"/>
      <c r="AD4173" s="15"/>
      <c r="AE4173" s="15"/>
      <c r="AF4173" s="15"/>
      <c r="AG4173" s="15"/>
      <c r="AH4173" s="15"/>
      <c r="AI4173" s="15"/>
      <c r="AJ4173" s="15"/>
      <c r="AK4173" s="15"/>
      <c r="AL4173" s="15"/>
      <c r="AM4173" s="15"/>
      <c r="AN4173" s="15"/>
      <c r="AO4173" s="15"/>
      <c r="AP4173" s="15"/>
      <c r="AQ4173" s="15"/>
      <c r="AR4173" s="15"/>
      <c r="AS4173" s="15"/>
      <c r="AT4173" s="15"/>
      <c r="AU4173" s="15"/>
      <c r="AV4173" s="15"/>
      <c r="AW4173" s="15"/>
    </row>
    <row r="4174" spans="3:49" x14ac:dyDescent="0.2">
      <c r="C4174" s="15"/>
      <c r="D4174" s="15"/>
      <c r="E4174" s="15"/>
      <c r="F4174" s="15"/>
      <c r="G4174" s="15"/>
      <c r="H4174" s="15"/>
      <c r="I4174" s="15"/>
      <c r="J4174" s="15"/>
      <c r="K4174" s="15"/>
      <c r="L4174" s="28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  <c r="AA4174" s="15"/>
      <c r="AB4174" s="15"/>
      <c r="AC4174" s="15"/>
      <c r="AD4174" s="15"/>
      <c r="AE4174" s="15"/>
      <c r="AF4174" s="15"/>
      <c r="AG4174" s="15"/>
      <c r="AH4174" s="15"/>
      <c r="AI4174" s="15"/>
      <c r="AJ4174" s="15"/>
      <c r="AK4174" s="15"/>
      <c r="AL4174" s="15"/>
      <c r="AM4174" s="15"/>
      <c r="AN4174" s="15"/>
      <c r="AO4174" s="15"/>
      <c r="AP4174" s="15"/>
      <c r="AQ4174" s="15"/>
      <c r="AR4174" s="15"/>
      <c r="AS4174" s="15"/>
      <c r="AT4174" s="15"/>
      <c r="AU4174" s="15"/>
      <c r="AV4174" s="15"/>
      <c r="AW4174" s="15"/>
    </row>
    <row r="4175" spans="3:49" x14ac:dyDescent="0.2">
      <c r="C4175" s="15"/>
      <c r="D4175" s="15"/>
      <c r="E4175" s="15"/>
      <c r="F4175" s="15"/>
      <c r="G4175" s="15"/>
      <c r="H4175" s="15"/>
      <c r="I4175" s="15"/>
      <c r="J4175" s="15"/>
      <c r="K4175" s="15"/>
      <c r="L4175" s="28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  <c r="AA4175" s="15"/>
      <c r="AB4175" s="15"/>
      <c r="AC4175" s="15"/>
      <c r="AD4175" s="15"/>
      <c r="AE4175" s="15"/>
      <c r="AF4175" s="15"/>
      <c r="AG4175" s="15"/>
      <c r="AH4175" s="15"/>
      <c r="AI4175" s="15"/>
      <c r="AJ4175" s="15"/>
      <c r="AK4175" s="15"/>
      <c r="AL4175" s="15"/>
      <c r="AM4175" s="15"/>
      <c r="AN4175" s="15"/>
      <c r="AO4175" s="15"/>
      <c r="AP4175" s="15"/>
      <c r="AQ4175" s="15"/>
      <c r="AR4175" s="15"/>
      <c r="AS4175" s="15"/>
      <c r="AT4175" s="15"/>
      <c r="AU4175" s="15"/>
      <c r="AV4175" s="15"/>
      <c r="AW4175" s="15"/>
    </row>
    <row r="4176" spans="3:49" x14ac:dyDescent="0.2">
      <c r="C4176" s="15"/>
      <c r="D4176" s="15"/>
      <c r="E4176" s="15"/>
      <c r="F4176" s="15"/>
      <c r="G4176" s="15"/>
      <c r="H4176" s="15"/>
      <c r="I4176" s="15"/>
      <c r="J4176" s="15"/>
      <c r="K4176" s="15"/>
      <c r="L4176" s="28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  <c r="AA4176" s="15"/>
      <c r="AB4176" s="15"/>
      <c r="AC4176" s="15"/>
      <c r="AD4176" s="15"/>
      <c r="AE4176" s="15"/>
      <c r="AF4176" s="15"/>
      <c r="AG4176" s="15"/>
      <c r="AH4176" s="15"/>
      <c r="AI4176" s="15"/>
      <c r="AJ4176" s="15"/>
      <c r="AK4176" s="15"/>
      <c r="AL4176" s="15"/>
      <c r="AM4176" s="15"/>
      <c r="AN4176" s="15"/>
      <c r="AO4176" s="15"/>
      <c r="AP4176" s="15"/>
      <c r="AQ4176" s="15"/>
      <c r="AR4176" s="15"/>
      <c r="AS4176" s="15"/>
      <c r="AT4176" s="15"/>
      <c r="AU4176" s="15"/>
      <c r="AV4176" s="15"/>
      <c r="AW4176" s="15"/>
    </row>
    <row r="4177" spans="3:49" x14ac:dyDescent="0.2">
      <c r="C4177" s="15"/>
      <c r="D4177" s="15"/>
      <c r="E4177" s="15"/>
      <c r="F4177" s="15"/>
      <c r="G4177" s="15"/>
      <c r="H4177" s="15"/>
      <c r="I4177" s="15"/>
      <c r="J4177" s="15"/>
      <c r="K4177" s="15"/>
      <c r="L4177" s="28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  <c r="AA4177" s="15"/>
      <c r="AB4177" s="15"/>
      <c r="AC4177" s="15"/>
      <c r="AD4177" s="15"/>
      <c r="AE4177" s="15"/>
      <c r="AF4177" s="15"/>
      <c r="AG4177" s="15"/>
      <c r="AH4177" s="15"/>
      <c r="AI4177" s="15"/>
      <c r="AJ4177" s="15"/>
      <c r="AK4177" s="15"/>
      <c r="AL4177" s="15"/>
      <c r="AM4177" s="15"/>
      <c r="AN4177" s="15"/>
      <c r="AO4177" s="15"/>
      <c r="AP4177" s="15"/>
      <c r="AQ4177" s="15"/>
      <c r="AR4177" s="15"/>
      <c r="AS4177" s="15"/>
      <c r="AT4177" s="15"/>
      <c r="AU4177" s="15"/>
      <c r="AV4177" s="15"/>
      <c r="AW4177" s="15"/>
    </row>
    <row r="4178" spans="3:49" x14ac:dyDescent="0.2">
      <c r="C4178" s="15"/>
      <c r="D4178" s="15"/>
      <c r="E4178" s="15"/>
      <c r="F4178" s="15"/>
      <c r="G4178" s="15"/>
      <c r="H4178" s="15"/>
      <c r="I4178" s="15"/>
      <c r="J4178" s="15"/>
      <c r="K4178" s="15"/>
      <c r="L4178" s="28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  <c r="AA4178" s="15"/>
      <c r="AB4178" s="15"/>
      <c r="AC4178" s="15"/>
      <c r="AD4178" s="15"/>
      <c r="AE4178" s="15"/>
      <c r="AF4178" s="15"/>
      <c r="AG4178" s="15"/>
      <c r="AH4178" s="15"/>
      <c r="AI4178" s="15"/>
      <c r="AJ4178" s="15"/>
      <c r="AK4178" s="15"/>
      <c r="AL4178" s="15"/>
      <c r="AM4178" s="15"/>
      <c r="AN4178" s="15"/>
      <c r="AO4178" s="15"/>
      <c r="AP4178" s="15"/>
      <c r="AQ4178" s="15"/>
      <c r="AR4178" s="15"/>
      <c r="AS4178" s="15"/>
      <c r="AT4178" s="15"/>
      <c r="AU4178" s="15"/>
      <c r="AV4178" s="15"/>
      <c r="AW4178" s="15"/>
    </row>
    <row r="4179" spans="3:49" x14ac:dyDescent="0.2">
      <c r="C4179" s="15"/>
      <c r="D4179" s="15"/>
      <c r="E4179" s="15"/>
      <c r="F4179" s="15"/>
      <c r="G4179" s="15"/>
      <c r="H4179" s="15"/>
      <c r="I4179" s="15"/>
      <c r="J4179" s="15"/>
      <c r="K4179" s="15"/>
      <c r="L4179" s="28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  <c r="AA4179" s="15"/>
      <c r="AB4179" s="15"/>
      <c r="AC4179" s="15"/>
      <c r="AD4179" s="15"/>
      <c r="AE4179" s="15"/>
      <c r="AF4179" s="15"/>
      <c r="AG4179" s="15"/>
      <c r="AH4179" s="15"/>
      <c r="AI4179" s="15"/>
      <c r="AJ4179" s="15"/>
      <c r="AK4179" s="15"/>
      <c r="AL4179" s="15"/>
      <c r="AM4179" s="15"/>
      <c r="AN4179" s="15"/>
      <c r="AO4179" s="15"/>
      <c r="AP4179" s="15"/>
      <c r="AQ4179" s="15"/>
      <c r="AR4179" s="15"/>
      <c r="AS4179" s="15"/>
      <c r="AT4179" s="15"/>
      <c r="AU4179" s="15"/>
      <c r="AV4179" s="15"/>
      <c r="AW4179" s="15"/>
    </row>
    <row r="4180" spans="3:49" x14ac:dyDescent="0.2">
      <c r="C4180" s="15"/>
      <c r="D4180" s="15"/>
      <c r="E4180" s="15"/>
      <c r="F4180" s="15"/>
      <c r="G4180" s="15"/>
      <c r="H4180" s="15"/>
      <c r="I4180" s="15"/>
      <c r="J4180" s="15"/>
      <c r="K4180" s="15"/>
      <c r="L4180" s="28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  <c r="AA4180" s="15"/>
      <c r="AB4180" s="15"/>
      <c r="AC4180" s="15"/>
      <c r="AD4180" s="15"/>
      <c r="AE4180" s="15"/>
      <c r="AF4180" s="15"/>
      <c r="AG4180" s="15"/>
      <c r="AH4180" s="15"/>
      <c r="AI4180" s="15"/>
      <c r="AJ4180" s="15"/>
      <c r="AK4180" s="15"/>
      <c r="AL4180" s="15"/>
      <c r="AM4180" s="15"/>
      <c r="AN4180" s="15"/>
      <c r="AO4180" s="15"/>
      <c r="AP4180" s="15"/>
      <c r="AQ4180" s="15"/>
      <c r="AR4180" s="15"/>
      <c r="AS4180" s="15"/>
      <c r="AT4180" s="15"/>
      <c r="AU4180" s="15"/>
      <c r="AV4180" s="15"/>
      <c r="AW4180" s="15"/>
    </row>
    <row r="4181" spans="3:49" x14ac:dyDescent="0.2">
      <c r="C4181" s="15"/>
      <c r="D4181" s="15"/>
      <c r="E4181" s="15"/>
      <c r="F4181" s="15"/>
      <c r="G4181" s="15"/>
      <c r="H4181" s="15"/>
      <c r="I4181" s="15"/>
      <c r="J4181" s="15"/>
      <c r="K4181" s="15"/>
      <c r="L4181" s="28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  <c r="AA4181" s="15"/>
      <c r="AB4181" s="15"/>
      <c r="AC4181" s="15"/>
      <c r="AD4181" s="15"/>
      <c r="AE4181" s="15"/>
      <c r="AF4181" s="15"/>
      <c r="AG4181" s="15"/>
      <c r="AH4181" s="15"/>
      <c r="AI4181" s="15"/>
      <c r="AJ4181" s="15"/>
      <c r="AK4181" s="15"/>
      <c r="AL4181" s="15"/>
      <c r="AM4181" s="15"/>
      <c r="AN4181" s="15"/>
      <c r="AO4181" s="15"/>
      <c r="AP4181" s="15"/>
      <c r="AQ4181" s="15"/>
      <c r="AR4181" s="15"/>
      <c r="AS4181" s="15"/>
      <c r="AT4181" s="15"/>
      <c r="AU4181" s="15"/>
      <c r="AV4181" s="15"/>
      <c r="AW4181" s="15"/>
    </row>
    <row r="4182" spans="3:49" x14ac:dyDescent="0.2">
      <c r="C4182" s="15"/>
      <c r="D4182" s="15"/>
      <c r="E4182" s="15"/>
      <c r="F4182" s="15"/>
      <c r="G4182" s="15"/>
      <c r="H4182" s="15"/>
      <c r="I4182" s="15"/>
      <c r="J4182" s="15"/>
      <c r="K4182" s="15"/>
      <c r="L4182" s="28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  <c r="AA4182" s="15"/>
      <c r="AB4182" s="15"/>
      <c r="AC4182" s="15"/>
      <c r="AD4182" s="15"/>
      <c r="AE4182" s="15"/>
      <c r="AF4182" s="15"/>
      <c r="AG4182" s="15"/>
      <c r="AH4182" s="15"/>
      <c r="AI4182" s="15"/>
      <c r="AJ4182" s="15"/>
      <c r="AK4182" s="15"/>
      <c r="AL4182" s="15"/>
      <c r="AM4182" s="15"/>
      <c r="AN4182" s="15"/>
      <c r="AO4182" s="15"/>
      <c r="AP4182" s="15"/>
      <c r="AQ4182" s="15"/>
      <c r="AR4182" s="15"/>
      <c r="AS4182" s="15"/>
      <c r="AT4182" s="15"/>
      <c r="AU4182" s="15"/>
      <c r="AV4182" s="15"/>
      <c r="AW4182" s="15"/>
    </row>
    <row r="4183" spans="3:49" x14ac:dyDescent="0.2">
      <c r="C4183" s="15"/>
      <c r="D4183" s="15"/>
      <c r="E4183" s="15"/>
      <c r="F4183" s="15"/>
      <c r="G4183" s="15"/>
      <c r="H4183" s="15"/>
      <c r="I4183" s="15"/>
      <c r="J4183" s="15"/>
      <c r="K4183" s="15"/>
      <c r="L4183" s="28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  <c r="AA4183" s="15"/>
      <c r="AB4183" s="15"/>
      <c r="AC4183" s="15"/>
      <c r="AD4183" s="15"/>
      <c r="AE4183" s="15"/>
      <c r="AF4183" s="15"/>
      <c r="AG4183" s="15"/>
      <c r="AH4183" s="15"/>
      <c r="AI4183" s="15"/>
      <c r="AJ4183" s="15"/>
      <c r="AK4183" s="15"/>
      <c r="AL4183" s="15"/>
      <c r="AM4183" s="15"/>
      <c r="AN4183" s="15"/>
      <c r="AO4183" s="15"/>
      <c r="AP4183" s="15"/>
      <c r="AQ4183" s="15"/>
      <c r="AR4183" s="15"/>
      <c r="AS4183" s="15"/>
      <c r="AT4183" s="15"/>
      <c r="AU4183" s="15"/>
      <c r="AV4183" s="15"/>
      <c r="AW4183" s="15"/>
    </row>
    <row r="4184" spans="3:49" x14ac:dyDescent="0.2">
      <c r="C4184" s="15"/>
      <c r="D4184" s="15"/>
      <c r="E4184" s="15"/>
      <c r="F4184" s="15"/>
      <c r="G4184" s="15"/>
      <c r="H4184" s="15"/>
      <c r="I4184" s="15"/>
      <c r="J4184" s="15"/>
      <c r="K4184" s="15"/>
      <c r="L4184" s="28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  <c r="AA4184" s="15"/>
      <c r="AB4184" s="15"/>
      <c r="AC4184" s="15"/>
      <c r="AD4184" s="15"/>
      <c r="AE4184" s="15"/>
      <c r="AF4184" s="15"/>
      <c r="AG4184" s="15"/>
      <c r="AH4184" s="15"/>
      <c r="AI4184" s="15"/>
      <c r="AJ4184" s="15"/>
      <c r="AK4184" s="15"/>
      <c r="AL4184" s="15"/>
      <c r="AM4184" s="15"/>
      <c r="AN4184" s="15"/>
      <c r="AO4184" s="15"/>
      <c r="AP4184" s="15"/>
      <c r="AQ4184" s="15"/>
      <c r="AR4184" s="15"/>
      <c r="AS4184" s="15"/>
      <c r="AT4184" s="15"/>
      <c r="AU4184" s="15"/>
      <c r="AV4184" s="15"/>
      <c r="AW4184" s="15"/>
    </row>
    <row r="4185" spans="3:49" x14ac:dyDescent="0.2">
      <c r="C4185" s="15"/>
      <c r="D4185" s="15"/>
      <c r="E4185" s="15"/>
      <c r="F4185" s="15"/>
      <c r="G4185" s="15"/>
      <c r="H4185" s="15"/>
      <c r="I4185" s="15"/>
      <c r="J4185" s="15"/>
      <c r="K4185" s="15"/>
      <c r="L4185" s="28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  <c r="AA4185" s="15"/>
      <c r="AB4185" s="15"/>
      <c r="AC4185" s="15"/>
      <c r="AD4185" s="15"/>
      <c r="AE4185" s="15"/>
      <c r="AF4185" s="15"/>
      <c r="AG4185" s="15"/>
      <c r="AH4185" s="15"/>
      <c r="AI4185" s="15"/>
      <c r="AJ4185" s="15"/>
      <c r="AK4185" s="15"/>
      <c r="AL4185" s="15"/>
      <c r="AM4185" s="15"/>
      <c r="AN4185" s="15"/>
      <c r="AO4185" s="15"/>
      <c r="AP4185" s="15"/>
      <c r="AQ4185" s="15"/>
      <c r="AR4185" s="15"/>
      <c r="AS4185" s="15"/>
      <c r="AT4185" s="15"/>
      <c r="AU4185" s="15"/>
      <c r="AV4185" s="15"/>
      <c r="AW4185" s="15"/>
    </row>
    <row r="4186" spans="3:49" x14ac:dyDescent="0.2">
      <c r="C4186" s="15"/>
      <c r="D4186" s="15"/>
      <c r="E4186" s="15"/>
      <c r="F4186" s="15"/>
      <c r="G4186" s="15"/>
      <c r="H4186" s="15"/>
      <c r="I4186" s="15"/>
      <c r="J4186" s="15"/>
      <c r="K4186" s="15"/>
      <c r="L4186" s="28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  <c r="AA4186" s="15"/>
      <c r="AB4186" s="15"/>
      <c r="AC4186" s="15"/>
      <c r="AD4186" s="15"/>
      <c r="AE4186" s="15"/>
      <c r="AF4186" s="15"/>
      <c r="AG4186" s="15"/>
      <c r="AH4186" s="15"/>
      <c r="AI4186" s="15"/>
      <c r="AJ4186" s="15"/>
      <c r="AK4186" s="15"/>
      <c r="AL4186" s="15"/>
      <c r="AM4186" s="15"/>
      <c r="AN4186" s="15"/>
      <c r="AO4186" s="15"/>
      <c r="AP4186" s="15"/>
      <c r="AQ4186" s="15"/>
      <c r="AR4186" s="15"/>
      <c r="AS4186" s="15"/>
      <c r="AT4186" s="15"/>
      <c r="AU4186" s="15"/>
      <c r="AV4186" s="15"/>
      <c r="AW4186" s="15"/>
    </row>
    <row r="4187" spans="3:49" x14ac:dyDescent="0.2">
      <c r="C4187" s="15"/>
      <c r="D4187" s="15"/>
      <c r="E4187" s="15"/>
      <c r="F4187" s="15"/>
      <c r="G4187" s="15"/>
      <c r="H4187" s="15"/>
      <c r="I4187" s="15"/>
      <c r="J4187" s="15"/>
      <c r="K4187" s="15"/>
      <c r="L4187" s="28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  <c r="AA4187" s="15"/>
      <c r="AB4187" s="15"/>
      <c r="AC4187" s="15"/>
      <c r="AD4187" s="15"/>
      <c r="AE4187" s="15"/>
      <c r="AF4187" s="15"/>
      <c r="AG4187" s="15"/>
      <c r="AH4187" s="15"/>
      <c r="AI4187" s="15"/>
      <c r="AJ4187" s="15"/>
      <c r="AK4187" s="15"/>
      <c r="AL4187" s="15"/>
      <c r="AM4187" s="15"/>
      <c r="AN4187" s="15"/>
      <c r="AO4187" s="15"/>
      <c r="AP4187" s="15"/>
      <c r="AQ4187" s="15"/>
      <c r="AR4187" s="15"/>
      <c r="AS4187" s="15"/>
      <c r="AT4187" s="15"/>
      <c r="AU4187" s="15"/>
      <c r="AV4187" s="15"/>
      <c r="AW4187" s="15"/>
    </row>
    <row r="4188" spans="3:49" x14ac:dyDescent="0.2">
      <c r="C4188" s="15"/>
      <c r="D4188" s="15"/>
      <c r="E4188" s="15"/>
      <c r="F4188" s="15"/>
      <c r="G4188" s="15"/>
      <c r="H4188" s="15"/>
      <c r="I4188" s="15"/>
      <c r="J4188" s="15"/>
      <c r="K4188" s="15"/>
      <c r="L4188" s="28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  <c r="AA4188" s="15"/>
      <c r="AB4188" s="15"/>
      <c r="AC4188" s="15"/>
      <c r="AD4188" s="15"/>
      <c r="AE4188" s="15"/>
      <c r="AF4188" s="15"/>
      <c r="AG4188" s="15"/>
      <c r="AH4188" s="15"/>
      <c r="AI4188" s="15"/>
      <c r="AJ4188" s="15"/>
      <c r="AK4188" s="15"/>
      <c r="AL4188" s="15"/>
      <c r="AM4188" s="15"/>
      <c r="AN4188" s="15"/>
      <c r="AO4188" s="15"/>
      <c r="AP4188" s="15"/>
      <c r="AQ4188" s="15"/>
      <c r="AR4188" s="15"/>
      <c r="AS4188" s="15"/>
      <c r="AT4188" s="15"/>
      <c r="AU4188" s="15"/>
      <c r="AV4188" s="15"/>
      <c r="AW4188" s="15"/>
    </row>
    <row r="4189" spans="3:49" x14ac:dyDescent="0.2">
      <c r="C4189" s="15"/>
      <c r="D4189" s="15"/>
      <c r="E4189" s="15"/>
      <c r="F4189" s="15"/>
      <c r="G4189" s="15"/>
      <c r="H4189" s="15"/>
      <c r="I4189" s="15"/>
      <c r="J4189" s="15"/>
      <c r="K4189" s="15"/>
      <c r="L4189" s="28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  <c r="AA4189" s="15"/>
      <c r="AB4189" s="15"/>
      <c r="AC4189" s="15"/>
      <c r="AD4189" s="15"/>
      <c r="AE4189" s="15"/>
      <c r="AF4189" s="15"/>
      <c r="AG4189" s="15"/>
      <c r="AH4189" s="15"/>
      <c r="AI4189" s="15"/>
      <c r="AJ4189" s="15"/>
      <c r="AK4189" s="15"/>
      <c r="AL4189" s="15"/>
      <c r="AM4189" s="15"/>
      <c r="AN4189" s="15"/>
      <c r="AO4189" s="15"/>
      <c r="AP4189" s="15"/>
      <c r="AQ4189" s="15"/>
      <c r="AR4189" s="15"/>
      <c r="AS4189" s="15"/>
      <c r="AT4189" s="15"/>
      <c r="AU4189" s="15"/>
      <c r="AV4189" s="15"/>
      <c r="AW4189" s="15"/>
    </row>
    <row r="4190" spans="3:49" x14ac:dyDescent="0.2">
      <c r="C4190" s="15"/>
      <c r="D4190" s="15"/>
      <c r="E4190" s="15"/>
      <c r="F4190" s="15"/>
      <c r="G4190" s="15"/>
      <c r="H4190" s="15"/>
      <c r="I4190" s="15"/>
      <c r="J4190" s="15"/>
      <c r="K4190" s="15"/>
      <c r="L4190" s="28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  <c r="AA4190" s="15"/>
      <c r="AB4190" s="15"/>
      <c r="AC4190" s="15"/>
      <c r="AD4190" s="15"/>
      <c r="AE4190" s="15"/>
      <c r="AF4190" s="15"/>
      <c r="AG4190" s="15"/>
      <c r="AH4190" s="15"/>
      <c r="AI4190" s="15"/>
      <c r="AJ4190" s="15"/>
      <c r="AK4190" s="15"/>
      <c r="AL4190" s="15"/>
      <c r="AM4190" s="15"/>
      <c r="AN4190" s="15"/>
      <c r="AO4190" s="15"/>
      <c r="AP4190" s="15"/>
      <c r="AQ4190" s="15"/>
      <c r="AR4190" s="15"/>
      <c r="AS4190" s="15"/>
      <c r="AT4190" s="15"/>
      <c r="AU4190" s="15"/>
      <c r="AV4190" s="15"/>
      <c r="AW4190" s="15"/>
    </row>
    <row r="4191" spans="3:49" x14ac:dyDescent="0.2">
      <c r="C4191" s="15"/>
      <c r="D4191" s="15"/>
      <c r="E4191" s="15"/>
      <c r="F4191" s="15"/>
      <c r="G4191" s="15"/>
      <c r="H4191" s="15"/>
      <c r="I4191" s="15"/>
      <c r="J4191" s="15"/>
      <c r="K4191" s="15"/>
      <c r="L4191" s="28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  <c r="AA4191" s="15"/>
      <c r="AB4191" s="15"/>
      <c r="AC4191" s="15"/>
      <c r="AD4191" s="15"/>
      <c r="AE4191" s="15"/>
      <c r="AF4191" s="15"/>
      <c r="AG4191" s="15"/>
      <c r="AH4191" s="15"/>
      <c r="AI4191" s="15"/>
      <c r="AJ4191" s="15"/>
      <c r="AK4191" s="15"/>
      <c r="AL4191" s="15"/>
      <c r="AM4191" s="15"/>
      <c r="AN4191" s="15"/>
      <c r="AO4191" s="15"/>
      <c r="AP4191" s="15"/>
      <c r="AQ4191" s="15"/>
      <c r="AR4191" s="15"/>
      <c r="AS4191" s="15"/>
      <c r="AT4191" s="15"/>
      <c r="AU4191" s="15"/>
      <c r="AV4191" s="15"/>
      <c r="AW4191" s="15"/>
    </row>
    <row r="4192" spans="3:49" x14ac:dyDescent="0.2">
      <c r="C4192" s="15"/>
      <c r="D4192" s="15"/>
      <c r="E4192" s="15"/>
      <c r="F4192" s="15"/>
      <c r="G4192" s="15"/>
      <c r="H4192" s="15"/>
      <c r="I4192" s="15"/>
      <c r="J4192" s="15"/>
      <c r="K4192" s="15"/>
      <c r="L4192" s="28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  <c r="AA4192" s="15"/>
      <c r="AB4192" s="15"/>
      <c r="AC4192" s="15"/>
      <c r="AD4192" s="15"/>
      <c r="AE4192" s="15"/>
      <c r="AF4192" s="15"/>
      <c r="AG4192" s="15"/>
      <c r="AH4192" s="15"/>
      <c r="AI4192" s="15"/>
      <c r="AJ4192" s="15"/>
      <c r="AK4192" s="15"/>
      <c r="AL4192" s="15"/>
      <c r="AM4192" s="15"/>
      <c r="AN4192" s="15"/>
      <c r="AO4192" s="15"/>
      <c r="AP4192" s="15"/>
      <c r="AQ4192" s="15"/>
      <c r="AR4192" s="15"/>
      <c r="AS4192" s="15"/>
      <c r="AT4192" s="15"/>
      <c r="AU4192" s="15"/>
      <c r="AV4192" s="15"/>
      <c r="AW4192" s="15"/>
    </row>
    <row r="4193" spans="3:49" x14ac:dyDescent="0.2">
      <c r="C4193" s="15"/>
      <c r="D4193" s="15"/>
      <c r="E4193" s="15"/>
      <c r="F4193" s="15"/>
      <c r="G4193" s="15"/>
      <c r="H4193" s="15"/>
      <c r="I4193" s="15"/>
      <c r="J4193" s="15"/>
      <c r="K4193" s="15"/>
      <c r="L4193" s="28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  <c r="AA4193" s="15"/>
      <c r="AB4193" s="15"/>
      <c r="AC4193" s="15"/>
      <c r="AD4193" s="15"/>
      <c r="AE4193" s="15"/>
      <c r="AF4193" s="15"/>
      <c r="AG4193" s="15"/>
      <c r="AH4193" s="15"/>
      <c r="AI4193" s="15"/>
      <c r="AJ4193" s="15"/>
      <c r="AK4193" s="15"/>
      <c r="AL4193" s="15"/>
      <c r="AM4193" s="15"/>
      <c r="AN4193" s="15"/>
      <c r="AO4193" s="15"/>
      <c r="AP4193" s="15"/>
      <c r="AQ4193" s="15"/>
      <c r="AR4193" s="15"/>
      <c r="AS4193" s="15"/>
      <c r="AT4193" s="15"/>
      <c r="AU4193" s="15"/>
      <c r="AV4193" s="15"/>
      <c r="AW4193" s="15"/>
    </row>
    <row r="4194" spans="3:49" x14ac:dyDescent="0.2">
      <c r="C4194" s="15"/>
      <c r="D4194" s="15"/>
      <c r="E4194" s="15"/>
      <c r="F4194" s="15"/>
      <c r="G4194" s="15"/>
      <c r="H4194" s="15"/>
      <c r="I4194" s="15"/>
      <c r="J4194" s="15"/>
      <c r="K4194" s="15"/>
      <c r="L4194" s="28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  <c r="AA4194" s="15"/>
      <c r="AB4194" s="15"/>
      <c r="AC4194" s="15"/>
      <c r="AD4194" s="15"/>
      <c r="AE4194" s="15"/>
      <c r="AF4194" s="15"/>
      <c r="AG4194" s="15"/>
      <c r="AH4194" s="15"/>
      <c r="AI4194" s="15"/>
      <c r="AJ4194" s="15"/>
      <c r="AK4194" s="15"/>
      <c r="AL4194" s="15"/>
      <c r="AM4194" s="15"/>
      <c r="AN4194" s="15"/>
      <c r="AO4194" s="15"/>
      <c r="AP4194" s="15"/>
      <c r="AQ4194" s="15"/>
      <c r="AR4194" s="15"/>
      <c r="AS4194" s="15"/>
      <c r="AT4194" s="15"/>
      <c r="AU4194" s="15"/>
      <c r="AV4194" s="15"/>
      <c r="AW4194" s="15"/>
    </row>
    <row r="4195" spans="3:49" x14ac:dyDescent="0.2">
      <c r="C4195" s="15"/>
      <c r="D4195" s="15"/>
      <c r="E4195" s="15"/>
      <c r="F4195" s="15"/>
      <c r="G4195" s="15"/>
      <c r="H4195" s="15"/>
      <c r="I4195" s="15"/>
      <c r="J4195" s="15"/>
      <c r="K4195" s="15"/>
      <c r="L4195" s="28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  <c r="AA4195" s="15"/>
      <c r="AB4195" s="15"/>
      <c r="AC4195" s="15"/>
      <c r="AD4195" s="15"/>
      <c r="AE4195" s="15"/>
      <c r="AF4195" s="15"/>
      <c r="AG4195" s="15"/>
      <c r="AH4195" s="15"/>
      <c r="AI4195" s="15"/>
      <c r="AJ4195" s="15"/>
      <c r="AK4195" s="15"/>
      <c r="AL4195" s="15"/>
      <c r="AM4195" s="15"/>
      <c r="AN4195" s="15"/>
      <c r="AO4195" s="15"/>
      <c r="AP4195" s="15"/>
      <c r="AQ4195" s="15"/>
      <c r="AR4195" s="15"/>
      <c r="AS4195" s="15"/>
      <c r="AT4195" s="15"/>
      <c r="AU4195" s="15"/>
      <c r="AV4195" s="15"/>
      <c r="AW4195" s="15"/>
    </row>
    <row r="4196" spans="3:49" x14ac:dyDescent="0.2">
      <c r="C4196" s="15"/>
      <c r="D4196" s="15"/>
      <c r="E4196" s="15"/>
      <c r="F4196" s="15"/>
      <c r="G4196" s="15"/>
      <c r="H4196" s="15"/>
      <c r="I4196" s="15"/>
      <c r="J4196" s="15"/>
      <c r="K4196" s="15"/>
      <c r="L4196" s="28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  <c r="AA4196" s="15"/>
      <c r="AB4196" s="15"/>
      <c r="AC4196" s="15"/>
      <c r="AD4196" s="15"/>
      <c r="AE4196" s="15"/>
      <c r="AF4196" s="15"/>
      <c r="AG4196" s="15"/>
      <c r="AH4196" s="15"/>
      <c r="AI4196" s="15"/>
      <c r="AJ4196" s="15"/>
      <c r="AK4196" s="15"/>
      <c r="AL4196" s="15"/>
      <c r="AM4196" s="15"/>
      <c r="AN4196" s="15"/>
      <c r="AO4196" s="15"/>
      <c r="AP4196" s="15"/>
      <c r="AQ4196" s="15"/>
      <c r="AR4196" s="15"/>
      <c r="AS4196" s="15"/>
      <c r="AT4196" s="15"/>
      <c r="AU4196" s="15"/>
      <c r="AV4196" s="15"/>
      <c r="AW4196" s="15"/>
    </row>
    <row r="4197" spans="3:49" x14ac:dyDescent="0.2">
      <c r="C4197" s="15"/>
      <c r="D4197" s="15"/>
      <c r="E4197" s="15"/>
      <c r="F4197" s="15"/>
      <c r="G4197" s="15"/>
      <c r="H4197" s="15"/>
      <c r="I4197" s="15"/>
      <c r="J4197" s="15"/>
      <c r="K4197" s="15"/>
      <c r="L4197" s="28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  <c r="AA4197" s="15"/>
      <c r="AB4197" s="15"/>
      <c r="AC4197" s="15"/>
      <c r="AD4197" s="15"/>
      <c r="AE4197" s="15"/>
      <c r="AF4197" s="15"/>
      <c r="AG4197" s="15"/>
      <c r="AH4197" s="15"/>
      <c r="AI4197" s="15"/>
      <c r="AJ4197" s="15"/>
      <c r="AK4197" s="15"/>
      <c r="AL4197" s="15"/>
      <c r="AM4197" s="15"/>
      <c r="AN4197" s="15"/>
      <c r="AO4197" s="15"/>
      <c r="AP4197" s="15"/>
      <c r="AQ4197" s="15"/>
      <c r="AR4197" s="15"/>
      <c r="AS4197" s="15"/>
      <c r="AT4197" s="15"/>
      <c r="AU4197" s="15"/>
      <c r="AV4197" s="15"/>
      <c r="AW4197" s="15"/>
    </row>
    <row r="4198" spans="3:49" x14ac:dyDescent="0.2">
      <c r="C4198" s="15"/>
      <c r="D4198" s="15"/>
      <c r="E4198" s="15"/>
      <c r="F4198" s="15"/>
      <c r="G4198" s="15"/>
      <c r="H4198" s="15"/>
      <c r="I4198" s="15"/>
      <c r="J4198" s="15"/>
      <c r="K4198" s="15"/>
      <c r="L4198" s="28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  <c r="AA4198" s="15"/>
      <c r="AB4198" s="15"/>
      <c r="AC4198" s="15"/>
      <c r="AD4198" s="15"/>
      <c r="AE4198" s="15"/>
      <c r="AF4198" s="15"/>
      <c r="AG4198" s="15"/>
      <c r="AH4198" s="15"/>
      <c r="AI4198" s="15"/>
      <c r="AJ4198" s="15"/>
      <c r="AK4198" s="15"/>
      <c r="AL4198" s="15"/>
      <c r="AM4198" s="15"/>
      <c r="AN4198" s="15"/>
      <c r="AO4198" s="15"/>
      <c r="AP4198" s="15"/>
      <c r="AQ4198" s="15"/>
      <c r="AR4198" s="15"/>
      <c r="AS4198" s="15"/>
      <c r="AT4198" s="15"/>
      <c r="AU4198" s="15"/>
      <c r="AV4198" s="15"/>
      <c r="AW4198" s="15"/>
    </row>
    <row r="4199" spans="3:49" x14ac:dyDescent="0.2">
      <c r="C4199" s="15"/>
      <c r="D4199" s="15"/>
      <c r="E4199" s="15"/>
      <c r="F4199" s="15"/>
      <c r="G4199" s="15"/>
      <c r="H4199" s="15"/>
      <c r="I4199" s="15"/>
      <c r="J4199" s="15"/>
      <c r="K4199" s="15"/>
      <c r="L4199" s="28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  <c r="AA4199" s="15"/>
      <c r="AB4199" s="15"/>
      <c r="AC4199" s="15"/>
      <c r="AD4199" s="15"/>
      <c r="AE4199" s="15"/>
      <c r="AF4199" s="15"/>
      <c r="AG4199" s="15"/>
      <c r="AH4199" s="15"/>
      <c r="AI4199" s="15"/>
      <c r="AJ4199" s="15"/>
      <c r="AK4199" s="15"/>
      <c r="AL4199" s="15"/>
      <c r="AM4199" s="15"/>
      <c r="AN4199" s="15"/>
      <c r="AO4199" s="15"/>
      <c r="AP4199" s="15"/>
      <c r="AQ4199" s="15"/>
      <c r="AR4199" s="15"/>
      <c r="AS4199" s="15"/>
      <c r="AT4199" s="15"/>
      <c r="AU4199" s="15"/>
      <c r="AV4199" s="15"/>
      <c r="AW4199" s="15"/>
    </row>
    <row r="4200" spans="3:49" x14ac:dyDescent="0.2">
      <c r="C4200" s="15"/>
      <c r="D4200" s="15"/>
      <c r="E4200" s="15"/>
      <c r="F4200" s="15"/>
      <c r="G4200" s="15"/>
      <c r="H4200" s="15"/>
      <c r="I4200" s="15"/>
      <c r="J4200" s="15"/>
      <c r="K4200" s="15"/>
      <c r="L4200" s="28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  <c r="AA4200" s="15"/>
      <c r="AB4200" s="15"/>
      <c r="AC4200" s="15"/>
      <c r="AD4200" s="15"/>
      <c r="AE4200" s="15"/>
      <c r="AF4200" s="15"/>
      <c r="AG4200" s="15"/>
      <c r="AH4200" s="15"/>
      <c r="AI4200" s="15"/>
      <c r="AJ4200" s="15"/>
      <c r="AK4200" s="15"/>
      <c r="AL4200" s="15"/>
      <c r="AM4200" s="15"/>
      <c r="AN4200" s="15"/>
      <c r="AO4200" s="15"/>
      <c r="AP4200" s="15"/>
      <c r="AQ4200" s="15"/>
      <c r="AR4200" s="15"/>
      <c r="AS4200" s="15"/>
      <c r="AT4200" s="15"/>
      <c r="AU4200" s="15"/>
      <c r="AV4200" s="15"/>
      <c r="AW4200" s="15"/>
    </row>
    <row r="4201" spans="3:49" x14ac:dyDescent="0.2">
      <c r="C4201" s="15"/>
      <c r="D4201" s="15"/>
      <c r="E4201" s="15"/>
      <c r="F4201" s="15"/>
      <c r="G4201" s="15"/>
      <c r="H4201" s="15"/>
      <c r="I4201" s="15"/>
      <c r="J4201" s="15"/>
      <c r="K4201" s="15"/>
      <c r="L4201" s="28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  <c r="AA4201" s="15"/>
      <c r="AB4201" s="15"/>
      <c r="AC4201" s="15"/>
      <c r="AD4201" s="15"/>
      <c r="AE4201" s="15"/>
      <c r="AF4201" s="15"/>
      <c r="AG4201" s="15"/>
      <c r="AH4201" s="15"/>
      <c r="AI4201" s="15"/>
      <c r="AJ4201" s="15"/>
      <c r="AK4201" s="15"/>
      <c r="AL4201" s="15"/>
      <c r="AM4201" s="15"/>
      <c r="AN4201" s="15"/>
      <c r="AO4201" s="15"/>
      <c r="AP4201" s="15"/>
      <c r="AQ4201" s="15"/>
      <c r="AR4201" s="15"/>
      <c r="AS4201" s="15"/>
      <c r="AT4201" s="15"/>
      <c r="AU4201" s="15"/>
      <c r="AV4201" s="15"/>
      <c r="AW4201" s="15"/>
    </row>
    <row r="4202" spans="3:49" x14ac:dyDescent="0.2">
      <c r="C4202" s="15"/>
      <c r="D4202" s="15"/>
      <c r="E4202" s="15"/>
      <c r="F4202" s="15"/>
      <c r="G4202" s="15"/>
      <c r="H4202" s="15"/>
      <c r="I4202" s="15"/>
      <c r="J4202" s="15"/>
      <c r="K4202" s="15"/>
      <c r="L4202" s="28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  <c r="AA4202" s="15"/>
      <c r="AB4202" s="15"/>
      <c r="AC4202" s="15"/>
      <c r="AD4202" s="15"/>
      <c r="AE4202" s="15"/>
      <c r="AF4202" s="15"/>
      <c r="AG4202" s="15"/>
      <c r="AH4202" s="15"/>
      <c r="AI4202" s="15"/>
      <c r="AJ4202" s="15"/>
      <c r="AK4202" s="15"/>
      <c r="AL4202" s="15"/>
      <c r="AM4202" s="15"/>
      <c r="AN4202" s="15"/>
      <c r="AO4202" s="15"/>
      <c r="AP4202" s="15"/>
      <c r="AQ4202" s="15"/>
      <c r="AR4202" s="15"/>
      <c r="AS4202" s="15"/>
      <c r="AT4202" s="15"/>
      <c r="AU4202" s="15"/>
      <c r="AV4202" s="15"/>
      <c r="AW4202" s="15"/>
    </row>
    <row r="4203" spans="3:49" x14ac:dyDescent="0.2">
      <c r="C4203" s="15"/>
      <c r="D4203" s="15"/>
      <c r="E4203" s="15"/>
      <c r="F4203" s="15"/>
      <c r="G4203" s="15"/>
      <c r="H4203" s="15"/>
      <c r="I4203" s="15"/>
      <c r="J4203" s="15"/>
      <c r="K4203" s="15"/>
      <c r="L4203" s="28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  <c r="AA4203" s="15"/>
      <c r="AB4203" s="15"/>
      <c r="AC4203" s="15"/>
      <c r="AD4203" s="15"/>
      <c r="AE4203" s="15"/>
      <c r="AF4203" s="15"/>
      <c r="AG4203" s="15"/>
      <c r="AH4203" s="15"/>
      <c r="AI4203" s="15"/>
      <c r="AJ4203" s="15"/>
      <c r="AK4203" s="15"/>
      <c r="AL4203" s="15"/>
      <c r="AM4203" s="15"/>
      <c r="AN4203" s="15"/>
      <c r="AO4203" s="15"/>
      <c r="AP4203" s="15"/>
      <c r="AQ4203" s="15"/>
      <c r="AR4203" s="15"/>
      <c r="AS4203" s="15"/>
      <c r="AT4203" s="15"/>
      <c r="AU4203" s="15"/>
      <c r="AV4203" s="15"/>
      <c r="AW4203" s="15"/>
    </row>
    <row r="4204" spans="3:49" x14ac:dyDescent="0.2">
      <c r="C4204" s="15"/>
      <c r="D4204" s="15"/>
      <c r="E4204" s="15"/>
      <c r="F4204" s="15"/>
      <c r="G4204" s="15"/>
      <c r="H4204" s="15"/>
      <c r="I4204" s="15"/>
      <c r="J4204" s="15"/>
      <c r="K4204" s="15"/>
      <c r="L4204" s="28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  <c r="AA4204" s="15"/>
      <c r="AB4204" s="15"/>
      <c r="AC4204" s="15"/>
      <c r="AD4204" s="15"/>
      <c r="AE4204" s="15"/>
      <c r="AF4204" s="15"/>
      <c r="AG4204" s="15"/>
      <c r="AH4204" s="15"/>
      <c r="AI4204" s="15"/>
      <c r="AJ4204" s="15"/>
      <c r="AK4204" s="15"/>
      <c r="AL4204" s="15"/>
      <c r="AM4204" s="15"/>
      <c r="AN4204" s="15"/>
      <c r="AO4204" s="15"/>
      <c r="AP4204" s="15"/>
      <c r="AQ4204" s="15"/>
      <c r="AR4204" s="15"/>
      <c r="AS4204" s="15"/>
      <c r="AT4204" s="15"/>
      <c r="AU4204" s="15"/>
      <c r="AV4204" s="15"/>
      <c r="AW4204" s="15"/>
    </row>
    <row r="4205" spans="3:49" x14ac:dyDescent="0.2">
      <c r="C4205" s="15"/>
      <c r="D4205" s="15"/>
      <c r="E4205" s="15"/>
      <c r="F4205" s="15"/>
      <c r="G4205" s="15"/>
      <c r="H4205" s="15"/>
      <c r="I4205" s="15"/>
      <c r="J4205" s="15"/>
      <c r="K4205" s="15"/>
      <c r="L4205" s="28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  <c r="AA4205" s="15"/>
      <c r="AB4205" s="15"/>
      <c r="AC4205" s="15"/>
      <c r="AD4205" s="15"/>
      <c r="AE4205" s="15"/>
      <c r="AF4205" s="15"/>
      <c r="AG4205" s="15"/>
      <c r="AH4205" s="15"/>
      <c r="AI4205" s="15"/>
      <c r="AJ4205" s="15"/>
      <c r="AK4205" s="15"/>
      <c r="AL4205" s="15"/>
      <c r="AM4205" s="15"/>
      <c r="AN4205" s="15"/>
      <c r="AO4205" s="15"/>
      <c r="AP4205" s="15"/>
      <c r="AQ4205" s="15"/>
      <c r="AR4205" s="15"/>
      <c r="AS4205" s="15"/>
      <c r="AT4205" s="15"/>
      <c r="AU4205" s="15"/>
      <c r="AV4205" s="15"/>
      <c r="AW4205" s="15"/>
    </row>
    <row r="4206" spans="3:49" x14ac:dyDescent="0.2">
      <c r="C4206" s="15"/>
      <c r="D4206" s="15"/>
      <c r="E4206" s="15"/>
      <c r="F4206" s="15"/>
      <c r="G4206" s="15"/>
      <c r="H4206" s="15"/>
      <c r="I4206" s="15"/>
      <c r="J4206" s="15"/>
      <c r="K4206" s="15"/>
      <c r="L4206" s="28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  <c r="AA4206" s="15"/>
      <c r="AB4206" s="15"/>
      <c r="AC4206" s="15"/>
      <c r="AD4206" s="15"/>
      <c r="AE4206" s="15"/>
      <c r="AF4206" s="15"/>
      <c r="AG4206" s="15"/>
      <c r="AH4206" s="15"/>
      <c r="AI4206" s="15"/>
      <c r="AJ4206" s="15"/>
      <c r="AK4206" s="15"/>
      <c r="AL4206" s="15"/>
      <c r="AM4206" s="15"/>
      <c r="AN4206" s="15"/>
      <c r="AO4206" s="15"/>
      <c r="AP4206" s="15"/>
      <c r="AQ4206" s="15"/>
      <c r="AR4206" s="15"/>
      <c r="AS4206" s="15"/>
      <c r="AT4206" s="15"/>
      <c r="AU4206" s="15"/>
      <c r="AV4206" s="15"/>
      <c r="AW4206" s="15"/>
    </row>
    <row r="4207" spans="3:49" x14ac:dyDescent="0.2">
      <c r="C4207" s="15"/>
      <c r="D4207" s="15"/>
      <c r="E4207" s="15"/>
      <c r="F4207" s="15"/>
      <c r="G4207" s="15"/>
      <c r="H4207" s="15"/>
      <c r="I4207" s="15"/>
      <c r="J4207" s="15"/>
      <c r="K4207" s="15"/>
      <c r="L4207" s="28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  <c r="AA4207" s="15"/>
      <c r="AB4207" s="15"/>
      <c r="AC4207" s="15"/>
      <c r="AD4207" s="15"/>
      <c r="AE4207" s="15"/>
      <c r="AF4207" s="15"/>
      <c r="AG4207" s="15"/>
      <c r="AH4207" s="15"/>
      <c r="AI4207" s="15"/>
      <c r="AJ4207" s="15"/>
      <c r="AK4207" s="15"/>
      <c r="AL4207" s="15"/>
      <c r="AM4207" s="15"/>
      <c r="AN4207" s="15"/>
      <c r="AO4207" s="15"/>
      <c r="AP4207" s="15"/>
      <c r="AQ4207" s="15"/>
      <c r="AR4207" s="15"/>
      <c r="AS4207" s="15"/>
      <c r="AT4207" s="15"/>
      <c r="AU4207" s="15"/>
      <c r="AV4207" s="15"/>
      <c r="AW4207" s="15"/>
    </row>
    <row r="4208" spans="3:49" x14ac:dyDescent="0.2">
      <c r="C4208" s="15"/>
      <c r="D4208" s="15"/>
      <c r="E4208" s="15"/>
      <c r="F4208" s="15"/>
      <c r="G4208" s="15"/>
      <c r="H4208" s="15"/>
      <c r="I4208" s="15"/>
      <c r="J4208" s="15"/>
      <c r="K4208" s="15"/>
      <c r="L4208" s="28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  <c r="AA4208" s="15"/>
      <c r="AB4208" s="15"/>
      <c r="AC4208" s="15"/>
      <c r="AD4208" s="15"/>
      <c r="AE4208" s="15"/>
      <c r="AF4208" s="15"/>
      <c r="AG4208" s="15"/>
      <c r="AH4208" s="15"/>
      <c r="AI4208" s="15"/>
      <c r="AJ4208" s="15"/>
      <c r="AK4208" s="15"/>
      <c r="AL4208" s="15"/>
      <c r="AM4208" s="15"/>
      <c r="AN4208" s="15"/>
      <c r="AO4208" s="15"/>
      <c r="AP4208" s="15"/>
      <c r="AQ4208" s="15"/>
      <c r="AR4208" s="15"/>
      <c r="AS4208" s="15"/>
      <c r="AT4208" s="15"/>
      <c r="AU4208" s="15"/>
      <c r="AV4208" s="15"/>
      <c r="AW4208" s="15"/>
    </row>
    <row r="4209" spans="3:49" x14ac:dyDescent="0.2">
      <c r="C4209" s="15"/>
      <c r="D4209" s="15"/>
      <c r="E4209" s="15"/>
      <c r="F4209" s="15"/>
      <c r="G4209" s="15"/>
      <c r="H4209" s="15"/>
      <c r="I4209" s="15"/>
      <c r="J4209" s="15"/>
      <c r="K4209" s="15"/>
      <c r="L4209" s="28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  <c r="AA4209" s="15"/>
      <c r="AB4209" s="15"/>
      <c r="AC4209" s="15"/>
      <c r="AD4209" s="15"/>
      <c r="AE4209" s="15"/>
      <c r="AF4209" s="15"/>
      <c r="AG4209" s="15"/>
      <c r="AH4209" s="15"/>
      <c r="AI4209" s="15"/>
      <c r="AJ4209" s="15"/>
      <c r="AK4209" s="15"/>
      <c r="AL4209" s="15"/>
      <c r="AM4209" s="15"/>
      <c r="AN4209" s="15"/>
      <c r="AO4209" s="15"/>
      <c r="AP4209" s="15"/>
      <c r="AQ4209" s="15"/>
      <c r="AR4209" s="15"/>
      <c r="AS4209" s="15"/>
      <c r="AT4209" s="15"/>
      <c r="AU4209" s="15"/>
      <c r="AV4209" s="15"/>
      <c r="AW4209" s="15"/>
    </row>
    <row r="4210" spans="3:49" x14ac:dyDescent="0.2">
      <c r="C4210" s="15"/>
      <c r="D4210" s="15"/>
      <c r="E4210" s="15"/>
      <c r="F4210" s="15"/>
      <c r="G4210" s="15"/>
      <c r="H4210" s="15"/>
      <c r="I4210" s="15"/>
      <c r="J4210" s="15"/>
      <c r="K4210" s="15"/>
      <c r="L4210" s="28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  <c r="AA4210" s="15"/>
      <c r="AB4210" s="15"/>
      <c r="AC4210" s="15"/>
      <c r="AD4210" s="15"/>
      <c r="AE4210" s="15"/>
      <c r="AF4210" s="15"/>
      <c r="AG4210" s="15"/>
      <c r="AH4210" s="15"/>
      <c r="AI4210" s="15"/>
      <c r="AJ4210" s="15"/>
      <c r="AK4210" s="15"/>
      <c r="AL4210" s="15"/>
      <c r="AM4210" s="15"/>
      <c r="AN4210" s="15"/>
      <c r="AO4210" s="15"/>
      <c r="AP4210" s="15"/>
      <c r="AQ4210" s="15"/>
      <c r="AR4210" s="15"/>
      <c r="AS4210" s="15"/>
      <c r="AT4210" s="15"/>
      <c r="AU4210" s="15"/>
      <c r="AV4210" s="15"/>
      <c r="AW4210" s="15"/>
    </row>
    <row r="4211" spans="3:49" x14ac:dyDescent="0.2">
      <c r="C4211" s="15"/>
      <c r="D4211" s="15"/>
      <c r="E4211" s="15"/>
      <c r="F4211" s="15"/>
      <c r="G4211" s="15"/>
      <c r="H4211" s="15"/>
      <c r="I4211" s="15"/>
      <c r="J4211" s="15"/>
      <c r="K4211" s="15"/>
      <c r="L4211" s="28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  <c r="AA4211" s="15"/>
      <c r="AB4211" s="15"/>
      <c r="AC4211" s="15"/>
      <c r="AD4211" s="15"/>
      <c r="AE4211" s="15"/>
      <c r="AF4211" s="15"/>
      <c r="AG4211" s="15"/>
      <c r="AH4211" s="15"/>
      <c r="AI4211" s="15"/>
      <c r="AJ4211" s="15"/>
      <c r="AK4211" s="15"/>
      <c r="AL4211" s="15"/>
      <c r="AM4211" s="15"/>
      <c r="AN4211" s="15"/>
      <c r="AO4211" s="15"/>
      <c r="AP4211" s="15"/>
      <c r="AQ4211" s="15"/>
      <c r="AR4211" s="15"/>
      <c r="AS4211" s="15"/>
      <c r="AT4211" s="15"/>
      <c r="AU4211" s="15"/>
      <c r="AV4211" s="15"/>
      <c r="AW4211" s="15"/>
    </row>
    <row r="4212" spans="3:49" x14ac:dyDescent="0.2">
      <c r="C4212" s="15"/>
      <c r="D4212" s="15"/>
      <c r="E4212" s="15"/>
      <c r="F4212" s="15"/>
      <c r="G4212" s="15"/>
      <c r="H4212" s="15"/>
      <c r="I4212" s="15"/>
      <c r="J4212" s="15"/>
      <c r="K4212" s="15"/>
      <c r="L4212" s="28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  <c r="AA4212" s="15"/>
      <c r="AB4212" s="15"/>
      <c r="AC4212" s="15"/>
      <c r="AD4212" s="15"/>
      <c r="AE4212" s="15"/>
      <c r="AF4212" s="15"/>
      <c r="AG4212" s="15"/>
      <c r="AH4212" s="15"/>
      <c r="AI4212" s="15"/>
      <c r="AJ4212" s="15"/>
      <c r="AK4212" s="15"/>
      <c r="AL4212" s="15"/>
      <c r="AM4212" s="15"/>
      <c r="AN4212" s="15"/>
      <c r="AO4212" s="15"/>
      <c r="AP4212" s="15"/>
      <c r="AQ4212" s="15"/>
      <c r="AR4212" s="15"/>
      <c r="AS4212" s="15"/>
      <c r="AT4212" s="15"/>
      <c r="AU4212" s="15"/>
      <c r="AV4212" s="15"/>
      <c r="AW4212" s="15"/>
    </row>
    <row r="4213" spans="3:49" x14ac:dyDescent="0.2">
      <c r="C4213" s="15"/>
      <c r="D4213" s="15"/>
      <c r="E4213" s="15"/>
      <c r="F4213" s="15"/>
      <c r="G4213" s="15"/>
      <c r="H4213" s="15"/>
      <c r="I4213" s="15"/>
      <c r="J4213" s="15"/>
      <c r="K4213" s="15"/>
      <c r="L4213" s="28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  <c r="AA4213" s="15"/>
      <c r="AB4213" s="15"/>
      <c r="AC4213" s="15"/>
      <c r="AD4213" s="15"/>
      <c r="AE4213" s="15"/>
      <c r="AF4213" s="15"/>
      <c r="AG4213" s="15"/>
      <c r="AH4213" s="15"/>
      <c r="AI4213" s="15"/>
      <c r="AJ4213" s="15"/>
      <c r="AK4213" s="15"/>
      <c r="AL4213" s="15"/>
      <c r="AM4213" s="15"/>
      <c r="AN4213" s="15"/>
      <c r="AO4213" s="15"/>
      <c r="AP4213" s="15"/>
      <c r="AQ4213" s="15"/>
      <c r="AR4213" s="15"/>
      <c r="AS4213" s="15"/>
      <c r="AT4213" s="15"/>
      <c r="AU4213" s="15"/>
      <c r="AV4213" s="15"/>
      <c r="AW4213" s="15"/>
    </row>
    <row r="4214" spans="3:49" x14ac:dyDescent="0.2">
      <c r="C4214" s="15"/>
      <c r="D4214" s="15"/>
      <c r="E4214" s="15"/>
      <c r="F4214" s="15"/>
      <c r="G4214" s="15"/>
      <c r="H4214" s="15"/>
      <c r="I4214" s="15"/>
      <c r="J4214" s="15"/>
      <c r="K4214" s="15"/>
      <c r="L4214" s="28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  <c r="AA4214" s="15"/>
      <c r="AB4214" s="15"/>
      <c r="AC4214" s="15"/>
      <c r="AD4214" s="15"/>
      <c r="AE4214" s="15"/>
      <c r="AF4214" s="15"/>
      <c r="AG4214" s="15"/>
      <c r="AH4214" s="15"/>
      <c r="AI4214" s="15"/>
      <c r="AJ4214" s="15"/>
      <c r="AK4214" s="15"/>
      <c r="AL4214" s="15"/>
      <c r="AM4214" s="15"/>
      <c r="AN4214" s="15"/>
      <c r="AO4214" s="15"/>
      <c r="AP4214" s="15"/>
      <c r="AQ4214" s="15"/>
      <c r="AR4214" s="15"/>
      <c r="AS4214" s="15"/>
      <c r="AT4214" s="15"/>
      <c r="AU4214" s="15"/>
      <c r="AV4214" s="15"/>
      <c r="AW4214" s="15"/>
    </row>
    <row r="4215" spans="3:49" x14ac:dyDescent="0.2">
      <c r="C4215" s="15"/>
      <c r="D4215" s="15"/>
      <c r="E4215" s="15"/>
      <c r="F4215" s="15"/>
      <c r="G4215" s="15"/>
      <c r="H4215" s="15"/>
      <c r="I4215" s="15"/>
      <c r="J4215" s="15"/>
      <c r="K4215" s="15"/>
      <c r="L4215" s="28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  <c r="AA4215" s="15"/>
      <c r="AB4215" s="15"/>
      <c r="AC4215" s="15"/>
      <c r="AD4215" s="15"/>
      <c r="AE4215" s="15"/>
      <c r="AF4215" s="15"/>
      <c r="AG4215" s="15"/>
      <c r="AH4215" s="15"/>
      <c r="AI4215" s="15"/>
      <c r="AJ4215" s="15"/>
      <c r="AK4215" s="15"/>
      <c r="AL4215" s="15"/>
      <c r="AM4215" s="15"/>
      <c r="AN4215" s="15"/>
      <c r="AO4215" s="15"/>
      <c r="AP4215" s="15"/>
      <c r="AQ4215" s="15"/>
      <c r="AR4215" s="15"/>
      <c r="AS4215" s="15"/>
      <c r="AT4215" s="15"/>
      <c r="AU4215" s="15"/>
      <c r="AV4215" s="15"/>
      <c r="AW4215" s="15"/>
    </row>
    <row r="4216" spans="3:49" x14ac:dyDescent="0.2">
      <c r="C4216" s="15"/>
      <c r="D4216" s="15"/>
      <c r="E4216" s="15"/>
      <c r="F4216" s="15"/>
      <c r="G4216" s="15"/>
      <c r="H4216" s="15"/>
      <c r="I4216" s="15"/>
      <c r="J4216" s="15"/>
      <c r="K4216" s="15"/>
      <c r="L4216" s="28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  <c r="AA4216" s="15"/>
      <c r="AB4216" s="15"/>
      <c r="AC4216" s="15"/>
      <c r="AD4216" s="15"/>
      <c r="AE4216" s="15"/>
      <c r="AF4216" s="15"/>
      <c r="AG4216" s="15"/>
      <c r="AH4216" s="15"/>
      <c r="AI4216" s="15"/>
      <c r="AJ4216" s="15"/>
      <c r="AK4216" s="15"/>
      <c r="AL4216" s="15"/>
      <c r="AM4216" s="15"/>
      <c r="AN4216" s="15"/>
      <c r="AO4216" s="15"/>
      <c r="AP4216" s="15"/>
      <c r="AQ4216" s="15"/>
      <c r="AR4216" s="15"/>
      <c r="AS4216" s="15"/>
      <c r="AT4216" s="15"/>
      <c r="AU4216" s="15"/>
      <c r="AV4216" s="15"/>
      <c r="AW4216" s="15"/>
    </row>
    <row r="4217" spans="3:49" x14ac:dyDescent="0.2">
      <c r="C4217" s="15"/>
      <c r="D4217" s="15"/>
      <c r="E4217" s="15"/>
      <c r="F4217" s="15"/>
      <c r="G4217" s="15"/>
      <c r="H4217" s="15"/>
      <c r="I4217" s="15"/>
      <c r="J4217" s="15"/>
      <c r="K4217" s="15"/>
      <c r="L4217" s="28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  <c r="AA4217" s="15"/>
      <c r="AB4217" s="15"/>
      <c r="AC4217" s="15"/>
      <c r="AD4217" s="15"/>
      <c r="AE4217" s="15"/>
      <c r="AF4217" s="15"/>
      <c r="AG4217" s="15"/>
      <c r="AH4217" s="15"/>
      <c r="AI4217" s="15"/>
      <c r="AJ4217" s="15"/>
      <c r="AK4217" s="15"/>
      <c r="AL4217" s="15"/>
      <c r="AM4217" s="15"/>
      <c r="AN4217" s="15"/>
      <c r="AO4217" s="15"/>
      <c r="AP4217" s="15"/>
      <c r="AQ4217" s="15"/>
      <c r="AR4217" s="15"/>
      <c r="AS4217" s="15"/>
      <c r="AT4217" s="15"/>
      <c r="AU4217" s="15"/>
      <c r="AV4217" s="15"/>
      <c r="AW4217" s="15"/>
    </row>
    <row r="4218" spans="3:49" x14ac:dyDescent="0.2">
      <c r="C4218" s="15"/>
      <c r="D4218" s="15"/>
      <c r="E4218" s="15"/>
      <c r="F4218" s="15"/>
      <c r="G4218" s="15"/>
      <c r="H4218" s="15"/>
      <c r="I4218" s="15"/>
      <c r="J4218" s="15"/>
      <c r="K4218" s="15"/>
      <c r="L4218" s="28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  <c r="AA4218" s="15"/>
      <c r="AB4218" s="15"/>
      <c r="AC4218" s="15"/>
      <c r="AD4218" s="15"/>
      <c r="AE4218" s="15"/>
      <c r="AF4218" s="15"/>
      <c r="AG4218" s="15"/>
      <c r="AH4218" s="15"/>
      <c r="AI4218" s="15"/>
      <c r="AJ4218" s="15"/>
      <c r="AK4218" s="15"/>
      <c r="AL4218" s="15"/>
      <c r="AM4218" s="15"/>
      <c r="AN4218" s="15"/>
      <c r="AO4218" s="15"/>
      <c r="AP4218" s="15"/>
      <c r="AQ4218" s="15"/>
      <c r="AR4218" s="15"/>
      <c r="AS4218" s="15"/>
      <c r="AT4218" s="15"/>
      <c r="AU4218" s="15"/>
      <c r="AV4218" s="15"/>
      <c r="AW4218" s="15"/>
    </row>
    <row r="4219" spans="3:49" x14ac:dyDescent="0.2">
      <c r="C4219" s="15"/>
      <c r="D4219" s="15"/>
      <c r="E4219" s="15"/>
      <c r="F4219" s="15"/>
      <c r="G4219" s="15"/>
      <c r="H4219" s="15"/>
      <c r="I4219" s="15"/>
      <c r="J4219" s="15"/>
      <c r="K4219" s="15"/>
      <c r="L4219" s="28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  <c r="AA4219" s="15"/>
      <c r="AB4219" s="15"/>
      <c r="AC4219" s="15"/>
      <c r="AD4219" s="15"/>
      <c r="AE4219" s="15"/>
      <c r="AF4219" s="15"/>
      <c r="AG4219" s="15"/>
      <c r="AH4219" s="15"/>
      <c r="AI4219" s="15"/>
      <c r="AJ4219" s="15"/>
      <c r="AK4219" s="15"/>
      <c r="AL4219" s="15"/>
      <c r="AM4219" s="15"/>
      <c r="AN4219" s="15"/>
      <c r="AO4219" s="15"/>
      <c r="AP4219" s="15"/>
      <c r="AQ4219" s="15"/>
      <c r="AR4219" s="15"/>
      <c r="AS4219" s="15"/>
      <c r="AT4219" s="15"/>
      <c r="AU4219" s="15"/>
      <c r="AV4219" s="15"/>
      <c r="AW4219" s="15"/>
    </row>
    <row r="4220" spans="3:49" x14ac:dyDescent="0.2">
      <c r="C4220" s="15"/>
      <c r="D4220" s="15"/>
      <c r="E4220" s="15"/>
      <c r="F4220" s="15"/>
      <c r="G4220" s="15"/>
      <c r="H4220" s="15"/>
      <c r="I4220" s="15"/>
      <c r="J4220" s="15"/>
      <c r="K4220" s="15"/>
      <c r="L4220" s="28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  <c r="AA4220" s="15"/>
      <c r="AB4220" s="15"/>
      <c r="AC4220" s="15"/>
      <c r="AD4220" s="15"/>
      <c r="AE4220" s="15"/>
      <c r="AF4220" s="15"/>
      <c r="AG4220" s="15"/>
      <c r="AH4220" s="15"/>
      <c r="AI4220" s="15"/>
      <c r="AJ4220" s="15"/>
      <c r="AK4220" s="15"/>
      <c r="AL4220" s="15"/>
      <c r="AM4220" s="15"/>
      <c r="AN4220" s="15"/>
      <c r="AO4220" s="15"/>
      <c r="AP4220" s="15"/>
      <c r="AQ4220" s="15"/>
      <c r="AR4220" s="15"/>
      <c r="AS4220" s="15"/>
      <c r="AT4220" s="15"/>
      <c r="AU4220" s="15"/>
      <c r="AV4220" s="15"/>
      <c r="AW4220" s="15"/>
    </row>
    <row r="4221" spans="3:49" x14ac:dyDescent="0.2">
      <c r="C4221" s="15"/>
      <c r="D4221" s="15"/>
      <c r="E4221" s="15"/>
      <c r="F4221" s="15"/>
      <c r="G4221" s="15"/>
      <c r="H4221" s="15"/>
      <c r="I4221" s="15"/>
      <c r="J4221" s="15"/>
      <c r="K4221" s="15"/>
      <c r="L4221" s="28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  <c r="AA4221" s="15"/>
      <c r="AB4221" s="15"/>
      <c r="AC4221" s="15"/>
      <c r="AD4221" s="15"/>
      <c r="AE4221" s="15"/>
      <c r="AF4221" s="15"/>
      <c r="AG4221" s="15"/>
      <c r="AH4221" s="15"/>
      <c r="AI4221" s="15"/>
      <c r="AJ4221" s="15"/>
      <c r="AK4221" s="15"/>
      <c r="AL4221" s="15"/>
      <c r="AM4221" s="15"/>
      <c r="AN4221" s="15"/>
      <c r="AO4221" s="15"/>
      <c r="AP4221" s="15"/>
      <c r="AQ4221" s="15"/>
      <c r="AR4221" s="15"/>
      <c r="AS4221" s="15"/>
      <c r="AT4221" s="15"/>
      <c r="AU4221" s="15"/>
      <c r="AV4221" s="15"/>
      <c r="AW4221" s="15"/>
    </row>
    <row r="4222" spans="3:49" x14ac:dyDescent="0.2">
      <c r="C4222" s="15"/>
      <c r="D4222" s="15"/>
      <c r="E4222" s="15"/>
      <c r="F4222" s="15"/>
      <c r="G4222" s="15"/>
      <c r="H4222" s="15"/>
      <c r="I4222" s="15"/>
      <c r="J4222" s="15"/>
      <c r="K4222" s="15"/>
      <c r="L4222" s="28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  <c r="AA4222" s="15"/>
      <c r="AB4222" s="15"/>
      <c r="AC4222" s="15"/>
      <c r="AD4222" s="15"/>
      <c r="AE4222" s="15"/>
      <c r="AF4222" s="15"/>
      <c r="AG4222" s="15"/>
      <c r="AH4222" s="15"/>
      <c r="AI4222" s="15"/>
      <c r="AJ4222" s="15"/>
      <c r="AK4222" s="15"/>
      <c r="AL4222" s="15"/>
      <c r="AM4222" s="15"/>
      <c r="AN4222" s="15"/>
      <c r="AO4222" s="15"/>
      <c r="AP4222" s="15"/>
      <c r="AQ4222" s="15"/>
      <c r="AR4222" s="15"/>
      <c r="AS4222" s="15"/>
      <c r="AT4222" s="15"/>
      <c r="AU4222" s="15"/>
      <c r="AV4222" s="15"/>
      <c r="AW4222" s="15"/>
    </row>
    <row r="4223" spans="3:49" x14ac:dyDescent="0.2">
      <c r="C4223" s="15"/>
      <c r="D4223" s="15"/>
      <c r="E4223" s="15"/>
      <c r="F4223" s="15"/>
      <c r="G4223" s="15"/>
      <c r="H4223" s="15"/>
      <c r="I4223" s="15"/>
      <c r="J4223" s="15"/>
      <c r="K4223" s="15"/>
      <c r="L4223" s="28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  <c r="AA4223" s="15"/>
      <c r="AB4223" s="15"/>
      <c r="AC4223" s="15"/>
      <c r="AD4223" s="15"/>
      <c r="AE4223" s="15"/>
      <c r="AF4223" s="15"/>
      <c r="AG4223" s="15"/>
      <c r="AH4223" s="15"/>
      <c r="AI4223" s="15"/>
      <c r="AJ4223" s="15"/>
      <c r="AK4223" s="15"/>
      <c r="AL4223" s="15"/>
      <c r="AM4223" s="15"/>
      <c r="AN4223" s="15"/>
      <c r="AO4223" s="15"/>
      <c r="AP4223" s="15"/>
      <c r="AQ4223" s="15"/>
      <c r="AR4223" s="15"/>
      <c r="AS4223" s="15"/>
      <c r="AT4223" s="15"/>
      <c r="AU4223" s="15"/>
      <c r="AV4223" s="15"/>
      <c r="AW4223" s="15"/>
    </row>
    <row r="4224" spans="3:49" x14ac:dyDescent="0.2">
      <c r="C4224" s="15"/>
      <c r="D4224" s="15"/>
      <c r="E4224" s="15"/>
      <c r="F4224" s="15"/>
      <c r="G4224" s="15"/>
      <c r="H4224" s="15"/>
      <c r="I4224" s="15"/>
      <c r="J4224" s="15"/>
      <c r="K4224" s="15"/>
      <c r="L4224" s="28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  <c r="AA4224" s="15"/>
      <c r="AB4224" s="15"/>
      <c r="AC4224" s="15"/>
      <c r="AD4224" s="15"/>
      <c r="AE4224" s="15"/>
      <c r="AF4224" s="15"/>
      <c r="AG4224" s="15"/>
      <c r="AH4224" s="15"/>
      <c r="AI4224" s="15"/>
      <c r="AJ4224" s="15"/>
      <c r="AK4224" s="15"/>
      <c r="AL4224" s="15"/>
      <c r="AM4224" s="15"/>
      <c r="AN4224" s="15"/>
      <c r="AO4224" s="15"/>
      <c r="AP4224" s="15"/>
      <c r="AQ4224" s="15"/>
      <c r="AR4224" s="15"/>
      <c r="AS4224" s="15"/>
      <c r="AT4224" s="15"/>
      <c r="AU4224" s="15"/>
      <c r="AV4224" s="15"/>
      <c r="AW4224" s="15"/>
    </row>
    <row r="4225" spans="3:49" x14ac:dyDescent="0.2">
      <c r="C4225" s="15"/>
      <c r="D4225" s="15"/>
      <c r="E4225" s="15"/>
      <c r="F4225" s="15"/>
      <c r="G4225" s="15"/>
      <c r="H4225" s="15"/>
      <c r="I4225" s="15"/>
      <c r="J4225" s="15"/>
      <c r="K4225" s="15"/>
      <c r="L4225" s="28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  <c r="AA4225" s="15"/>
      <c r="AB4225" s="15"/>
      <c r="AC4225" s="15"/>
      <c r="AD4225" s="15"/>
      <c r="AE4225" s="15"/>
      <c r="AF4225" s="15"/>
      <c r="AG4225" s="15"/>
      <c r="AH4225" s="15"/>
      <c r="AI4225" s="15"/>
      <c r="AJ4225" s="15"/>
      <c r="AK4225" s="15"/>
      <c r="AL4225" s="15"/>
      <c r="AM4225" s="15"/>
      <c r="AN4225" s="15"/>
      <c r="AO4225" s="15"/>
      <c r="AP4225" s="15"/>
      <c r="AQ4225" s="15"/>
      <c r="AR4225" s="15"/>
      <c r="AS4225" s="15"/>
      <c r="AT4225" s="15"/>
      <c r="AU4225" s="15"/>
      <c r="AV4225" s="15"/>
      <c r="AW4225" s="15"/>
    </row>
    <row r="4226" spans="3:49" x14ac:dyDescent="0.2">
      <c r="C4226" s="15"/>
      <c r="D4226" s="15"/>
      <c r="E4226" s="15"/>
      <c r="F4226" s="15"/>
      <c r="G4226" s="15"/>
      <c r="H4226" s="15"/>
      <c r="I4226" s="15"/>
      <c r="J4226" s="15"/>
      <c r="K4226" s="15"/>
      <c r="L4226" s="28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  <c r="AA4226" s="15"/>
      <c r="AB4226" s="15"/>
      <c r="AC4226" s="15"/>
      <c r="AD4226" s="15"/>
      <c r="AE4226" s="15"/>
      <c r="AF4226" s="15"/>
      <c r="AG4226" s="15"/>
      <c r="AH4226" s="15"/>
      <c r="AI4226" s="15"/>
      <c r="AJ4226" s="15"/>
      <c r="AK4226" s="15"/>
      <c r="AL4226" s="15"/>
      <c r="AM4226" s="15"/>
      <c r="AN4226" s="15"/>
      <c r="AO4226" s="15"/>
      <c r="AP4226" s="15"/>
      <c r="AQ4226" s="15"/>
      <c r="AR4226" s="15"/>
      <c r="AS4226" s="15"/>
      <c r="AT4226" s="15"/>
      <c r="AU4226" s="15"/>
      <c r="AV4226" s="15"/>
      <c r="AW4226" s="15"/>
    </row>
    <row r="4227" spans="3:49" x14ac:dyDescent="0.2">
      <c r="C4227" s="15"/>
      <c r="D4227" s="15"/>
      <c r="E4227" s="15"/>
      <c r="F4227" s="15"/>
      <c r="G4227" s="15"/>
      <c r="H4227" s="15"/>
      <c r="I4227" s="15"/>
      <c r="J4227" s="15"/>
      <c r="K4227" s="15"/>
      <c r="L4227" s="28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  <c r="AA4227" s="15"/>
      <c r="AB4227" s="15"/>
      <c r="AC4227" s="15"/>
      <c r="AD4227" s="15"/>
      <c r="AE4227" s="15"/>
      <c r="AF4227" s="15"/>
      <c r="AG4227" s="15"/>
      <c r="AH4227" s="15"/>
      <c r="AI4227" s="15"/>
      <c r="AJ4227" s="15"/>
      <c r="AK4227" s="15"/>
      <c r="AL4227" s="15"/>
      <c r="AM4227" s="15"/>
      <c r="AN4227" s="15"/>
      <c r="AO4227" s="15"/>
      <c r="AP4227" s="15"/>
      <c r="AQ4227" s="15"/>
      <c r="AR4227" s="15"/>
      <c r="AS4227" s="15"/>
      <c r="AT4227" s="15"/>
      <c r="AU4227" s="15"/>
      <c r="AV4227" s="15"/>
      <c r="AW4227" s="15"/>
    </row>
    <row r="4228" spans="3:49" x14ac:dyDescent="0.2">
      <c r="C4228" s="15"/>
      <c r="D4228" s="15"/>
      <c r="E4228" s="15"/>
      <c r="F4228" s="15"/>
      <c r="G4228" s="15"/>
      <c r="H4228" s="15"/>
      <c r="I4228" s="15"/>
      <c r="J4228" s="15"/>
      <c r="K4228" s="15"/>
      <c r="L4228" s="28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  <c r="AA4228" s="15"/>
      <c r="AB4228" s="15"/>
      <c r="AC4228" s="15"/>
      <c r="AD4228" s="15"/>
      <c r="AE4228" s="15"/>
      <c r="AF4228" s="15"/>
      <c r="AG4228" s="15"/>
      <c r="AH4228" s="15"/>
      <c r="AI4228" s="15"/>
      <c r="AJ4228" s="15"/>
      <c r="AK4228" s="15"/>
      <c r="AL4228" s="15"/>
      <c r="AM4228" s="15"/>
      <c r="AN4228" s="15"/>
      <c r="AO4228" s="15"/>
      <c r="AP4228" s="15"/>
      <c r="AQ4228" s="15"/>
      <c r="AR4228" s="15"/>
      <c r="AS4228" s="15"/>
      <c r="AT4228" s="15"/>
      <c r="AU4228" s="15"/>
      <c r="AV4228" s="15"/>
      <c r="AW4228" s="15"/>
    </row>
    <row r="4229" spans="3:49" x14ac:dyDescent="0.2">
      <c r="C4229" s="15"/>
      <c r="D4229" s="15"/>
      <c r="E4229" s="15"/>
      <c r="F4229" s="15"/>
      <c r="G4229" s="15"/>
      <c r="H4229" s="15"/>
      <c r="I4229" s="15"/>
      <c r="J4229" s="15"/>
      <c r="K4229" s="15"/>
      <c r="L4229" s="28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  <c r="AA4229" s="15"/>
      <c r="AB4229" s="15"/>
      <c r="AC4229" s="15"/>
      <c r="AD4229" s="15"/>
      <c r="AE4229" s="15"/>
      <c r="AF4229" s="15"/>
      <c r="AG4229" s="15"/>
      <c r="AH4229" s="15"/>
      <c r="AI4229" s="15"/>
      <c r="AJ4229" s="15"/>
      <c r="AK4229" s="15"/>
      <c r="AL4229" s="15"/>
      <c r="AM4229" s="15"/>
      <c r="AN4229" s="15"/>
      <c r="AO4229" s="15"/>
      <c r="AP4229" s="15"/>
      <c r="AQ4229" s="15"/>
      <c r="AR4229" s="15"/>
      <c r="AS4229" s="15"/>
      <c r="AT4229" s="15"/>
      <c r="AU4229" s="15"/>
      <c r="AV4229" s="15"/>
      <c r="AW4229" s="15"/>
    </row>
    <row r="4230" spans="3:49" x14ac:dyDescent="0.2">
      <c r="C4230" s="15"/>
      <c r="D4230" s="15"/>
      <c r="E4230" s="15"/>
      <c r="F4230" s="15"/>
      <c r="G4230" s="15"/>
      <c r="H4230" s="15"/>
      <c r="I4230" s="15"/>
      <c r="J4230" s="15"/>
      <c r="K4230" s="15"/>
      <c r="L4230" s="28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  <c r="AA4230" s="15"/>
      <c r="AB4230" s="15"/>
      <c r="AC4230" s="15"/>
      <c r="AD4230" s="15"/>
      <c r="AE4230" s="15"/>
      <c r="AF4230" s="15"/>
      <c r="AG4230" s="15"/>
      <c r="AH4230" s="15"/>
      <c r="AI4230" s="15"/>
      <c r="AJ4230" s="15"/>
      <c r="AK4230" s="15"/>
      <c r="AL4230" s="15"/>
      <c r="AM4230" s="15"/>
      <c r="AN4230" s="15"/>
      <c r="AO4230" s="15"/>
      <c r="AP4230" s="15"/>
      <c r="AQ4230" s="15"/>
      <c r="AR4230" s="15"/>
      <c r="AS4230" s="15"/>
      <c r="AT4230" s="15"/>
      <c r="AU4230" s="15"/>
      <c r="AV4230" s="15"/>
      <c r="AW4230" s="15"/>
    </row>
    <row r="4231" spans="3:49" x14ac:dyDescent="0.2">
      <c r="C4231" s="15"/>
      <c r="D4231" s="15"/>
      <c r="E4231" s="15"/>
      <c r="F4231" s="15"/>
      <c r="G4231" s="15"/>
      <c r="H4231" s="15"/>
      <c r="I4231" s="15"/>
      <c r="J4231" s="15"/>
      <c r="K4231" s="15"/>
      <c r="L4231" s="28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  <c r="AA4231" s="15"/>
      <c r="AB4231" s="15"/>
      <c r="AC4231" s="15"/>
      <c r="AD4231" s="15"/>
      <c r="AE4231" s="15"/>
      <c r="AF4231" s="15"/>
      <c r="AG4231" s="15"/>
      <c r="AH4231" s="15"/>
      <c r="AI4231" s="15"/>
      <c r="AJ4231" s="15"/>
      <c r="AK4231" s="15"/>
      <c r="AL4231" s="15"/>
      <c r="AM4231" s="15"/>
      <c r="AN4231" s="15"/>
      <c r="AO4231" s="15"/>
      <c r="AP4231" s="15"/>
      <c r="AQ4231" s="15"/>
      <c r="AR4231" s="15"/>
      <c r="AS4231" s="15"/>
      <c r="AT4231" s="15"/>
      <c r="AU4231" s="15"/>
      <c r="AV4231" s="15"/>
      <c r="AW4231" s="15"/>
    </row>
    <row r="4232" spans="3:49" x14ac:dyDescent="0.2">
      <c r="C4232" s="15"/>
      <c r="D4232" s="15"/>
      <c r="E4232" s="15"/>
      <c r="F4232" s="15"/>
      <c r="G4232" s="15"/>
      <c r="H4232" s="15"/>
      <c r="I4232" s="15"/>
      <c r="J4232" s="15"/>
      <c r="K4232" s="15"/>
      <c r="L4232" s="28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  <c r="AA4232" s="15"/>
      <c r="AB4232" s="15"/>
      <c r="AC4232" s="15"/>
      <c r="AD4232" s="15"/>
      <c r="AE4232" s="15"/>
      <c r="AF4232" s="15"/>
      <c r="AG4232" s="15"/>
      <c r="AH4232" s="15"/>
      <c r="AI4232" s="15"/>
      <c r="AJ4232" s="15"/>
      <c r="AK4232" s="15"/>
      <c r="AL4232" s="15"/>
      <c r="AM4232" s="15"/>
      <c r="AN4232" s="15"/>
      <c r="AO4232" s="15"/>
      <c r="AP4232" s="15"/>
      <c r="AQ4232" s="15"/>
      <c r="AR4232" s="15"/>
      <c r="AS4232" s="15"/>
      <c r="AT4232" s="15"/>
      <c r="AU4232" s="15"/>
      <c r="AV4232" s="15"/>
      <c r="AW4232" s="15"/>
    </row>
    <row r="4233" spans="3:49" x14ac:dyDescent="0.2">
      <c r="C4233" s="15"/>
      <c r="D4233" s="15"/>
      <c r="E4233" s="15"/>
      <c r="F4233" s="15"/>
      <c r="G4233" s="15"/>
      <c r="H4233" s="15"/>
      <c r="I4233" s="15"/>
      <c r="J4233" s="15"/>
      <c r="K4233" s="15"/>
      <c r="L4233" s="28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  <c r="AA4233" s="15"/>
      <c r="AB4233" s="15"/>
      <c r="AC4233" s="15"/>
      <c r="AD4233" s="15"/>
      <c r="AE4233" s="15"/>
      <c r="AF4233" s="15"/>
      <c r="AG4233" s="15"/>
      <c r="AH4233" s="15"/>
      <c r="AI4233" s="15"/>
      <c r="AJ4233" s="15"/>
      <c r="AK4233" s="15"/>
      <c r="AL4233" s="15"/>
      <c r="AM4233" s="15"/>
      <c r="AN4233" s="15"/>
      <c r="AO4233" s="15"/>
      <c r="AP4233" s="15"/>
      <c r="AQ4233" s="15"/>
      <c r="AR4233" s="15"/>
      <c r="AS4233" s="15"/>
      <c r="AT4233" s="15"/>
      <c r="AU4233" s="15"/>
      <c r="AV4233" s="15"/>
      <c r="AW4233" s="15"/>
    </row>
    <row r="4234" spans="3:49" x14ac:dyDescent="0.2">
      <c r="C4234" s="15"/>
      <c r="D4234" s="15"/>
      <c r="E4234" s="15"/>
      <c r="F4234" s="15"/>
      <c r="G4234" s="15"/>
      <c r="H4234" s="15"/>
      <c r="I4234" s="15"/>
      <c r="J4234" s="15"/>
      <c r="K4234" s="15"/>
      <c r="L4234" s="28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  <c r="AA4234" s="15"/>
      <c r="AB4234" s="15"/>
      <c r="AC4234" s="15"/>
      <c r="AD4234" s="15"/>
      <c r="AE4234" s="15"/>
      <c r="AF4234" s="15"/>
      <c r="AG4234" s="15"/>
      <c r="AH4234" s="15"/>
      <c r="AI4234" s="15"/>
      <c r="AJ4234" s="15"/>
      <c r="AK4234" s="15"/>
      <c r="AL4234" s="15"/>
      <c r="AM4234" s="15"/>
      <c r="AN4234" s="15"/>
      <c r="AO4234" s="15"/>
      <c r="AP4234" s="15"/>
      <c r="AQ4234" s="15"/>
      <c r="AR4234" s="15"/>
      <c r="AS4234" s="15"/>
      <c r="AT4234" s="15"/>
      <c r="AU4234" s="15"/>
      <c r="AV4234" s="15"/>
      <c r="AW4234" s="15"/>
    </row>
    <row r="4235" spans="3:49" x14ac:dyDescent="0.2">
      <c r="C4235" s="15"/>
      <c r="D4235" s="15"/>
      <c r="E4235" s="15"/>
      <c r="F4235" s="15"/>
      <c r="G4235" s="15"/>
      <c r="H4235" s="15"/>
      <c r="I4235" s="15"/>
      <c r="J4235" s="15"/>
      <c r="K4235" s="15"/>
      <c r="L4235" s="28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  <c r="AA4235" s="15"/>
      <c r="AB4235" s="15"/>
      <c r="AC4235" s="15"/>
      <c r="AD4235" s="15"/>
      <c r="AE4235" s="15"/>
      <c r="AF4235" s="15"/>
      <c r="AG4235" s="15"/>
      <c r="AH4235" s="15"/>
      <c r="AI4235" s="15"/>
      <c r="AJ4235" s="15"/>
      <c r="AK4235" s="15"/>
      <c r="AL4235" s="15"/>
      <c r="AM4235" s="15"/>
      <c r="AN4235" s="15"/>
      <c r="AO4235" s="15"/>
      <c r="AP4235" s="15"/>
      <c r="AQ4235" s="15"/>
      <c r="AR4235" s="15"/>
      <c r="AS4235" s="15"/>
      <c r="AT4235" s="15"/>
      <c r="AU4235" s="15"/>
      <c r="AV4235" s="15"/>
      <c r="AW4235" s="15"/>
    </row>
    <row r="4236" spans="3:49" x14ac:dyDescent="0.2">
      <c r="C4236" s="15"/>
      <c r="D4236" s="15"/>
      <c r="E4236" s="15"/>
      <c r="F4236" s="15"/>
      <c r="G4236" s="15"/>
      <c r="H4236" s="15"/>
      <c r="I4236" s="15"/>
      <c r="J4236" s="15"/>
      <c r="K4236" s="15"/>
      <c r="L4236" s="28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  <c r="AA4236" s="15"/>
      <c r="AB4236" s="15"/>
      <c r="AC4236" s="15"/>
      <c r="AD4236" s="15"/>
      <c r="AE4236" s="15"/>
      <c r="AF4236" s="15"/>
      <c r="AG4236" s="15"/>
      <c r="AH4236" s="15"/>
      <c r="AI4236" s="15"/>
      <c r="AJ4236" s="15"/>
      <c r="AK4236" s="15"/>
      <c r="AL4236" s="15"/>
      <c r="AM4236" s="15"/>
      <c r="AN4236" s="15"/>
      <c r="AO4236" s="15"/>
      <c r="AP4236" s="15"/>
      <c r="AQ4236" s="15"/>
      <c r="AR4236" s="15"/>
      <c r="AS4236" s="15"/>
      <c r="AT4236" s="15"/>
      <c r="AU4236" s="15"/>
      <c r="AV4236" s="15"/>
      <c r="AW4236" s="15"/>
    </row>
    <row r="4237" spans="3:49" x14ac:dyDescent="0.2">
      <c r="C4237" s="15"/>
      <c r="D4237" s="15"/>
      <c r="E4237" s="15"/>
      <c r="F4237" s="15"/>
      <c r="G4237" s="15"/>
      <c r="H4237" s="15"/>
      <c r="I4237" s="15"/>
      <c r="J4237" s="15"/>
      <c r="K4237" s="15"/>
      <c r="L4237" s="28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  <c r="AA4237" s="15"/>
      <c r="AB4237" s="15"/>
      <c r="AC4237" s="15"/>
      <c r="AD4237" s="15"/>
      <c r="AE4237" s="15"/>
      <c r="AF4237" s="15"/>
      <c r="AG4237" s="15"/>
      <c r="AH4237" s="15"/>
      <c r="AI4237" s="15"/>
      <c r="AJ4237" s="15"/>
      <c r="AK4237" s="15"/>
      <c r="AL4237" s="15"/>
      <c r="AM4237" s="15"/>
      <c r="AN4237" s="15"/>
      <c r="AO4237" s="15"/>
      <c r="AP4237" s="15"/>
      <c r="AQ4237" s="15"/>
      <c r="AR4237" s="15"/>
      <c r="AS4237" s="15"/>
      <c r="AT4237" s="15"/>
      <c r="AU4237" s="15"/>
      <c r="AV4237" s="15"/>
      <c r="AW4237" s="15"/>
    </row>
    <row r="4238" spans="3:49" x14ac:dyDescent="0.2">
      <c r="C4238" s="15"/>
      <c r="D4238" s="15"/>
      <c r="E4238" s="15"/>
      <c r="F4238" s="15"/>
      <c r="G4238" s="15"/>
      <c r="H4238" s="15"/>
      <c r="I4238" s="15"/>
      <c r="J4238" s="15"/>
      <c r="K4238" s="15"/>
      <c r="L4238" s="28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  <c r="AA4238" s="15"/>
      <c r="AB4238" s="15"/>
      <c r="AC4238" s="15"/>
      <c r="AD4238" s="15"/>
      <c r="AE4238" s="15"/>
      <c r="AF4238" s="15"/>
      <c r="AG4238" s="15"/>
      <c r="AH4238" s="15"/>
      <c r="AI4238" s="15"/>
      <c r="AJ4238" s="15"/>
      <c r="AK4238" s="15"/>
      <c r="AL4238" s="15"/>
      <c r="AM4238" s="15"/>
      <c r="AN4238" s="15"/>
      <c r="AO4238" s="15"/>
      <c r="AP4238" s="15"/>
      <c r="AQ4238" s="15"/>
      <c r="AR4238" s="15"/>
      <c r="AS4238" s="15"/>
      <c r="AT4238" s="15"/>
      <c r="AU4238" s="15"/>
      <c r="AV4238" s="15"/>
      <c r="AW4238" s="15"/>
    </row>
    <row r="4239" spans="3:49" x14ac:dyDescent="0.2">
      <c r="C4239" s="15"/>
      <c r="D4239" s="15"/>
      <c r="E4239" s="15"/>
      <c r="F4239" s="15"/>
      <c r="G4239" s="15"/>
      <c r="H4239" s="15"/>
      <c r="I4239" s="15"/>
      <c r="J4239" s="15"/>
      <c r="K4239" s="15"/>
      <c r="L4239" s="28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  <c r="AA4239" s="15"/>
      <c r="AB4239" s="15"/>
      <c r="AC4239" s="15"/>
      <c r="AD4239" s="15"/>
      <c r="AE4239" s="15"/>
      <c r="AF4239" s="15"/>
      <c r="AG4239" s="15"/>
      <c r="AH4239" s="15"/>
      <c r="AI4239" s="15"/>
      <c r="AJ4239" s="15"/>
      <c r="AK4239" s="15"/>
      <c r="AL4239" s="15"/>
      <c r="AM4239" s="15"/>
      <c r="AN4239" s="15"/>
      <c r="AO4239" s="15"/>
      <c r="AP4239" s="15"/>
      <c r="AQ4239" s="15"/>
      <c r="AR4239" s="15"/>
      <c r="AS4239" s="15"/>
      <c r="AT4239" s="15"/>
      <c r="AU4239" s="15"/>
      <c r="AV4239" s="15"/>
      <c r="AW4239" s="15"/>
    </row>
    <row r="4240" spans="3:49" x14ac:dyDescent="0.2">
      <c r="C4240" s="15"/>
      <c r="D4240" s="15"/>
      <c r="E4240" s="15"/>
      <c r="F4240" s="15"/>
      <c r="G4240" s="15"/>
      <c r="H4240" s="15"/>
      <c r="I4240" s="15"/>
      <c r="J4240" s="15"/>
      <c r="K4240" s="15"/>
      <c r="L4240" s="28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  <c r="AA4240" s="15"/>
      <c r="AB4240" s="15"/>
      <c r="AC4240" s="15"/>
      <c r="AD4240" s="15"/>
      <c r="AE4240" s="15"/>
      <c r="AF4240" s="15"/>
      <c r="AG4240" s="15"/>
      <c r="AH4240" s="15"/>
      <c r="AI4240" s="15"/>
      <c r="AJ4240" s="15"/>
      <c r="AK4240" s="15"/>
      <c r="AL4240" s="15"/>
      <c r="AM4240" s="15"/>
      <c r="AN4240" s="15"/>
      <c r="AO4240" s="15"/>
      <c r="AP4240" s="15"/>
      <c r="AQ4240" s="15"/>
      <c r="AR4240" s="15"/>
      <c r="AS4240" s="15"/>
      <c r="AT4240" s="15"/>
      <c r="AU4240" s="15"/>
      <c r="AV4240" s="15"/>
      <c r="AW4240" s="15"/>
    </row>
    <row r="4241" spans="3:49" x14ac:dyDescent="0.2">
      <c r="C4241" s="15"/>
      <c r="D4241" s="15"/>
      <c r="E4241" s="15"/>
      <c r="F4241" s="15"/>
      <c r="G4241" s="15"/>
      <c r="H4241" s="15"/>
      <c r="I4241" s="15"/>
      <c r="J4241" s="15"/>
      <c r="K4241" s="15"/>
      <c r="L4241" s="28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  <c r="AA4241" s="15"/>
      <c r="AB4241" s="15"/>
      <c r="AC4241" s="15"/>
      <c r="AD4241" s="15"/>
      <c r="AE4241" s="15"/>
      <c r="AF4241" s="15"/>
      <c r="AG4241" s="15"/>
      <c r="AH4241" s="15"/>
      <c r="AI4241" s="15"/>
      <c r="AJ4241" s="15"/>
      <c r="AK4241" s="15"/>
      <c r="AL4241" s="15"/>
      <c r="AM4241" s="15"/>
      <c r="AN4241" s="15"/>
      <c r="AO4241" s="15"/>
      <c r="AP4241" s="15"/>
      <c r="AQ4241" s="15"/>
      <c r="AR4241" s="15"/>
      <c r="AS4241" s="15"/>
      <c r="AT4241" s="15"/>
      <c r="AU4241" s="15"/>
      <c r="AV4241" s="15"/>
      <c r="AW4241" s="15"/>
    </row>
    <row r="4242" spans="3:49" x14ac:dyDescent="0.2">
      <c r="C4242" s="15"/>
      <c r="D4242" s="15"/>
      <c r="E4242" s="15"/>
      <c r="F4242" s="15"/>
      <c r="G4242" s="15"/>
      <c r="H4242" s="15"/>
      <c r="I4242" s="15"/>
      <c r="J4242" s="15"/>
      <c r="K4242" s="15"/>
      <c r="L4242" s="28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  <c r="AA4242" s="15"/>
      <c r="AB4242" s="15"/>
      <c r="AC4242" s="15"/>
      <c r="AD4242" s="15"/>
      <c r="AE4242" s="15"/>
      <c r="AF4242" s="15"/>
      <c r="AG4242" s="15"/>
      <c r="AH4242" s="15"/>
      <c r="AI4242" s="15"/>
      <c r="AJ4242" s="15"/>
      <c r="AK4242" s="15"/>
      <c r="AL4242" s="15"/>
      <c r="AM4242" s="15"/>
      <c r="AN4242" s="15"/>
      <c r="AO4242" s="15"/>
      <c r="AP4242" s="15"/>
      <c r="AQ4242" s="15"/>
      <c r="AR4242" s="15"/>
      <c r="AS4242" s="15"/>
      <c r="AT4242" s="15"/>
      <c r="AU4242" s="15"/>
      <c r="AV4242" s="15"/>
      <c r="AW4242" s="15"/>
    </row>
    <row r="4243" spans="3:49" x14ac:dyDescent="0.2">
      <c r="C4243" s="15"/>
      <c r="D4243" s="15"/>
      <c r="E4243" s="15"/>
      <c r="F4243" s="15"/>
      <c r="G4243" s="15"/>
      <c r="H4243" s="15"/>
      <c r="I4243" s="15"/>
      <c r="J4243" s="15"/>
      <c r="K4243" s="15"/>
      <c r="L4243" s="28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  <c r="AA4243" s="15"/>
      <c r="AB4243" s="15"/>
      <c r="AC4243" s="15"/>
      <c r="AD4243" s="15"/>
      <c r="AE4243" s="15"/>
      <c r="AF4243" s="15"/>
      <c r="AG4243" s="15"/>
      <c r="AH4243" s="15"/>
      <c r="AI4243" s="15"/>
      <c r="AJ4243" s="15"/>
      <c r="AK4243" s="15"/>
      <c r="AL4243" s="15"/>
      <c r="AM4243" s="15"/>
      <c r="AN4243" s="15"/>
      <c r="AO4243" s="15"/>
      <c r="AP4243" s="15"/>
      <c r="AQ4243" s="15"/>
      <c r="AR4243" s="15"/>
      <c r="AS4243" s="15"/>
      <c r="AT4243" s="15"/>
      <c r="AU4243" s="15"/>
      <c r="AV4243" s="15"/>
      <c r="AW4243" s="15"/>
    </row>
    <row r="4244" spans="3:49" x14ac:dyDescent="0.2">
      <c r="C4244" s="15"/>
      <c r="D4244" s="15"/>
      <c r="E4244" s="15"/>
      <c r="F4244" s="15"/>
      <c r="G4244" s="15"/>
      <c r="H4244" s="15"/>
      <c r="I4244" s="15"/>
      <c r="J4244" s="15"/>
      <c r="K4244" s="15"/>
      <c r="L4244" s="28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  <c r="AA4244" s="15"/>
      <c r="AB4244" s="15"/>
      <c r="AC4244" s="15"/>
      <c r="AD4244" s="15"/>
      <c r="AE4244" s="15"/>
      <c r="AF4244" s="15"/>
      <c r="AG4244" s="15"/>
      <c r="AH4244" s="15"/>
      <c r="AI4244" s="15"/>
      <c r="AJ4244" s="15"/>
      <c r="AK4244" s="15"/>
      <c r="AL4244" s="15"/>
      <c r="AM4244" s="15"/>
      <c r="AN4244" s="15"/>
      <c r="AO4244" s="15"/>
      <c r="AP4244" s="15"/>
      <c r="AQ4244" s="15"/>
      <c r="AR4244" s="15"/>
      <c r="AS4244" s="15"/>
      <c r="AT4244" s="15"/>
      <c r="AU4244" s="15"/>
      <c r="AV4244" s="15"/>
      <c r="AW4244" s="15"/>
    </row>
    <row r="4245" spans="3:49" x14ac:dyDescent="0.2">
      <c r="C4245" s="15"/>
      <c r="D4245" s="15"/>
      <c r="E4245" s="15"/>
      <c r="F4245" s="15"/>
      <c r="G4245" s="15"/>
      <c r="H4245" s="15"/>
      <c r="I4245" s="15"/>
      <c r="J4245" s="15"/>
      <c r="K4245" s="15"/>
      <c r="L4245" s="28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  <c r="AA4245" s="15"/>
      <c r="AB4245" s="15"/>
      <c r="AC4245" s="15"/>
      <c r="AD4245" s="15"/>
      <c r="AE4245" s="15"/>
      <c r="AF4245" s="15"/>
      <c r="AG4245" s="15"/>
      <c r="AH4245" s="15"/>
      <c r="AI4245" s="15"/>
      <c r="AJ4245" s="15"/>
      <c r="AK4245" s="15"/>
      <c r="AL4245" s="15"/>
      <c r="AM4245" s="15"/>
      <c r="AN4245" s="15"/>
      <c r="AO4245" s="15"/>
      <c r="AP4245" s="15"/>
      <c r="AQ4245" s="15"/>
      <c r="AR4245" s="15"/>
      <c r="AS4245" s="15"/>
      <c r="AT4245" s="15"/>
      <c r="AU4245" s="15"/>
      <c r="AV4245" s="15"/>
      <c r="AW4245" s="15"/>
    </row>
    <row r="4246" spans="3:49" x14ac:dyDescent="0.2">
      <c r="C4246" s="15"/>
      <c r="D4246" s="15"/>
      <c r="E4246" s="15"/>
      <c r="F4246" s="15"/>
      <c r="G4246" s="15"/>
      <c r="H4246" s="15"/>
      <c r="I4246" s="15"/>
      <c r="J4246" s="15"/>
      <c r="K4246" s="15"/>
      <c r="L4246" s="28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  <c r="AA4246" s="15"/>
      <c r="AB4246" s="15"/>
      <c r="AC4246" s="15"/>
      <c r="AD4246" s="15"/>
      <c r="AE4246" s="15"/>
      <c r="AF4246" s="15"/>
      <c r="AG4246" s="15"/>
      <c r="AH4246" s="15"/>
      <c r="AI4246" s="15"/>
      <c r="AJ4246" s="15"/>
      <c r="AK4246" s="15"/>
      <c r="AL4246" s="15"/>
      <c r="AM4246" s="15"/>
      <c r="AN4246" s="15"/>
      <c r="AO4246" s="15"/>
      <c r="AP4246" s="15"/>
      <c r="AQ4246" s="15"/>
      <c r="AR4246" s="15"/>
      <c r="AS4246" s="15"/>
      <c r="AT4246" s="15"/>
      <c r="AU4246" s="15"/>
      <c r="AV4246" s="15"/>
      <c r="AW4246" s="15"/>
    </row>
    <row r="4247" spans="3:49" x14ac:dyDescent="0.2">
      <c r="C4247" s="15"/>
      <c r="D4247" s="15"/>
      <c r="E4247" s="15"/>
      <c r="F4247" s="15"/>
      <c r="G4247" s="15"/>
      <c r="H4247" s="15"/>
      <c r="I4247" s="15"/>
      <c r="J4247" s="15"/>
      <c r="K4247" s="15"/>
      <c r="L4247" s="28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  <c r="AA4247" s="15"/>
      <c r="AB4247" s="15"/>
      <c r="AC4247" s="15"/>
      <c r="AD4247" s="15"/>
      <c r="AE4247" s="15"/>
      <c r="AF4247" s="15"/>
      <c r="AG4247" s="15"/>
      <c r="AH4247" s="15"/>
      <c r="AI4247" s="15"/>
      <c r="AJ4247" s="15"/>
      <c r="AK4247" s="15"/>
      <c r="AL4247" s="15"/>
      <c r="AM4247" s="15"/>
      <c r="AN4247" s="15"/>
      <c r="AO4247" s="15"/>
      <c r="AP4247" s="15"/>
      <c r="AQ4247" s="15"/>
      <c r="AR4247" s="15"/>
      <c r="AS4247" s="15"/>
      <c r="AT4247" s="15"/>
      <c r="AU4247" s="15"/>
      <c r="AV4247" s="15"/>
      <c r="AW4247" s="15"/>
    </row>
    <row r="4248" spans="3:49" x14ac:dyDescent="0.2">
      <c r="C4248" s="15"/>
      <c r="D4248" s="15"/>
      <c r="E4248" s="15"/>
      <c r="F4248" s="15"/>
      <c r="G4248" s="15"/>
      <c r="H4248" s="15"/>
      <c r="I4248" s="15"/>
      <c r="J4248" s="15"/>
      <c r="K4248" s="15"/>
      <c r="L4248" s="28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  <c r="AA4248" s="15"/>
      <c r="AB4248" s="15"/>
      <c r="AC4248" s="15"/>
      <c r="AD4248" s="15"/>
      <c r="AE4248" s="15"/>
      <c r="AF4248" s="15"/>
      <c r="AG4248" s="15"/>
      <c r="AH4248" s="15"/>
      <c r="AI4248" s="15"/>
      <c r="AJ4248" s="15"/>
      <c r="AK4248" s="15"/>
      <c r="AL4248" s="15"/>
      <c r="AM4248" s="15"/>
      <c r="AN4248" s="15"/>
      <c r="AO4248" s="15"/>
      <c r="AP4248" s="15"/>
      <c r="AQ4248" s="15"/>
      <c r="AR4248" s="15"/>
      <c r="AS4248" s="15"/>
      <c r="AT4248" s="15"/>
      <c r="AU4248" s="15"/>
      <c r="AV4248" s="15"/>
      <c r="AW4248" s="15"/>
    </row>
    <row r="4249" spans="3:49" x14ac:dyDescent="0.2">
      <c r="C4249" s="15"/>
      <c r="D4249" s="15"/>
      <c r="E4249" s="15"/>
      <c r="F4249" s="15"/>
      <c r="G4249" s="15"/>
      <c r="H4249" s="15"/>
      <c r="I4249" s="15"/>
      <c r="J4249" s="15"/>
      <c r="K4249" s="15"/>
      <c r="L4249" s="28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  <c r="AA4249" s="15"/>
      <c r="AB4249" s="15"/>
      <c r="AC4249" s="15"/>
      <c r="AD4249" s="15"/>
      <c r="AE4249" s="15"/>
      <c r="AF4249" s="15"/>
      <c r="AG4249" s="15"/>
      <c r="AH4249" s="15"/>
      <c r="AI4249" s="15"/>
      <c r="AJ4249" s="15"/>
      <c r="AK4249" s="15"/>
      <c r="AL4249" s="15"/>
      <c r="AM4249" s="15"/>
      <c r="AN4249" s="15"/>
      <c r="AO4249" s="15"/>
      <c r="AP4249" s="15"/>
      <c r="AQ4249" s="15"/>
      <c r="AR4249" s="15"/>
      <c r="AS4249" s="15"/>
      <c r="AT4249" s="15"/>
      <c r="AU4249" s="15"/>
      <c r="AV4249" s="15"/>
      <c r="AW4249" s="15"/>
    </row>
    <row r="4250" spans="3:49" x14ac:dyDescent="0.2">
      <c r="C4250" s="15"/>
      <c r="D4250" s="15"/>
      <c r="E4250" s="15"/>
      <c r="F4250" s="15"/>
      <c r="G4250" s="15"/>
      <c r="H4250" s="15"/>
      <c r="I4250" s="15"/>
      <c r="J4250" s="15"/>
      <c r="K4250" s="15"/>
      <c r="L4250" s="28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  <c r="AA4250" s="15"/>
      <c r="AB4250" s="15"/>
      <c r="AC4250" s="15"/>
      <c r="AD4250" s="15"/>
      <c r="AE4250" s="15"/>
      <c r="AF4250" s="15"/>
      <c r="AG4250" s="15"/>
      <c r="AH4250" s="15"/>
      <c r="AI4250" s="15"/>
      <c r="AJ4250" s="15"/>
      <c r="AK4250" s="15"/>
      <c r="AL4250" s="15"/>
      <c r="AM4250" s="15"/>
      <c r="AN4250" s="15"/>
      <c r="AO4250" s="15"/>
      <c r="AP4250" s="15"/>
      <c r="AQ4250" s="15"/>
      <c r="AR4250" s="15"/>
      <c r="AS4250" s="15"/>
      <c r="AT4250" s="15"/>
      <c r="AU4250" s="15"/>
      <c r="AV4250" s="15"/>
      <c r="AW4250" s="15"/>
    </row>
    <row r="4251" spans="3:49" x14ac:dyDescent="0.2">
      <c r="C4251" s="15"/>
      <c r="D4251" s="15"/>
      <c r="E4251" s="15"/>
      <c r="F4251" s="15"/>
      <c r="G4251" s="15"/>
      <c r="H4251" s="15"/>
      <c r="I4251" s="15"/>
      <c r="J4251" s="15"/>
      <c r="K4251" s="15"/>
      <c r="L4251" s="28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  <c r="AA4251" s="15"/>
      <c r="AB4251" s="15"/>
      <c r="AC4251" s="15"/>
      <c r="AD4251" s="15"/>
      <c r="AE4251" s="15"/>
      <c r="AF4251" s="15"/>
      <c r="AG4251" s="15"/>
      <c r="AH4251" s="15"/>
      <c r="AI4251" s="15"/>
      <c r="AJ4251" s="15"/>
      <c r="AK4251" s="15"/>
      <c r="AL4251" s="15"/>
      <c r="AM4251" s="15"/>
      <c r="AN4251" s="15"/>
      <c r="AO4251" s="15"/>
      <c r="AP4251" s="15"/>
      <c r="AQ4251" s="15"/>
      <c r="AR4251" s="15"/>
      <c r="AS4251" s="15"/>
      <c r="AT4251" s="15"/>
      <c r="AU4251" s="15"/>
      <c r="AV4251" s="15"/>
      <c r="AW4251" s="15"/>
    </row>
    <row r="4252" spans="3:49" x14ac:dyDescent="0.2">
      <c r="C4252" s="15"/>
      <c r="D4252" s="15"/>
      <c r="E4252" s="15"/>
      <c r="F4252" s="15"/>
      <c r="G4252" s="15"/>
      <c r="H4252" s="15"/>
      <c r="I4252" s="15"/>
      <c r="J4252" s="15"/>
      <c r="K4252" s="15"/>
      <c r="L4252" s="28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  <c r="AA4252" s="15"/>
      <c r="AB4252" s="15"/>
      <c r="AC4252" s="15"/>
      <c r="AD4252" s="15"/>
      <c r="AE4252" s="15"/>
      <c r="AF4252" s="15"/>
      <c r="AG4252" s="15"/>
      <c r="AH4252" s="15"/>
      <c r="AI4252" s="15"/>
      <c r="AJ4252" s="15"/>
      <c r="AK4252" s="15"/>
      <c r="AL4252" s="15"/>
      <c r="AM4252" s="15"/>
      <c r="AN4252" s="15"/>
      <c r="AO4252" s="15"/>
      <c r="AP4252" s="15"/>
      <c r="AQ4252" s="15"/>
      <c r="AR4252" s="15"/>
      <c r="AS4252" s="15"/>
      <c r="AT4252" s="15"/>
      <c r="AU4252" s="15"/>
      <c r="AV4252" s="15"/>
      <c r="AW4252" s="15"/>
    </row>
    <row r="4253" spans="3:49" x14ac:dyDescent="0.2">
      <c r="C4253" s="15"/>
      <c r="D4253" s="15"/>
      <c r="E4253" s="15"/>
      <c r="F4253" s="15"/>
      <c r="G4253" s="15"/>
      <c r="H4253" s="15"/>
      <c r="I4253" s="15"/>
      <c r="J4253" s="15"/>
      <c r="K4253" s="15"/>
      <c r="L4253" s="28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  <c r="AA4253" s="15"/>
      <c r="AB4253" s="15"/>
      <c r="AC4253" s="15"/>
      <c r="AD4253" s="15"/>
      <c r="AE4253" s="15"/>
      <c r="AF4253" s="15"/>
      <c r="AG4253" s="15"/>
      <c r="AH4253" s="15"/>
      <c r="AI4253" s="15"/>
      <c r="AJ4253" s="15"/>
      <c r="AK4253" s="15"/>
      <c r="AL4253" s="15"/>
      <c r="AM4253" s="15"/>
      <c r="AN4253" s="15"/>
      <c r="AO4253" s="15"/>
      <c r="AP4253" s="15"/>
      <c r="AQ4253" s="15"/>
      <c r="AR4253" s="15"/>
      <c r="AS4253" s="15"/>
      <c r="AT4253" s="15"/>
      <c r="AU4253" s="15"/>
      <c r="AV4253" s="15"/>
      <c r="AW4253" s="15"/>
    </row>
    <row r="4254" spans="3:49" x14ac:dyDescent="0.2">
      <c r="C4254" s="15"/>
      <c r="D4254" s="15"/>
      <c r="E4254" s="15"/>
      <c r="F4254" s="15"/>
      <c r="G4254" s="15"/>
      <c r="H4254" s="15"/>
      <c r="I4254" s="15"/>
      <c r="J4254" s="15"/>
      <c r="K4254" s="15"/>
      <c r="L4254" s="28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  <c r="AA4254" s="15"/>
      <c r="AB4254" s="15"/>
      <c r="AC4254" s="15"/>
      <c r="AD4254" s="15"/>
      <c r="AE4254" s="15"/>
      <c r="AF4254" s="15"/>
      <c r="AG4254" s="15"/>
      <c r="AH4254" s="15"/>
      <c r="AI4254" s="15"/>
      <c r="AJ4254" s="15"/>
      <c r="AK4254" s="15"/>
      <c r="AL4254" s="15"/>
      <c r="AM4254" s="15"/>
      <c r="AN4254" s="15"/>
      <c r="AO4254" s="15"/>
      <c r="AP4254" s="15"/>
      <c r="AQ4254" s="15"/>
      <c r="AR4254" s="15"/>
      <c r="AS4254" s="15"/>
      <c r="AT4254" s="15"/>
      <c r="AU4254" s="15"/>
      <c r="AV4254" s="15"/>
      <c r="AW4254" s="15"/>
    </row>
    <row r="4255" spans="3:49" x14ac:dyDescent="0.2">
      <c r="C4255" s="15"/>
      <c r="D4255" s="15"/>
      <c r="E4255" s="15"/>
      <c r="F4255" s="15"/>
      <c r="G4255" s="15"/>
      <c r="H4255" s="15"/>
      <c r="I4255" s="15"/>
      <c r="J4255" s="15"/>
      <c r="K4255" s="15"/>
      <c r="L4255" s="28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  <c r="AA4255" s="15"/>
      <c r="AB4255" s="15"/>
      <c r="AC4255" s="15"/>
      <c r="AD4255" s="15"/>
      <c r="AE4255" s="15"/>
      <c r="AF4255" s="15"/>
      <c r="AG4255" s="15"/>
      <c r="AH4255" s="15"/>
      <c r="AI4255" s="15"/>
      <c r="AJ4255" s="15"/>
      <c r="AK4255" s="15"/>
      <c r="AL4255" s="15"/>
      <c r="AM4255" s="15"/>
      <c r="AN4255" s="15"/>
      <c r="AO4255" s="15"/>
      <c r="AP4255" s="15"/>
      <c r="AQ4255" s="15"/>
      <c r="AR4255" s="15"/>
      <c r="AS4255" s="15"/>
      <c r="AT4255" s="15"/>
      <c r="AU4255" s="15"/>
      <c r="AV4255" s="15"/>
      <c r="AW4255" s="15"/>
    </row>
    <row r="4256" spans="3:49" x14ac:dyDescent="0.2">
      <c r="C4256" s="15"/>
      <c r="D4256" s="15"/>
      <c r="E4256" s="15"/>
      <c r="F4256" s="15"/>
      <c r="G4256" s="15"/>
      <c r="H4256" s="15"/>
      <c r="I4256" s="15"/>
      <c r="J4256" s="15"/>
      <c r="K4256" s="15"/>
      <c r="L4256" s="28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  <c r="AA4256" s="15"/>
      <c r="AB4256" s="15"/>
      <c r="AC4256" s="15"/>
      <c r="AD4256" s="15"/>
      <c r="AE4256" s="15"/>
      <c r="AF4256" s="15"/>
      <c r="AG4256" s="15"/>
      <c r="AH4256" s="15"/>
      <c r="AI4256" s="15"/>
      <c r="AJ4256" s="15"/>
      <c r="AK4256" s="15"/>
      <c r="AL4256" s="15"/>
      <c r="AM4256" s="15"/>
      <c r="AN4256" s="15"/>
      <c r="AO4256" s="15"/>
      <c r="AP4256" s="15"/>
      <c r="AQ4256" s="15"/>
      <c r="AR4256" s="15"/>
      <c r="AS4256" s="15"/>
      <c r="AT4256" s="15"/>
      <c r="AU4256" s="15"/>
      <c r="AV4256" s="15"/>
      <c r="AW4256" s="15"/>
    </row>
    <row r="4257" spans="3:49" x14ac:dyDescent="0.2">
      <c r="C4257" s="15"/>
      <c r="D4257" s="15"/>
      <c r="E4257" s="15"/>
      <c r="F4257" s="15"/>
      <c r="G4257" s="15"/>
      <c r="H4257" s="15"/>
      <c r="I4257" s="15"/>
      <c r="J4257" s="15"/>
      <c r="K4257" s="15"/>
      <c r="L4257" s="28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  <c r="AA4257" s="15"/>
      <c r="AB4257" s="15"/>
      <c r="AC4257" s="15"/>
      <c r="AD4257" s="15"/>
      <c r="AE4257" s="15"/>
      <c r="AF4257" s="15"/>
      <c r="AG4257" s="15"/>
      <c r="AH4257" s="15"/>
      <c r="AI4257" s="15"/>
      <c r="AJ4257" s="15"/>
      <c r="AK4257" s="15"/>
      <c r="AL4257" s="15"/>
      <c r="AM4257" s="15"/>
      <c r="AN4257" s="15"/>
      <c r="AO4257" s="15"/>
      <c r="AP4257" s="15"/>
      <c r="AQ4257" s="15"/>
      <c r="AR4257" s="15"/>
      <c r="AS4257" s="15"/>
      <c r="AT4257" s="15"/>
      <c r="AU4257" s="15"/>
      <c r="AV4257" s="15"/>
      <c r="AW4257" s="15"/>
    </row>
    <row r="4258" spans="3:49" x14ac:dyDescent="0.2">
      <c r="C4258" s="15"/>
      <c r="D4258" s="15"/>
      <c r="E4258" s="15"/>
      <c r="F4258" s="15"/>
      <c r="G4258" s="15"/>
      <c r="H4258" s="15"/>
      <c r="I4258" s="15"/>
      <c r="J4258" s="15"/>
      <c r="K4258" s="15"/>
      <c r="L4258" s="28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  <c r="AA4258" s="15"/>
      <c r="AB4258" s="15"/>
      <c r="AC4258" s="15"/>
      <c r="AD4258" s="15"/>
      <c r="AE4258" s="15"/>
      <c r="AF4258" s="15"/>
      <c r="AG4258" s="15"/>
      <c r="AH4258" s="15"/>
      <c r="AI4258" s="15"/>
      <c r="AJ4258" s="15"/>
      <c r="AK4258" s="15"/>
      <c r="AL4258" s="15"/>
      <c r="AM4258" s="15"/>
      <c r="AN4258" s="15"/>
      <c r="AO4258" s="15"/>
      <c r="AP4258" s="15"/>
      <c r="AQ4258" s="15"/>
      <c r="AR4258" s="15"/>
      <c r="AS4258" s="15"/>
      <c r="AT4258" s="15"/>
      <c r="AU4258" s="15"/>
      <c r="AV4258" s="15"/>
      <c r="AW4258" s="15"/>
    </row>
    <row r="4259" spans="3:49" x14ac:dyDescent="0.2">
      <c r="C4259" s="15"/>
      <c r="D4259" s="15"/>
      <c r="E4259" s="15"/>
      <c r="F4259" s="15"/>
      <c r="G4259" s="15"/>
      <c r="H4259" s="15"/>
      <c r="I4259" s="15"/>
      <c r="J4259" s="15"/>
      <c r="K4259" s="15"/>
      <c r="L4259" s="28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  <c r="AA4259" s="15"/>
      <c r="AB4259" s="15"/>
      <c r="AC4259" s="15"/>
      <c r="AD4259" s="15"/>
      <c r="AE4259" s="15"/>
      <c r="AF4259" s="15"/>
      <c r="AG4259" s="15"/>
      <c r="AH4259" s="15"/>
      <c r="AI4259" s="15"/>
      <c r="AJ4259" s="15"/>
      <c r="AK4259" s="15"/>
      <c r="AL4259" s="15"/>
      <c r="AM4259" s="15"/>
      <c r="AN4259" s="15"/>
      <c r="AO4259" s="15"/>
      <c r="AP4259" s="15"/>
      <c r="AQ4259" s="15"/>
      <c r="AR4259" s="15"/>
      <c r="AS4259" s="15"/>
      <c r="AT4259" s="15"/>
      <c r="AU4259" s="15"/>
      <c r="AV4259" s="15"/>
      <c r="AW4259" s="15"/>
    </row>
    <row r="4260" spans="3:49" x14ac:dyDescent="0.2">
      <c r="C4260" s="15"/>
      <c r="D4260" s="15"/>
      <c r="E4260" s="15"/>
      <c r="F4260" s="15"/>
      <c r="G4260" s="15"/>
      <c r="H4260" s="15"/>
      <c r="I4260" s="15"/>
      <c r="J4260" s="15"/>
      <c r="K4260" s="15"/>
      <c r="L4260" s="28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  <c r="AA4260" s="15"/>
      <c r="AB4260" s="15"/>
      <c r="AC4260" s="15"/>
      <c r="AD4260" s="15"/>
      <c r="AE4260" s="15"/>
      <c r="AF4260" s="15"/>
      <c r="AG4260" s="15"/>
      <c r="AH4260" s="15"/>
      <c r="AI4260" s="15"/>
      <c r="AJ4260" s="15"/>
      <c r="AK4260" s="15"/>
      <c r="AL4260" s="15"/>
      <c r="AM4260" s="15"/>
      <c r="AN4260" s="15"/>
      <c r="AO4260" s="15"/>
      <c r="AP4260" s="15"/>
      <c r="AQ4260" s="15"/>
      <c r="AR4260" s="15"/>
      <c r="AS4260" s="15"/>
      <c r="AT4260" s="15"/>
      <c r="AU4260" s="15"/>
      <c r="AV4260" s="15"/>
      <c r="AW4260" s="15"/>
    </row>
    <row r="4261" spans="3:49" x14ac:dyDescent="0.2">
      <c r="C4261" s="15"/>
      <c r="D4261" s="15"/>
      <c r="E4261" s="15"/>
      <c r="F4261" s="15"/>
      <c r="G4261" s="15"/>
      <c r="H4261" s="15"/>
      <c r="I4261" s="15"/>
      <c r="J4261" s="15"/>
      <c r="K4261" s="15"/>
      <c r="L4261" s="28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  <c r="AA4261" s="15"/>
      <c r="AB4261" s="15"/>
      <c r="AC4261" s="15"/>
      <c r="AD4261" s="15"/>
      <c r="AE4261" s="15"/>
      <c r="AF4261" s="15"/>
      <c r="AG4261" s="15"/>
      <c r="AH4261" s="15"/>
      <c r="AI4261" s="15"/>
      <c r="AJ4261" s="15"/>
      <c r="AK4261" s="15"/>
      <c r="AL4261" s="15"/>
      <c r="AM4261" s="15"/>
      <c r="AN4261" s="15"/>
      <c r="AO4261" s="15"/>
      <c r="AP4261" s="15"/>
      <c r="AQ4261" s="15"/>
      <c r="AR4261" s="15"/>
      <c r="AS4261" s="15"/>
      <c r="AT4261" s="15"/>
      <c r="AU4261" s="15"/>
      <c r="AV4261" s="15"/>
      <c r="AW4261" s="15"/>
    </row>
    <row r="4262" spans="3:49" x14ac:dyDescent="0.2">
      <c r="C4262" s="15"/>
      <c r="D4262" s="15"/>
      <c r="E4262" s="15"/>
      <c r="F4262" s="15"/>
      <c r="G4262" s="15"/>
      <c r="H4262" s="15"/>
      <c r="I4262" s="15"/>
      <c r="J4262" s="15"/>
      <c r="K4262" s="15"/>
      <c r="L4262" s="28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  <c r="AA4262" s="15"/>
      <c r="AB4262" s="15"/>
      <c r="AC4262" s="15"/>
      <c r="AD4262" s="15"/>
      <c r="AE4262" s="15"/>
      <c r="AF4262" s="15"/>
      <c r="AG4262" s="15"/>
      <c r="AH4262" s="15"/>
      <c r="AI4262" s="15"/>
      <c r="AJ4262" s="15"/>
      <c r="AK4262" s="15"/>
      <c r="AL4262" s="15"/>
      <c r="AM4262" s="15"/>
      <c r="AN4262" s="15"/>
      <c r="AO4262" s="15"/>
      <c r="AP4262" s="15"/>
      <c r="AQ4262" s="15"/>
      <c r="AR4262" s="15"/>
      <c r="AS4262" s="15"/>
      <c r="AT4262" s="15"/>
      <c r="AU4262" s="15"/>
      <c r="AV4262" s="15"/>
      <c r="AW4262" s="15"/>
    </row>
    <row r="4263" spans="3:49" x14ac:dyDescent="0.2">
      <c r="C4263" s="15"/>
      <c r="D4263" s="15"/>
      <c r="E4263" s="15"/>
      <c r="F4263" s="15"/>
      <c r="G4263" s="15"/>
      <c r="H4263" s="15"/>
      <c r="I4263" s="15"/>
      <c r="J4263" s="15"/>
      <c r="K4263" s="15"/>
      <c r="L4263" s="28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  <c r="AA4263" s="15"/>
      <c r="AB4263" s="15"/>
      <c r="AC4263" s="15"/>
      <c r="AD4263" s="15"/>
      <c r="AE4263" s="15"/>
      <c r="AF4263" s="15"/>
      <c r="AG4263" s="15"/>
      <c r="AH4263" s="15"/>
      <c r="AI4263" s="15"/>
      <c r="AJ4263" s="15"/>
      <c r="AK4263" s="15"/>
      <c r="AL4263" s="15"/>
      <c r="AM4263" s="15"/>
      <c r="AN4263" s="15"/>
      <c r="AO4263" s="15"/>
      <c r="AP4263" s="15"/>
      <c r="AQ4263" s="15"/>
      <c r="AR4263" s="15"/>
      <c r="AS4263" s="15"/>
      <c r="AT4263" s="15"/>
      <c r="AU4263" s="15"/>
      <c r="AV4263" s="15"/>
      <c r="AW4263" s="15"/>
    </row>
    <row r="4264" spans="3:49" x14ac:dyDescent="0.2">
      <c r="C4264" s="15"/>
      <c r="D4264" s="15"/>
      <c r="E4264" s="15"/>
      <c r="F4264" s="15"/>
      <c r="G4264" s="15"/>
      <c r="H4264" s="15"/>
      <c r="I4264" s="15"/>
      <c r="J4264" s="15"/>
      <c r="K4264" s="15"/>
      <c r="L4264" s="28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  <c r="AA4264" s="15"/>
      <c r="AB4264" s="15"/>
      <c r="AC4264" s="15"/>
      <c r="AD4264" s="15"/>
      <c r="AE4264" s="15"/>
      <c r="AF4264" s="15"/>
      <c r="AG4264" s="15"/>
      <c r="AH4264" s="15"/>
      <c r="AI4264" s="15"/>
      <c r="AJ4264" s="15"/>
      <c r="AK4264" s="15"/>
      <c r="AL4264" s="15"/>
      <c r="AM4264" s="15"/>
      <c r="AN4264" s="15"/>
      <c r="AO4264" s="15"/>
      <c r="AP4264" s="15"/>
      <c r="AQ4264" s="15"/>
      <c r="AR4264" s="15"/>
      <c r="AS4264" s="15"/>
      <c r="AT4264" s="15"/>
      <c r="AU4264" s="15"/>
      <c r="AV4264" s="15"/>
      <c r="AW4264" s="15"/>
    </row>
    <row r="4265" spans="3:49" x14ac:dyDescent="0.2">
      <c r="C4265" s="15"/>
      <c r="D4265" s="15"/>
      <c r="E4265" s="15"/>
      <c r="F4265" s="15"/>
      <c r="G4265" s="15"/>
      <c r="H4265" s="15"/>
      <c r="I4265" s="15"/>
      <c r="J4265" s="15"/>
      <c r="K4265" s="15"/>
      <c r="L4265" s="28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  <c r="AA4265" s="15"/>
      <c r="AB4265" s="15"/>
      <c r="AC4265" s="15"/>
      <c r="AD4265" s="15"/>
      <c r="AE4265" s="15"/>
      <c r="AF4265" s="15"/>
      <c r="AG4265" s="15"/>
      <c r="AH4265" s="15"/>
      <c r="AI4265" s="15"/>
      <c r="AJ4265" s="15"/>
      <c r="AK4265" s="15"/>
      <c r="AL4265" s="15"/>
      <c r="AM4265" s="15"/>
      <c r="AN4265" s="15"/>
      <c r="AO4265" s="15"/>
      <c r="AP4265" s="15"/>
      <c r="AQ4265" s="15"/>
      <c r="AR4265" s="15"/>
      <c r="AS4265" s="15"/>
      <c r="AT4265" s="15"/>
      <c r="AU4265" s="15"/>
      <c r="AV4265" s="15"/>
      <c r="AW4265" s="15"/>
    </row>
    <row r="4266" spans="3:49" x14ac:dyDescent="0.2">
      <c r="C4266" s="15"/>
      <c r="D4266" s="15"/>
      <c r="E4266" s="15"/>
      <c r="F4266" s="15"/>
      <c r="G4266" s="15"/>
      <c r="H4266" s="15"/>
      <c r="I4266" s="15"/>
      <c r="J4266" s="15"/>
      <c r="K4266" s="15"/>
      <c r="L4266" s="28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  <c r="AA4266" s="15"/>
      <c r="AB4266" s="15"/>
      <c r="AC4266" s="15"/>
      <c r="AD4266" s="15"/>
      <c r="AE4266" s="15"/>
      <c r="AF4266" s="15"/>
      <c r="AG4266" s="15"/>
      <c r="AH4266" s="15"/>
      <c r="AI4266" s="15"/>
      <c r="AJ4266" s="15"/>
      <c r="AK4266" s="15"/>
      <c r="AL4266" s="15"/>
      <c r="AM4266" s="15"/>
      <c r="AN4266" s="15"/>
      <c r="AO4266" s="15"/>
      <c r="AP4266" s="15"/>
      <c r="AQ4266" s="15"/>
      <c r="AR4266" s="15"/>
      <c r="AS4266" s="15"/>
      <c r="AT4266" s="15"/>
      <c r="AU4266" s="15"/>
      <c r="AV4266" s="15"/>
      <c r="AW4266" s="15"/>
    </row>
    <row r="4267" spans="3:49" x14ac:dyDescent="0.2">
      <c r="C4267" s="15"/>
      <c r="D4267" s="15"/>
      <c r="E4267" s="15"/>
      <c r="F4267" s="15"/>
      <c r="G4267" s="15"/>
      <c r="H4267" s="15"/>
      <c r="I4267" s="15"/>
      <c r="J4267" s="15"/>
      <c r="K4267" s="15"/>
      <c r="L4267" s="28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  <c r="AA4267" s="15"/>
      <c r="AB4267" s="15"/>
      <c r="AC4267" s="15"/>
      <c r="AD4267" s="15"/>
      <c r="AE4267" s="15"/>
      <c r="AF4267" s="15"/>
      <c r="AG4267" s="15"/>
      <c r="AH4267" s="15"/>
      <c r="AI4267" s="15"/>
      <c r="AJ4267" s="15"/>
      <c r="AK4267" s="15"/>
      <c r="AL4267" s="15"/>
      <c r="AM4267" s="15"/>
      <c r="AN4267" s="15"/>
      <c r="AO4267" s="15"/>
      <c r="AP4267" s="15"/>
      <c r="AQ4267" s="15"/>
      <c r="AR4267" s="15"/>
      <c r="AS4267" s="15"/>
      <c r="AT4267" s="15"/>
      <c r="AU4267" s="15"/>
      <c r="AV4267" s="15"/>
      <c r="AW4267" s="15"/>
    </row>
    <row r="4268" spans="3:49" x14ac:dyDescent="0.2">
      <c r="C4268" s="15"/>
      <c r="D4268" s="15"/>
      <c r="E4268" s="15"/>
      <c r="F4268" s="15"/>
      <c r="G4268" s="15"/>
      <c r="H4268" s="15"/>
      <c r="I4268" s="15"/>
      <c r="J4268" s="15"/>
      <c r="K4268" s="15"/>
      <c r="L4268" s="28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  <c r="AA4268" s="15"/>
      <c r="AB4268" s="15"/>
      <c r="AC4268" s="15"/>
      <c r="AD4268" s="15"/>
      <c r="AE4268" s="15"/>
      <c r="AF4268" s="15"/>
      <c r="AG4268" s="15"/>
      <c r="AH4268" s="15"/>
      <c r="AI4268" s="15"/>
      <c r="AJ4268" s="15"/>
      <c r="AK4268" s="15"/>
      <c r="AL4268" s="15"/>
      <c r="AM4268" s="15"/>
      <c r="AN4268" s="15"/>
      <c r="AO4268" s="15"/>
      <c r="AP4268" s="15"/>
      <c r="AQ4268" s="15"/>
      <c r="AR4268" s="15"/>
      <c r="AS4268" s="15"/>
      <c r="AT4268" s="15"/>
      <c r="AU4268" s="15"/>
      <c r="AV4268" s="15"/>
      <c r="AW4268" s="15"/>
    </row>
    <row r="4269" spans="3:49" x14ac:dyDescent="0.2">
      <c r="C4269" s="15"/>
      <c r="D4269" s="15"/>
      <c r="E4269" s="15"/>
      <c r="F4269" s="15"/>
      <c r="G4269" s="15"/>
      <c r="H4269" s="15"/>
      <c r="I4269" s="15"/>
      <c r="J4269" s="15"/>
      <c r="K4269" s="15"/>
      <c r="L4269" s="28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  <c r="AA4269" s="15"/>
      <c r="AB4269" s="15"/>
      <c r="AC4269" s="15"/>
      <c r="AD4269" s="15"/>
      <c r="AE4269" s="15"/>
      <c r="AF4269" s="15"/>
      <c r="AG4269" s="15"/>
      <c r="AH4269" s="15"/>
      <c r="AI4269" s="15"/>
      <c r="AJ4269" s="15"/>
      <c r="AK4269" s="15"/>
      <c r="AL4269" s="15"/>
      <c r="AM4269" s="15"/>
      <c r="AN4269" s="15"/>
      <c r="AO4269" s="15"/>
      <c r="AP4269" s="15"/>
      <c r="AQ4269" s="15"/>
      <c r="AR4269" s="15"/>
      <c r="AS4269" s="15"/>
      <c r="AT4269" s="15"/>
      <c r="AU4269" s="15"/>
      <c r="AV4269" s="15"/>
      <c r="AW4269" s="15"/>
    </row>
    <row r="4270" spans="3:49" x14ac:dyDescent="0.2">
      <c r="C4270" s="15"/>
      <c r="D4270" s="15"/>
      <c r="E4270" s="15"/>
      <c r="F4270" s="15"/>
      <c r="G4270" s="15"/>
      <c r="H4270" s="15"/>
      <c r="I4270" s="15"/>
      <c r="J4270" s="15"/>
      <c r="K4270" s="15"/>
      <c r="L4270" s="28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  <c r="AA4270" s="15"/>
      <c r="AB4270" s="15"/>
      <c r="AC4270" s="15"/>
      <c r="AD4270" s="15"/>
      <c r="AE4270" s="15"/>
      <c r="AF4270" s="15"/>
      <c r="AG4270" s="15"/>
      <c r="AH4270" s="15"/>
      <c r="AI4270" s="15"/>
      <c r="AJ4270" s="15"/>
      <c r="AK4270" s="15"/>
      <c r="AL4270" s="15"/>
      <c r="AM4270" s="15"/>
      <c r="AN4270" s="15"/>
      <c r="AO4270" s="15"/>
      <c r="AP4270" s="15"/>
      <c r="AQ4270" s="15"/>
      <c r="AR4270" s="15"/>
      <c r="AS4270" s="15"/>
      <c r="AT4270" s="15"/>
      <c r="AU4270" s="15"/>
      <c r="AV4270" s="15"/>
      <c r="AW4270" s="15"/>
    </row>
    <row r="4271" spans="3:49" x14ac:dyDescent="0.2">
      <c r="C4271" s="15"/>
      <c r="D4271" s="15"/>
      <c r="E4271" s="15"/>
      <c r="F4271" s="15"/>
      <c r="G4271" s="15"/>
      <c r="H4271" s="15"/>
      <c r="I4271" s="15"/>
      <c r="J4271" s="15"/>
      <c r="K4271" s="15"/>
      <c r="L4271" s="28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  <c r="AA4271" s="15"/>
      <c r="AB4271" s="15"/>
      <c r="AC4271" s="15"/>
      <c r="AD4271" s="15"/>
      <c r="AE4271" s="15"/>
      <c r="AF4271" s="15"/>
      <c r="AG4271" s="15"/>
      <c r="AH4271" s="15"/>
      <c r="AI4271" s="15"/>
      <c r="AJ4271" s="15"/>
      <c r="AK4271" s="15"/>
      <c r="AL4271" s="15"/>
      <c r="AM4271" s="15"/>
      <c r="AN4271" s="15"/>
      <c r="AO4271" s="15"/>
      <c r="AP4271" s="15"/>
      <c r="AQ4271" s="15"/>
      <c r="AR4271" s="15"/>
      <c r="AS4271" s="15"/>
      <c r="AT4271" s="15"/>
      <c r="AU4271" s="15"/>
      <c r="AV4271" s="15"/>
      <c r="AW4271" s="15"/>
    </row>
    <row r="4272" spans="3:49" x14ac:dyDescent="0.2">
      <c r="C4272" s="15"/>
      <c r="D4272" s="15"/>
      <c r="E4272" s="15"/>
      <c r="F4272" s="15"/>
      <c r="G4272" s="15"/>
      <c r="H4272" s="15"/>
      <c r="I4272" s="15"/>
      <c r="J4272" s="15"/>
      <c r="K4272" s="15"/>
      <c r="L4272" s="28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  <c r="AA4272" s="15"/>
      <c r="AB4272" s="15"/>
      <c r="AC4272" s="15"/>
      <c r="AD4272" s="15"/>
      <c r="AE4272" s="15"/>
      <c r="AF4272" s="15"/>
      <c r="AG4272" s="15"/>
      <c r="AH4272" s="15"/>
      <c r="AI4272" s="15"/>
      <c r="AJ4272" s="15"/>
      <c r="AK4272" s="15"/>
      <c r="AL4272" s="15"/>
      <c r="AM4272" s="15"/>
      <c r="AN4272" s="15"/>
      <c r="AO4272" s="15"/>
      <c r="AP4272" s="15"/>
      <c r="AQ4272" s="15"/>
      <c r="AR4272" s="15"/>
      <c r="AS4272" s="15"/>
      <c r="AT4272" s="15"/>
      <c r="AU4272" s="15"/>
      <c r="AV4272" s="15"/>
      <c r="AW4272" s="15"/>
    </row>
    <row r="4273" spans="3:49" x14ac:dyDescent="0.2">
      <c r="C4273" s="15"/>
      <c r="D4273" s="15"/>
      <c r="E4273" s="15"/>
      <c r="F4273" s="15"/>
      <c r="G4273" s="15"/>
      <c r="H4273" s="15"/>
      <c r="I4273" s="15"/>
      <c r="J4273" s="15"/>
      <c r="K4273" s="15"/>
      <c r="L4273" s="28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  <c r="AA4273" s="15"/>
      <c r="AB4273" s="15"/>
      <c r="AC4273" s="15"/>
      <c r="AD4273" s="15"/>
      <c r="AE4273" s="15"/>
      <c r="AF4273" s="15"/>
      <c r="AG4273" s="15"/>
      <c r="AH4273" s="15"/>
      <c r="AI4273" s="15"/>
      <c r="AJ4273" s="15"/>
      <c r="AK4273" s="15"/>
      <c r="AL4273" s="15"/>
      <c r="AM4273" s="15"/>
      <c r="AN4273" s="15"/>
      <c r="AO4273" s="15"/>
      <c r="AP4273" s="15"/>
      <c r="AQ4273" s="15"/>
      <c r="AR4273" s="15"/>
      <c r="AS4273" s="15"/>
      <c r="AT4273" s="15"/>
      <c r="AU4273" s="15"/>
      <c r="AV4273" s="15"/>
      <c r="AW4273" s="15"/>
    </row>
    <row r="4274" spans="3:49" x14ac:dyDescent="0.2">
      <c r="C4274" s="15"/>
      <c r="D4274" s="15"/>
      <c r="E4274" s="15"/>
      <c r="F4274" s="15"/>
      <c r="G4274" s="15"/>
      <c r="H4274" s="15"/>
      <c r="I4274" s="15"/>
      <c r="J4274" s="15"/>
      <c r="K4274" s="15"/>
      <c r="L4274" s="28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  <c r="AA4274" s="15"/>
      <c r="AB4274" s="15"/>
      <c r="AC4274" s="15"/>
      <c r="AD4274" s="15"/>
      <c r="AE4274" s="15"/>
      <c r="AF4274" s="15"/>
      <c r="AG4274" s="15"/>
      <c r="AH4274" s="15"/>
      <c r="AI4274" s="15"/>
      <c r="AJ4274" s="15"/>
      <c r="AK4274" s="15"/>
      <c r="AL4274" s="15"/>
      <c r="AM4274" s="15"/>
      <c r="AN4274" s="15"/>
      <c r="AO4274" s="15"/>
      <c r="AP4274" s="15"/>
      <c r="AQ4274" s="15"/>
      <c r="AR4274" s="15"/>
      <c r="AS4274" s="15"/>
      <c r="AT4274" s="15"/>
      <c r="AU4274" s="15"/>
      <c r="AV4274" s="15"/>
      <c r="AW4274" s="15"/>
    </row>
    <row r="4275" spans="3:49" x14ac:dyDescent="0.2">
      <c r="C4275" s="15"/>
      <c r="D4275" s="15"/>
      <c r="E4275" s="15"/>
      <c r="F4275" s="15"/>
      <c r="G4275" s="15"/>
      <c r="H4275" s="15"/>
      <c r="I4275" s="15"/>
      <c r="J4275" s="15"/>
      <c r="K4275" s="15"/>
      <c r="L4275" s="28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  <c r="AA4275" s="15"/>
      <c r="AB4275" s="15"/>
      <c r="AC4275" s="15"/>
      <c r="AD4275" s="15"/>
      <c r="AE4275" s="15"/>
      <c r="AF4275" s="15"/>
      <c r="AG4275" s="15"/>
      <c r="AH4275" s="15"/>
      <c r="AI4275" s="15"/>
      <c r="AJ4275" s="15"/>
      <c r="AK4275" s="15"/>
      <c r="AL4275" s="15"/>
      <c r="AM4275" s="15"/>
      <c r="AN4275" s="15"/>
      <c r="AO4275" s="15"/>
      <c r="AP4275" s="15"/>
      <c r="AQ4275" s="15"/>
      <c r="AR4275" s="15"/>
      <c r="AS4275" s="15"/>
      <c r="AT4275" s="15"/>
      <c r="AU4275" s="15"/>
      <c r="AV4275" s="15"/>
      <c r="AW4275" s="15"/>
    </row>
    <row r="4276" spans="3:49" x14ac:dyDescent="0.2">
      <c r="C4276" s="15"/>
      <c r="D4276" s="15"/>
      <c r="E4276" s="15"/>
      <c r="F4276" s="15"/>
      <c r="G4276" s="15"/>
      <c r="H4276" s="15"/>
      <c r="I4276" s="15"/>
      <c r="J4276" s="15"/>
      <c r="K4276" s="15"/>
      <c r="L4276" s="28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  <c r="AA4276" s="15"/>
      <c r="AB4276" s="15"/>
      <c r="AC4276" s="15"/>
      <c r="AD4276" s="15"/>
      <c r="AE4276" s="15"/>
      <c r="AF4276" s="15"/>
      <c r="AG4276" s="15"/>
      <c r="AH4276" s="15"/>
      <c r="AI4276" s="15"/>
      <c r="AJ4276" s="15"/>
      <c r="AK4276" s="15"/>
      <c r="AL4276" s="15"/>
      <c r="AM4276" s="15"/>
      <c r="AN4276" s="15"/>
      <c r="AO4276" s="15"/>
      <c r="AP4276" s="15"/>
      <c r="AQ4276" s="15"/>
      <c r="AR4276" s="15"/>
      <c r="AS4276" s="15"/>
      <c r="AT4276" s="15"/>
      <c r="AU4276" s="15"/>
      <c r="AV4276" s="15"/>
      <c r="AW4276" s="15"/>
    </row>
    <row r="4277" spans="3:49" x14ac:dyDescent="0.2">
      <c r="C4277" s="15"/>
      <c r="D4277" s="15"/>
      <c r="E4277" s="15"/>
      <c r="F4277" s="15"/>
      <c r="G4277" s="15"/>
      <c r="H4277" s="15"/>
      <c r="I4277" s="15"/>
      <c r="J4277" s="15"/>
      <c r="K4277" s="15"/>
      <c r="L4277" s="28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  <c r="AA4277" s="15"/>
      <c r="AB4277" s="15"/>
      <c r="AC4277" s="15"/>
      <c r="AD4277" s="15"/>
      <c r="AE4277" s="15"/>
      <c r="AF4277" s="15"/>
      <c r="AG4277" s="15"/>
      <c r="AH4277" s="15"/>
      <c r="AI4277" s="15"/>
      <c r="AJ4277" s="15"/>
      <c r="AK4277" s="15"/>
      <c r="AL4277" s="15"/>
      <c r="AM4277" s="15"/>
      <c r="AN4277" s="15"/>
      <c r="AO4277" s="15"/>
      <c r="AP4277" s="15"/>
      <c r="AQ4277" s="15"/>
      <c r="AR4277" s="15"/>
      <c r="AS4277" s="15"/>
      <c r="AT4277" s="15"/>
      <c r="AU4277" s="15"/>
      <c r="AV4277" s="15"/>
      <c r="AW4277" s="15"/>
    </row>
    <row r="4278" spans="3:49" x14ac:dyDescent="0.2">
      <c r="C4278" s="15"/>
      <c r="D4278" s="15"/>
      <c r="E4278" s="15"/>
      <c r="F4278" s="15"/>
      <c r="G4278" s="15"/>
      <c r="H4278" s="15"/>
      <c r="I4278" s="15"/>
      <c r="J4278" s="15"/>
      <c r="K4278" s="15"/>
      <c r="L4278" s="28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  <c r="AA4278" s="15"/>
      <c r="AB4278" s="15"/>
      <c r="AC4278" s="15"/>
      <c r="AD4278" s="15"/>
      <c r="AE4278" s="15"/>
      <c r="AF4278" s="15"/>
      <c r="AG4278" s="15"/>
      <c r="AH4278" s="15"/>
      <c r="AI4278" s="15"/>
      <c r="AJ4278" s="15"/>
      <c r="AK4278" s="15"/>
      <c r="AL4278" s="15"/>
      <c r="AM4278" s="15"/>
      <c r="AN4278" s="15"/>
      <c r="AO4278" s="15"/>
      <c r="AP4278" s="15"/>
      <c r="AQ4278" s="15"/>
      <c r="AR4278" s="15"/>
      <c r="AS4278" s="15"/>
      <c r="AT4278" s="15"/>
      <c r="AU4278" s="15"/>
      <c r="AV4278" s="15"/>
      <c r="AW4278" s="15"/>
    </row>
    <row r="4279" spans="3:49" x14ac:dyDescent="0.2">
      <c r="C4279" s="15"/>
      <c r="D4279" s="15"/>
      <c r="E4279" s="15"/>
      <c r="F4279" s="15"/>
      <c r="G4279" s="15"/>
      <c r="H4279" s="15"/>
      <c r="I4279" s="15"/>
      <c r="J4279" s="15"/>
      <c r="K4279" s="15"/>
      <c r="L4279" s="28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  <c r="AA4279" s="15"/>
      <c r="AB4279" s="15"/>
      <c r="AC4279" s="15"/>
      <c r="AD4279" s="15"/>
      <c r="AE4279" s="15"/>
      <c r="AF4279" s="15"/>
      <c r="AG4279" s="15"/>
      <c r="AH4279" s="15"/>
      <c r="AI4279" s="15"/>
      <c r="AJ4279" s="15"/>
      <c r="AK4279" s="15"/>
      <c r="AL4279" s="15"/>
      <c r="AM4279" s="15"/>
      <c r="AN4279" s="15"/>
      <c r="AO4279" s="15"/>
      <c r="AP4279" s="15"/>
      <c r="AQ4279" s="15"/>
      <c r="AR4279" s="15"/>
      <c r="AS4279" s="15"/>
      <c r="AT4279" s="15"/>
      <c r="AU4279" s="15"/>
      <c r="AV4279" s="15"/>
      <c r="AW4279" s="15"/>
    </row>
    <row r="4280" spans="3:49" x14ac:dyDescent="0.2">
      <c r="C4280" s="15"/>
      <c r="D4280" s="15"/>
      <c r="E4280" s="15"/>
      <c r="F4280" s="15"/>
      <c r="G4280" s="15"/>
      <c r="H4280" s="15"/>
      <c r="I4280" s="15"/>
      <c r="J4280" s="15"/>
      <c r="K4280" s="15"/>
      <c r="L4280" s="28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  <c r="AA4280" s="15"/>
      <c r="AB4280" s="15"/>
      <c r="AC4280" s="15"/>
      <c r="AD4280" s="15"/>
      <c r="AE4280" s="15"/>
      <c r="AF4280" s="15"/>
      <c r="AG4280" s="15"/>
      <c r="AH4280" s="15"/>
      <c r="AI4280" s="15"/>
      <c r="AJ4280" s="15"/>
      <c r="AK4280" s="15"/>
      <c r="AL4280" s="15"/>
      <c r="AM4280" s="15"/>
      <c r="AN4280" s="15"/>
      <c r="AO4280" s="15"/>
      <c r="AP4280" s="15"/>
      <c r="AQ4280" s="15"/>
      <c r="AR4280" s="15"/>
      <c r="AS4280" s="15"/>
      <c r="AT4280" s="15"/>
      <c r="AU4280" s="15"/>
      <c r="AV4280" s="15"/>
      <c r="AW4280" s="15"/>
    </row>
    <row r="4281" spans="3:49" x14ac:dyDescent="0.2">
      <c r="C4281" s="15"/>
      <c r="D4281" s="15"/>
      <c r="E4281" s="15"/>
      <c r="F4281" s="15"/>
      <c r="G4281" s="15"/>
      <c r="H4281" s="15"/>
      <c r="I4281" s="15"/>
      <c r="J4281" s="15"/>
      <c r="K4281" s="15"/>
      <c r="L4281" s="28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  <c r="AA4281" s="15"/>
      <c r="AB4281" s="15"/>
      <c r="AC4281" s="15"/>
      <c r="AD4281" s="15"/>
      <c r="AE4281" s="15"/>
      <c r="AF4281" s="15"/>
      <c r="AG4281" s="15"/>
      <c r="AH4281" s="15"/>
      <c r="AI4281" s="15"/>
      <c r="AJ4281" s="15"/>
      <c r="AK4281" s="15"/>
      <c r="AL4281" s="15"/>
      <c r="AM4281" s="15"/>
      <c r="AN4281" s="15"/>
      <c r="AO4281" s="15"/>
      <c r="AP4281" s="15"/>
      <c r="AQ4281" s="15"/>
      <c r="AR4281" s="15"/>
      <c r="AS4281" s="15"/>
      <c r="AT4281" s="15"/>
      <c r="AU4281" s="15"/>
      <c r="AV4281" s="15"/>
      <c r="AW4281" s="15"/>
    </row>
    <row r="4282" spans="3:49" x14ac:dyDescent="0.2">
      <c r="C4282" s="15"/>
      <c r="D4282" s="15"/>
      <c r="E4282" s="15"/>
      <c r="F4282" s="15"/>
      <c r="G4282" s="15"/>
      <c r="H4282" s="15"/>
      <c r="I4282" s="15"/>
      <c r="J4282" s="15"/>
      <c r="K4282" s="15"/>
      <c r="L4282" s="28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  <c r="AA4282" s="15"/>
      <c r="AB4282" s="15"/>
      <c r="AC4282" s="15"/>
      <c r="AD4282" s="15"/>
      <c r="AE4282" s="15"/>
      <c r="AF4282" s="15"/>
      <c r="AG4282" s="15"/>
      <c r="AH4282" s="15"/>
      <c r="AI4282" s="15"/>
      <c r="AJ4282" s="15"/>
      <c r="AK4282" s="15"/>
      <c r="AL4282" s="15"/>
      <c r="AM4282" s="15"/>
      <c r="AN4282" s="15"/>
      <c r="AO4282" s="15"/>
      <c r="AP4282" s="15"/>
      <c r="AQ4282" s="15"/>
      <c r="AR4282" s="15"/>
      <c r="AS4282" s="15"/>
      <c r="AT4282" s="15"/>
      <c r="AU4282" s="15"/>
      <c r="AV4282" s="15"/>
      <c r="AW4282" s="15"/>
    </row>
    <row r="4283" spans="3:49" x14ac:dyDescent="0.2">
      <c r="C4283" s="15"/>
      <c r="D4283" s="15"/>
      <c r="E4283" s="15"/>
      <c r="F4283" s="15"/>
      <c r="G4283" s="15"/>
      <c r="H4283" s="15"/>
      <c r="I4283" s="15"/>
      <c r="J4283" s="15"/>
      <c r="K4283" s="15"/>
      <c r="L4283" s="28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  <c r="AA4283" s="15"/>
      <c r="AB4283" s="15"/>
      <c r="AC4283" s="15"/>
      <c r="AD4283" s="15"/>
      <c r="AE4283" s="15"/>
      <c r="AF4283" s="15"/>
      <c r="AG4283" s="15"/>
      <c r="AH4283" s="15"/>
      <c r="AI4283" s="15"/>
      <c r="AJ4283" s="15"/>
      <c r="AK4283" s="15"/>
      <c r="AL4283" s="15"/>
      <c r="AM4283" s="15"/>
      <c r="AN4283" s="15"/>
      <c r="AO4283" s="15"/>
      <c r="AP4283" s="15"/>
      <c r="AQ4283" s="15"/>
      <c r="AR4283" s="15"/>
      <c r="AS4283" s="15"/>
      <c r="AT4283" s="15"/>
      <c r="AU4283" s="15"/>
      <c r="AV4283" s="15"/>
      <c r="AW4283" s="15"/>
    </row>
    <row r="4284" spans="3:49" x14ac:dyDescent="0.2">
      <c r="C4284" s="15"/>
      <c r="D4284" s="15"/>
      <c r="E4284" s="15"/>
      <c r="F4284" s="15"/>
      <c r="G4284" s="15"/>
      <c r="H4284" s="15"/>
      <c r="I4284" s="15"/>
      <c r="J4284" s="15"/>
      <c r="K4284" s="15"/>
      <c r="L4284" s="28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  <c r="AA4284" s="15"/>
      <c r="AB4284" s="15"/>
      <c r="AC4284" s="15"/>
      <c r="AD4284" s="15"/>
      <c r="AE4284" s="15"/>
      <c r="AF4284" s="15"/>
      <c r="AG4284" s="15"/>
      <c r="AH4284" s="15"/>
      <c r="AI4284" s="15"/>
      <c r="AJ4284" s="15"/>
      <c r="AK4284" s="15"/>
      <c r="AL4284" s="15"/>
      <c r="AM4284" s="15"/>
      <c r="AN4284" s="15"/>
      <c r="AO4284" s="15"/>
      <c r="AP4284" s="15"/>
      <c r="AQ4284" s="15"/>
      <c r="AR4284" s="15"/>
      <c r="AS4284" s="15"/>
      <c r="AT4284" s="15"/>
      <c r="AU4284" s="15"/>
      <c r="AV4284" s="15"/>
      <c r="AW4284" s="15"/>
    </row>
    <row r="4285" spans="3:49" x14ac:dyDescent="0.2">
      <c r="C4285" s="15"/>
      <c r="D4285" s="15"/>
      <c r="E4285" s="15"/>
      <c r="F4285" s="15"/>
      <c r="G4285" s="15"/>
      <c r="H4285" s="15"/>
      <c r="I4285" s="15"/>
      <c r="J4285" s="15"/>
      <c r="K4285" s="15"/>
      <c r="L4285" s="28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  <c r="AA4285" s="15"/>
      <c r="AB4285" s="15"/>
      <c r="AC4285" s="15"/>
      <c r="AD4285" s="15"/>
      <c r="AE4285" s="15"/>
      <c r="AF4285" s="15"/>
      <c r="AG4285" s="15"/>
      <c r="AH4285" s="15"/>
      <c r="AI4285" s="15"/>
      <c r="AJ4285" s="15"/>
      <c r="AK4285" s="15"/>
      <c r="AL4285" s="15"/>
      <c r="AM4285" s="15"/>
      <c r="AN4285" s="15"/>
      <c r="AO4285" s="15"/>
      <c r="AP4285" s="15"/>
      <c r="AQ4285" s="15"/>
      <c r="AR4285" s="15"/>
      <c r="AS4285" s="15"/>
      <c r="AT4285" s="15"/>
      <c r="AU4285" s="15"/>
      <c r="AV4285" s="15"/>
      <c r="AW4285" s="15"/>
    </row>
    <row r="4286" spans="3:49" x14ac:dyDescent="0.2">
      <c r="C4286" s="15"/>
      <c r="D4286" s="15"/>
      <c r="E4286" s="15"/>
      <c r="F4286" s="15"/>
      <c r="G4286" s="15"/>
      <c r="H4286" s="15"/>
      <c r="I4286" s="15"/>
      <c r="J4286" s="15"/>
      <c r="K4286" s="15"/>
      <c r="L4286" s="28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  <c r="AA4286" s="15"/>
      <c r="AB4286" s="15"/>
      <c r="AC4286" s="15"/>
      <c r="AD4286" s="15"/>
      <c r="AE4286" s="15"/>
      <c r="AF4286" s="15"/>
      <c r="AG4286" s="15"/>
      <c r="AH4286" s="15"/>
      <c r="AI4286" s="15"/>
      <c r="AJ4286" s="15"/>
      <c r="AK4286" s="15"/>
      <c r="AL4286" s="15"/>
      <c r="AM4286" s="15"/>
      <c r="AN4286" s="15"/>
      <c r="AO4286" s="15"/>
      <c r="AP4286" s="15"/>
      <c r="AQ4286" s="15"/>
      <c r="AR4286" s="15"/>
      <c r="AS4286" s="15"/>
      <c r="AT4286" s="15"/>
      <c r="AU4286" s="15"/>
      <c r="AV4286" s="15"/>
      <c r="AW4286" s="15"/>
    </row>
    <row r="4287" spans="3:49" x14ac:dyDescent="0.2">
      <c r="C4287" s="15"/>
      <c r="D4287" s="15"/>
      <c r="E4287" s="15"/>
      <c r="F4287" s="15"/>
      <c r="G4287" s="15"/>
      <c r="H4287" s="15"/>
      <c r="I4287" s="15"/>
      <c r="J4287" s="15"/>
      <c r="K4287" s="15"/>
      <c r="L4287" s="28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  <c r="AA4287" s="15"/>
      <c r="AB4287" s="15"/>
      <c r="AC4287" s="15"/>
      <c r="AD4287" s="15"/>
      <c r="AE4287" s="15"/>
      <c r="AF4287" s="15"/>
      <c r="AG4287" s="15"/>
      <c r="AH4287" s="15"/>
      <c r="AI4287" s="15"/>
      <c r="AJ4287" s="15"/>
      <c r="AK4287" s="15"/>
      <c r="AL4287" s="15"/>
      <c r="AM4287" s="15"/>
      <c r="AN4287" s="15"/>
      <c r="AO4287" s="15"/>
      <c r="AP4287" s="15"/>
      <c r="AQ4287" s="15"/>
      <c r="AR4287" s="15"/>
      <c r="AS4287" s="15"/>
      <c r="AT4287" s="15"/>
      <c r="AU4287" s="15"/>
      <c r="AV4287" s="15"/>
      <c r="AW4287" s="15"/>
    </row>
    <row r="4288" spans="3:49" x14ac:dyDescent="0.2">
      <c r="C4288" s="15"/>
      <c r="D4288" s="15"/>
      <c r="E4288" s="15"/>
      <c r="F4288" s="15"/>
      <c r="G4288" s="15"/>
      <c r="H4288" s="15"/>
      <c r="I4288" s="15"/>
      <c r="J4288" s="15"/>
      <c r="K4288" s="15"/>
      <c r="L4288" s="28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  <c r="AA4288" s="15"/>
      <c r="AB4288" s="15"/>
      <c r="AC4288" s="15"/>
      <c r="AD4288" s="15"/>
      <c r="AE4288" s="15"/>
      <c r="AF4288" s="15"/>
      <c r="AG4288" s="15"/>
      <c r="AH4288" s="15"/>
      <c r="AI4288" s="15"/>
      <c r="AJ4288" s="15"/>
      <c r="AK4288" s="15"/>
      <c r="AL4288" s="15"/>
      <c r="AM4288" s="15"/>
      <c r="AN4288" s="15"/>
      <c r="AO4288" s="15"/>
      <c r="AP4288" s="15"/>
      <c r="AQ4288" s="15"/>
      <c r="AR4288" s="15"/>
      <c r="AS4288" s="15"/>
      <c r="AT4288" s="15"/>
      <c r="AU4288" s="15"/>
      <c r="AV4288" s="15"/>
      <c r="AW4288" s="15"/>
    </row>
    <row r="4289" spans="3:49" x14ac:dyDescent="0.2">
      <c r="C4289" s="15"/>
      <c r="D4289" s="15"/>
      <c r="E4289" s="15"/>
      <c r="F4289" s="15"/>
      <c r="G4289" s="15"/>
      <c r="H4289" s="15"/>
      <c r="I4289" s="15"/>
      <c r="J4289" s="15"/>
      <c r="K4289" s="15"/>
      <c r="L4289" s="28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  <c r="AA4289" s="15"/>
      <c r="AB4289" s="15"/>
      <c r="AC4289" s="15"/>
      <c r="AD4289" s="15"/>
      <c r="AE4289" s="15"/>
      <c r="AF4289" s="15"/>
      <c r="AG4289" s="15"/>
      <c r="AH4289" s="15"/>
      <c r="AI4289" s="15"/>
      <c r="AJ4289" s="15"/>
      <c r="AK4289" s="15"/>
      <c r="AL4289" s="15"/>
      <c r="AM4289" s="15"/>
      <c r="AN4289" s="15"/>
      <c r="AO4289" s="15"/>
      <c r="AP4289" s="15"/>
      <c r="AQ4289" s="15"/>
      <c r="AR4289" s="15"/>
      <c r="AS4289" s="15"/>
      <c r="AT4289" s="15"/>
      <c r="AU4289" s="15"/>
      <c r="AV4289" s="15"/>
      <c r="AW4289" s="15"/>
    </row>
    <row r="4290" spans="3:49" x14ac:dyDescent="0.2">
      <c r="C4290" s="15"/>
      <c r="D4290" s="15"/>
      <c r="E4290" s="15"/>
      <c r="F4290" s="15"/>
      <c r="G4290" s="15"/>
      <c r="H4290" s="15"/>
      <c r="I4290" s="15"/>
      <c r="J4290" s="15"/>
      <c r="K4290" s="15"/>
      <c r="L4290" s="28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  <c r="AA4290" s="15"/>
      <c r="AB4290" s="15"/>
      <c r="AC4290" s="15"/>
      <c r="AD4290" s="15"/>
      <c r="AE4290" s="15"/>
      <c r="AF4290" s="15"/>
      <c r="AG4290" s="15"/>
      <c r="AH4290" s="15"/>
      <c r="AI4290" s="15"/>
      <c r="AJ4290" s="15"/>
      <c r="AK4290" s="15"/>
      <c r="AL4290" s="15"/>
      <c r="AM4290" s="15"/>
      <c r="AN4290" s="15"/>
      <c r="AO4290" s="15"/>
      <c r="AP4290" s="15"/>
      <c r="AQ4290" s="15"/>
      <c r="AR4290" s="15"/>
      <c r="AS4290" s="15"/>
      <c r="AT4290" s="15"/>
      <c r="AU4290" s="15"/>
      <c r="AV4290" s="15"/>
      <c r="AW4290" s="15"/>
    </row>
    <row r="4291" spans="3:49" x14ac:dyDescent="0.2">
      <c r="C4291" s="15"/>
      <c r="D4291" s="15"/>
      <c r="E4291" s="15"/>
      <c r="F4291" s="15"/>
      <c r="G4291" s="15"/>
      <c r="H4291" s="15"/>
      <c r="I4291" s="15"/>
      <c r="J4291" s="15"/>
      <c r="K4291" s="15"/>
      <c r="L4291" s="28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  <c r="AA4291" s="15"/>
      <c r="AB4291" s="15"/>
      <c r="AC4291" s="15"/>
      <c r="AD4291" s="15"/>
      <c r="AE4291" s="15"/>
      <c r="AF4291" s="15"/>
      <c r="AG4291" s="15"/>
      <c r="AH4291" s="15"/>
      <c r="AI4291" s="15"/>
      <c r="AJ4291" s="15"/>
      <c r="AK4291" s="15"/>
      <c r="AL4291" s="15"/>
      <c r="AM4291" s="15"/>
      <c r="AN4291" s="15"/>
      <c r="AO4291" s="15"/>
      <c r="AP4291" s="15"/>
      <c r="AQ4291" s="15"/>
      <c r="AR4291" s="15"/>
      <c r="AS4291" s="15"/>
      <c r="AT4291" s="15"/>
      <c r="AU4291" s="15"/>
      <c r="AV4291" s="15"/>
      <c r="AW4291" s="15"/>
    </row>
    <row r="4292" spans="3:49" x14ac:dyDescent="0.2">
      <c r="C4292" s="15"/>
      <c r="D4292" s="15"/>
      <c r="E4292" s="15"/>
      <c r="F4292" s="15"/>
      <c r="G4292" s="15"/>
      <c r="H4292" s="15"/>
      <c r="I4292" s="15"/>
      <c r="J4292" s="15"/>
      <c r="K4292" s="15"/>
      <c r="L4292" s="28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  <c r="AA4292" s="15"/>
      <c r="AB4292" s="15"/>
      <c r="AC4292" s="15"/>
      <c r="AD4292" s="15"/>
      <c r="AE4292" s="15"/>
      <c r="AF4292" s="15"/>
      <c r="AG4292" s="15"/>
      <c r="AH4292" s="15"/>
      <c r="AI4292" s="15"/>
      <c r="AJ4292" s="15"/>
      <c r="AK4292" s="15"/>
      <c r="AL4292" s="15"/>
      <c r="AM4292" s="15"/>
      <c r="AN4292" s="15"/>
      <c r="AO4292" s="15"/>
      <c r="AP4292" s="15"/>
      <c r="AQ4292" s="15"/>
      <c r="AR4292" s="15"/>
      <c r="AS4292" s="15"/>
      <c r="AT4292" s="15"/>
      <c r="AU4292" s="15"/>
      <c r="AV4292" s="15"/>
      <c r="AW4292" s="15"/>
    </row>
    <row r="4293" spans="3:49" x14ac:dyDescent="0.2">
      <c r="C4293" s="15"/>
      <c r="D4293" s="15"/>
      <c r="E4293" s="15"/>
      <c r="F4293" s="15"/>
      <c r="G4293" s="15"/>
      <c r="H4293" s="15"/>
      <c r="I4293" s="15"/>
      <c r="J4293" s="15"/>
      <c r="K4293" s="15"/>
      <c r="L4293" s="28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  <c r="AA4293" s="15"/>
      <c r="AB4293" s="15"/>
      <c r="AC4293" s="15"/>
      <c r="AD4293" s="15"/>
      <c r="AE4293" s="15"/>
      <c r="AF4293" s="15"/>
      <c r="AG4293" s="15"/>
      <c r="AH4293" s="15"/>
      <c r="AI4293" s="15"/>
      <c r="AJ4293" s="15"/>
      <c r="AK4293" s="15"/>
      <c r="AL4293" s="15"/>
      <c r="AM4293" s="15"/>
      <c r="AN4293" s="15"/>
      <c r="AO4293" s="15"/>
      <c r="AP4293" s="15"/>
      <c r="AQ4293" s="15"/>
      <c r="AR4293" s="15"/>
      <c r="AS4293" s="15"/>
      <c r="AT4293" s="15"/>
      <c r="AU4293" s="15"/>
      <c r="AV4293" s="15"/>
      <c r="AW4293" s="15"/>
    </row>
    <row r="4294" spans="3:49" x14ac:dyDescent="0.2">
      <c r="C4294" s="15"/>
      <c r="D4294" s="15"/>
      <c r="E4294" s="15"/>
      <c r="F4294" s="15"/>
      <c r="G4294" s="15"/>
      <c r="H4294" s="15"/>
      <c r="I4294" s="15"/>
      <c r="J4294" s="15"/>
      <c r="K4294" s="15"/>
      <c r="L4294" s="28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  <c r="AA4294" s="15"/>
      <c r="AB4294" s="15"/>
      <c r="AC4294" s="15"/>
      <c r="AD4294" s="15"/>
      <c r="AE4294" s="15"/>
      <c r="AF4294" s="15"/>
      <c r="AG4294" s="15"/>
      <c r="AH4294" s="15"/>
      <c r="AI4294" s="15"/>
      <c r="AJ4294" s="15"/>
      <c r="AK4294" s="15"/>
      <c r="AL4294" s="15"/>
      <c r="AM4294" s="15"/>
      <c r="AN4294" s="15"/>
      <c r="AO4294" s="15"/>
      <c r="AP4294" s="15"/>
      <c r="AQ4294" s="15"/>
      <c r="AR4294" s="15"/>
      <c r="AS4294" s="15"/>
      <c r="AT4294" s="15"/>
      <c r="AU4294" s="15"/>
      <c r="AV4294" s="15"/>
      <c r="AW4294" s="15"/>
    </row>
    <row r="4295" spans="3:49" x14ac:dyDescent="0.2">
      <c r="C4295" s="15"/>
      <c r="D4295" s="15"/>
      <c r="E4295" s="15"/>
      <c r="F4295" s="15"/>
      <c r="G4295" s="15"/>
      <c r="H4295" s="15"/>
      <c r="I4295" s="15"/>
      <c r="J4295" s="15"/>
      <c r="K4295" s="15"/>
      <c r="L4295" s="28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  <c r="AA4295" s="15"/>
      <c r="AB4295" s="15"/>
      <c r="AC4295" s="15"/>
      <c r="AD4295" s="15"/>
      <c r="AE4295" s="15"/>
      <c r="AF4295" s="15"/>
      <c r="AG4295" s="15"/>
      <c r="AH4295" s="15"/>
      <c r="AI4295" s="15"/>
      <c r="AJ4295" s="15"/>
      <c r="AK4295" s="15"/>
      <c r="AL4295" s="15"/>
      <c r="AM4295" s="15"/>
      <c r="AN4295" s="15"/>
      <c r="AO4295" s="15"/>
      <c r="AP4295" s="15"/>
      <c r="AQ4295" s="15"/>
      <c r="AR4295" s="15"/>
      <c r="AS4295" s="15"/>
      <c r="AT4295" s="15"/>
      <c r="AU4295" s="15"/>
      <c r="AV4295" s="15"/>
      <c r="AW4295" s="15"/>
    </row>
    <row r="4296" spans="3:49" x14ac:dyDescent="0.2">
      <c r="C4296" s="15"/>
      <c r="D4296" s="15"/>
      <c r="E4296" s="15"/>
      <c r="F4296" s="15"/>
      <c r="G4296" s="15"/>
      <c r="H4296" s="15"/>
      <c r="I4296" s="15"/>
      <c r="J4296" s="15"/>
      <c r="K4296" s="15"/>
      <c r="L4296" s="28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  <c r="AA4296" s="15"/>
      <c r="AB4296" s="15"/>
      <c r="AC4296" s="15"/>
      <c r="AD4296" s="15"/>
      <c r="AE4296" s="15"/>
      <c r="AF4296" s="15"/>
      <c r="AG4296" s="15"/>
      <c r="AH4296" s="15"/>
      <c r="AI4296" s="15"/>
      <c r="AJ4296" s="15"/>
      <c r="AK4296" s="15"/>
      <c r="AL4296" s="15"/>
      <c r="AM4296" s="15"/>
      <c r="AN4296" s="15"/>
      <c r="AO4296" s="15"/>
      <c r="AP4296" s="15"/>
      <c r="AQ4296" s="15"/>
      <c r="AR4296" s="15"/>
      <c r="AS4296" s="15"/>
      <c r="AT4296" s="15"/>
      <c r="AU4296" s="15"/>
      <c r="AV4296" s="15"/>
      <c r="AW4296" s="15"/>
    </row>
    <row r="4297" spans="3:49" x14ac:dyDescent="0.2">
      <c r="C4297" s="15"/>
      <c r="D4297" s="15"/>
      <c r="E4297" s="15"/>
      <c r="F4297" s="15"/>
      <c r="G4297" s="15"/>
      <c r="H4297" s="15"/>
      <c r="I4297" s="15"/>
      <c r="J4297" s="15"/>
      <c r="K4297" s="15"/>
      <c r="L4297" s="28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  <c r="AA4297" s="15"/>
      <c r="AB4297" s="15"/>
      <c r="AC4297" s="15"/>
      <c r="AD4297" s="15"/>
      <c r="AE4297" s="15"/>
      <c r="AF4297" s="15"/>
      <c r="AG4297" s="15"/>
      <c r="AH4297" s="15"/>
      <c r="AI4297" s="15"/>
      <c r="AJ4297" s="15"/>
      <c r="AK4297" s="15"/>
      <c r="AL4297" s="15"/>
      <c r="AM4297" s="15"/>
      <c r="AN4297" s="15"/>
      <c r="AO4297" s="15"/>
      <c r="AP4297" s="15"/>
      <c r="AQ4297" s="15"/>
      <c r="AR4297" s="15"/>
      <c r="AS4297" s="15"/>
      <c r="AT4297" s="15"/>
      <c r="AU4297" s="15"/>
      <c r="AV4297" s="15"/>
      <c r="AW4297" s="15"/>
    </row>
    <row r="4298" spans="3:49" x14ac:dyDescent="0.2">
      <c r="C4298" s="15"/>
      <c r="D4298" s="15"/>
      <c r="E4298" s="15"/>
      <c r="F4298" s="15"/>
      <c r="G4298" s="15"/>
      <c r="H4298" s="15"/>
      <c r="I4298" s="15"/>
      <c r="J4298" s="15"/>
      <c r="K4298" s="15"/>
      <c r="L4298" s="28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  <c r="AA4298" s="15"/>
      <c r="AB4298" s="15"/>
      <c r="AC4298" s="15"/>
      <c r="AD4298" s="15"/>
      <c r="AE4298" s="15"/>
      <c r="AF4298" s="15"/>
      <c r="AG4298" s="15"/>
      <c r="AH4298" s="15"/>
      <c r="AI4298" s="15"/>
      <c r="AJ4298" s="15"/>
      <c r="AK4298" s="15"/>
      <c r="AL4298" s="15"/>
      <c r="AM4298" s="15"/>
      <c r="AN4298" s="15"/>
      <c r="AO4298" s="15"/>
      <c r="AP4298" s="15"/>
      <c r="AQ4298" s="15"/>
      <c r="AR4298" s="15"/>
      <c r="AS4298" s="15"/>
      <c r="AT4298" s="15"/>
      <c r="AU4298" s="15"/>
      <c r="AV4298" s="15"/>
      <c r="AW4298" s="15"/>
    </row>
    <row r="4299" spans="3:49" x14ac:dyDescent="0.2">
      <c r="C4299" s="15"/>
      <c r="D4299" s="15"/>
      <c r="E4299" s="15"/>
      <c r="F4299" s="15"/>
      <c r="G4299" s="15"/>
      <c r="H4299" s="15"/>
      <c r="I4299" s="15"/>
      <c r="J4299" s="15"/>
      <c r="K4299" s="15"/>
      <c r="L4299" s="28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  <c r="AA4299" s="15"/>
      <c r="AB4299" s="15"/>
      <c r="AC4299" s="15"/>
      <c r="AD4299" s="15"/>
      <c r="AE4299" s="15"/>
      <c r="AF4299" s="15"/>
      <c r="AG4299" s="15"/>
      <c r="AH4299" s="15"/>
      <c r="AI4299" s="15"/>
      <c r="AJ4299" s="15"/>
      <c r="AK4299" s="15"/>
      <c r="AL4299" s="15"/>
      <c r="AM4299" s="15"/>
      <c r="AN4299" s="15"/>
      <c r="AO4299" s="15"/>
      <c r="AP4299" s="15"/>
      <c r="AQ4299" s="15"/>
      <c r="AR4299" s="15"/>
      <c r="AS4299" s="15"/>
      <c r="AT4299" s="15"/>
      <c r="AU4299" s="15"/>
      <c r="AV4299" s="15"/>
      <c r="AW4299" s="15"/>
    </row>
    <row r="4300" spans="3:49" x14ac:dyDescent="0.2">
      <c r="C4300" s="15"/>
      <c r="D4300" s="15"/>
      <c r="E4300" s="15"/>
      <c r="F4300" s="15"/>
      <c r="G4300" s="15"/>
      <c r="H4300" s="15"/>
      <c r="I4300" s="15"/>
      <c r="J4300" s="15"/>
      <c r="K4300" s="15"/>
      <c r="L4300" s="28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  <c r="AA4300" s="15"/>
      <c r="AB4300" s="15"/>
      <c r="AC4300" s="15"/>
      <c r="AD4300" s="15"/>
      <c r="AE4300" s="15"/>
      <c r="AF4300" s="15"/>
      <c r="AG4300" s="15"/>
      <c r="AH4300" s="15"/>
      <c r="AI4300" s="15"/>
      <c r="AJ4300" s="15"/>
      <c r="AK4300" s="15"/>
      <c r="AL4300" s="15"/>
      <c r="AM4300" s="15"/>
      <c r="AN4300" s="15"/>
      <c r="AO4300" s="15"/>
      <c r="AP4300" s="15"/>
      <c r="AQ4300" s="15"/>
      <c r="AR4300" s="15"/>
      <c r="AS4300" s="15"/>
      <c r="AT4300" s="15"/>
      <c r="AU4300" s="15"/>
      <c r="AV4300" s="15"/>
      <c r="AW4300" s="15"/>
    </row>
    <row r="4301" spans="3:49" x14ac:dyDescent="0.2">
      <c r="C4301" s="15"/>
      <c r="D4301" s="15"/>
      <c r="E4301" s="15"/>
      <c r="F4301" s="15"/>
      <c r="G4301" s="15"/>
      <c r="H4301" s="15"/>
      <c r="I4301" s="15"/>
      <c r="J4301" s="15"/>
      <c r="K4301" s="15"/>
      <c r="L4301" s="28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  <c r="AA4301" s="15"/>
      <c r="AB4301" s="15"/>
      <c r="AC4301" s="15"/>
      <c r="AD4301" s="15"/>
      <c r="AE4301" s="15"/>
      <c r="AF4301" s="15"/>
      <c r="AG4301" s="15"/>
      <c r="AH4301" s="15"/>
      <c r="AI4301" s="15"/>
      <c r="AJ4301" s="15"/>
      <c r="AK4301" s="15"/>
      <c r="AL4301" s="15"/>
      <c r="AM4301" s="15"/>
      <c r="AN4301" s="15"/>
      <c r="AO4301" s="15"/>
      <c r="AP4301" s="15"/>
      <c r="AQ4301" s="15"/>
      <c r="AR4301" s="15"/>
      <c r="AS4301" s="15"/>
      <c r="AT4301" s="15"/>
      <c r="AU4301" s="15"/>
      <c r="AV4301" s="15"/>
      <c r="AW4301" s="15"/>
    </row>
    <row r="4302" spans="3:49" x14ac:dyDescent="0.2">
      <c r="C4302" s="15"/>
      <c r="D4302" s="15"/>
      <c r="E4302" s="15"/>
      <c r="F4302" s="15"/>
      <c r="G4302" s="15"/>
      <c r="H4302" s="15"/>
      <c r="I4302" s="15"/>
      <c r="J4302" s="15"/>
      <c r="K4302" s="15"/>
      <c r="L4302" s="28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  <c r="AA4302" s="15"/>
      <c r="AB4302" s="15"/>
      <c r="AC4302" s="15"/>
      <c r="AD4302" s="15"/>
      <c r="AE4302" s="15"/>
      <c r="AF4302" s="15"/>
      <c r="AG4302" s="15"/>
      <c r="AH4302" s="15"/>
      <c r="AI4302" s="15"/>
      <c r="AJ4302" s="15"/>
      <c r="AK4302" s="15"/>
      <c r="AL4302" s="15"/>
      <c r="AM4302" s="15"/>
      <c r="AN4302" s="15"/>
      <c r="AO4302" s="15"/>
      <c r="AP4302" s="15"/>
      <c r="AQ4302" s="15"/>
      <c r="AR4302" s="15"/>
      <c r="AS4302" s="15"/>
      <c r="AT4302" s="15"/>
      <c r="AU4302" s="15"/>
      <c r="AV4302" s="15"/>
      <c r="AW4302" s="15"/>
    </row>
    <row r="4303" spans="3:49" x14ac:dyDescent="0.2">
      <c r="C4303" s="15"/>
      <c r="D4303" s="15"/>
      <c r="E4303" s="15"/>
      <c r="F4303" s="15"/>
      <c r="G4303" s="15"/>
      <c r="H4303" s="15"/>
      <c r="I4303" s="15"/>
      <c r="J4303" s="15"/>
      <c r="K4303" s="15"/>
      <c r="L4303" s="28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  <c r="AA4303" s="15"/>
      <c r="AB4303" s="15"/>
      <c r="AC4303" s="15"/>
      <c r="AD4303" s="15"/>
      <c r="AE4303" s="15"/>
      <c r="AF4303" s="15"/>
      <c r="AG4303" s="15"/>
      <c r="AH4303" s="15"/>
      <c r="AI4303" s="15"/>
      <c r="AJ4303" s="15"/>
      <c r="AK4303" s="15"/>
      <c r="AL4303" s="15"/>
      <c r="AM4303" s="15"/>
      <c r="AN4303" s="15"/>
      <c r="AO4303" s="15"/>
      <c r="AP4303" s="15"/>
      <c r="AQ4303" s="15"/>
      <c r="AR4303" s="15"/>
      <c r="AS4303" s="15"/>
      <c r="AT4303" s="15"/>
      <c r="AU4303" s="15"/>
      <c r="AV4303" s="15"/>
      <c r="AW4303" s="15"/>
    </row>
    <row r="4304" spans="3:49" x14ac:dyDescent="0.2">
      <c r="C4304" s="15"/>
      <c r="D4304" s="15"/>
      <c r="E4304" s="15"/>
      <c r="F4304" s="15"/>
      <c r="G4304" s="15"/>
      <c r="H4304" s="15"/>
      <c r="I4304" s="15"/>
      <c r="J4304" s="15"/>
      <c r="K4304" s="15"/>
      <c r="L4304" s="28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  <c r="AA4304" s="15"/>
      <c r="AB4304" s="15"/>
      <c r="AC4304" s="15"/>
      <c r="AD4304" s="15"/>
      <c r="AE4304" s="15"/>
      <c r="AF4304" s="15"/>
      <c r="AG4304" s="15"/>
      <c r="AH4304" s="15"/>
      <c r="AI4304" s="15"/>
      <c r="AJ4304" s="15"/>
      <c r="AK4304" s="15"/>
      <c r="AL4304" s="15"/>
      <c r="AM4304" s="15"/>
      <c r="AN4304" s="15"/>
      <c r="AO4304" s="15"/>
      <c r="AP4304" s="15"/>
      <c r="AQ4304" s="15"/>
      <c r="AR4304" s="15"/>
      <c r="AS4304" s="15"/>
      <c r="AT4304" s="15"/>
      <c r="AU4304" s="15"/>
      <c r="AV4304" s="15"/>
      <c r="AW4304" s="15"/>
    </row>
    <row r="4305" spans="3:49" x14ac:dyDescent="0.2">
      <c r="C4305" s="15"/>
      <c r="D4305" s="15"/>
      <c r="E4305" s="15"/>
      <c r="F4305" s="15"/>
      <c r="G4305" s="15"/>
      <c r="H4305" s="15"/>
      <c r="I4305" s="15"/>
      <c r="J4305" s="15"/>
      <c r="K4305" s="15"/>
      <c r="L4305" s="28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  <c r="AA4305" s="15"/>
      <c r="AB4305" s="15"/>
      <c r="AC4305" s="15"/>
      <c r="AD4305" s="15"/>
      <c r="AE4305" s="15"/>
      <c r="AF4305" s="15"/>
      <c r="AG4305" s="15"/>
      <c r="AH4305" s="15"/>
      <c r="AI4305" s="15"/>
      <c r="AJ4305" s="15"/>
      <c r="AK4305" s="15"/>
      <c r="AL4305" s="15"/>
      <c r="AM4305" s="15"/>
      <c r="AN4305" s="15"/>
      <c r="AO4305" s="15"/>
      <c r="AP4305" s="15"/>
      <c r="AQ4305" s="15"/>
      <c r="AR4305" s="15"/>
      <c r="AS4305" s="15"/>
      <c r="AT4305" s="15"/>
      <c r="AU4305" s="15"/>
      <c r="AV4305" s="15"/>
      <c r="AW4305" s="15"/>
    </row>
    <row r="4306" spans="3:49" x14ac:dyDescent="0.2">
      <c r="C4306" s="15"/>
      <c r="D4306" s="15"/>
      <c r="E4306" s="15"/>
      <c r="F4306" s="15"/>
      <c r="G4306" s="15"/>
      <c r="H4306" s="15"/>
      <c r="I4306" s="15"/>
      <c r="J4306" s="15"/>
      <c r="K4306" s="15"/>
      <c r="L4306" s="28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  <c r="AA4306" s="15"/>
      <c r="AB4306" s="15"/>
      <c r="AC4306" s="15"/>
      <c r="AD4306" s="15"/>
      <c r="AE4306" s="15"/>
      <c r="AF4306" s="15"/>
      <c r="AG4306" s="15"/>
      <c r="AH4306" s="15"/>
      <c r="AI4306" s="15"/>
      <c r="AJ4306" s="15"/>
      <c r="AK4306" s="15"/>
      <c r="AL4306" s="15"/>
      <c r="AM4306" s="15"/>
      <c r="AN4306" s="15"/>
      <c r="AO4306" s="15"/>
      <c r="AP4306" s="15"/>
      <c r="AQ4306" s="15"/>
      <c r="AR4306" s="15"/>
      <c r="AS4306" s="15"/>
      <c r="AT4306" s="15"/>
      <c r="AU4306" s="15"/>
      <c r="AV4306" s="15"/>
      <c r="AW4306" s="15"/>
    </row>
    <row r="4307" spans="3:49" x14ac:dyDescent="0.2">
      <c r="C4307" s="15"/>
      <c r="D4307" s="15"/>
      <c r="E4307" s="15"/>
      <c r="F4307" s="15"/>
      <c r="G4307" s="15"/>
      <c r="H4307" s="15"/>
      <c r="I4307" s="15"/>
      <c r="J4307" s="15"/>
      <c r="K4307" s="15"/>
      <c r="L4307" s="28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  <c r="AA4307" s="15"/>
      <c r="AB4307" s="15"/>
      <c r="AC4307" s="15"/>
      <c r="AD4307" s="15"/>
      <c r="AE4307" s="15"/>
      <c r="AF4307" s="15"/>
      <c r="AG4307" s="15"/>
      <c r="AH4307" s="15"/>
      <c r="AI4307" s="15"/>
      <c r="AJ4307" s="15"/>
      <c r="AK4307" s="15"/>
      <c r="AL4307" s="15"/>
      <c r="AM4307" s="15"/>
      <c r="AN4307" s="15"/>
      <c r="AO4307" s="15"/>
      <c r="AP4307" s="15"/>
      <c r="AQ4307" s="15"/>
      <c r="AR4307" s="15"/>
      <c r="AS4307" s="15"/>
      <c r="AT4307" s="15"/>
      <c r="AU4307" s="15"/>
      <c r="AV4307" s="15"/>
      <c r="AW4307" s="15"/>
    </row>
    <row r="4308" spans="3:49" x14ac:dyDescent="0.2">
      <c r="C4308" s="15"/>
      <c r="D4308" s="15"/>
      <c r="E4308" s="15"/>
      <c r="F4308" s="15"/>
      <c r="G4308" s="15"/>
      <c r="H4308" s="15"/>
      <c r="I4308" s="15"/>
      <c r="J4308" s="15"/>
      <c r="K4308" s="15"/>
      <c r="L4308" s="28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  <c r="AA4308" s="15"/>
      <c r="AB4308" s="15"/>
      <c r="AC4308" s="15"/>
      <c r="AD4308" s="15"/>
      <c r="AE4308" s="15"/>
      <c r="AF4308" s="15"/>
      <c r="AG4308" s="15"/>
      <c r="AH4308" s="15"/>
      <c r="AI4308" s="15"/>
      <c r="AJ4308" s="15"/>
      <c r="AK4308" s="15"/>
      <c r="AL4308" s="15"/>
      <c r="AM4308" s="15"/>
      <c r="AN4308" s="15"/>
      <c r="AO4308" s="15"/>
      <c r="AP4308" s="15"/>
      <c r="AQ4308" s="15"/>
      <c r="AR4308" s="15"/>
      <c r="AS4308" s="15"/>
      <c r="AT4308" s="15"/>
      <c r="AU4308" s="15"/>
      <c r="AV4308" s="15"/>
      <c r="AW4308" s="15"/>
    </row>
    <row r="4309" spans="3:49" x14ac:dyDescent="0.2">
      <c r="C4309" s="15"/>
      <c r="D4309" s="15"/>
      <c r="E4309" s="15"/>
      <c r="F4309" s="15"/>
      <c r="G4309" s="15"/>
      <c r="H4309" s="15"/>
      <c r="I4309" s="15"/>
      <c r="J4309" s="15"/>
      <c r="K4309" s="15"/>
      <c r="L4309" s="28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  <c r="AA4309" s="15"/>
      <c r="AB4309" s="15"/>
      <c r="AC4309" s="15"/>
      <c r="AD4309" s="15"/>
      <c r="AE4309" s="15"/>
      <c r="AF4309" s="15"/>
      <c r="AG4309" s="15"/>
      <c r="AH4309" s="15"/>
      <c r="AI4309" s="15"/>
      <c r="AJ4309" s="15"/>
      <c r="AK4309" s="15"/>
      <c r="AL4309" s="15"/>
      <c r="AM4309" s="15"/>
      <c r="AN4309" s="15"/>
      <c r="AO4309" s="15"/>
      <c r="AP4309" s="15"/>
      <c r="AQ4309" s="15"/>
      <c r="AR4309" s="15"/>
      <c r="AS4309" s="15"/>
      <c r="AT4309" s="15"/>
      <c r="AU4309" s="15"/>
      <c r="AV4309" s="15"/>
      <c r="AW4309" s="15"/>
    </row>
    <row r="4310" spans="3:49" x14ac:dyDescent="0.2">
      <c r="C4310" s="15"/>
      <c r="D4310" s="15"/>
      <c r="E4310" s="15"/>
      <c r="F4310" s="15"/>
      <c r="G4310" s="15"/>
      <c r="H4310" s="15"/>
      <c r="I4310" s="15"/>
      <c r="J4310" s="15"/>
      <c r="K4310" s="15"/>
      <c r="L4310" s="28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  <c r="AA4310" s="15"/>
      <c r="AB4310" s="15"/>
      <c r="AC4310" s="15"/>
      <c r="AD4310" s="15"/>
      <c r="AE4310" s="15"/>
      <c r="AF4310" s="15"/>
      <c r="AG4310" s="15"/>
      <c r="AH4310" s="15"/>
      <c r="AI4310" s="15"/>
      <c r="AJ4310" s="15"/>
      <c r="AK4310" s="15"/>
      <c r="AL4310" s="15"/>
      <c r="AM4310" s="15"/>
      <c r="AN4310" s="15"/>
      <c r="AO4310" s="15"/>
      <c r="AP4310" s="15"/>
      <c r="AQ4310" s="15"/>
      <c r="AR4310" s="15"/>
      <c r="AS4310" s="15"/>
      <c r="AT4310" s="15"/>
      <c r="AU4310" s="15"/>
      <c r="AV4310" s="15"/>
      <c r="AW4310" s="15"/>
    </row>
    <row r="4311" spans="3:49" x14ac:dyDescent="0.2">
      <c r="C4311" s="15"/>
      <c r="D4311" s="15"/>
      <c r="E4311" s="15"/>
      <c r="F4311" s="15"/>
      <c r="G4311" s="15"/>
      <c r="H4311" s="15"/>
      <c r="I4311" s="15"/>
      <c r="J4311" s="15"/>
      <c r="K4311" s="15"/>
      <c r="L4311" s="28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  <c r="AA4311" s="15"/>
      <c r="AB4311" s="15"/>
      <c r="AC4311" s="15"/>
      <c r="AD4311" s="15"/>
      <c r="AE4311" s="15"/>
      <c r="AF4311" s="15"/>
      <c r="AG4311" s="15"/>
      <c r="AH4311" s="15"/>
      <c r="AI4311" s="15"/>
      <c r="AJ4311" s="15"/>
      <c r="AK4311" s="15"/>
      <c r="AL4311" s="15"/>
      <c r="AM4311" s="15"/>
      <c r="AN4311" s="15"/>
      <c r="AO4311" s="15"/>
      <c r="AP4311" s="15"/>
      <c r="AQ4311" s="15"/>
      <c r="AR4311" s="15"/>
      <c r="AS4311" s="15"/>
      <c r="AT4311" s="15"/>
      <c r="AU4311" s="15"/>
      <c r="AV4311" s="15"/>
      <c r="AW4311" s="15"/>
    </row>
    <row r="4312" spans="3:49" x14ac:dyDescent="0.2">
      <c r="C4312" s="15"/>
      <c r="D4312" s="15"/>
      <c r="E4312" s="15"/>
      <c r="F4312" s="15"/>
      <c r="G4312" s="15"/>
      <c r="H4312" s="15"/>
      <c r="I4312" s="15"/>
      <c r="J4312" s="15"/>
      <c r="K4312" s="15"/>
      <c r="L4312" s="28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  <c r="AA4312" s="15"/>
      <c r="AB4312" s="15"/>
      <c r="AC4312" s="15"/>
      <c r="AD4312" s="15"/>
      <c r="AE4312" s="15"/>
      <c r="AF4312" s="15"/>
      <c r="AG4312" s="15"/>
      <c r="AH4312" s="15"/>
      <c r="AI4312" s="15"/>
      <c r="AJ4312" s="15"/>
      <c r="AK4312" s="15"/>
      <c r="AL4312" s="15"/>
      <c r="AM4312" s="15"/>
      <c r="AN4312" s="15"/>
      <c r="AO4312" s="15"/>
      <c r="AP4312" s="15"/>
      <c r="AQ4312" s="15"/>
      <c r="AR4312" s="15"/>
      <c r="AS4312" s="15"/>
      <c r="AT4312" s="15"/>
      <c r="AU4312" s="15"/>
      <c r="AV4312" s="15"/>
      <c r="AW4312" s="15"/>
    </row>
    <row r="4313" spans="3:49" x14ac:dyDescent="0.2">
      <c r="C4313" s="15"/>
      <c r="D4313" s="15"/>
      <c r="E4313" s="15"/>
      <c r="F4313" s="15"/>
      <c r="G4313" s="15"/>
      <c r="H4313" s="15"/>
      <c r="I4313" s="15"/>
      <c r="J4313" s="15"/>
      <c r="K4313" s="15"/>
      <c r="L4313" s="28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  <c r="AA4313" s="15"/>
      <c r="AB4313" s="15"/>
      <c r="AC4313" s="15"/>
      <c r="AD4313" s="15"/>
      <c r="AE4313" s="15"/>
      <c r="AF4313" s="15"/>
      <c r="AG4313" s="15"/>
      <c r="AH4313" s="15"/>
      <c r="AI4313" s="15"/>
      <c r="AJ4313" s="15"/>
      <c r="AK4313" s="15"/>
      <c r="AL4313" s="15"/>
      <c r="AM4313" s="15"/>
      <c r="AN4313" s="15"/>
      <c r="AO4313" s="15"/>
      <c r="AP4313" s="15"/>
      <c r="AQ4313" s="15"/>
      <c r="AR4313" s="15"/>
      <c r="AS4313" s="15"/>
      <c r="AT4313" s="15"/>
      <c r="AU4313" s="15"/>
      <c r="AV4313" s="15"/>
      <c r="AW4313" s="15"/>
    </row>
    <row r="4314" spans="3:49" x14ac:dyDescent="0.2">
      <c r="C4314" s="15"/>
      <c r="D4314" s="15"/>
      <c r="E4314" s="15"/>
      <c r="F4314" s="15"/>
      <c r="G4314" s="15"/>
      <c r="H4314" s="15"/>
      <c r="I4314" s="15"/>
      <c r="J4314" s="15"/>
      <c r="K4314" s="15"/>
      <c r="L4314" s="28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  <c r="AA4314" s="15"/>
      <c r="AB4314" s="15"/>
      <c r="AC4314" s="15"/>
      <c r="AD4314" s="15"/>
      <c r="AE4314" s="15"/>
      <c r="AF4314" s="15"/>
      <c r="AG4314" s="15"/>
      <c r="AH4314" s="15"/>
      <c r="AI4314" s="15"/>
      <c r="AJ4314" s="15"/>
      <c r="AK4314" s="15"/>
      <c r="AL4314" s="15"/>
      <c r="AM4314" s="15"/>
      <c r="AN4314" s="15"/>
      <c r="AO4314" s="15"/>
      <c r="AP4314" s="15"/>
      <c r="AQ4314" s="15"/>
      <c r="AR4314" s="15"/>
      <c r="AS4314" s="15"/>
      <c r="AT4314" s="15"/>
      <c r="AU4314" s="15"/>
      <c r="AV4314" s="15"/>
      <c r="AW4314" s="15"/>
    </row>
    <row r="4315" spans="3:49" x14ac:dyDescent="0.2">
      <c r="C4315" s="15"/>
      <c r="D4315" s="15"/>
      <c r="E4315" s="15"/>
      <c r="F4315" s="15"/>
      <c r="G4315" s="15"/>
      <c r="H4315" s="15"/>
      <c r="I4315" s="15"/>
      <c r="J4315" s="15"/>
      <c r="K4315" s="15"/>
      <c r="L4315" s="28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  <c r="AA4315" s="15"/>
      <c r="AB4315" s="15"/>
      <c r="AC4315" s="15"/>
      <c r="AD4315" s="15"/>
      <c r="AE4315" s="15"/>
      <c r="AF4315" s="15"/>
      <c r="AG4315" s="15"/>
      <c r="AH4315" s="15"/>
      <c r="AI4315" s="15"/>
      <c r="AJ4315" s="15"/>
      <c r="AK4315" s="15"/>
      <c r="AL4315" s="15"/>
      <c r="AM4315" s="15"/>
      <c r="AN4315" s="15"/>
      <c r="AO4315" s="15"/>
      <c r="AP4315" s="15"/>
      <c r="AQ4315" s="15"/>
      <c r="AR4315" s="15"/>
      <c r="AS4315" s="15"/>
      <c r="AT4315" s="15"/>
      <c r="AU4315" s="15"/>
      <c r="AV4315" s="15"/>
      <c r="AW4315" s="15"/>
    </row>
    <row r="4316" spans="3:49" x14ac:dyDescent="0.2">
      <c r="C4316" s="15"/>
      <c r="D4316" s="15"/>
      <c r="E4316" s="15"/>
      <c r="F4316" s="15"/>
      <c r="G4316" s="15"/>
      <c r="H4316" s="15"/>
      <c r="I4316" s="15"/>
      <c r="J4316" s="15"/>
      <c r="K4316" s="15"/>
      <c r="L4316" s="28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  <c r="AA4316" s="15"/>
      <c r="AB4316" s="15"/>
      <c r="AC4316" s="15"/>
      <c r="AD4316" s="15"/>
      <c r="AE4316" s="15"/>
      <c r="AF4316" s="15"/>
      <c r="AG4316" s="15"/>
      <c r="AH4316" s="15"/>
      <c r="AI4316" s="15"/>
      <c r="AJ4316" s="15"/>
      <c r="AK4316" s="15"/>
      <c r="AL4316" s="15"/>
      <c r="AM4316" s="15"/>
      <c r="AN4316" s="15"/>
      <c r="AO4316" s="15"/>
      <c r="AP4316" s="15"/>
      <c r="AQ4316" s="15"/>
      <c r="AR4316" s="15"/>
      <c r="AS4316" s="15"/>
      <c r="AT4316" s="15"/>
      <c r="AU4316" s="15"/>
      <c r="AV4316" s="15"/>
      <c r="AW4316" s="15"/>
    </row>
    <row r="4317" spans="3:49" x14ac:dyDescent="0.2">
      <c r="C4317" s="15"/>
      <c r="D4317" s="15"/>
      <c r="E4317" s="15"/>
      <c r="F4317" s="15"/>
      <c r="G4317" s="15"/>
      <c r="H4317" s="15"/>
      <c r="I4317" s="15"/>
      <c r="J4317" s="15"/>
      <c r="K4317" s="15"/>
      <c r="L4317" s="28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  <c r="AA4317" s="15"/>
      <c r="AB4317" s="15"/>
      <c r="AC4317" s="15"/>
      <c r="AD4317" s="15"/>
      <c r="AE4317" s="15"/>
      <c r="AF4317" s="15"/>
      <c r="AG4317" s="15"/>
      <c r="AH4317" s="15"/>
      <c r="AI4317" s="15"/>
      <c r="AJ4317" s="15"/>
      <c r="AK4317" s="15"/>
      <c r="AL4317" s="15"/>
      <c r="AM4317" s="15"/>
      <c r="AN4317" s="15"/>
      <c r="AO4317" s="15"/>
      <c r="AP4317" s="15"/>
      <c r="AQ4317" s="15"/>
      <c r="AR4317" s="15"/>
      <c r="AS4317" s="15"/>
      <c r="AT4317" s="15"/>
      <c r="AU4317" s="15"/>
      <c r="AV4317" s="15"/>
      <c r="AW4317" s="15"/>
    </row>
    <row r="4318" spans="3:49" x14ac:dyDescent="0.2">
      <c r="C4318" s="15"/>
      <c r="D4318" s="15"/>
      <c r="E4318" s="15"/>
      <c r="F4318" s="15"/>
      <c r="G4318" s="15"/>
      <c r="H4318" s="15"/>
      <c r="I4318" s="15"/>
      <c r="J4318" s="15"/>
      <c r="K4318" s="15"/>
      <c r="L4318" s="28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  <c r="AA4318" s="15"/>
      <c r="AB4318" s="15"/>
      <c r="AC4318" s="15"/>
      <c r="AD4318" s="15"/>
      <c r="AE4318" s="15"/>
      <c r="AF4318" s="15"/>
      <c r="AG4318" s="15"/>
      <c r="AH4318" s="15"/>
      <c r="AI4318" s="15"/>
      <c r="AJ4318" s="15"/>
      <c r="AK4318" s="15"/>
      <c r="AL4318" s="15"/>
      <c r="AM4318" s="15"/>
      <c r="AN4318" s="15"/>
      <c r="AO4318" s="15"/>
      <c r="AP4318" s="15"/>
      <c r="AQ4318" s="15"/>
      <c r="AR4318" s="15"/>
      <c r="AS4318" s="15"/>
      <c r="AT4318" s="15"/>
      <c r="AU4318" s="15"/>
      <c r="AV4318" s="15"/>
      <c r="AW4318" s="15"/>
    </row>
    <row r="4319" spans="3:49" x14ac:dyDescent="0.2">
      <c r="C4319" s="15"/>
      <c r="D4319" s="15"/>
      <c r="E4319" s="15"/>
      <c r="F4319" s="15"/>
      <c r="G4319" s="15"/>
      <c r="H4319" s="15"/>
      <c r="I4319" s="15"/>
      <c r="J4319" s="15"/>
      <c r="K4319" s="15"/>
      <c r="L4319" s="28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  <c r="AA4319" s="15"/>
      <c r="AB4319" s="15"/>
      <c r="AC4319" s="15"/>
      <c r="AD4319" s="15"/>
      <c r="AE4319" s="15"/>
      <c r="AF4319" s="15"/>
      <c r="AG4319" s="15"/>
      <c r="AH4319" s="15"/>
      <c r="AI4319" s="15"/>
      <c r="AJ4319" s="15"/>
      <c r="AK4319" s="15"/>
      <c r="AL4319" s="15"/>
      <c r="AM4319" s="15"/>
      <c r="AN4319" s="15"/>
      <c r="AO4319" s="15"/>
      <c r="AP4319" s="15"/>
      <c r="AQ4319" s="15"/>
      <c r="AR4319" s="15"/>
      <c r="AS4319" s="15"/>
      <c r="AT4319" s="15"/>
      <c r="AU4319" s="15"/>
      <c r="AV4319" s="15"/>
      <c r="AW4319" s="15"/>
    </row>
    <row r="4320" spans="3:49" x14ac:dyDescent="0.2">
      <c r="C4320" s="15"/>
      <c r="D4320" s="15"/>
      <c r="E4320" s="15"/>
      <c r="F4320" s="15"/>
      <c r="G4320" s="15"/>
      <c r="H4320" s="15"/>
      <c r="I4320" s="15"/>
      <c r="J4320" s="15"/>
      <c r="K4320" s="15"/>
      <c r="L4320" s="28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  <c r="AA4320" s="15"/>
      <c r="AB4320" s="15"/>
      <c r="AC4320" s="15"/>
      <c r="AD4320" s="15"/>
      <c r="AE4320" s="15"/>
      <c r="AF4320" s="15"/>
      <c r="AG4320" s="15"/>
      <c r="AH4320" s="15"/>
      <c r="AI4320" s="15"/>
      <c r="AJ4320" s="15"/>
      <c r="AK4320" s="15"/>
      <c r="AL4320" s="15"/>
      <c r="AM4320" s="15"/>
      <c r="AN4320" s="15"/>
      <c r="AO4320" s="15"/>
      <c r="AP4320" s="15"/>
      <c r="AQ4320" s="15"/>
      <c r="AR4320" s="15"/>
      <c r="AS4320" s="15"/>
      <c r="AT4320" s="15"/>
      <c r="AU4320" s="15"/>
      <c r="AV4320" s="15"/>
      <c r="AW4320" s="15"/>
    </row>
    <row r="4321" spans="3:49" x14ac:dyDescent="0.2">
      <c r="C4321" s="15"/>
      <c r="D4321" s="15"/>
      <c r="E4321" s="15"/>
      <c r="F4321" s="15"/>
      <c r="G4321" s="15"/>
      <c r="H4321" s="15"/>
      <c r="I4321" s="15"/>
      <c r="J4321" s="15"/>
      <c r="K4321" s="15"/>
      <c r="L4321" s="28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  <c r="AA4321" s="15"/>
      <c r="AB4321" s="15"/>
      <c r="AC4321" s="15"/>
      <c r="AD4321" s="15"/>
      <c r="AE4321" s="15"/>
      <c r="AF4321" s="15"/>
      <c r="AG4321" s="15"/>
      <c r="AH4321" s="15"/>
      <c r="AI4321" s="15"/>
      <c r="AJ4321" s="15"/>
      <c r="AK4321" s="15"/>
      <c r="AL4321" s="15"/>
      <c r="AM4321" s="15"/>
      <c r="AN4321" s="15"/>
      <c r="AO4321" s="15"/>
      <c r="AP4321" s="15"/>
      <c r="AQ4321" s="15"/>
      <c r="AR4321" s="15"/>
      <c r="AS4321" s="15"/>
      <c r="AT4321" s="15"/>
      <c r="AU4321" s="15"/>
      <c r="AV4321" s="15"/>
      <c r="AW4321" s="15"/>
    </row>
    <row r="4322" spans="3:49" x14ac:dyDescent="0.2">
      <c r="C4322" s="15"/>
      <c r="D4322" s="15"/>
      <c r="E4322" s="15"/>
      <c r="F4322" s="15"/>
      <c r="G4322" s="15"/>
      <c r="H4322" s="15"/>
      <c r="I4322" s="15"/>
      <c r="J4322" s="15"/>
      <c r="K4322" s="15"/>
      <c r="L4322" s="28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  <c r="AA4322" s="15"/>
      <c r="AB4322" s="15"/>
      <c r="AC4322" s="15"/>
      <c r="AD4322" s="15"/>
      <c r="AE4322" s="15"/>
      <c r="AF4322" s="15"/>
      <c r="AG4322" s="15"/>
      <c r="AH4322" s="15"/>
      <c r="AI4322" s="15"/>
      <c r="AJ4322" s="15"/>
      <c r="AK4322" s="15"/>
      <c r="AL4322" s="15"/>
      <c r="AM4322" s="15"/>
      <c r="AN4322" s="15"/>
      <c r="AO4322" s="15"/>
      <c r="AP4322" s="15"/>
      <c r="AQ4322" s="15"/>
      <c r="AR4322" s="15"/>
      <c r="AS4322" s="15"/>
      <c r="AT4322" s="15"/>
      <c r="AU4322" s="15"/>
      <c r="AV4322" s="15"/>
      <c r="AW4322" s="15"/>
    </row>
    <row r="4323" spans="3:49" x14ac:dyDescent="0.2">
      <c r="C4323" s="15"/>
      <c r="D4323" s="15"/>
      <c r="E4323" s="15"/>
      <c r="F4323" s="15"/>
      <c r="G4323" s="15"/>
      <c r="H4323" s="15"/>
      <c r="I4323" s="15"/>
      <c r="J4323" s="15"/>
      <c r="K4323" s="15"/>
      <c r="L4323" s="28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  <c r="AA4323" s="15"/>
      <c r="AB4323" s="15"/>
      <c r="AC4323" s="15"/>
      <c r="AD4323" s="15"/>
      <c r="AE4323" s="15"/>
      <c r="AF4323" s="15"/>
      <c r="AG4323" s="15"/>
      <c r="AH4323" s="15"/>
      <c r="AI4323" s="15"/>
      <c r="AJ4323" s="15"/>
      <c r="AK4323" s="15"/>
      <c r="AL4323" s="15"/>
      <c r="AM4323" s="15"/>
      <c r="AN4323" s="15"/>
      <c r="AO4323" s="15"/>
      <c r="AP4323" s="15"/>
      <c r="AQ4323" s="15"/>
      <c r="AR4323" s="15"/>
      <c r="AS4323" s="15"/>
      <c r="AT4323" s="15"/>
      <c r="AU4323" s="15"/>
      <c r="AV4323" s="15"/>
      <c r="AW4323" s="15"/>
    </row>
    <row r="4324" spans="3:49" x14ac:dyDescent="0.2">
      <c r="C4324" s="15"/>
      <c r="D4324" s="15"/>
      <c r="E4324" s="15"/>
      <c r="F4324" s="15"/>
      <c r="G4324" s="15"/>
      <c r="H4324" s="15"/>
      <c r="I4324" s="15"/>
      <c r="J4324" s="15"/>
      <c r="K4324" s="15"/>
      <c r="L4324" s="28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  <c r="AA4324" s="15"/>
      <c r="AB4324" s="15"/>
      <c r="AC4324" s="15"/>
      <c r="AD4324" s="15"/>
      <c r="AE4324" s="15"/>
      <c r="AF4324" s="15"/>
      <c r="AG4324" s="15"/>
      <c r="AH4324" s="15"/>
      <c r="AI4324" s="15"/>
      <c r="AJ4324" s="15"/>
      <c r="AK4324" s="15"/>
      <c r="AL4324" s="15"/>
      <c r="AM4324" s="15"/>
      <c r="AN4324" s="15"/>
      <c r="AO4324" s="15"/>
      <c r="AP4324" s="15"/>
      <c r="AQ4324" s="15"/>
      <c r="AR4324" s="15"/>
      <c r="AS4324" s="15"/>
      <c r="AT4324" s="15"/>
      <c r="AU4324" s="15"/>
      <c r="AV4324" s="15"/>
      <c r="AW4324" s="15"/>
    </row>
    <row r="4325" spans="3:49" x14ac:dyDescent="0.2">
      <c r="C4325" s="15"/>
      <c r="D4325" s="15"/>
      <c r="E4325" s="15"/>
      <c r="F4325" s="15"/>
      <c r="G4325" s="15"/>
      <c r="H4325" s="15"/>
      <c r="I4325" s="15"/>
      <c r="J4325" s="15"/>
      <c r="K4325" s="15"/>
      <c r="L4325" s="28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  <c r="AA4325" s="15"/>
      <c r="AB4325" s="15"/>
      <c r="AC4325" s="15"/>
      <c r="AD4325" s="15"/>
      <c r="AE4325" s="15"/>
      <c r="AF4325" s="15"/>
      <c r="AG4325" s="15"/>
      <c r="AH4325" s="15"/>
      <c r="AI4325" s="15"/>
      <c r="AJ4325" s="15"/>
      <c r="AK4325" s="15"/>
      <c r="AL4325" s="15"/>
      <c r="AM4325" s="15"/>
      <c r="AN4325" s="15"/>
      <c r="AO4325" s="15"/>
      <c r="AP4325" s="15"/>
      <c r="AQ4325" s="15"/>
      <c r="AR4325" s="15"/>
      <c r="AS4325" s="15"/>
      <c r="AT4325" s="15"/>
      <c r="AU4325" s="15"/>
      <c r="AV4325" s="15"/>
      <c r="AW4325" s="15"/>
    </row>
    <row r="4326" spans="3:49" x14ac:dyDescent="0.2">
      <c r="C4326" s="15"/>
      <c r="D4326" s="15"/>
      <c r="E4326" s="15"/>
      <c r="F4326" s="15"/>
      <c r="G4326" s="15"/>
      <c r="H4326" s="15"/>
      <c r="I4326" s="15"/>
      <c r="J4326" s="15"/>
      <c r="K4326" s="15"/>
      <c r="L4326" s="28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  <c r="AA4326" s="15"/>
      <c r="AB4326" s="15"/>
      <c r="AC4326" s="15"/>
      <c r="AD4326" s="15"/>
      <c r="AE4326" s="15"/>
      <c r="AF4326" s="15"/>
      <c r="AG4326" s="15"/>
      <c r="AH4326" s="15"/>
      <c r="AI4326" s="15"/>
      <c r="AJ4326" s="15"/>
      <c r="AK4326" s="15"/>
      <c r="AL4326" s="15"/>
      <c r="AM4326" s="15"/>
      <c r="AN4326" s="15"/>
      <c r="AO4326" s="15"/>
      <c r="AP4326" s="15"/>
      <c r="AQ4326" s="15"/>
      <c r="AR4326" s="15"/>
      <c r="AS4326" s="15"/>
      <c r="AT4326" s="15"/>
      <c r="AU4326" s="15"/>
      <c r="AV4326" s="15"/>
      <c r="AW4326" s="15"/>
    </row>
    <row r="4327" spans="3:49" x14ac:dyDescent="0.2">
      <c r="C4327" s="15"/>
      <c r="D4327" s="15"/>
      <c r="E4327" s="15"/>
      <c r="F4327" s="15"/>
      <c r="G4327" s="15"/>
      <c r="H4327" s="15"/>
      <c r="I4327" s="15"/>
      <c r="J4327" s="15"/>
      <c r="K4327" s="15"/>
      <c r="L4327" s="28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  <c r="AA4327" s="15"/>
      <c r="AB4327" s="15"/>
      <c r="AC4327" s="15"/>
      <c r="AD4327" s="15"/>
      <c r="AE4327" s="15"/>
      <c r="AF4327" s="15"/>
      <c r="AG4327" s="15"/>
      <c r="AH4327" s="15"/>
      <c r="AI4327" s="15"/>
      <c r="AJ4327" s="15"/>
      <c r="AK4327" s="15"/>
      <c r="AL4327" s="15"/>
      <c r="AM4327" s="15"/>
      <c r="AN4327" s="15"/>
      <c r="AO4327" s="15"/>
      <c r="AP4327" s="15"/>
      <c r="AQ4327" s="15"/>
      <c r="AR4327" s="15"/>
      <c r="AS4327" s="15"/>
      <c r="AT4327" s="15"/>
      <c r="AU4327" s="15"/>
      <c r="AV4327" s="15"/>
      <c r="AW4327" s="15"/>
    </row>
    <row r="4328" spans="3:49" x14ac:dyDescent="0.2">
      <c r="C4328" s="15"/>
      <c r="D4328" s="15"/>
      <c r="E4328" s="15"/>
      <c r="F4328" s="15"/>
      <c r="G4328" s="15"/>
      <c r="H4328" s="15"/>
      <c r="I4328" s="15"/>
      <c r="J4328" s="15"/>
      <c r="K4328" s="15"/>
      <c r="L4328" s="28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  <c r="AA4328" s="15"/>
      <c r="AB4328" s="15"/>
      <c r="AC4328" s="15"/>
      <c r="AD4328" s="15"/>
      <c r="AE4328" s="15"/>
      <c r="AF4328" s="15"/>
      <c r="AG4328" s="15"/>
      <c r="AH4328" s="15"/>
      <c r="AI4328" s="15"/>
      <c r="AJ4328" s="15"/>
      <c r="AK4328" s="15"/>
      <c r="AL4328" s="15"/>
      <c r="AM4328" s="15"/>
      <c r="AN4328" s="15"/>
      <c r="AO4328" s="15"/>
      <c r="AP4328" s="15"/>
      <c r="AQ4328" s="15"/>
      <c r="AR4328" s="15"/>
      <c r="AS4328" s="15"/>
      <c r="AT4328" s="15"/>
      <c r="AU4328" s="15"/>
      <c r="AV4328" s="15"/>
      <c r="AW4328" s="15"/>
    </row>
    <row r="4329" spans="3:49" x14ac:dyDescent="0.2">
      <c r="C4329" s="15"/>
      <c r="D4329" s="15"/>
      <c r="E4329" s="15"/>
      <c r="F4329" s="15"/>
      <c r="G4329" s="15"/>
      <c r="H4329" s="15"/>
      <c r="I4329" s="15"/>
      <c r="J4329" s="15"/>
      <c r="K4329" s="15"/>
      <c r="L4329" s="28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  <c r="AA4329" s="15"/>
      <c r="AB4329" s="15"/>
      <c r="AC4329" s="15"/>
      <c r="AD4329" s="15"/>
      <c r="AE4329" s="15"/>
      <c r="AF4329" s="15"/>
      <c r="AG4329" s="15"/>
      <c r="AH4329" s="15"/>
      <c r="AI4329" s="15"/>
      <c r="AJ4329" s="15"/>
      <c r="AK4329" s="15"/>
      <c r="AL4329" s="15"/>
      <c r="AM4329" s="15"/>
      <c r="AN4329" s="15"/>
      <c r="AO4329" s="15"/>
      <c r="AP4329" s="15"/>
      <c r="AQ4329" s="15"/>
      <c r="AR4329" s="15"/>
      <c r="AS4329" s="15"/>
      <c r="AT4329" s="15"/>
      <c r="AU4329" s="15"/>
      <c r="AV4329" s="15"/>
      <c r="AW4329" s="15"/>
    </row>
    <row r="4330" spans="3:49" x14ac:dyDescent="0.2">
      <c r="C4330" s="15"/>
      <c r="D4330" s="15"/>
      <c r="E4330" s="15"/>
      <c r="F4330" s="15"/>
      <c r="G4330" s="15"/>
      <c r="H4330" s="15"/>
      <c r="I4330" s="15"/>
      <c r="J4330" s="15"/>
      <c r="K4330" s="15"/>
      <c r="L4330" s="28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  <c r="AA4330" s="15"/>
      <c r="AB4330" s="15"/>
      <c r="AC4330" s="15"/>
      <c r="AD4330" s="15"/>
      <c r="AE4330" s="15"/>
      <c r="AF4330" s="15"/>
      <c r="AG4330" s="15"/>
      <c r="AH4330" s="15"/>
      <c r="AI4330" s="15"/>
      <c r="AJ4330" s="15"/>
      <c r="AK4330" s="15"/>
      <c r="AL4330" s="15"/>
      <c r="AM4330" s="15"/>
      <c r="AN4330" s="15"/>
      <c r="AO4330" s="15"/>
      <c r="AP4330" s="15"/>
      <c r="AQ4330" s="15"/>
      <c r="AR4330" s="15"/>
      <c r="AS4330" s="15"/>
      <c r="AT4330" s="15"/>
      <c r="AU4330" s="15"/>
      <c r="AV4330" s="15"/>
      <c r="AW4330" s="15"/>
    </row>
    <row r="4331" spans="3:49" x14ac:dyDescent="0.2">
      <c r="C4331" s="15"/>
      <c r="D4331" s="15"/>
      <c r="E4331" s="15"/>
      <c r="F4331" s="15"/>
      <c r="G4331" s="15"/>
      <c r="H4331" s="15"/>
      <c r="I4331" s="15"/>
      <c r="J4331" s="15"/>
      <c r="K4331" s="15"/>
      <c r="L4331" s="28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  <c r="AA4331" s="15"/>
      <c r="AB4331" s="15"/>
      <c r="AC4331" s="15"/>
      <c r="AD4331" s="15"/>
      <c r="AE4331" s="15"/>
      <c r="AF4331" s="15"/>
      <c r="AG4331" s="15"/>
      <c r="AH4331" s="15"/>
      <c r="AI4331" s="15"/>
      <c r="AJ4331" s="15"/>
      <c r="AK4331" s="15"/>
      <c r="AL4331" s="15"/>
      <c r="AM4331" s="15"/>
      <c r="AN4331" s="15"/>
      <c r="AO4331" s="15"/>
      <c r="AP4331" s="15"/>
      <c r="AQ4331" s="15"/>
      <c r="AR4331" s="15"/>
      <c r="AS4331" s="15"/>
      <c r="AT4331" s="15"/>
      <c r="AU4331" s="15"/>
      <c r="AV4331" s="15"/>
      <c r="AW4331" s="15"/>
    </row>
    <row r="4332" spans="3:49" x14ac:dyDescent="0.2">
      <c r="C4332" s="15"/>
      <c r="D4332" s="15"/>
      <c r="E4332" s="15"/>
      <c r="F4332" s="15"/>
      <c r="G4332" s="15"/>
      <c r="H4332" s="15"/>
      <c r="I4332" s="15"/>
      <c r="J4332" s="15"/>
      <c r="K4332" s="15"/>
      <c r="L4332" s="28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  <c r="AA4332" s="15"/>
      <c r="AB4332" s="15"/>
      <c r="AC4332" s="15"/>
      <c r="AD4332" s="15"/>
      <c r="AE4332" s="15"/>
      <c r="AF4332" s="15"/>
      <c r="AG4332" s="15"/>
      <c r="AH4332" s="15"/>
      <c r="AI4332" s="15"/>
      <c r="AJ4332" s="15"/>
      <c r="AK4332" s="15"/>
      <c r="AL4332" s="15"/>
      <c r="AM4332" s="15"/>
      <c r="AN4332" s="15"/>
      <c r="AO4332" s="15"/>
      <c r="AP4332" s="15"/>
      <c r="AQ4332" s="15"/>
      <c r="AR4332" s="15"/>
      <c r="AS4332" s="15"/>
      <c r="AT4332" s="15"/>
      <c r="AU4332" s="15"/>
      <c r="AV4332" s="15"/>
      <c r="AW4332" s="15"/>
    </row>
    <row r="4333" spans="3:49" x14ac:dyDescent="0.2">
      <c r="C4333" s="15"/>
      <c r="D4333" s="15"/>
      <c r="E4333" s="15"/>
      <c r="F4333" s="15"/>
      <c r="G4333" s="15"/>
      <c r="H4333" s="15"/>
      <c r="I4333" s="15"/>
      <c r="J4333" s="15"/>
      <c r="K4333" s="15"/>
      <c r="L4333" s="28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  <c r="AA4333" s="15"/>
      <c r="AB4333" s="15"/>
      <c r="AC4333" s="15"/>
      <c r="AD4333" s="15"/>
      <c r="AE4333" s="15"/>
      <c r="AF4333" s="15"/>
      <c r="AG4333" s="15"/>
      <c r="AH4333" s="15"/>
      <c r="AI4333" s="15"/>
      <c r="AJ4333" s="15"/>
      <c r="AK4333" s="15"/>
      <c r="AL4333" s="15"/>
      <c r="AM4333" s="15"/>
      <c r="AN4333" s="15"/>
      <c r="AO4333" s="15"/>
      <c r="AP4333" s="15"/>
      <c r="AQ4333" s="15"/>
      <c r="AR4333" s="15"/>
      <c r="AS4333" s="15"/>
      <c r="AT4333" s="15"/>
      <c r="AU4333" s="15"/>
      <c r="AV4333" s="15"/>
      <c r="AW4333" s="15"/>
    </row>
    <row r="4334" spans="3:49" x14ac:dyDescent="0.2">
      <c r="C4334" s="15"/>
      <c r="D4334" s="15"/>
      <c r="E4334" s="15"/>
      <c r="F4334" s="15"/>
      <c r="G4334" s="15"/>
      <c r="H4334" s="15"/>
      <c r="I4334" s="15"/>
      <c r="J4334" s="15"/>
      <c r="K4334" s="15"/>
      <c r="L4334" s="28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  <c r="AA4334" s="15"/>
      <c r="AB4334" s="15"/>
      <c r="AC4334" s="15"/>
      <c r="AD4334" s="15"/>
      <c r="AE4334" s="15"/>
      <c r="AF4334" s="15"/>
      <c r="AG4334" s="15"/>
      <c r="AH4334" s="15"/>
      <c r="AI4334" s="15"/>
      <c r="AJ4334" s="15"/>
      <c r="AK4334" s="15"/>
      <c r="AL4334" s="15"/>
      <c r="AM4334" s="15"/>
      <c r="AN4334" s="15"/>
      <c r="AO4334" s="15"/>
      <c r="AP4334" s="15"/>
      <c r="AQ4334" s="15"/>
      <c r="AR4334" s="15"/>
      <c r="AS4334" s="15"/>
      <c r="AT4334" s="15"/>
      <c r="AU4334" s="15"/>
      <c r="AV4334" s="15"/>
      <c r="AW4334" s="15"/>
    </row>
    <row r="4335" spans="3:49" x14ac:dyDescent="0.2">
      <c r="C4335" s="15"/>
      <c r="D4335" s="15"/>
      <c r="E4335" s="15"/>
      <c r="F4335" s="15"/>
      <c r="G4335" s="15"/>
      <c r="H4335" s="15"/>
      <c r="I4335" s="15"/>
      <c r="J4335" s="15"/>
      <c r="K4335" s="15"/>
      <c r="L4335" s="28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  <c r="AA4335" s="15"/>
      <c r="AB4335" s="15"/>
      <c r="AC4335" s="15"/>
      <c r="AD4335" s="15"/>
      <c r="AE4335" s="15"/>
      <c r="AF4335" s="15"/>
      <c r="AG4335" s="15"/>
      <c r="AH4335" s="15"/>
      <c r="AI4335" s="15"/>
      <c r="AJ4335" s="15"/>
      <c r="AK4335" s="15"/>
      <c r="AL4335" s="15"/>
      <c r="AM4335" s="15"/>
      <c r="AN4335" s="15"/>
      <c r="AO4335" s="15"/>
      <c r="AP4335" s="15"/>
      <c r="AQ4335" s="15"/>
      <c r="AR4335" s="15"/>
      <c r="AS4335" s="15"/>
      <c r="AT4335" s="15"/>
      <c r="AU4335" s="15"/>
      <c r="AV4335" s="15"/>
      <c r="AW4335" s="15"/>
    </row>
    <row r="4336" spans="3:49" x14ac:dyDescent="0.2">
      <c r="C4336" s="15"/>
      <c r="D4336" s="15"/>
      <c r="E4336" s="15"/>
      <c r="F4336" s="15"/>
      <c r="G4336" s="15"/>
      <c r="H4336" s="15"/>
      <c r="I4336" s="15"/>
      <c r="J4336" s="15"/>
      <c r="K4336" s="15"/>
      <c r="L4336" s="28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  <c r="AA4336" s="15"/>
      <c r="AB4336" s="15"/>
      <c r="AC4336" s="15"/>
      <c r="AD4336" s="15"/>
      <c r="AE4336" s="15"/>
      <c r="AF4336" s="15"/>
      <c r="AG4336" s="15"/>
      <c r="AH4336" s="15"/>
      <c r="AI4336" s="15"/>
      <c r="AJ4336" s="15"/>
      <c r="AK4336" s="15"/>
      <c r="AL4336" s="15"/>
      <c r="AM4336" s="15"/>
      <c r="AN4336" s="15"/>
      <c r="AO4336" s="15"/>
      <c r="AP4336" s="15"/>
      <c r="AQ4336" s="15"/>
      <c r="AR4336" s="15"/>
      <c r="AS4336" s="15"/>
      <c r="AT4336" s="15"/>
      <c r="AU4336" s="15"/>
      <c r="AV4336" s="15"/>
      <c r="AW4336" s="15"/>
    </row>
    <row r="4337" spans="3:49" x14ac:dyDescent="0.2">
      <c r="C4337" s="15"/>
      <c r="D4337" s="15"/>
      <c r="E4337" s="15"/>
      <c r="F4337" s="15"/>
      <c r="G4337" s="15"/>
      <c r="H4337" s="15"/>
      <c r="I4337" s="15"/>
      <c r="J4337" s="15"/>
      <c r="K4337" s="15"/>
      <c r="L4337" s="28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  <c r="AA4337" s="15"/>
      <c r="AB4337" s="15"/>
      <c r="AC4337" s="15"/>
      <c r="AD4337" s="15"/>
      <c r="AE4337" s="15"/>
      <c r="AF4337" s="15"/>
      <c r="AG4337" s="15"/>
      <c r="AH4337" s="15"/>
      <c r="AI4337" s="15"/>
      <c r="AJ4337" s="15"/>
      <c r="AK4337" s="15"/>
      <c r="AL4337" s="15"/>
      <c r="AM4337" s="15"/>
      <c r="AN4337" s="15"/>
      <c r="AO4337" s="15"/>
      <c r="AP4337" s="15"/>
      <c r="AQ4337" s="15"/>
      <c r="AR4337" s="15"/>
      <c r="AS4337" s="15"/>
      <c r="AT4337" s="15"/>
      <c r="AU4337" s="15"/>
      <c r="AV4337" s="15"/>
      <c r="AW4337" s="15"/>
    </row>
    <row r="4338" spans="3:49" x14ac:dyDescent="0.2">
      <c r="C4338" s="15"/>
      <c r="D4338" s="15"/>
      <c r="E4338" s="15"/>
      <c r="F4338" s="15"/>
      <c r="G4338" s="15"/>
      <c r="H4338" s="15"/>
      <c r="I4338" s="15"/>
      <c r="J4338" s="15"/>
      <c r="K4338" s="15"/>
      <c r="L4338" s="28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  <c r="AA4338" s="15"/>
      <c r="AB4338" s="15"/>
      <c r="AC4338" s="15"/>
      <c r="AD4338" s="15"/>
      <c r="AE4338" s="15"/>
      <c r="AF4338" s="15"/>
      <c r="AG4338" s="15"/>
      <c r="AH4338" s="15"/>
      <c r="AI4338" s="15"/>
      <c r="AJ4338" s="15"/>
      <c r="AK4338" s="15"/>
      <c r="AL4338" s="15"/>
      <c r="AM4338" s="15"/>
      <c r="AN4338" s="15"/>
      <c r="AO4338" s="15"/>
      <c r="AP4338" s="15"/>
      <c r="AQ4338" s="15"/>
      <c r="AR4338" s="15"/>
      <c r="AS4338" s="15"/>
      <c r="AT4338" s="15"/>
      <c r="AU4338" s="15"/>
      <c r="AV4338" s="15"/>
      <c r="AW4338" s="15"/>
    </row>
    <row r="4339" spans="3:49" x14ac:dyDescent="0.2">
      <c r="C4339" s="15"/>
      <c r="D4339" s="15"/>
      <c r="E4339" s="15"/>
      <c r="F4339" s="15"/>
      <c r="G4339" s="15"/>
      <c r="H4339" s="15"/>
      <c r="I4339" s="15"/>
      <c r="J4339" s="15"/>
      <c r="K4339" s="15"/>
      <c r="L4339" s="28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  <c r="AA4339" s="15"/>
      <c r="AB4339" s="15"/>
      <c r="AC4339" s="15"/>
      <c r="AD4339" s="15"/>
      <c r="AE4339" s="15"/>
      <c r="AF4339" s="15"/>
      <c r="AG4339" s="15"/>
      <c r="AH4339" s="15"/>
      <c r="AI4339" s="15"/>
      <c r="AJ4339" s="15"/>
      <c r="AK4339" s="15"/>
      <c r="AL4339" s="15"/>
      <c r="AM4339" s="15"/>
      <c r="AN4339" s="15"/>
      <c r="AO4339" s="15"/>
      <c r="AP4339" s="15"/>
      <c r="AQ4339" s="15"/>
      <c r="AR4339" s="15"/>
      <c r="AS4339" s="15"/>
      <c r="AT4339" s="15"/>
      <c r="AU4339" s="15"/>
      <c r="AV4339" s="15"/>
      <c r="AW4339" s="15"/>
    </row>
    <row r="4340" spans="3:49" x14ac:dyDescent="0.2">
      <c r="C4340" s="15"/>
      <c r="D4340" s="15"/>
      <c r="E4340" s="15"/>
      <c r="F4340" s="15"/>
      <c r="G4340" s="15"/>
      <c r="H4340" s="15"/>
      <c r="I4340" s="15"/>
      <c r="J4340" s="15"/>
      <c r="K4340" s="15"/>
      <c r="L4340" s="28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  <c r="AA4340" s="15"/>
      <c r="AB4340" s="15"/>
      <c r="AC4340" s="15"/>
      <c r="AD4340" s="15"/>
      <c r="AE4340" s="15"/>
      <c r="AF4340" s="15"/>
      <c r="AG4340" s="15"/>
      <c r="AH4340" s="15"/>
      <c r="AI4340" s="15"/>
      <c r="AJ4340" s="15"/>
      <c r="AK4340" s="15"/>
      <c r="AL4340" s="15"/>
      <c r="AM4340" s="15"/>
      <c r="AN4340" s="15"/>
      <c r="AO4340" s="15"/>
      <c r="AP4340" s="15"/>
      <c r="AQ4340" s="15"/>
      <c r="AR4340" s="15"/>
      <c r="AS4340" s="15"/>
      <c r="AT4340" s="15"/>
      <c r="AU4340" s="15"/>
      <c r="AV4340" s="15"/>
      <c r="AW4340" s="15"/>
    </row>
    <row r="4341" spans="3:49" x14ac:dyDescent="0.2">
      <c r="C4341" s="15"/>
      <c r="D4341" s="15"/>
      <c r="E4341" s="15"/>
      <c r="F4341" s="15"/>
      <c r="G4341" s="15"/>
      <c r="H4341" s="15"/>
      <c r="I4341" s="15"/>
      <c r="J4341" s="15"/>
      <c r="K4341" s="15"/>
      <c r="L4341" s="28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  <c r="AA4341" s="15"/>
      <c r="AB4341" s="15"/>
      <c r="AC4341" s="15"/>
      <c r="AD4341" s="15"/>
      <c r="AE4341" s="15"/>
      <c r="AF4341" s="15"/>
      <c r="AG4341" s="15"/>
      <c r="AH4341" s="15"/>
      <c r="AI4341" s="15"/>
      <c r="AJ4341" s="15"/>
      <c r="AK4341" s="15"/>
      <c r="AL4341" s="15"/>
      <c r="AM4341" s="15"/>
      <c r="AN4341" s="15"/>
      <c r="AO4341" s="15"/>
      <c r="AP4341" s="15"/>
      <c r="AQ4341" s="15"/>
      <c r="AR4341" s="15"/>
      <c r="AS4341" s="15"/>
      <c r="AT4341" s="15"/>
      <c r="AU4341" s="15"/>
      <c r="AV4341" s="15"/>
      <c r="AW4341" s="15"/>
    </row>
    <row r="4342" spans="3:49" x14ac:dyDescent="0.2">
      <c r="C4342" s="15"/>
      <c r="D4342" s="15"/>
      <c r="E4342" s="15"/>
      <c r="F4342" s="15"/>
      <c r="G4342" s="15"/>
      <c r="H4342" s="15"/>
      <c r="I4342" s="15"/>
      <c r="J4342" s="15"/>
      <c r="K4342" s="15"/>
      <c r="L4342" s="28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  <c r="AA4342" s="15"/>
      <c r="AB4342" s="15"/>
      <c r="AC4342" s="15"/>
      <c r="AD4342" s="15"/>
      <c r="AE4342" s="15"/>
      <c r="AF4342" s="15"/>
      <c r="AG4342" s="15"/>
      <c r="AH4342" s="15"/>
      <c r="AI4342" s="15"/>
      <c r="AJ4342" s="15"/>
      <c r="AK4342" s="15"/>
      <c r="AL4342" s="15"/>
      <c r="AM4342" s="15"/>
      <c r="AN4342" s="15"/>
      <c r="AO4342" s="15"/>
      <c r="AP4342" s="15"/>
      <c r="AQ4342" s="15"/>
      <c r="AR4342" s="15"/>
      <c r="AS4342" s="15"/>
      <c r="AT4342" s="15"/>
      <c r="AU4342" s="15"/>
      <c r="AV4342" s="15"/>
      <c r="AW4342" s="15"/>
    </row>
    <row r="4343" spans="3:49" x14ac:dyDescent="0.2">
      <c r="C4343" s="15"/>
      <c r="D4343" s="15"/>
      <c r="E4343" s="15"/>
      <c r="F4343" s="15"/>
      <c r="G4343" s="15"/>
      <c r="H4343" s="15"/>
      <c r="I4343" s="15"/>
      <c r="J4343" s="15"/>
      <c r="K4343" s="15"/>
      <c r="L4343" s="28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  <c r="AA4343" s="15"/>
      <c r="AB4343" s="15"/>
      <c r="AC4343" s="15"/>
      <c r="AD4343" s="15"/>
      <c r="AE4343" s="15"/>
      <c r="AF4343" s="15"/>
      <c r="AG4343" s="15"/>
      <c r="AH4343" s="15"/>
      <c r="AI4343" s="15"/>
      <c r="AJ4343" s="15"/>
      <c r="AK4343" s="15"/>
      <c r="AL4343" s="15"/>
      <c r="AM4343" s="15"/>
      <c r="AN4343" s="15"/>
      <c r="AO4343" s="15"/>
      <c r="AP4343" s="15"/>
      <c r="AQ4343" s="15"/>
      <c r="AR4343" s="15"/>
      <c r="AS4343" s="15"/>
      <c r="AT4343" s="15"/>
      <c r="AU4343" s="15"/>
      <c r="AV4343" s="15"/>
      <c r="AW4343" s="15"/>
    </row>
    <row r="4344" spans="3:49" x14ac:dyDescent="0.2">
      <c r="C4344" s="15"/>
      <c r="D4344" s="15"/>
      <c r="E4344" s="15"/>
      <c r="F4344" s="15"/>
      <c r="G4344" s="15"/>
      <c r="H4344" s="15"/>
      <c r="I4344" s="15"/>
      <c r="J4344" s="15"/>
      <c r="K4344" s="15"/>
      <c r="L4344" s="28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  <c r="AA4344" s="15"/>
      <c r="AB4344" s="15"/>
      <c r="AC4344" s="15"/>
      <c r="AD4344" s="15"/>
      <c r="AE4344" s="15"/>
      <c r="AF4344" s="15"/>
      <c r="AG4344" s="15"/>
      <c r="AH4344" s="15"/>
      <c r="AI4344" s="15"/>
      <c r="AJ4344" s="15"/>
      <c r="AK4344" s="15"/>
      <c r="AL4344" s="15"/>
      <c r="AM4344" s="15"/>
      <c r="AN4344" s="15"/>
      <c r="AO4344" s="15"/>
      <c r="AP4344" s="15"/>
      <c r="AQ4344" s="15"/>
      <c r="AR4344" s="15"/>
      <c r="AS4344" s="15"/>
      <c r="AT4344" s="15"/>
      <c r="AU4344" s="15"/>
      <c r="AV4344" s="15"/>
      <c r="AW4344" s="15"/>
    </row>
    <row r="4345" spans="3:49" x14ac:dyDescent="0.2">
      <c r="C4345" s="15"/>
      <c r="D4345" s="15"/>
      <c r="E4345" s="15"/>
      <c r="F4345" s="15"/>
      <c r="G4345" s="15"/>
      <c r="H4345" s="15"/>
      <c r="I4345" s="15"/>
      <c r="J4345" s="15"/>
      <c r="K4345" s="15"/>
      <c r="L4345" s="28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  <c r="AA4345" s="15"/>
      <c r="AB4345" s="15"/>
      <c r="AC4345" s="15"/>
      <c r="AD4345" s="15"/>
      <c r="AE4345" s="15"/>
      <c r="AF4345" s="15"/>
      <c r="AG4345" s="15"/>
      <c r="AH4345" s="15"/>
      <c r="AI4345" s="15"/>
      <c r="AJ4345" s="15"/>
      <c r="AK4345" s="15"/>
      <c r="AL4345" s="15"/>
      <c r="AM4345" s="15"/>
      <c r="AN4345" s="15"/>
      <c r="AO4345" s="15"/>
      <c r="AP4345" s="15"/>
      <c r="AQ4345" s="15"/>
      <c r="AR4345" s="15"/>
      <c r="AS4345" s="15"/>
      <c r="AT4345" s="15"/>
      <c r="AU4345" s="15"/>
      <c r="AV4345" s="15"/>
      <c r="AW4345" s="15"/>
    </row>
    <row r="4346" spans="3:49" x14ac:dyDescent="0.2">
      <c r="C4346" s="15"/>
      <c r="D4346" s="15"/>
      <c r="E4346" s="15"/>
      <c r="F4346" s="15"/>
      <c r="G4346" s="15"/>
      <c r="H4346" s="15"/>
      <c r="I4346" s="15"/>
      <c r="J4346" s="15"/>
      <c r="K4346" s="15"/>
      <c r="L4346" s="28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  <c r="AA4346" s="15"/>
      <c r="AB4346" s="15"/>
      <c r="AC4346" s="15"/>
      <c r="AD4346" s="15"/>
      <c r="AE4346" s="15"/>
      <c r="AF4346" s="15"/>
      <c r="AG4346" s="15"/>
      <c r="AH4346" s="15"/>
      <c r="AI4346" s="15"/>
      <c r="AJ4346" s="15"/>
      <c r="AK4346" s="15"/>
      <c r="AL4346" s="15"/>
      <c r="AM4346" s="15"/>
      <c r="AN4346" s="15"/>
      <c r="AO4346" s="15"/>
      <c r="AP4346" s="15"/>
      <c r="AQ4346" s="15"/>
      <c r="AR4346" s="15"/>
      <c r="AS4346" s="15"/>
      <c r="AT4346" s="15"/>
      <c r="AU4346" s="15"/>
      <c r="AV4346" s="15"/>
      <c r="AW4346" s="15"/>
    </row>
    <row r="4347" spans="3:49" x14ac:dyDescent="0.2">
      <c r="C4347" s="15"/>
      <c r="D4347" s="15"/>
      <c r="E4347" s="15"/>
      <c r="F4347" s="15"/>
      <c r="G4347" s="15"/>
      <c r="H4347" s="15"/>
      <c r="I4347" s="15"/>
      <c r="J4347" s="15"/>
      <c r="K4347" s="15"/>
      <c r="L4347" s="28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  <c r="AA4347" s="15"/>
      <c r="AB4347" s="15"/>
      <c r="AC4347" s="15"/>
      <c r="AD4347" s="15"/>
      <c r="AE4347" s="15"/>
      <c r="AF4347" s="15"/>
      <c r="AG4347" s="15"/>
      <c r="AH4347" s="15"/>
      <c r="AI4347" s="15"/>
      <c r="AJ4347" s="15"/>
      <c r="AK4347" s="15"/>
      <c r="AL4347" s="15"/>
      <c r="AM4347" s="15"/>
      <c r="AN4347" s="15"/>
      <c r="AO4347" s="15"/>
      <c r="AP4347" s="15"/>
      <c r="AQ4347" s="15"/>
      <c r="AR4347" s="15"/>
      <c r="AS4347" s="15"/>
      <c r="AT4347" s="15"/>
      <c r="AU4347" s="15"/>
      <c r="AV4347" s="15"/>
      <c r="AW4347" s="15"/>
    </row>
    <row r="4348" spans="3:49" x14ac:dyDescent="0.2">
      <c r="C4348" s="15"/>
      <c r="D4348" s="15"/>
      <c r="E4348" s="15"/>
      <c r="F4348" s="15"/>
      <c r="G4348" s="15"/>
      <c r="H4348" s="15"/>
      <c r="I4348" s="15"/>
      <c r="J4348" s="15"/>
      <c r="K4348" s="15"/>
      <c r="L4348" s="28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  <c r="AA4348" s="15"/>
      <c r="AB4348" s="15"/>
      <c r="AC4348" s="15"/>
      <c r="AD4348" s="15"/>
      <c r="AE4348" s="15"/>
      <c r="AF4348" s="15"/>
      <c r="AG4348" s="15"/>
      <c r="AH4348" s="15"/>
      <c r="AI4348" s="15"/>
      <c r="AJ4348" s="15"/>
      <c r="AK4348" s="15"/>
      <c r="AL4348" s="15"/>
      <c r="AM4348" s="15"/>
      <c r="AN4348" s="15"/>
      <c r="AO4348" s="15"/>
      <c r="AP4348" s="15"/>
      <c r="AQ4348" s="15"/>
      <c r="AR4348" s="15"/>
      <c r="AS4348" s="15"/>
      <c r="AT4348" s="15"/>
      <c r="AU4348" s="15"/>
      <c r="AV4348" s="15"/>
      <c r="AW4348" s="15"/>
    </row>
    <row r="4349" spans="3:49" x14ac:dyDescent="0.2">
      <c r="C4349" s="15"/>
      <c r="D4349" s="15"/>
      <c r="E4349" s="15"/>
      <c r="F4349" s="15"/>
      <c r="G4349" s="15"/>
      <c r="H4349" s="15"/>
      <c r="I4349" s="15"/>
      <c r="J4349" s="15"/>
      <c r="K4349" s="15"/>
      <c r="L4349" s="28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  <c r="AA4349" s="15"/>
      <c r="AB4349" s="15"/>
      <c r="AC4349" s="15"/>
      <c r="AD4349" s="15"/>
      <c r="AE4349" s="15"/>
      <c r="AF4349" s="15"/>
      <c r="AG4349" s="15"/>
      <c r="AH4349" s="15"/>
      <c r="AI4349" s="15"/>
      <c r="AJ4349" s="15"/>
      <c r="AK4349" s="15"/>
      <c r="AL4349" s="15"/>
      <c r="AM4349" s="15"/>
      <c r="AN4349" s="15"/>
      <c r="AO4349" s="15"/>
      <c r="AP4349" s="15"/>
      <c r="AQ4349" s="15"/>
      <c r="AR4349" s="15"/>
      <c r="AS4349" s="15"/>
      <c r="AT4349" s="15"/>
      <c r="AU4349" s="15"/>
      <c r="AV4349" s="15"/>
      <c r="AW4349" s="15"/>
    </row>
    <row r="4350" spans="3:49" x14ac:dyDescent="0.2">
      <c r="C4350" s="15"/>
      <c r="D4350" s="15"/>
      <c r="E4350" s="15"/>
      <c r="F4350" s="15"/>
      <c r="G4350" s="15"/>
      <c r="H4350" s="15"/>
      <c r="I4350" s="15"/>
      <c r="J4350" s="15"/>
      <c r="K4350" s="15"/>
      <c r="L4350" s="28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  <c r="AA4350" s="15"/>
      <c r="AB4350" s="15"/>
      <c r="AC4350" s="15"/>
      <c r="AD4350" s="15"/>
      <c r="AE4350" s="15"/>
      <c r="AF4350" s="15"/>
      <c r="AG4350" s="15"/>
      <c r="AH4350" s="15"/>
      <c r="AI4350" s="15"/>
      <c r="AJ4350" s="15"/>
      <c r="AK4350" s="15"/>
      <c r="AL4350" s="15"/>
      <c r="AM4350" s="15"/>
      <c r="AN4350" s="15"/>
      <c r="AO4350" s="15"/>
      <c r="AP4350" s="15"/>
      <c r="AQ4350" s="15"/>
      <c r="AR4350" s="15"/>
      <c r="AS4350" s="15"/>
      <c r="AT4350" s="15"/>
      <c r="AU4350" s="15"/>
      <c r="AV4350" s="15"/>
      <c r="AW4350" s="15"/>
    </row>
    <row r="4351" spans="3:49" x14ac:dyDescent="0.2">
      <c r="C4351" s="15"/>
      <c r="D4351" s="15"/>
      <c r="E4351" s="15"/>
      <c r="F4351" s="15"/>
      <c r="G4351" s="15"/>
      <c r="H4351" s="15"/>
      <c r="I4351" s="15"/>
      <c r="J4351" s="15"/>
      <c r="K4351" s="15"/>
      <c r="L4351" s="28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  <c r="AA4351" s="15"/>
      <c r="AB4351" s="15"/>
      <c r="AC4351" s="15"/>
      <c r="AD4351" s="15"/>
      <c r="AE4351" s="15"/>
      <c r="AF4351" s="15"/>
      <c r="AG4351" s="15"/>
      <c r="AH4351" s="15"/>
      <c r="AI4351" s="15"/>
      <c r="AJ4351" s="15"/>
      <c r="AK4351" s="15"/>
      <c r="AL4351" s="15"/>
      <c r="AM4351" s="15"/>
      <c r="AN4351" s="15"/>
      <c r="AO4351" s="15"/>
      <c r="AP4351" s="15"/>
      <c r="AQ4351" s="15"/>
      <c r="AR4351" s="15"/>
      <c r="AS4351" s="15"/>
      <c r="AT4351" s="15"/>
      <c r="AU4351" s="15"/>
      <c r="AV4351" s="15"/>
      <c r="AW4351" s="15"/>
    </row>
    <row r="4352" spans="3:49" x14ac:dyDescent="0.2">
      <c r="C4352" s="15"/>
      <c r="D4352" s="15"/>
      <c r="E4352" s="15"/>
      <c r="F4352" s="15"/>
      <c r="G4352" s="15"/>
      <c r="H4352" s="15"/>
      <c r="I4352" s="15"/>
      <c r="J4352" s="15"/>
      <c r="K4352" s="15"/>
      <c r="L4352" s="28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  <c r="AA4352" s="15"/>
      <c r="AB4352" s="15"/>
      <c r="AC4352" s="15"/>
      <c r="AD4352" s="15"/>
      <c r="AE4352" s="15"/>
      <c r="AF4352" s="15"/>
      <c r="AG4352" s="15"/>
      <c r="AH4352" s="15"/>
      <c r="AI4352" s="15"/>
      <c r="AJ4352" s="15"/>
      <c r="AK4352" s="15"/>
      <c r="AL4352" s="15"/>
      <c r="AM4352" s="15"/>
      <c r="AN4352" s="15"/>
      <c r="AO4352" s="15"/>
      <c r="AP4352" s="15"/>
      <c r="AQ4352" s="15"/>
      <c r="AR4352" s="15"/>
      <c r="AS4352" s="15"/>
      <c r="AT4352" s="15"/>
      <c r="AU4352" s="15"/>
      <c r="AV4352" s="15"/>
      <c r="AW4352" s="15"/>
    </row>
    <row r="4353" spans="3:49" x14ac:dyDescent="0.2">
      <c r="C4353" s="15"/>
      <c r="D4353" s="15"/>
      <c r="E4353" s="15"/>
      <c r="F4353" s="15"/>
      <c r="G4353" s="15"/>
      <c r="H4353" s="15"/>
      <c r="I4353" s="15"/>
      <c r="J4353" s="15"/>
      <c r="K4353" s="15"/>
      <c r="L4353" s="28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  <c r="AA4353" s="15"/>
      <c r="AB4353" s="15"/>
      <c r="AC4353" s="15"/>
      <c r="AD4353" s="15"/>
      <c r="AE4353" s="15"/>
      <c r="AF4353" s="15"/>
      <c r="AG4353" s="15"/>
      <c r="AH4353" s="15"/>
      <c r="AI4353" s="15"/>
      <c r="AJ4353" s="15"/>
      <c r="AK4353" s="15"/>
      <c r="AL4353" s="15"/>
      <c r="AM4353" s="15"/>
      <c r="AN4353" s="15"/>
      <c r="AO4353" s="15"/>
      <c r="AP4353" s="15"/>
      <c r="AQ4353" s="15"/>
      <c r="AR4353" s="15"/>
      <c r="AS4353" s="15"/>
      <c r="AT4353" s="15"/>
      <c r="AU4353" s="15"/>
      <c r="AV4353" s="15"/>
      <c r="AW4353" s="15"/>
    </row>
    <row r="4354" spans="3:49" x14ac:dyDescent="0.2">
      <c r="C4354" s="15"/>
      <c r="D4354" s="15"/>
      <c r="E4354" s="15"/>
      <c r="F4354" s="15"/>
      <c r="G4354" s="15"/>
      <c r="H4354" s="15"/>
      <c r="I4354" s="15"/>
      <c r="J4354" s="15"/>
      <c r="K4354" s="15"/>
      <c r="L4354" s="28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  <c r="AA4354" s="15"/>
      <c r="AB4354" s="15"/>
      <c r="AC4354" s="15"/>
      <c r="AD4354" s="15"/>
      <c r="AE4354" s="15"/>
      <c r="AF4354" s="15"/>
      <c r="AG4354" s="15"/>
      <c r="AH4354" s="15"/>
      <c r="AI4354" s="15"/>
      <c r="AJ4354" s="15"/>
      <c r="AK4354" s="15"/>
      <c r="AL4354" s="15"/>
      <c r="AM4354" s="15"/>
      <c r="AN4354" s="15"/>
      <c r="AO4354" s="15"/>
      <c r="AP4354" s="15"/>
      <c r="AQ4354" s="15"/>
      <c r="AR4354" s="15"/>
      <c r="AS4354" s="15"/>
      <c r="AT4354" s="15"/>
      <c r="AU4354" s="15"/>
      <c r="AV4354" s="15"/>
      <c r="AW4354" s="15"/>
    </row>
    <row r="4355" spans="3:49" x14ac:dyDescent="0.2">
      <c r="C4355" s="15"/>
      <c r="D4355" s="15"/>
      <c r="E4355" s="15"/>
      <c r="F4355" s="15"/>
      <c r="G4355" s="15"/>
      <c r="H4355" s="15"/>
      <c r="I4355" s="15"/>
      <c r="J4355" s="15"/>
      <c r="K4355" s="15"/>
      <c r="L4355" s="28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  <c r="AA4355" s="15"/>
      <c r="AB4355" s="15"/>
      <c r="AC4355" s="15"/>
      <c r="AD4355" s="15"/>
      <c r="AE4355" s="15"/>
      <c r="AF4355" s="15"/>
      <c r="AG4355" s="15"/>
      <c r="AH4355" s="15"/>
      <c r="AI4355" s="15"/>
      <c r="AJ4355" s="15"/>
      <c r="AK4355" s="15"/>
      <c r="AL4355" s="15"/>
      <c r="AM4355" s="15"/>
      <c r="AN4355" s="15"/>
      <c r="AO4355" s="15"/>
      <c r="AP4355" s="15"/>
      <c r="AQ4355" s="15"/>
      <c r="AR4355" s="15"/>
      <c r="AS4355" s="15"/>
      <c r="AT4355" s="15"/>
      <c r="AU4355" s="15"/>
      <c r="AV4355" s="15"/>
      <c r="AW4355" s="15"/>
    </row>
    <row r="4356" spans="3:49" x14ac:dyDescent="0.2">
      <c r="C4356" s="15"/>
      <c r="D4356" s="15"/>
      <c r="E4356" s="15"/>
      <c r="F4356" s="15"/>
      <c r="G4356" s="15"/>
      <c r="H4356" s="15"/>
      <c r="I4356" s="15"/>
      <c r="J4356" s="15"/>
      <c r="K4356" s="15"/>
      <c r="L4356" s="28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  <c r="AA4356" s="15"/>
      <c r="AB4356" s="15"/>
      <c r="AC4356" s="15"/>
      <c r="AD4356" s="15"/>
      <c r="AE4356" s="15"/>
      <c r="AF4356" s="15"/>
      <c r="AG4356" s="15"/>
      <c r="AH4356" s="15"/>
      <c r="AI4356" s="15"/>
      <c r="AJ4356" s="15"/>
      <c r="AK4356" s="15"/>
      <c r="AL4356" s="15"/>
      <c r="AM4356" s="15"/>
      <c r="AN4356" s="15"/>
      <c r="AO4356" s="15"/>
      <c r="AP4356" s="15"/>
      <c r="AQ4356" s="15"/>
      <c r="AR4356" s="15"/>
      <c r="AS4356" s="15"/>
      <c r="AT4356" s="15"/>
      <c r="AU4356" s="15"/>
      <c r="AV4356" s="15"/>
      <c r="AW4356" s="15"/>
    </row>
    <row r="4357" spans="3:49" x14ac:dyDescent="0.2">
      <c r="C4357" s="15"/>
      <c r="D4357" s="15"/>
      <c r="E4357" s="15"/>
      <c r="F4357" s="15"/>
      <c r="G4357" s="15"/>
      <c r="H4357" s="15"/>
      <c r="I4357" s="15"/>
      <c r="J4357" s="15"/>
      <c r="K4357" s="15"/>
      <c r="L4357" s="28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  <c r="AA4357" s="15"/>
      <c r="AB4357" s="15"/>
      <c r="AC4357" s="15"/>
      <c r="AD4357" s="15"/>
      <c r="AE4357" s="15"/>
      <c r="AF4357" s="15"/>
      <c r="AG4357" s="15"/>
      <c r="AH4357" s="15"/>
      <c r="AI4357" s="15"/>
      <c r="AJ4357" s="15"/>
      <c r="AK4357" s="15"/>
      <c r="AL4357" s="15"/>
      <c r="AM4357" s="15"/>
      <c r="AN4357" s="15"/>
      <c r="AO4357" s="15"/>
      <c r="AP4357" s="15"/>
      <c r="AQ4357" s="15"/>
      <c r="AR4357" s="15"/>
      <c r="AS4357" s="15"/>
      <c r="AT4357" s="15"/>
      <c r="AU4357" s="15"/>
      <c r="AV4357" s="15"/>
      <c r="AW4357" s="15"/>
    </row>
    <row r="4358" spans="3:49" x14ac:dyDescent="0.2">
      <c r="C4358" s="15"/>
      <c r="D4358" s="15"/>
      <c r="E4358" s="15"/>
      <c r="F4358" s="15"/>
      <c r="G4358" s="15"/>
      <c r="H4358" s="15"/>
      <c r="I4358" s="15"/>
      <c r="J4358" s="15"/>
      <c r="K4358" s="15"/>
      <c r="L4358" s="28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  <c r="AA4358" s="15"/>
      <c r="AB4358" s="15"/>
      <c r="AC4358" s="15"/>
      <c r="AD4358" s="15"/>
      <c r="AE4358" s="15"/>
      <c r="AF4358" s="15"/>
      <c r="AG4358" s="15"/>
      <c r="AH4358" s="15"/>
      <c r="AI4358" s="15"/>
      <c r="AJ4358" s="15"/>
      <c r="AK4358" s="15"/>
      <c r="AL4358" s="15"/>
      <c r="AM4358" s="15"/>
      <c r="AN4358" s="15"/>
      <c r="AO4358" s="15"/>
      <c r="AP4358" s="15"/>
      <c r="AQ4358" s="15"/>
      <c r="AR4358" s="15"/>
      <c r="AS4358" s="15"/>
      <c r="AT4358" s="15"/>
      <c r="AU4358" s="15"/>
      <c r="AV4358" s="15"/>
      <c r="AW4358" s="15"/>
    </row>
    <row r="4359" spans="3:49" x14ac:dyDescent="0.2">
      <c r="C4359" s="15"/>
      <c r="D4359" s="15"/>
      <c r="E4359" s="15"/>
      <c r="F4359" s="15"/>
      <c r="G4359" s="15"/>
      <c r="H4359" s="15"/>
      <c r="I4359" s="15"/>
      <c r="J4359" s="15"/>
      <c r="K4359" s="15"/>
      <c r="L4359" s="28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  <c r="AA4359" s="15"/>
      <c r="AB4359" s="15"/>
      <c r="AC4359" s="15"/>
      <c r="AD4359" s="15"/>
      <c r="AE4359" s="15"/>
      <c r="AF4359" s="15"/>
      <c r="AG4359" s="15"/>
      <c r="AH4359" s="15"/>
      <c r="AI4359" s="15"/>
      <c r="AJ4359" s="15"/>
      <c r="AK4359" s="15"/>
      <c r="AL4359" s="15"/>
      <c r="AM4359" s="15"/>
      <c r="AN4359" s="15"/>
      <c r="AO4359" s="15"/>
      <c r="AP4359" s="15"/>
      <c r="AQ4359" s="15"/>
      <c r="AR4359" s="15"/>
      <c r="AS4359" s="15"/>
      <c r="AT4359" s="15"/>
      <c r="AU4359" s="15"/>
      <c r="AV4359" s="15"/>
      <c r="AW4359" s="15"/>
    </row>
    <row r="4360" spans="3:49" x14ac:dyDescent="0.2">
      <c r="C4360" s="15"/>
      <c r="D4360" s="15"/>
      <c r="E4360" s="15"/>
      <c r="F4360" s="15"/>
      <c r="G4360" s="15"/>
      <c r="H4360" s="15"/>
      <c r="I4360" s="15"/>
      <c r="J4360" s="15"/>
      <c r="K4360" s="15"/>
      <c r="L4360" s="28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  <c r="AA4360" s="15"/>
      <c r="AB4360" s="15"/>
      <c r="AC4360" s="15"/>
      <c r="AD4360" s="15"/>
      <c r="AE4360" s="15"/>
      <c r="AF4360" s="15"/>
      <c r="AG4360" s="15"/>
      <c r="AH4360" s="15"/>
      <c r="AI4360" s="15"/>
      <c r="AJ4360" s="15"/>
      <c r="AK4360" s="15"/>
      <c r="AL4360" s="15"/>
      <c r="AM4360" s="15"/>
      <c r="AN4360" s="15"/>
      <c r="AO4360" s="15"/>
      <c r="AP4360" s="15"/>
      <c r="AQ4360" s="15"/>
      <c r="AR4360" s="15"/>
      <c r="AS4360" s="15"/>
      <c r="AT4360" s="15"/>
      <c r="AU4360" s="15"/>
      <c r="AV4360" s="15"/>
      <c r="AW4360" s="15"/>
    </row>
    <row r="4361" spans="3:49" x14ac:dyDescent="0.2">
      <c r="C4361" s="15"/>
      <c r="D4361" s="15"/>
      <c r="E4361" s="15"/>
      <c r="F4361" s="15"/>
      <c r="G4361" s="15"/>
      <c r="H4361" s="15"/>
      <c r="I4361" s="15"/>
      <c r="J4361" s="15"/>
      <c r="K4361" s="15"/>
      <c r="L4361" s="28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  <c r="AA4361" s="15"/>
      <c r="AB4361" s="15"/>
      <c r="AC4361" s="15"/>
      <c r="AD4361" s="15"/>
      <c r="AE4361" s="15"/>
      <c r="AF4361" s="15"/>
      <c r="AG4361" s="15"/>
      <c r="AH4361" s="15"/>
      <c r="AI4361" s="15"/>
      <c r="AJ4361" s="15"/>
      <c r="AK4361" s="15"/>
      <c r="AL4361" s="15"/>
      <c r="AM4361" s="15"/>
      <c r="AN4361" s="15"/>
      <c r="AO4361" s="15"/>
      <c r="AP4361" s="15"/>
      <c r="AQ4361" s="15"/>
      <c r="AR4361" s="15"/>
      <c r="AS4361" s="15"/>
      <c r="AT4361" s="15"/>
      <c r="AU4361" s="15"/>
      <c r="AV4361" s="15"/>
      <c r="AW4361" s="15"/>
    </row>
    <row r="4362" spans="3:49" x14ac:dyDescent="0.2">
      <c r="C4362" s="15"/>
      <c r="D4362" s="15"/>
      <c r="E4362" s="15"/>
      <c r="F4362" s="15"/>
      <c r="G4362" s="15"/>
      <c r="H4362" s="15"/>
      <c r="I4362" s="15"/>
      <c r="J4362" s="15"/>
      <c r="K4362" s="15"/>
      <c r="L4362" s="28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  <c r="AA4362" s="15"/>
      <c r="AB4362" s="15"/>
      <c r="AC4362" s="15"/>
      <c r="AD4362" s="15"/>
      <c r="AE4362" s="15"/>
      <c r="AF4362" s="15"/>
      <c r="AG4362" s="15"/>
      <c r="AH4362" s="15"/>
      <c r="AI4362" s="15"/>
      <c r="AJ4362" s="15"/>
      <c r="AK4362" s="15"/>
      <c r="AL4362" s="15"/>
      <c r="AM4362" s="15"/>
      <c r="AN4362" s="15"/>
      <c r="AO4362" s="15"/>
      <c r="AP4362" s="15"/>
      <c r="AQ4362" s="15"/>
      <c r="AR4362" s="15"/>
      <c r="AS4362" s="15"/>
      <c r="AT4362" s="15"/>
      <c r="AU4362" s="15"/>
      <c r="AV4362" s="15"/>
      <c r="AW4362" s="15"/>
    </row>
    <row r="4363" spans="3:49" x14ac:dyDescent="0.2">
      <c r="C4363" s="15"/>
      <c r="D4363" s="15"/>
      <c r="E4363" s="15"/>
      <c r="F4363" s="15"/>
      <c r="G4363" s="15"/>
      <c r="H4363" s="15"/>
      <c r="I4363" s="15"/>
      <c r="J4363" s="15"/>
      <c r="K4363" s="15"/>
      <c r="L4363" s="28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  <c r="AA4363" s="15"/>
      <c r="AB4363" s="15"/>
      <c r="AC4363" s="15"/>
      <c r="AD4363" s="15"/>
      <c r="AE4363" s="15"/>
      <c r="AF4363" s="15"/>
      <c r="AG4363" s="15"/>
      <c r="AH4363" s="15"/>
      <c r="AI4363" s="15"/>
      <c r="AJ4363" s="15"/>
      <c r="AK4363" s="15"/>
      <c r="AL4363" s="15"/>
      <c r="AM4363" s="15"/>
      <c r="AN4363" s="15"/>
      <c r="AO4363" s="15"/>
      <c r="AP4363" s="15"/>
      <c r="AQ4363" s="15"/>
      <c r="AR4363" s="15"/>
      <c r="AS4363" s="15"/>
      <c r="AT4363" s="15"/>
      <c r="AU4363" s="15"/>
      <c r="AV4363" s="15"/>
      <c r="AW4363" s="15"/>
    </row>
    <row r="4364" spans="3:49" x14ac:dyDescent="0.2">
      <c r="C4364" s="15"/>
      <c r="D4364" s="15"/>
      <c r="E4364" s="15"/>
      <c r="F4364" s="15"/>
      <c r="G4364" s="15"/>
      <c r="H4364" s="15"/>
      <c r="I4364" s="15"/>
      <c r="J4364" s="15"/>
      <c r="K4364" s="15"/>
      <c r="L4364" s="28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  <c r="AA4364" s="15"/>
      <c r="AB4364" s="15"/>
      <c r="AC4364" s="15"/>
      <c r="AD4364" s="15"/>
      <c r="AE4364" s="15"/>
      <c r="AF4364" s="15"/>
      <c r="AG4364" s="15"/>
      <c r="AH4364" s="15"/>
      <c r="AI4364" s="15"/>
      <c r="AJ4364" s="15"/>
      <c r="AK4364" s="15"/>
      <c r="AL4364" s="15"/>
      <c r="AM4364" s="15"/>
      <c r="AN4364" s="15"/>
      <c r="AO4364" s="15"/>
      <c r="AP4364" s="15"/>
      <c r="AQ4364" s="15"/>
      <c r="AR4364" s="15"/>
      <c r="AS4364" s="15"/>
      <c r="AT4364" s="15"/>
      <c r="AU4364" s="15"/>
      <c r="AV4364" s="15"/>
      <c r="AW4364" s="15"/>
    </row>
    <row r="4365" spans="3:49" x14ac:dyDescent="0.2">
      <c r="C4365" s="15"/>
      <c r="D4365" s="15"/>
      <c r="E4365" s="15"/>
      <c r="F4365" s="15"/>
      <c r="G4365" s="15"/>
      <c r="H4365" s="15"/>
      <c r="I4365" s="15"/>
      <c r="J4365" s="15"/>
      <c r="K4365" s="15"/>
      <c r="L4365" s="28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  <c r="AA4365" s="15"/>
      <c r="AB4365" s="15"/>
      <c r="AC4365" s="15"/>
      <c r="AD4365" s="15"/>
      <c r="AE4365" s="15"/>
      <c r="AF4365" s="15"/>
      <c r="AG4365" s="15"/>
      <c r="AH4365" s="15"/>
      <c r="AI4365" s="15"/>
      <c r="AJ4365" s="15"/>
      <c r="AK4365" s="15"/>
      <c r="AL4365" s="15"/>
      <c r="AM4365" s="15"/>
      <c r="AN4365" s="15"/>
      <c r="AO4365" s="15"/>
      <c r="AP4365" s="15"/>
      <c r="AQ4365" s="15"/>
      <c r="AR4365" s="15"/>
      <c r="AS4365" s="15"/>
      <c r="AT4365" s="15"/>
      <c r="AU4365" s="15"/>
      <c r="AV4365" s="15"/>
      <c r="AW4365" s="15"/>
    </row>
    <row r="4366" spans="3:49" x14ac:dyDescent="0.2">
      <c r="C4366" s="15"/>
      <c r="D4366" s="15"/>
      <c r="E4366" s="15"/>
      <c r="F4366" s="15"/>
      <c r="G4366" s="15"/>
      <c r="H4366" s="15"/>
      <c r="I4366" s="15"/>
      <c r="J4366" s="15"/>
      <c r="K4366" s="15"/>
      <c r="L4366" s="28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  <c r="AA4366" s="15"/>
      <c r="AB4366" s="15"/>
      <c r="AC4366" s="15"/>
      <c r="AD4366" s="15"/>
      <c r="AE4366" s="15"/>
      <c r="AF4366" s="15"/>
      <c r="AG4366" s="15"/>
      <c r="AH4366" s="15"/>
      <c r="AI4366" s="15"/>
      <c r="AJ4366" s="15"/>
      <c r="AK4366" s="15"/>
      <c r="AL4366" s="15"/>
      <c r="AM4366" s="15"/>
      <c r="AN4366" s="15"/>
      <c r="AO4366" s="15"/>
      <c r="AP4366" s="15"/>
      <c r="AQ4366" s="15"/>
      <c r="AR4366" s="15"/>
      <c r="AS4366" s="15"/>
      <c r="AT4366" s="15"/>
      <c r="AU4366" s="15"/>
      <c r="AV4366" s="15"/>
      <c r="AW4366" s="15"/>
    </row>
    <row r="4367" spans="3:49" x14ac:dyDescent="0.2">
      <c r="C4367" s="15"/>
      <c r="D4367" s="15"/>
      <c r="E4367" s="15"/>
      <c r="F4367" s="15"/>
      <c r="G4367" s="15"/>
      <c r="H4367" s="15"/>
      <c r="I4367" s="15"/>
      <c r="J4367" s="15"/>
      <c r="K4367" s="15"/>
      <c r="L4367" s="28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  <c r="AA4367" s="15"/>
      <c r="AB4367" s="15"/>
      <c r="AC4367" s="15"/>
      <c r="AD4367" s="15"/>
      <c r="AE4367" s="15"/>
      <c r="AF4367" s="15"/>
      <c r="AG4367" s="15"/>
      <c r="AH4367" s="15"/>
      <c r="AI4367" s="15"/>
      <c r="AJ4367" s="15"/>
      <c r="AK4367" s="15"/>
      <c r="AL4367" s="15"/>
      <c r="AM4367" s="15"/>
      <c r="AN4367" s="15"/>
      <c r="AO4367" s="15"/>
      <c r="AP4367" s="15"/>
      <c r="AQ4367" s="15"/>
      <c r="AR4367" s="15"/>
      <c r="AS4367" s="15"/>
      <c r="AT4367" s="15"/>
      <c r="AU4367" s="15"/>
      <c r="AV4367" s="15"/>
      <c r="AW4367" s="15"/>
    </row>
    <row r="4368" spans="3:49" x14ac:dyDescent="0.2">
      <c r="C4368" s="15"/>
      <c r="D4368" s="15"/>
      <c r="E4368" s="15"/>
      <c r="F4368" s="15"/>
      <c r="G4368" s="15"/>
      <c r="H4368" s="15"/>
      <c r="I4368" s="15"/>
      <c r="J4368" s="15"/>
      <c r="K4368" s="15"/>
      <c r="L4368" s="28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  <c r="AA4368" s="15"/>
      <c r="AB4368" s="15"/>
      <c r="AC4368" s="15"/>
      <c r="AD4368" s="15"/>
      <c r="AE4368" s="15"/>
      <c r="AF4368" s="15"/>
      <c r="AG4368" s="15"/>
      <c r="AH4368" s="15"/>
      <c r="AI4368" s="15"/>
      <c r="AJ4368" s="15"/>
      <c r="AK4368" s="15"/>
      <c r="AL4368" s="15"/>
      <c r="AM4368" s="15"/>
      <c r="AN4368" s="15"/>
      <c r="AO4368" s="15"/>
      <c r="AP4368" s="15"/>
      <c r="AQ4368" s="15"/>
      <c r="AR4368" s="15"/>
      <c r="AS4368" s="15"/>
      <c r="AT4368" s="15"/>
      <c r="AU4368" s="15"/>
      <c r="AV4368" s="15"/>
      <c r="AW4368" s="15"/>
    </row>
    <row r="4369" spans="3:49" x14ac:dyDescent="0.2">
      <c r="C4369" s="15"/>
      <c r="D4369" s="15"/>
      <c r="E4369" s="15"/>
      <c r="F4369" s="15"/>
      <c r="G4369" s="15"/>
      <c r="H4369" s="15"/>
      <c r="I4369" s="15"/>
      <c r="J4369" s="15"/>
      <c r="K4369" s="15"/>
      <c r="L4369" s="28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  <c r="AA4369" s="15"/>
      <c r="AB4369" s="15"/>
      <c r="AC4369" s="15"/>
      <c r="AD4369" s="15"/>
      <c r="AE4369" s="15"/>
      <c r="AF4369" s="15"/>
      <c r="AG4369" s="15"/>
      <c r="AH4369" s="15"/>
      <c r="AI4369" s="15"/>
      <c r="AJ4369" s="15"/>
      <c r="AK4369" s="15"/>
      <c r="AL4369" s="15"/>
      <c r="AM4369" s="15"/>
      <c r="AN4369" s="15"/>
      <c r="AO4369" s="15"/>
      <c r="AP4369" s="15"/>
      <c r="AQ4369" s="15"/>
      <c r="AR4369" s="15"/>
      <c r="AS4369" s="15"/>
      <c r="AT4369" s="15"/>
      <c r="AU4369" s="15"/>
      <c r="AV4369" s="15"/>
      <c r="AW4369" s="15"/>
    </row>
    <row r="4370" spans="3:49" x14ac:dyDescent="0.2">
      <c r="C4370" s="15"/>
      <c r="D4370" s="15"/>
      <c r="E4370" s="15"/>
      <c r="F4370" s="15"/>
      <c r="G4370" s="15"/>
      <c r="H4370" s="15"/>
      <c r="I4370" s="15"/>
      <c r="J4370" s="15"/>
      <c r="K4370" s="15"/>
      <c r="L4370" s="28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  <c r="AA4370" s="15"/>
      <c r="AB4370" s="15"/>
      <c r="AC4370" s="15"/>
      <c r="AD4370" s="15"/>
      <c r="AE4370" s="15"/>
      <c r="AF4370" s="15"/>
      <c r="AG4370" s="15"/>
      <c r="AH4370" s="15"/>
      <c r="AI4370" s="15"/>
      <c r="AJ4370" s="15"/>
      <c r="AK4370" s="15"/>
      <c r="AL4370" s="15"/>
      <c r="AM4370" s="15"/>
      <c r="AN4370" s="15"/>
      <c r="AO4370" s="15"/>
      <c r="AP4370" s="15"/>
      <c r="AQ4370" s="15"/>
      <c r="AR4370" s="15"/>
      <c r="AS4370" s="15"/>
      <c r="AT4370" s="15"/>
      <c r="AU4370" s="15"/>
      <c r="AV4370" s="15"/>
      <c r="AW4370" s="15"/>
    </row>
    <row r="4371" spans="3:49" x14ac:dyDescent="0.2">
      <c r="C4371" s="15"/>
      <c r="D4371" s="15"/>
      <c r="E4371" s="15"/>
      <c r="F4371" s="15"/>
      <c r="G4371" s="15"/>
      <c r="H4371" s="15"/>
      <c r="I4371" s="15"/>
      <c r="J4371" s="15"/>
      <c r="K4371" s="15"/>
      <c r="L4371" s="28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  <c r="AA4371" s="15"/>
      <c r="AB4371" s="15"/>
      <c r="AC4371" s="15"/>
      <c r="AD4371" s="15"/>
      <c r="AE4371" s="15"/>
      <c r="AF4371" s="15"/>
      <c r="AG4371" s="15"/>
      <c r="AH4371" s="15"/>
      <c r="AI4371" s="15"/>
      <c r="AJ4371" s="15"/>
      <c r="AK4371" s="15"/>
      <c r="AL4371" s="15"/>
      <c r="AM4371" s="15"/>
      <c r="AN4371" s="15"/>
      <c r="AO4371" s="15"/>
      <c r="AP4371" s="15"/>
      <c r="AQ4371" s="15"/>
      <c r="AR4371" s="15"/>
      <c r="AS4371" s="15"/>
      <c r="AT4371" s="15"/>
      <c r="AU4371" s="15"/>
      <c r="AV4371" s="15"/>
      <c r="AW4371" s="15"/>
    </row>
    <row r="4372" spans="3:49" x14ac:dyDescent="0.2">
      <c r="C4372" s="15"/>
      <c r="D4372" s="15"/>
      <c r="E4372" s="15"/>
      <c r="F4372" s="15"/>
      <c r="G4372" s="15"/>
      <c r="H4372" s="15"/>
      <c r="I4372" s="15"/>
      <c r="J4372" s="15"/>
      <c r="K4372" s="15"/>
      <c r="L4372" s="28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  <c r="AA4372" s="15"/>
      <c r="AB4372" s="15"/>
      <c r="AC4372" s="15"/>
      <c r="AD4372" s="15"/>
      <c r="AE4372" s="15"/>
      <c r="AF4372" s="15"/>
      <c r="AG4372" s="15"/>
      <c r="AH4372" s="15"/>
      <c r="AI4372" s="15"/>
      <c r="AJ4372" s="15"/>
      <c r="AK4372" s="15"/>
      <c r="AL4372" s="15"/>
      <c r="AM4372" s="15"/>
      <c r="AN4372" s="15"/>
      <c r="AO4372" s="15"/>
      <c r="AP4372" s="15"/>
      <c r="AQ4372" s="15"/>
      <c r="AR4372" s="15"/>
      <c r="AS4372" s="15"/>
      <c r="AT4372" s="15"/>
      <c r="AU4372" s="15"/>
      <c r="AV4372" s="15"/>
      <c r="AW4372" s="15"/>
    </row>
    <row r="4373" spans="3:49" x14ac:dyDescent="0.2">
      <c r="C4373" s="15"/>
      <c r="D4373" s="15"/>
      <c r="E4373" s="15"/>
      <c r="F4373" s="15"/>
      <c r="G4373" s="15"/>
      <c r="H4373" s="15"/>
      <c r="I4373" s="15"/>
      <c r="J4373" s="15"/>
      <c r="K4373" s="15"/>
      <c r="L4373" s="28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  <c r="AA4373" s="15"/>
      <c r="AB4373" s="15"/>
      <c r="AC4373" s="15"/>
      <c r="AD4373" s="15"/>
      <c r="AE4373" s="15"/>
      <c r="AF4373" s="15"/>
      <c r="AG4373" s="15"/>
      <c r="AH4373" s="15"/>
      <c r="AI4373" s="15"/>
      <c r="AJ4373" s="15"/>
      <c r="AK4373" s="15"/>
      <c r="AL4373" s="15"/>
      <c r="AM4373" s="15"/>
      <c r="AN4373" s="15"/>
      <c r="AO4373" s="15"/>
      <c r="AP4373" s="15"/>
      <c r="AQ4373" s="15"/>
      <c r="AR4373" s="15"/>
      <c r="AS4373" s="15"/>
      <c r="AT4373" s="15"/>
      <c r="AU4373" s="15"/>
      <c r="AV4373" s="15"/>
      <c r="AW4373" s="15"/>
    </row>
    <row r="4374" spans="3:49" x14ac:dyDescent="0.2">
      <c r="C4374" s="15"/>
      <c r="D4374" s="15"/>
      <c r="E4374" s="15"/>
      <c r="F4374" s="15"/>
      <c r="G4374" s="15"/>
      <c r="H4374" s="15"/>
      <c r="I4374" s="15"/>
      <c r="J4374" s="15"/>
      <c r="K4374" s="15"/>
      <c r="L4374" s="28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  <c r="AA4374" s="15"/>
      <c r="AB4374" s="15"/>
      <c r="AC4374" s="15"/>
      <c r="AD4374" s="15"/>
      <c r="AE4374" s="15"/>
      <c r="AF4374" s="15"/>
      <c r="AG4374" s="15"/>
      <c r="AH4374" s="15"/>
      <c r="AI4374" s="15"/>
      <c r="AJ4374" s="15"/>
      <c r="AK4374" s="15"/>
      <c r="AL4374" s="15"/>
      <c r="AM4374" s="15"/>
      <c r="AN4374" s="15"/>
      <c r="AO4374" s="15"/>
      <c r="AP4374" s="15"/>
      <c r="AQ4374" s="15"/>
      <c r="AR4374" s="15"/>
      <c r="AS4374" s="15"/>
      <c r="AT4374" s="15"/>
      <c r="AU4374" s="15"/>
      <c r="AV4374" s="15"/>
      <c r="AW4374" s="15"/>
    </row>
    <row r="4375" spans="3:49" x14ac:dyDescent="0.2">
      <c r="C4375" s="15"/>
      <c r="D4375" s="15"/>
      <c r="E4375" s="15"/>
      <c r="F4375" s="15"/>
      <c r="G4375" s="15"/>
      <c r="H4375" s="15"/>
      <c r="I4375" s="15"/>
      <c r="J4375" s="15"/>
      <c r="K4375" s="15"/>
      <c r="L4375" s="28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  <c r="AA4375" s="15"/>
      <c r="AB4375" s="15"/>
      <c r="AC4375" s="15"/>
      <c r="AD4375" s="15"/>
      <c r="AE4375" s="15"/>
      <c r="AF4375" s="15"/>
      <c r="AG4375" s="15"/>
      <c r="AH4375" s="15"/>
      <c r="AI4375" s="15"/>
      <c r="AJ4375" s="15"/>
      <c r="AK4375" s="15"/>
      <c r="AL4375" s="15"/>
      <c r="AM4375" s="15"/>
      <c r="AN4375" s="15"/>
      <c r="AO4375" s="15"/>
      <c r="AP4375" s="15"/>
      <c r="AQ4375" s="15"/>
      <c r="AR4375" s="15"/>
      <c r="AS4375" s="15"/>
      <c r="AT4375" s="15"/>
      <c r="AU4375" s="15"/>
      <c r="AV4375" s="15"/>
      <c r="AW4375" s="15"/>
    </row>
    <row r="4376" spans="3:49" x14ac:dyDescent="0.2">
      <c r="C4376" s="15"/>
      <c r="D4376" s="15"/>
      <c r="E4376" s="15"/>
      <c r="F4376" s="15"/>
      <c r="G4376" s="15"/>
      <c r="H4376" s="15"/>
      <c r="I4376" s="15"/>
      <c r="J4376" s="15"/>
      <c r="K4376" s="15"/>
      <c r="L4376" s="28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  <c r="AA4376" s="15"/>
      <c r="AB4376" s="15"/>
      <c r="AC4376" s="15"/>
      <c r="AD4376" s="15"/>
      <c r="AE4376" s="15"/>
      <c r="AF4376" s="15"/>
      <c r="AG4376" s="15"/>
      <c r="AH4376" s="15"/>
      <c r="AI4376" s="15"/>
      <c r="AJ4376" s="15"/>
      <c r="AK4376" s="15"/>
      <c r="AL4376" s="15"/>
      <c r="AM4376" s="15"/>
      <c r="AN4376" s="15"/>
      <c r="AO4376" s="15"/>
      <c r="AP4376" s="15"/>
      <c r="AQ4376" s="15"/>
      <c r="AR4376" s="15"/>
      <c r="AS4376" s="15"/>
      <c r="AT4376" s="15"/>
      <c r="AU4376" s="15"/>
      <c r="AV4376" s="15"/>
      <c r="AW4376" s="15"/>
    </row>
    <row r="4377" spans="3:49" x14ac:dyDescent="0.2">
      <c r="C4377" s="15"/>
      <c r="D4377" s="15"/>
      <c r="E4377" s="15"/>
      <c r="F4377" s="15"/>
      <c r="G4377" s="15"/>
      <c r="H4377" s="15"/>
      <c r="I4377" s="15"/>
      <c r="J4377" s="15"/>
      <c r="K4377" s="15"/>
      <c r="L4377" s="28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  <c r="AA4377" s="15"/>
      <c r="AB4377" s="15"/>
      <c r="AC4377" s="15"/>
      <c r="AD4377" s="15"/>
      <c r="AE4377" s="15"/>
      <c r="AF4377" s="15"/>
      <c r="AG4377" s="15"/>
      <c r="AH4377" s="15"/>
      <c r="AI4377" s="15"/>
      <c r="AJ4377" s="15"/>
      <c r="AK4377" s="15"/>
      <c r="AL4377" s="15"/>
      <c r="AM4377" s="15"/>
      <c r="AN4377" s="15"/>
      <c r="AO4377" s="15"/>
      <c r="AP4377" s="15"/>
      <c r="AQ4377" s="15"/>
      <c r="AR4377" s="15"/>
      <c r="AS4377" s="15"/>
      <c r="AT4377" s="15"/>
      <c r="AU4377" s="15"/>
      <c r="AV4377" s="15"/>
      <c r="AW4377" s="15"/>
    </row>
    <row r="4378" spans="3:49" x14ac:dyDescent="0.2">
      <c r="C4378" s="15"/>
      <c r="D4378" s="15"/>
      <c r="E4378" s="15"/>
      <c r="F4378" s="15"/>
      <c r="G4378" s="15"/>
      <c r="H4378" s="15"/>
      <c r="I4378" s="15"/>
      <c r="J4378" s="15"/>
      <c r="K4378" s="15"/>
      <c r="L4378" s="28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  <c r="AA4378" s="15"/>
      <c r="AB4378" s="15"/>
      <c r="AC4378" s="15"/>
      <c r="AD4378" s="15"/>
      <c r="AE4378" s="15"/>
      <c r="AF4378" s="15"/>
      <c r="AG4378" s="15"/>
      <c r="AH4378" s="15"/>
      <c r="AI4378" s="15"/>
      <c r="AJ4378" s="15"/>
      <c r="AK4378" s="15"/>
      <c r="AL4378" s="15"/>
      <c r="AM4378" s="15"/>
      <c r="AN4378" s="15"/>
      <c r="AO4378" s="15"/>
      <c r="AP4378" s="15"/>
      <c r="AQ4378" s="15"/>
      <c r="AR4378" s="15"/>
      <c r="AS4378" s="15"/>
      <c r="AT4378" s="15"/>
      <c r="AU4378" s="15"/>
      <c r="AV4378" s="15"/>
      <c r="AW4378" s="15"/>
    </row>
    <row r="4379" spans="3:49" x14ac:dyDescent="0.2">
      <c r="C4379" s="15"/>
      <c r="D4379" s="15"/>
      <c r="E4379" s="15"/>
      <c r="F4379" s="15"/>
      <c r="G4379" s="15"/>
      <c r="H4379" s="15"/>
      <c r="I4379" s="15"/>
      <c r="J4379" s="15"/>
      <c r="K4379" s="15"/>
      <c r="L4379" s="28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  <c r="AA4379" s="15"/>
      <c r="AB4379" s="15"/>
      <c r="AC4379" s="15"/>
      <c r="AD4379" s="15"/>
      <c r="AE4379" s="15"/>
      <c r="AF4379" s="15"/>
      <c r="AG4379" s="15"/>
      <c r="AH4379" s="15"/>
      <c r="AI4379" s="15"/>
      <c r="AJ4379" s="15"/>
      <c r="AK4379" s="15"/>
      <c r="AL4379" s="15"/>
      <c r="AM4379" s="15"/>
      <c r="AN4379" s="15"/>
      <c r="AO4379" s="15"/>
      <c r="AP4379" s="15"/>
      <c r="AQ4379" s="15"/>
      <c r="AR4379" s="15"/>
      <c r="AS4379" s="15"/>
      <c r="AT4379" s="15"/>
      <c r="AU4379" s="15"/>
      <c r="AV4379" s="15"/>
      <c r="AW4379" s="15"/>
    </row>
    <row r="4380" spans="3:49" x14ac:dyDescent="0.2">
      <c r="C4380" s="15"/>
      <c r="D4380" s="15"/>
      <c r="E4380" s="15"/>
      <c r="F4380" s="15"/>
      <c r="G4380" s="15"/>
      <c r="H4380" s="15"/>
      <c r="I4380" s="15"/>
      <c r="J4380" s="15"/>
      <c r="K4380" s="15"/>
      <c r="L4380" s="28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  <c r="AA4380" s="15"/>
      <c r="AB4380" s="15"/>
      <c r="AC4380" s="15"/>
      <c r="AD4380" s="15"/>
      <c r="AE4380" s="15"/>
      <c r="AF4380" s="15"/>
      <c r="AG4380" s="15"/>
      <c r="AH4380" s="15"/>
      <c r="AI4380" s="15"/>
      <c r="AJ4380" s="15"/>
      <c r="AK4380" s="15"/>
      <c r="AL4380" s="15"/>
      <c r="AM4380" s="15"/>
      <c r="AN4380" s="15"/>
      <c r="AO4380" s="15"/>
      <c r="AP4380" s="15"/>
      <c r="AQ4380" s="15"/>
      <c r="AR4380" s="15"/>
      <c r="AS4380" s="15"/>
      <c r="AT4380" s="15"/>
      <c r="AU4380" s="15"/>
      <c r="AV4380" s="15"/>
      <c r="AW4380" s="15"/>
    </row>
    <row r="4381" spans="3:49" x14ac:dyDescent="0.2">
      <c r="C4381" s="15"/>
      <c r="D4381" s="15"/>
      <c r="E4381" s="15"/>
      <c r="F4381" s="15"/>
      <c r="G4381" s="15"/>
      <c r="H4381" s="15"/>
      <c r="I4381" s="15"/>
      <c r="J4381" s="15"/>
      <c r="K4381" s="15"/>
      <c r="L4381" s="28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  <c r="AA4381" s="15"/>
      <c r="AB4381" s="15"/>
      <c r="AC4381" s="15"/>
      <c r="AD4381" s="15"/>
      <c r="AE4381" s="15"/>
      <c r="AF4381" s="15"/>
      <c r="AG4381" s="15"/>
      <c r="AH4381" s="15"/>
      <c r="AI4381" s="15"/>
      <c r="AJ4381" s="15"/>
      <c r="AK4381" s="15"/>
      <c r="AL4381" s="15"/>
      <c r="AM4381" s="15"/>
      <c r="AN4381" s="15"/>
      <c r="AO4381" s="15"/>
      <c r="AP4381" s="15"/>
      <c r="AQ4381" s="15"/>
      <c r="AR4381" s="15"/>
      <c r="AS4381" s="15"/>
      <c r="AT4381" s="15"/>
      <c r="AU4381" s="15"/>
      <c r="AV4381" s="15"/>
      <c r="AW4381" s="15"/>
    </row>
    <row r="4382" spans="3:49" x14ac:dyDescent="0.2">
      <c r="C4382" s="15"/>
      <c r="D4382" s="15"/>
      <c r="E4382" s="15"/>
      <c r="F4382" s="15"/>
      <c r="G4382" s="15"/>
      <c r="H4382" s="15"/>
      <c r="I4382" s="15"/>
      <c r="J4382" s="15"/>
      <c r="K4382" s="15"/>
      <c r="L4382" s="28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  <c r="AA4382" s="15"/>
      <c r="AB4382" s="15"/>
      <c r="AC4382" s="15"/>
      <c r="AD4382" s="15"/>
      <c r="AE4382" s="15"/>
      <c r="AF4382" s="15"/>
      <c r="AG4382" s="15"/>
      <c r="AH4382" s="15"/>
      <c r="AI4382" s="15"/>
      <c r="AJ4382" s="15"/>
      <c r="AK4382" s="15"/>
      <c r="AL4382" s="15"/>
      <c r="AM4382" s="15"/>
      <c r="AN4382" s="15"/>
      <c r="AO4382" s="15"/>
      <c r="AP4382" s="15"/>
      <c r="AQ4382" s="15"/>
      <c r="AR4382" s="15"/>
      <c r="AS4382" s="15"/>
      <c r="AT4382" s="15"/>
      <c r="AU4382" s="15"/>
      <c r="AV4382" s="15"/>
      <c r="AW4382" s="15"/>
    </row>
    <row r="4383" spans="3:49" x14ac:dyDescent="0.2">
      <c r="C4383" s="15"/>
      <c r="D4383" s="15"/>
      <c r="E4383" s="15"/>
      <c r="F4383" s="15"/>
      <c r="G4383" s="15"/>
      <c r="H4383" s="15"/>
      <c r="I4383" s="15"/>
      <c r="J4383" s="15"/>
      <c r="K4383" s="15"/>
      <c r="L4383" s="28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  <c r="AA4383" s="15"/>
      <c r="AB4383" s="15"/>
      <c r="AC4383" s="15"/>
      <c r="AD4383" s="15"/>
      <c r="AE4383" s="15"/>
      <c r="AF4383" s="15"/>
      <c r="AG4383" s="15"/>
      <c r="AH4383" s="15"/>
      <c r="AI4383" s="15"/>
      <c r="AJ4383" s="15"/>
      <c r="AK4383" s="15"/>
      <c r="AL4383" s="15"/>
      <c r="AM4383" s="15"/>
      <c r="AN4383" s="15"/>
      <c r="AO4383" s="15"/>
      <c r="AP4383" s="15"/>
      <c r="AQ4383" s="15"/>
      <c r="AR4383" s="15"/>
      <c r="AS4383" s="15"/>
      <c r="AT4383" s="15"/>
      <c r="AU4383" s="15"/>
      <c r="AV4383" s="15"/>
      <c r="AW4383" s="15"/>
    </row>
    <row r="4384" spans="3:49" x14ac:dyDescent="0.2">
      <c r="C4384" s="15"/>
      <c r="D4384" s="15"/>
      <c r="E4384" s="15"/>
      <c r="F4384" s="15"/>
      <c r="G4384" s="15"/>
      <c r="H4384" s="15"/>
      <c r="I4384" s="15"/>
      <c r="J4384" s="15"/>
      <c r="K4384" s="15"/>
      <c r="L4384" s="28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  <c r="AA4384" s="15"/>
      <c r="AB4384" s="15"/>
      <c r="AC4384" s="15"/>
      <c r="AD4384" s="15"/>
      <c r="AE4384" s="15"/>
      <c r="AF4384" s="15"/>
      <c r="AG4384" s="15"/>
      <c r="AH4384" s="15"/>
      <c r="AI4384" s="15"/>
      <c r="AJ4384" s="15"/>
      <c r="AK4384" s="15"/>
      <c r="AL4384" s="15"/>
      <c r="AM4384" s="15"/>
      <c r="AN4384" s="15"/>
      <c r="AO4384" s="15"/>
      <c r="AP4384" s="15"/>
      <c r="AQ4384" s="15"/>
      <c r="AR4384" s="15"/>
      <c r="AS4384" s="15"/>
      <c r="AT4384" s="15"/>
      <c r="AU4384" s="15"/>
      <c r="AV4384" s="15"/>
      <c r="AW4384" s="15"/>
    </row>
    <row r="4385" spans="3:49" x14ac:dyDescent="0.2">
      <c r="C4385" s="15"/>
      <c r="D4385" s="15"/>
      <c r="E4385" s="15"/>
      <c r="F4385" s="15"/>
      <c r="G4385" s="15"/>
      <c r="H4385" s="15"/>
      <c r="I4385" s="15"/>
      <c r="J4385" s="15"/>
      <c r="K4385" s="15"/>
      <c r="L4385" s="28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  <c r="AA4385" s="15"/>
      <c r="AB4385" s="15"/>
      <c r="AC4385" s="15"/>
      <c r="AD4385" s="15"/>
      <c r="AE4385" s="15"/>
      <c r="AF4385" s="15"/>
      <c r="AG4385" s="15"/>
      <c r="AH4385" s="15"/>
      <c r="AI4385" s="15"/>
      <c r="AJ4385" s="15"/>
      <c r="AK4385" s="15"/>
      <c r="AL4385" s="15"/>
      <c r="AM4385" s="15"/>
      <c r="AN4385" s="15"/>
      <c r="AO4385" s="15"/>
      <c r="AP4385" s="15"/>
      <c r="AQ4385" s="15"/>
      <c r="AR4385" s="15"/>
      <c r="AS4385" s="15"/>
      <c r="AT4385" s="15"/>
      <c r="AU4385" s="15"/>
      <c r="AV4385" s="15"/>
      <c r="AW4385" s="15"/>
    </row>
    <row r="4386" spans="3:49" x14ac:dyDescent="0.2">
      <c r="C4386" s="15"/>
      <c r="D4386" s="15"/>
      <c r="E4386" s="15"/>
      <c r="F4386" s="15"/>
      <c r="G4386" s="15"/>
      <c r="H4386" s="15"/>
      <c r="I4386" s="15"/>
      <c r="J4386" s="15"/>
      <c r="K4386" s="15"/>
      <c r="L4386" s="28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  <c r="AA4386" s="15"/>
      <c r="AB4386" s="15"/>
      <c r="AC4386" s="15"/>
      <c r="AD4386" s="15"/>
      <c r="AE4386" s="15"/>
      <c r="AF4386" s="15"/>
      <c r="AG4386" s="15"/>
      <c r="AH4386" s="15"/>
      <c r="AI4386" s="15"/>
      <c r="AJ4386" s="15"/>
      <c r="AK4386" s="15"/>
      <c r="AL4386" s="15"/>
      <c r="AM4386" s="15"/>
      <c r="AN4386" s="15"/>
      <c r="AO4386" s="15"/>
      <c r="AP4386" s="15"/>
      <c r="AQ4386" s="15"/>
      <c r="AR4386" s="15"/>
      <c r="AS4386" s="15"/>
      <c r="AT4386" s="15"/>
      <c r="AU4386" s="15"/>
      <c r="AV4386" s="15"/>
      <c r="AW4386" s="15"/>
    </row>
    <row r="4387" spans="3:49" x14ac:dyDescent="0.2">
      <c r="C4387" s="15"/>
      <c r="D4387" s="15"/>
      <c r="E4387" s="15"/>
      <c r="F4387" s="15"/>
      <c r="G4387" s="15"/>
      <c r="H4387" s="15"/>
      <c r="I4387" s="15"/>
      <c r="J4387" s="15"/>
      <c r="K4387" s="15"/>
      <c r="L4387" s="28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  <c r="AA4387" s="15"/>
      <c r="AB4387" s="15"/>
      <c r="AC4387" s="15"/>
      <c r="AD4387" s="15"/>
      <c r="AE4387" s="15"/>
      <c r="AF4387" s="15"/>
      <c r="AG4387" s="15"/>
      <c r="AH4387" s="15"/>
      <c r="AI4387" s="15"/>
      <c r="AJ4387" s="15"/>
      <c r="AK4387" s="15"/>
      <c r="AL4387" s="15"/>
      <c r="AM4387" s="15"/>
      <c r="AN4387" s="15"/>
      <c r="AO4387" s="15"/>
      <c r="AP4387" s="15"/>
      <c r="AQ4387" s="15"/>
      <c r="AR4387" s="15"/>
      <c r="AS4387" s="15"/>
      <c r="AT4387" s="15"/>
      <c r="AU4387" s="15"/>
      <c r="AV4387" s="15"/>
      <c r="AW4387" s="15"/>
    </row>
    <row r="4388" spans="3:49" x14ac:dyDescent="0.2">
      <c r="C4388" s="15"/>
      <c r="D4388" s="15"/>
      <c r="E4388" s="15"/>
      <c r="F4388" s="15"/>
      <c r="G4388" s="15"/>
      <c r="H4388" s="15"/>
      <c r="I4388" s="15"/>
      <c r="J4388" s="15"/>
      <c r="K4388" s="15"/>
      <c r="L4388" s="28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  <c r="AA4388" s="15"/>
      <c r="AB4388" s="15"/>
      <c r="AC4388" s="15"/>
      <c r="AD4388" s="15"/>
      <c r="AE4388" s="15"/>
      <c r="AF4388" s="15"/>
      <c r="AG4388" s="15"/>
      <c r="AH4388" s="15"/>
      <c r="AI4388" s="15"/>
      <c r="AJ4388" s="15"/>
      <c r="AK4388" s="15"/>
      <c r="AL4388" s="15"/>
      <c r="AM4388" s="15"/>
      <c r="AN4388" s="15"/>
      <c r="AO4388" s="15"/>
      <c r="AP4388" s="15"/>
      <c r="AQ4388" s="15"/>
      <c r="AR4388" s="15"/>
      <c r="AS4388" s="15"/>
      <c r="AT4388" s="15"/>
      <c r="AU4388" s="15"/>
      <c r="AV4388" s="15"/>
      <c r="AW4388" s="15"/>
    </row>
    <row r="4389" spans="3:49" x14ac:dyDescent="0.2">
      <c r="C4389" s="15"/>
      <c r="D4389" s="15"/>
      <c r="E4389" s="15"/>
      <c r="F4389" s="15"/>
      <c r="G4389" s="15"/>
      <c r="H4389" s="15"/>
      <c r="I4389" s="15"/>
      <c r="J4389" s="15"/>
      <c r="K4389" s="15"/>
      <c r="L4389" s="28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  <c r="AA4389" s="15"/>
      <c r="AB4389" s="15"/>
      <c r="AC4389" s="15"/>
      <c r="AD4389" s="15"/>
      <c r="AE4389" s="15"/>
      <c r="AF4389" s="15"/>
      <c r="AG4389" s="15"/>
      <c r="AH4389" s="15"/>
      <c r="AI4389" s="15"/>
      <c r="AJ4389" s="15"/>
      <c r="AK4389" s="15"/>
      <c r="AL4389" s="15"/>
      <c r="AM4389" s="15"/>
      <c r="AN4389" s="15"/>
      <c r="AO4389" s="15"/>
      <c r="AP4389" s="15"/>
      <c r="AQ4389" s="15"/>
      <c r="AR4389" s="15"/>
      <c r="AS4389" s="15"/>
      <c r="AT4389" s="15"/>
      <c r="AU4389" s="15"/>
      <c r="AV4389" s="15"/>
      <c r="AW4389" s="15"/>
    </row>
    <row r="4390" spans="3:49" x14ac:dyDescent="0.2">
      <c r="C4390" s="15"/>
      <c r="D4390" s="15"/>
      <c r="E4390" s="15"/>
      <c r="F4390" s="15"/>
      <c r="G4390" s="15"/>
      <c r="H4390" s="15"/>
      <c r="I4390" s="15"/>
      <c r="J4390" s="15"/>
      <c r="K4390" s="15"/>
      <c r="L4390" s="28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  <c r="AA4390" s="15"/>
      <c r="AB4390" s="15"/>
      <c r="AC4390" s="15"/>
      <c r="AD4390" s="15"/>
      <c r="AE4390" s="15"/>
      <c r="AF4390" s="15"/>
      <c r="AG4390" s="15"/>
      <c r="AH4390" s="15"/>
      <c r="AI4390" s="15"/>
      <c r="AJ4390" s="15"/>
      <c r="AK4390" s="15"/>
      <c r="AL4390" s="15"/>
      <c r="AM4390" s="15"/>
      <c r="AN4390" s="15"/>
      <c r="AO4390" s="15"/>
      <c r="AP4390" s="15"/>
      <c r="AQ4390" s="15"/>
      <c r="AR4390" s="15"/>
      <c r="AS4390" s="15"/>
      <c r="AT4390" s="15"/>
      <c r="AU4390" s="15"/>
      <c r="AV4390" s="15"/>
      <c r="AW4390" s="15"/>
    </row>
    <row r="4391" spans="3:49" x14ac:dyDescent="0.2">
      <c r="C4391" s="15"/>
      <c r="D4391" s="15"/>
      <c r="E4391" s="15"/>
      <c r="F4391" s="15"/>
      <c r="G4391" s="15"/>
      <c r="H4391" s="15"/>
      <c r="I4391" s="15"/>
      <c r="J4391" s="15"/>
      <c r="K4391" s="15"/>
      <c r="L4391" s="28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  <c r="AA4391" s="15"/>
      <c r="AB4391" s="15"/>
      <c r="AC4391" s="15"/>
      <c r="AD4391" s="15"/>
      <c r="AE4391" s="15"/>
      <c r="AF4391" s="15"/>
      <c r="AG4391" s="15"/>
      <c r="AH4391" s="15"/>
      <c r="AI4391" s="15"/>
      <c r="AJ4391" s="15"/>
      <c r="AK4391" s="15"/>
      <c r="AL4391" s="15"/>
      <c r="AM4391" s="15"/>
      <c r="AN4391" s="15"/>
      <c r="AO4391" s="15"/>
      <c r="AP4391" s="15"/>
      <c r="AQ4391" s="15"/>
      <c r="AR4391" s="15"/>
      <c r="AS4391" s="15"/>
      <c r="AT4391" s="15"/>
      <c r="AU4391" s="15"/>
      <c r="AV4391" s="15"/>
      <c r="AW4391" s="15"/>
    </row>
    <row r="4392" spans="3:49" x14ac:dyDescent="0.2">
      <c r="C4392" s="15"/>
      <c r="D4392" s="15"/>
      <c r="E4392" s="15"/>
      <c r="F4392" s="15"/>
      <c r="G4392" s="15"/>
      <c r="H4392" s="15"/>
      <c r="I4392" s="15"/>
      <c r="J4392" s="15"/>
      <c r="K4392" s="15"/>
      <c r="L4392" s="28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  <c r="AA4392" s="15"/>
      <c r="AB4392" s="15"/>
      <c r="AC4392" s="15"/>
      <c r="AD4392" s="15"/>
      <c r="AE4392" s="15"/>
      <c r="AF4392" s="15"/>
      <c r="AG4392" s="15"/>
      <c r="AH4392" s="15"/>
      <c r="AI4392" s="15"/>
      <c r="AJ4392" s="15"/>
      <c r="AK4392" s="15"/>
      <c r="AL4392" s="15"/>
      <c r="AM4392" s="15"/>
      <c r="AN4392" s="15"/>
      <c r="AO4392" s="15"/>
      <c r="AP4392" s="15"/>
      <c r="AQ4392" s="15"/>
      <c r="AR4392" s="15"/>
      <c r="AS4392" s="15"/>
      <c r="AT4392" s="15"/>
      <c r="AU4392" s="15"/>
      <c r="AV4392" s="15"/>
      <c r="AW4392" s="15"/>
    </row>
    <row r="4393" spans="3:49" x14ac:dyDescent="0.2">
      <c r="C4393" s="15"/>
      <c r="D4393" s="15"/>
      <c r="E4393" s="15"/>
      <c r="F4393" s="15"/>
      <c r="G4393" s="15"/>
      <c r="H4393" s="15"/>
      <c r="I4393" s="15"/>
      <c r="J4393" s="15"/>
      <c r="K4393" s="15"/>
      <c r="L4393" s="28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  <c r="AA4393" s="15"/>
      <c r="AB4393" s="15"/>
      <c r="AC4393" s="15"/>
      <c r="AD4393" s="15"/>
      <c r="AE4393" s="15"/>
      <c r="AF4393" s="15"/>
      <c r="AG4393" s="15"/>
      <c r="AH4393" s="15"/>
      <c r="AI4393" s="15"/>
      <c r="AJ4393" s="15"/>
      <c r="AK4393" s="15"/>
      <c r="AL4393" s="15"/>
      <c r="AM4393" s="15"/>
      <c r="AN4393" s="15"/>
      <c r="AO4393" s="15"/>
      <c r="AP4393" s="15"/>
      <c r="AQ4393" s="15"/>
      <c r="AR4393" s="15"/>
      <c r="AS4393" s="15"/>
      <c r="AT4393" s="15"/>
      <c r="AU4393" s="15"/>
      <c r="AV4393" s="15"/>
      <c r="AW4393" s="15"/>
    </row>
    <row r="4394" spans="3:49" x14ac:dyDescent="0.2">
      <c r="C4394" s="15"/>
      <c r="D4394" s="15"/>
      <c r="E4394" s="15"/>
      <c r="F4394" s="15"/>
      <c r="G4394" s="15"/>
      <c r="H4394" s="15"/>
      <c r="I4394" s="15"/>
      <c r="J4394" s="15"/>
      <c r="K4394" s="15"/>
      <c r="L4394" s="28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  <c r="AA4394" s="15"/>
      <c r="AB4394" s="15"/>
      <c r="AC4394" s="15"/>
      <c r="AD4394" s="15"/>
      <c r="AE4394" s="15"/>
      <c r="AF4394" s="15"/>
      <c r="AG4394" s="15"/>
      <c r="AH4394" s="15"/>
      <c r="AI4394" s="15"/>
      <c r="AJ4394" s="15"/>
      <c r="AK4394" s="15"/>
      <c r="AL4394" s="15"/>
      <c r="AM4394" s="15"/>
      <c r="AN4394" s="15"/>
      <c r="AO4394" s="15"/>
      <c r="AP4394" s="15"/>
      <c r="AQ4394" s="15"/>
      <c r="AR4394" s="15"/>
      <c r="AS4394" s="15"/>
      <c r="AT4394" s="15"/>
      <c r="AU4394" s="15"/>
      <c r="AV4394" s="15"/>
      <c r="AW4394" s="15"/>
    </row>
    <row r="4395" spans="3:49" x14ac:dyDescent="0.2">
      <c r="C4395" s="15"/>
      <c r="D4395" s="15"/>
      <c r="E4395" s="15"/>
      <c r="F4395" s="15"/>
      <c r="G4395" s="15"/>
      <c r="H4395" s="15"/>
      <c r="I4395" s="15"/>
      <c r="J4395" s="15"/>
      <c r="K4395" s="15"/>
      <c r="L4395" s="28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  <c r="AA4395" s="15"/>
      <c r="AB4395" s="15"/>
      <c r="AC4395" s="15"/>
      <c r="AD4395" s="15"/>
      <c r="AE4395" s="15"/>
      <c r="AF4395" s="15"/>
      <c r="AG4395" s="15"/>
      <c r="AH4395" s="15"/>
      <c r="AI4395" s="15"/>
      <c r="AJ4395" s="15"/>
      <c r="AK4395" s="15"/>
      <c r="AL4395" s="15"/>
      <c r="AM4395" s="15"/>
      <c r="AN4395" s="15"/>
      <c r="AO4395" s="15"/>
      <c r="AP4395" s="15"/>
      <c r="AQ4395" s="15"/>
      <c r="AR4395" s="15"/>
      <c r="AS4395" s="15"/>
      <c r="AT4395" s="15"/>
      <c r="AU4395" s="15"/>
      <c r="AV4395" s="15"/>
      <c r="AW4395" s="15"/>
    </row>
    <row r="4396" spans="3:49" x14ac:dyDescent="0.2">
      <c r="C4396" s="15"/>
      <c r="D4396" s="15"/>
      <c r="E4396" s="15"/>
      <c r="F4396" s="15"/>
      <c r="G4396" s="15"/>
      <c r="H4396" s="15"/>
      <c r="I4396" s="15"/>
      <c r="J4396" s="15"/>
      <c r="K4396" s="15"/>
      <c r="L4396" s="28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  <c r="AA4396" s="15"/>
      <c r="AB4396" s="15"/>
      <c r="AC4396" s="15"/>
      <c r="AD4396" s="15"/>
      <c r="AE4396" s="15"/>
      <c r="AF4396" s="15"/>
      <c r="AG4396" s="15"/>
      <c r="AH4396" s="15"/>
      <c r="AI4396" s="15"/>
      <c r="AJ4396" s="15"/>
      <c r="AK4396" s="15"/>
      <c r="AL4396" s="15"/>
      <c r="AM4396" s="15"/>
      <c r="AN4396" s="15"/>
      <c r="AO4396" s="15"/>
      <c r="AP4396" s="15"/>
      <c r="AQ4396" s="15"/>
      <c r="AR4396" s="15"/>
      <c r="AS4396" s="15"/>
      <c r="AT4396" s="15"/>
      <c r="AU4396" s="15"/>
      <c r="AV4396" s="15"/>
      <c r="AW4396" s="15"/>
    </row>
    <row r="4397" spans="3:49" x14ac:dyDescent="0.2">
      <c r="C4397" s="15"/>
      <c r="D4397" s="15"/>
      <c r="E4397" s="15"/>
      <c r="F4397" s="15"/>
      <c r="G4397" s="15"/>
      <c r="H4397" s="15"/>
      <c r="I4397" s="15"/>
      <c r="J4397" s="15"/>
      <c r="K4397" s="15"/>
      <c r="L4397" s="28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  <c r="AA4397" s="15"/>
      <c r="AB4397" s="15"/>
      <c r="AC4397" s="15"/>
      <c r="AD4397" s="15"/>
      <c r="AE4397" s="15"/>
      <c r="AF4397" s="15"/>
      <c r="AG4397" s="15"/>
      <c r="AH4397" s="15"/>
      <c r="AI4397" s="15"/>
      <c r="AJ4397" s="15"/>
      <c r="AK4397" s="15"/>
      <c r="AL4397" s="15"/>
      <c r="AM4397" s="15"/>
      <c r="AN4397" s="15"/>
      <c r="AO4397" s="15"/>
      <c r="AP4397" s="15"/>
      <c r="AQ4397" s="15"/>
      <c r="AR4397" s="15"/>
      <c r="AS4397" s="15"/>
      <c r="AT4397" s="15"/>
      <c r="AU4397" s="15"/>
      <c r="AV4397" s="15"/>
      <c r="AW4397" s="15"/>
    </row>
    <row r="4398" spans="3:49" x14ac:dyDescent="0.2">
      <c r="C4398" s="15"/>
      <c r="D4398" s="15"/>
      <c r="E4398" s="15"/>
      <c r="F4398" s="15"/>
      <c r="G4398" s="15"/>
      <c r="H4398" s="15"/>
      <c r="I4398" s="15"/>
      <c r="J4398" s="15"/>
      <c r="K4398" s="15"/>
      <c r="L4398" s="28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  <c r="AA4398" s="15"/>
      <c r="AB4398" s="15"/>
      <c r="AC4398" s="15"/>
      <c r="AD4398" s="15"/>
      <c r="AE4398" s="15"/>
      <c r="AF4398" s="15"/>
      <c r="AG4398" s="15"/>
      <c r="AH4398" s="15"/>
      <c r="AI4398" s="15"/>
      <c r="AJ4398" s="15"/>
      <c r="AK4398" s="15"/>
      <c r="AL4398" s="15"/>
      <c r="AM4398" s="15"/>
      <c r="AN4398" s="15"/>
      <c r="AO4398" s="15"/>
      <c r="AP4398" s="15"/>
      <c r="AQ4398" s="15"/>
      <c r="AR4398" s="15"/>
      <c r="AS4398" s="15"/>
      <c r="AT4398" s="15"/>
      <c r="AU4398" s="15"/>
      <c r="AV4398" s="15"/>
      <c r="AW4398" s="15"/>
    </row>
    <row r="4399" spans="3:49" x14ac:dyDescent="0.2">
      <c r="C4399" s="15"/>
      <c r="D4399" s="15"/>
      <c r="E4399" s="15"/>
      <c r="F4399" s="15"/>
      <c r="G4399" s="15"/>
      <c r="H4399" s="15"/>
      <c r="I4399" s="15"/>
      <c r="J4399" s="15"/>
      <c r="K4399" s="15"/>
      <c r="L4399" s="28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  <c r="AA4399" s="15"/>
      <c r="AB4399" s="15"/>
      <c r="AC4399" s="15"/>
      <c r="AD4399" s="15"/>
      <c r="AE4399" s="15"/>
      <c r="AF4399" s="15"/>
      <c r="AG4399" s="15"/>
      <c r="AH4399" s="15"/>
      <c r="AI4399" s="15"/>
      <c r="AJ4399" s="15"/>
      <c r="AK4399" s="15"/>
      <c r="AL4399" s="15"/>
      <c r="AM4399" s="15"/>
      <c r="AN4399" s="15"/>
      <c r="AO4399" s="15"/>
      <c r="AP4399" s="15"/>
      <c r="AQ4399" s="15"/>
      <c r="AR4399" s="15"/>
      <c r="AS4399" s="15"/>
      <c r="AT4399" s="15"/>
      <c r="AU4399" s="15"/>
      <c r="AV4399" s="15"/>
      <c r="AW4399" s="15"/>
    </row>
    <row r="4400" spans="3:49" x14ac:dyDescent="0.2">
      <c r="C4400" s="15"/>
      <c r="D4400" s="15"/>
      <c r="E4400" s="15"/>
      <c r="F4400" s="15"/>
      <c r="G4400" s="15"/>
      <c r="H4400" s="15"/>
      <c r="I4400" s="15"/>
      <c r="J4400" s="15"/>
      <c r="K4400" s="15"/>
      <c r="L4400" s="28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  <c r="AA4400" s="15"/>
      <c r="AB4400" s="15"/>
      <c r="AC4400" s="15"/>
      <c r="AD4400" s="15"/>
      <c r="AE4400" s="15"/>
      <c r="AF4400" s="15"/>
      <c r="AG4400" s="15"/>
      <c r="AH4400" s="15"/>
      <c r="AI4400" s="15"/>
      <c r="AJ4400" s="15"/>
      <c r="AK4400" s="15"/>
      <c r="AL4400" s="15"/>
      <c r="AM4400" s="15"/>
      <c r="AN4400" s="15"/>
      <c r="AO4400" s="15"/>
      <c r="AP4400" s="15"/>
      <c r="AQ4400" s="15"/>
      <c r="AR4400" s="15"/>
      <c r="AS4400" s="15"/>
      <c r="AT4400" s="15"/>
      <c r="AU4400" s="15"/>
      <c r="AV4400" s="15"/>
      <c r="AW4400" s="15"/>
    </row>
    <row r="4401" spans="3:49" x14ac:dyDescent="0.2">
      <c r="C4401" s="15"/>
      <c r="D4401" s="15"/>
      <c r="E4401" s="15"/>
      <c r="F4401" s="15"/>
      <c r="G4401" s="15"/>
      <c r="H4401" s="15"/>
      <c r="I4401" s="15"/>
      <c r="J4401" s="15"/>
      <c r="K4401" s="15"/>
      <c r="L4401" s="28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  <c r="AA4401" s="15"/>
      <c r="AB4401" s="15"/>
      <c r="AC4401" s="15"/>
      <c r="AD4401" s="15"/>
      <c r="AE4401" s="15"/>
      <c r="AF4401" s="15"/>
      <c r="AG4401" s="15"/>
      <c r="AH4401" s="15"/>
      <c r="AI4401" s="15"/>
      <c r="AJ4401" s="15"/>
      <c r="AK4401" s="15"/>
      <c r="AL4401" s="15"/>
      <c r="AM4401" s="15"/>
      <c r="AN4401" s="15"/>
      <c r="AO4401" s="15"/>
      <c r="AP4401" s="15"/>
      <c r="AQ4401" s="15"/>
      <c r="AR4401" s="15"/>
      <c r="AS4401" s="15"/>
      <c r="AT4401" s="15"/>
      <c r="AU4401" s="15"/>
      <c r="AV4401" s="15"/>
      <c r="AW4401" s="15"/>
    </row>
    <row r="4402" spans="3:49" x14ac:dyDescent="0.2">
      <c r="C4402" s="15"/>
      <c r="D4402" s="15"/>
      <c r="E4402" s="15"/>
      <c r="F4402" s="15"/>
      <c r="G4402" s="15"/>
      <c r="H4402" s="15"/>
      <c r="I4402" s="15"/>
      <c r="J4402" s="15"/>
      <c r="K4402" s="15"/>
      <c r="L4402" s="28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  <c r="AA4402" s="15"/>
      <c r="AB4402" s="15"/>
      <c r="AC4402" s="15"/>
      <c r="AD4402" s="15"/>
      <c r="AE4402" s="15"/>
      <c r="AF4402" s="15"/>
      <c r="AG4402" s="15"/>
      <c r="AH4402" s="15"/>
      <c r="AI4402" s="15"/>
      <c r="AJ4402" s="15"/>
      <c r="AK4402" s="15"/>
      <c r="AL4402" s="15"/>
      <c r="AM4402" s="15"/>
      <c r="AN4402" s="15"/>
      <c r="AO4402" s="15"/>
      <c r="AP4402" s="15"/>
      <c r="AQ4402" s="15"/>
      <c r="AR4402" s="15"/>
      <c r="AS4402" s="15"/>
      <c r="AT4402" s="15"/>
      <c r="AU4402" s="15"/>
      <c r="AV4402" s="15"/>
      <c r="AW4402" s="15"/>
    </row>
    <row r="4403" spans="3:49" x14ac:dyDescent="0.2">
      <c r="C4403" s="15"/>
      <c r="D4403" s="15"/>
      <c r="E4403" s="15"/>
      <c r="F4403" s="15"/>
      <c r="G4403" s="15"/>
      <c r="H4403" s="15"/>
      <c r="I4403" s="15"/>
      <c r="J4403" s="15"/>
      <c r="K4403" s="15"/>
      <c r="L4403" s="28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  <c r="AA4403" s="15"/>
      <c r="AB4403" s="15"/>
      <c r="AC4403" s="15"/>
      <c r="AD4403" s="15"/>
      <c r="AE4403" s="15"/>
      <c r="AF4403" s="15"/>
      <c r="AG4403" s="15"/>
      <c r="AH4403" s="15"/>
      <c r="AI4403" s="15"/>
      <c r="AJ4403" s="15"/>
      <c r="AK4403" s="15"/>
      <c r="AL4403" s="15"/>
      <c r="AM4403" s="15"/>
      <c r="AN4403" s="15"/>
      <c r="AO4403" s="15"/>
      <c r="AP4403" s="15"/>
      <c r="AQ4403" s="15"/>
      <c r="AR4403" s="15"/>
      <c r="AS4403" s="15"/>
      <c r="AT4403" s="15"/>
      <c r="AU4403" s="15"/>
      <c r="AV4403" s="15"/>
      <c r="AW4403" s="15"/>
    </row>
    <row r="4404" spans="3:49" x14ac:dyDescent="0.2">
      <c r="C4404" s="15"/>
      <c r="D4404" s="15"/>
      <c r="E4404" s="15"/>
      <c r="F4404" s="15"/>
      <c r="G4404" s="15"/>
      <c r="H4404" s="15"/>
      <c r="I4404" s="15"/>
      <c r="J4404" s="15"/>
      <c r="K4404" s="15"/>
      <c r="L4404" s="28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  <c r="AA4404" s="15"/>
      <c r="AB4404" s="15"/>
      <c r="AC4404" s="15"/>
      <c r="AD4404" s="15"/>
      <c r="AE4404" s="15"/>
      <c r="AF4404" s="15"/>
      <c r="AG4404" s="15"/>
      <c r="AH4404" s="15"/>
      <c r="AI4404" s="15"/>
      <c r="AJ4404" s="15"/>
      <c r="AK4404" s="15"/>
      <c r="AL4404" s="15"/>
      <c r="AM4404" s="15"/>
      <c r="AN4404" s="15"/>
      <c r="AO4404" s="15"/>
      <c r="AP4404" s="15"/>
      <c r="AQ4404" s="15"/>
      <c r="AR4404" s="15"/>
      <c r="AS4404" s="15"/>
      <c r="AT4404" s="15"/>
      <c r="AU4404" s="15"/>
      <c r="AV4404" s="15"/>
      <c r="AW4404" s="15"/>
    </row>
    <row r="4405" spans="3:49" x14ac:dyDescent="0.2">
      <c r="C4405" s="15"/>
      <c r="D4405" s="15"/>
      <c r="E4405" s="15"/>
      <c r="F4405" s="15"/>
      <c r="G4405" s="15"/>
      <c r="H4405" s="15"/>
      <c r="I4405" s="15"/>
      <c r="J4405" s="15"/>
      <c r="K4405" s="15"/>
      <c r="L4405" s="28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  <c r="AA4405" s="15"/>
      <c r="AB4405" s="15"/>
      <c r="AC4405" s="15"/>
      <c r="AD4405" s="15"/>
      <c r="AE4405" s="15"/>
      <c r="AF4405" s="15"/>
      <c r="AG4405" s="15"/>
      <c r="AH4405" s="15"/>
      <c r="AI4405" s="15"/>
      <c r="AJ4405" s="15"/>
      <c r="AK4405" s="15"/>
      <c r="AL4405" s="15"/>
      <c r="AM4405" s="15"/>
      <c r="AN4405" s="15"/>
      <c r="AO4405" s="15"/>
      <c r="AP4405" s="15"/>
      <c r="AQ4405" s="15"/>
      <c r="AR4405" s="15"/>
      <c r="AS4405" s="15"/>
      <c r="AT4405" s="15"/>
      <c r="AU4405" s="15"/>
      <c r="AV4405" s="15"/>
      <c r="AW4405" s="15"/>
    </row>
    <row r="4406" spans="3:49" x14ac:dyDescent="0.2">
      <c r="C4406" s="15"/>
      <c r="D4406" s="15"/>
      <c r="E4406" s="15"/>
      <c r="F4406" s="15"/>
      <c r="G4406" s="15"/>
      <c r="H4406" s="15"/>
      <c r="I4406" s="15"/>
      <c r="J4406" s="15"/>
      <c r="K4406" s="15"/>
      <c r="L4406" s="28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  <c r="AA4406" s="15"/>
      <c r="AB4406" s="15"/>
      <c r="AC4406" s="15"/>
      <c r="AD4406" s="15"/>
      <c r="AE4406" s="15"/>
      <c r="AF4406" s="15"/>
      <c r="AG4406" s="15"/>
      <c r="AH4406" s="15"/>
      <c r="AI4406" s="15"/>
      <c r="AJ4406" s="15"/>
      <c r="AK4406" s="15"/>
      <c r="AL4406" s="15"/>
      <c r="AM4406" s="15"/>
      <c r="AN4406" s="15"/>
      <c r="AO4406" s="15"/>
      <c r="AP4406" s="15"/>
      <c r="AQ4406" s="15"/>
      <c r="AR4406" s="15"/>
      <c r="AS4406" s="15"/>
      <c r="AT4406" s="15"/>
      <c r="AU4406" s="15"/>
      <c r="AV4406" s="15"/>
      <c r="AW4406" s="15"/>
    </row>
    <row r="4407" spans="3:49" x14ac:dyDescent="0.2">
      <c r="C4407" s="15"/>
      <c r="D4407" s="15"/>
      <c r="E4407" s="15"/>
      <c r="F4407" s="15"/>
      <c r="G4407" s="15"/>
      <c r="H4407" s="15"/>
      <c r="I4407" s="15"/>
      <c r="J4407" s="15"/>
      <c r="K4407" s="15"/>
      <c r="L4407" s="28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  <c r="AA4407" s="15"/>
      <c r="AB4407" s="15"/>
      <c r="AC4407" s="15"/>
      <c r="AD4407" s="15"/>
      <c r="AE4407" s="15"/>
      <c r="AF4407" s="15"/>
      <c r="AG4407" s="15"/>
      <c r="AH4407" s="15"/>
      <c r="AI4407" s="15"/>
      <c r="AJ4407" s="15"/>
      <c r="AK4407" s="15"/>
      <c r="AL4407" s="15"/>
      <c r="AM4407" s="15"/>
      <c r="AN4407" s="15"/>
      <c r="AO4407" s="15"/>
      <c r="AP4407" s="15"/>
      <c r="AQ4407" s="15"/>
      <c r="AR4407" s="15"/>
      <c r="AS4407" s="15"/>
      <c r="AT4407" s="15"/>
      <c r="AU4407" s="15"/>
      <c r="AV4407" s="15"/>
      <c r="AW4407" s="15"/>
    </row>
    <row r="4408" spans="3:49" x14ac:dyDescent="0.2">
      <c r="C4408" s="15"/>
      <c r="D4408" s="15"/>
      <c r="E4408" s="15"/>
      <c r="F4408" s="15"/>
      <c r="G4408" s="15"/>
      <c r="H4408" s="15"/>
      <c r="I4408" s="15"/>
      <c r="J4408" s="15"/>
      <c r="K4408" s="15"/>
      <c r="L4408" s="28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  <c r="AA4408" s="15"/>
      <c r="AB4408" s="15"/>
      <c r="AC4408" s="15"/>
      <c r="AD4408" s="15"/>
      <c r="AE4408" s="15"/>
      <c r="AF4408" s="15"/>
      <c r="AG4408" s="15"/>
      <c r="AH4408" s="15"/>
      <c r="AI4408" s="15"/>
      <c r="AJ4408" s="15"/>
      <c r="AK4408" s="15"/>
      <c r="AL4408" s="15"/>
      <c r="AM4408" s="15"/>
      <c r="AN4408" s="15"/>
      <c r="AO4408" s="15"/>
      <c r="AP4408" s="15"/>
      <c r="AQ4408" s="15"/>
      <c r="AR4408" s="15"/>
      <c r="AS4408" s="15"/>
      <c r="AT4408" s="15"/>
      <c r="AU4408" s="15"/>
      <c r="AV4408" s="15"/>
      <c r="AW4408" s="15"/>
    </row>
    <row r="4409" spans="3:49" x14ac:dyDescent="0.2">
      <c r="C4409" s="15"/>
      <c r="D4409" s="15"/>
      <c r="E4409" s="15"/>
      <c r="F4409" s="15"/>
      <c r="G4409" s="15"/>
      <c r="H4409" s="15"/>
      <c r="I4409" s="15"/>
      <c r="J4409" s="15"/>
      <c r="K4409" s="15"/>
      <c r="L4409" s="28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  <c r="AA4409" s="15"/>
      <c r="AB4409" s="15"/>
      <c r="AC4409" s="15"/>
      <c r="AD4409" s="15"/>
      <c r="AE4409" s="15"/>
      <c r="AF4409" s="15"/>
      <c r="AG4409" s="15"/>
      <c r="AH4409" s="15"/>
      <c r="AI4409" s="15"/>
      <c r="AJ4409" s="15"/>
      <c r="AK4409" s="15"/>
      <c r="AL4409" s="15"/>
      <c r="AM4409" s="15"/>
      <c r="AN4409" s="15"/>
      <c r="AO4409" s="15"/>
      <c r="AP4409" s="15"/>
      <c r="AQ4409" s="15"/>
      <c r="AR4409" s="15"/>
      <c r="AS4409" s="15"/>
      <c r="AT4409" s="15"/>
      <c r="AU4409" s="15"/>
      <c r="AV4409" s="15"/>
      <c r="AW4409" s="15"/>
    </row>
    <row r="4410" spans="3:49" x14ac:dyDescent="0.2">
      <c r="C4410" s="15"/>
      <c r="D4410" s="15"/>
      <c r="E4410" s="15"/>
      <c r="F4410" s="15"/>
      <c r="G4410" s="15"/>
      <c r="H4410" s="15"/>
      <c r="I4410" s="15"/>
      <c r="J4410" s="15"/>
      <c r="K4410" s="15"/>
      <c r="L4410" s="28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  <c r="AA4410" s="15"/>
      <c r="AB4410" s="15"/>
      <c r="AC4410" s="15"/>
      <c r="AD4410" s="15"/>
      <c r="AE4410" s="15"/>
      <c r="AF4410" s="15"/>
      <c r="AG4410" s="15"/>
      <c r="AH4410" s="15"/>
      <c r="AI4410" s="15"/>
      <c r="AJ4410" s="15"/>
      <c r="AK4410" s="15"/>
      <c r="AL4410" s="15"/>
      <c r="AM4410" s="15"/>
      <c r="AN4410" s="15"/>
      <c r="AO4410" s="15"/>
      <c r="AP4410" s="15"/>
      <c r="AQ4410" s="15"/>
      <c r="AR4410" s="15"/>
      <c r="AS4410" s="15"/>
      <c r="AT4410" s="15"/>
      <c r="AU4410" s="15"/>
      <c r="AV4410" s="15"/>
      <c r="AW4410" s="15"/>
    </row>
    <row r="4411" spans="3:49" x14ac:dyDescent="0.2">
      <c r="C4411" s="15"/>
      <c r="D4411" s="15"/>
      <c r="E4411" s="15"/>
      <c r="F4411" s="15"/>
      <c r="G4411" s="15"/>
      <c r="H4411" s="15"/>
      <c r="I4411" s="15"/>
      <c r="J4411" s="15"/>
      <c r="K4411" s="15"/>
      <c r="L4411" s="28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  <c r="AA4411" s="15"/>
      <c r="AB4411" s="15"/>
      <c r="AC4411" s="15"/>
      <c r="AD4411" s="15"/>
      <c r="AE4411" s="15"/>
      <c r="AF4411" s="15"/>
      <c r="AG4411" s="15"/>
      <c r="AH4411" s="15"/>
      <c r="AI4411" s="15"/>
      <c r="AJ4411" s="15"/>
      <c r="AK4411" s="15"/>
      <c r="AL4411" s="15"/>
      <c r="AM4411" s="15"/>
      <c r="AN4411" s="15"/>
      <c r="AO4411" s="15"/>
      <c r="AP4411" s="15"/>
      <c r="AQ4411" s="15"/>
      <c r="AR4411" s="15"/>
      <c r="AS4411" s="15"/>
      <c r="AT4411" s="15"/>
      <c r="AU4411" s="15"/>
      <c r="AV4411" s="15"/>
      <c r="AW4411" s="15"/>
    </row>
    <row r="4412" spans="3:49" x14ac:dyDescent="0.2">
      <c r="C4412" s="15"/>
      <c r="D4412" s="15"/>
      <c r="E4412" s="15"/>
      <c r="F4412" s="15"/>
      <c r="G4412" s="15"/>
      <c r="H4412" s="15"/>
      <c r="I4412" s="15"/>
      <c r="J4412" s="15"/>
      <c r="K4412" s="15"/>
      <c r="L4412" s="28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  <c r="AA4412" s="15"/>
      <c r="AB4412" s="15"/>
      <c r="AC4412" s="15"/>
      <c r="AD4412" s="15"/>
      <c r="AE4412" s="15"/>
      <c r="AF4412" s="15"/>
      <c r="AG4412" s="15"/>
      <c r="AH4412" s="15"/>
      <c r="AI4412" s="15"/>
      <c r="AJ4412" s="15"/>
      <c r="AK4412" s="15"/>
      <c r="AL4412" s="15"/>
      <c r="AM4412" s="15"/>
      <c r="AN4412" s="15"/>
      <c r="AO4412" s="15"/>
      <c r="AP4412" s="15"/>
      <c r="AQ4412" s="15"/>
      <c r="AR4412" s="15"/>
      <c r="AS4412" s="15"/>
      <c r="AT4412" s="15"/>
      <c r="AU4412" s="15"/>
      <c r="AV4412" s="15"/>
      <c r="AW4412" s="15"/>
    </row>
    <row r="4413" spans="3:49" x14ac:dyDescent="0.2">
      <c r="C4413" s="15"/>
      <c r="D4413" s="15"/>
      <c r="E4413" s="15"/>
      <c r="F4413" s="15"/>
      <c r="G4413" s="15"/>
      <c r="H4413" s="15"/>
      <c r="I4413" s="15"/>
      <c r="J4413" s="15"/>
      <c r="K4413" s="15"/>
      <c r="L4413" s="28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  <c r="AA4413" s="15"/>
      <c r="AB4413" s="15"/>
      <c r="AC4413" s="15"/>
      <c r="AD4413" s="15"/>
      <c r="AE4413" s="15"/>
      <c r="AF4413" s="15"/>
      <c r="AG4413" s="15"/>
      <c r="AH4413" s="15"/>
      <c r="AI4413" s="15"/>
      <c r="AJ4413" s="15"/>
      <c r="AK4413" s="15"/>
      <c r="AL4413" s="15"/>
      <c r="AM4413" s="15"/>
      <c r="AN4413" s="15"/>
      <c r="AO4413" s="15"/>
      <c r="AP4413" s="15"/>
      <c r="AQ4413" s="15"/>
      <c r="AR4413" s="15"/>
      <c r="AS4413" s="15"/>
      <c r="AT4413" s="15"/>
      <c r="AU4413" s="15"/>
      <c r="AV4413" s="15"/>
      <c r="AW4413" s="15"/>
    </row>
    <row r="4414" spans="3:49" x14ac:dyDescent="0.2">
      <c r="C4414" s="15"/>
      <c r="D4414" s="15"/>
      <c r="E4414" s="15"/>
      <c r="F4414" s="15"/>
      <c r="G4414" s="15"/>
      <c r="H4414" s="15"/>
      <c r="I4414" s="15"/>
      <c r="J4414" s="15"/>
      <c r="K4414" s="15"/>
      <c r="L4414" s="28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  <c r="AA4414" s="15"/>
      <c r="AB4414" s="15"/>
      <c r="AC4414" s="15"/>
      <c r="AD4414" s="15"/>
      <c r="AE4414" s="15"/>
      <c r="AF4414" s="15"/>
      <c r="AG4414" s="15"/>
      <c r="AH4414" s="15"/>
      <c r="AI4414" s="15"/>
      <c r="AJ4414" s="15"/>
      <c r="AK4414" s="15"/>
      <c r="AL4414" s="15"/>
      <c r="AM4414" s="15"/>
      <c r="AN4414" s="15"/>
      <c r="AO4414" s="15"/>
      <c r="AP4414" s="15"/>
      <c r="AQ4414" s="15"/>
      <c r="AR4414" s="15"/>
      <c r="AS4414" s="15"/>
      <c r="AT4414" s="15"/>
      <c r="AU4414" s="15"/>
      <c r="AV4414" s="15"/>
      <c r="AW4414" s="15"/>
    </row>
    <row r="4415" spans="3:49" x14ac:dyDescent="0.2">
      <c r="C4415" s="15"/>
      <c r="D4415" s="15"/>
      <c r="E4415" s="15"/>
      <c r="F4415" s="15"/>
      <c r="G4415" s="15"/>
      <c r="H4415" s="15"/>
      <c r="I4415" s="15"/>
      <c r="J4415" s="15"/>
      <c r="K4415" s="15"/>
      <c r="L4415" s="28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  <c r="AA4415" s="15"/>
      <c r="AB4415" s="15"/>
      <c r="AC4415" s="15"/>
      <c r="AD4415" s="15"/>
      <c r="AE4415" s="15"/>
      <c r="AF4415" s="15"/>
      <c r="AG4415" s="15"/>
      <c r="AH4415" s="15"/>
      <c r="AI4415" s="15"/>
      <c r="AJ4415" s="15"/>
      <c r="AK4415" s="15"/>
      <c r="AL4415" s="15"/>
      <c r="AM4415" s="15"/>
      <c r="AN4415" s="15"/>
      <c r="AO4415" s="15"/>
      <c r="AP4415" s="15"/>
      <c r="AQ4415" s="15"/>
      <c r="AR4415" s="15"/>
      <c r="AS4415" s="15"/>
      <c r="AT4415" s="15"/>
      <c r="AU4415" s="15"/>
      <c r="AV4415" s="15"/>
      <c r="AW4415" s="15"/>
    </row>
    <row r="4416" spans="3:49" x14ac:dyDescent="0.2">
      <c r="C4416" s="15"/>
      <c r="D4416" s="15"/>
      <c r="E4416" s="15"/>
      <c r="F4416" s="15"/>
      <c r="G4416" s="15"/>
      <c r="H4416" s="15"/>
      <c r="I4416" s="15"/>
      <c r="J4416" s="15"/>
      <c r="K4416" s="15"/>
      <c r="L4416" s="28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  <c r="AA4416" s="15"/>
      <c r="AB4416" s="15"/>
      <c r="AC4416" s="15"/>
      <c r="AD4416" s="15"/>
      <c r="AE4416" s="15"/>
      <c r="AF4416" s="15"/>
      <c r="AG4416" s="15"/>
      <c r="AH4416" s="15"/>
      <c r="AI4416" s="15"/>
      <c r="AJ4416" s="15"/>
      <c r="AK4416" s="15"/>
      <c r="AL4416" s="15"/>
      <c r="AM4416" s="15"/>
      <c r="AN4416" s="15"/>
      <c r="AO4416" s="15"/>
      <c r="AP4416" s="15"/>
      <c r="AQ4416" s="15"/>
      <c r="AR4416" s="15"/>
      <c r="AS4416" s="15"/>
      <c r="AT4416" s="15"/>
      <c r="AU4416" s="15"/>
      <c r="AV4416" s="15"/>
      <c r="AW4416" s="15"/>
    </row>
    <row r="4417" spans="3:49" x14ac:dyDescent="0.2">
      <c r="C4417" s="15"/>
      <c r="D4417" s="15"/>
      <c r="E4417" s="15"/>
      <c r="F4417" s="15"/>
      <c r="G4417" s="15"/>
      <c r="H4417" s="15"/>
      <c r="I4417" s="15"/>
      <c r="J4417" s="15"/>
      <c r="K4417" s="15"/>
      <c r="L4417" s="28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  <c r="AA4417" s="15"/>
      <c r="AB4417" s="15"/>
      <c r="AC4417" s="15"/>
      <c r="AD4417" s="15"/>
      <c r="AE4417" s="15"/>
      <c r="AF4417" s="15"/>
      <c r="AG4417" s="15"/>
      <c r="AH4417" s="15"/>
      <c r="AI4417" s="15"/>
      <c r="AJ4417" s="15"/>
      <c r="AK4417" s="15"/>
      <c r="AL4417" s="15"/>
      <c r="AM4417" s="15"/>
      <c r="AN4417" s="15"/>
      <c r="AO4417" s="15"/>
      <c r="AP4417" s="15"/>
      <c r="AQ4417" s="15"/>
      <c r="AR4417" s="15"/>
      <c r="AS4417" s="15"/>
      <c r="AT4417" s="15"/>
      <c r="AU4417" s="15"/>
      <c r="AV4417" s="15"/>
      <c r="AW4417" s="15"/>
    </row>
    <row r="4418" spans="3:49" x14ac:dyDescent="0.2">
      <c r="C4418" s="15"/>
      <c r="D4418" s="15"/>
      <c r="E4418" s="15"/>
      <c r="F4418" s="15"/>
      <c r="G4418" s="15"/>
      <c r="H4418" s="15"/>
      <c r="I4418" s="15"/>
      <c r="J4418" s="15"/>
      <c r="K4418" s="15"/>
      <c r="L4418" s="28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  <c r="AA4418" s="15"/>
      <c r="AB4418" s="15"/>
      <c r="AC4418" s="15"/>
      <c r="AD4418" s="15"/>
      <c r="AE4418" s="15"/>
      <c r="AF4418" s="15"/>
      <c r="AG4418" s="15"/>
      <c r="AH4418" s="15"/>
      <c r="AI4418" s="15"/>
      <c r="AJ4418" s="15"/>
      <c r="AK4418" s="15"/>
      <c r="AL4418" s="15"/>
      <c r="AM4418" s="15"/>
      <c r="AN4418" s="15"/>
      <c r="AO4418" s="15"/>
      <c r="AP4418" s="15"/>
      <c r="AQ4418" s="15"/>
      <c r="AR4418" s="15"/>
      <c r="AS4418" s="15"/>
      <c r="AT4418" s="15"/>
      <c r="AU4418" s="15"/>
      <c r="AV4418" s="15"/>
      <c r="AW4418" s="15"/>
    </row>
    <row r="4419" spans="3:49" x14ac:dyDescent="0.2">
      <c r="C4419" s="15"/>
      <c r="D4419" s="15"/>
      <c r="E4419" s="15"/>
      <c r="F4419" s="15"/>
      <c r="G4419" s="15"/>
      <c r="H4419" s="15"/>
      <c r="I4419" s="15"/>
      <c r="J4419" s="15"/>
      <c r="K4419" s="15"/>
      <c r="L4419" s="28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  <c r="AA4419" s="15"/>
      <c r="AB4419" s="15"/>
      <c r="AC4419" s="15"/>
      <c r="AD4419" s="15"/>
      <c r="AE4419" s="15"/>
      <c r="AF4419" s="15"/>
      <c r="AG4419" s="15"/>
      <c r="AH4419" s="15"/>
      <c r="AI4419" s="15"/>
      <c r="AJ4419" s="15"/>
      <c r="AK4419" s="15"/>
      <c r="AL4419" s="15"/>
      <c r="AM4419" s="15"/>
      <c r="AN4419" s="15"/>
      <c r="AO4419" s="15"/>
      <c r="AP4419" s="15"/>
      <c r="AQ4419" s="15"/>
      <c r="AR4419" s="15"/>
      <c r="AS4419" s="15"/>
      <c r="AT4419" s="15"/>
      <c r="AU4419" s="15"/>
      <c r="AV4419" s="15"/>
      <c r="AW4419" s="15"/>
    </row>
    <row r="4420" spans="3:49" x14ac:dyDescent="0.2">
      <c r="C4420" s="15"/>
      <c r="D4420" s="15"/>
      <c r="E4420" s="15"/>
      <c r="F4420" s="15"/>
      <c r="G4420" s="15"/>
      <c r="H4420" s="15"/>
      <c r="I4420" s="15"/>
      <c r="J4420" s="15"/>
      <c r="K4420" s="15"/>
      <c r="L4420" s="28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  <c r="AA4420" s="15"/>
      <c r="AB4420" s="15"/>
      <c r="AC4420" s="15"/>
      <c r="AD4420" s="15"/>
      <c r="AE4420" s="15"/>
      <c r="AF4420" s="15"/>
      <c r="AG4420" s="15"/>
      <c r="AH4420" s="15"/>
      <c r="AI4420" s="15"/>
      <c r="AJ4420" s="15"/>
      <c r="AK4420" s="15"/>
      <c r="AL4420" s="15"/>
      <c r="AM4420" s="15"/>
      <c r="AN4420" s="15"/>
      <c r="AO4420" s="15"/>
      <c r="AP4420" s="15"/>
      <c r="AQ4420" s="15"/>
      <c r="AR4420" s="15"/>
      <c r="AS4420" s="15"/>
      <c r="AT4420" s="15"/>
      <c r="AU4420" s="15"/>
      <c r="AV4420" s="15"/>
      <c r="AW4420" s="15"/>
    </row>
    <row r="4421" spans="3:49" x14ac:dyDescent="0.2">
      <c r="C4421" s="15"/>
      <c r="D4421" s="15"/>
      <c r="E4421" s="15"/>
      <c r="F4421" s="15"/>
      <c r="G4421" s="15"/>
      <c r="H4421" s="15"/>
      <c r="I4421" s="15"/>
      <c r="J4421" s="15"/>
      <c r="K4421" s="15"/>
      <c r="L4421" s="28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  <c r="AA4421" s="15"/>
      <c r="AB4421" s="15"/>
      <c r="AC4421" s="15"/>
      <c r="AD4421" s="15"/>
      <c r="AE4421" s="15"/>
      <c r="AF4421" s="15"/>
      <c r="AG4421" s="15"/>
      <c r="AH4421" s="15"/>
      <c r="AI4421" s="15"/>
      <c r="AJ4421" s="15"/>
      <c r="AK4421" s="15"/>
      <c r="AL4421" s="15"/>
      <c r="AM4421" s="15"/>
      <c r="AN4421" s="15"/>
      <c r="AO4421" s="15"/>
      <c r="AP4421" s="15"/>
      <c r="AQ4421" s="15"/>
      <c r="AR4421" s="15"/>
      <c r="AS4421" s="15"/>
      <c r="AT4421" s="15"/>
      <c r="AU4421" s="15"/>
      <c r="AV4421" s="15"/>
      <c r="AW4421" s="15"/>
    </row>
    <row r="4422" spans="3:49" x14ac:dyDescent="0.2">
      <c r="C4422" s="15"/>
      <c r="D4422" s="15"/>
      <c r="E4422" s="15"/>
      <c r="F4422" s="15"/>
      <c r="G4422" s="15"/>
      <c r="H4422" s="15"/>
      <c r="I4422" s="15"/>
      <c r="J4422" s="15"/>
      <c r="K4422" s="15"/>
      <c r="L4422" s="28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  <c r="AA4422" s="15"/>
      <c r="AB4422" s="15"/>
      <c r="AC4422" s="15"/>
      <c r="AD4422" s="15"/>
      <c r="AE4422" s="15"/>
      <c r="AF4422" s="15"/>
      <c r="AG4422" s="15"/>
      <c r="AH4422" s="15"/>
      <c r="AI4422" s="15"/>
      <c r="AJ4422" s="15"/>
      <c r="AK4422" s="15"/>
      <c r="AL4422" s="15"/>
      <c r="AM4422" s="15"/>
      <c r="AN4422" s="15"/>
      <c r="AO4422" s="15"/>
      <c r="AP4422" s="15"/>
      <c r="AQ4422" s="15"/>
      <c r="AR4422" s="15"/>
      <c r="AS4422" s="15"/>
      <c r="AT4422" s="15"/>
      <c r="AU4422" s="15"/>
      <c r="AV4422" s="15"/>
      <c r="AW4422" s="15"/>
    </row>
    <row r="4423" spans="3:49" x14ac:dyDescent="0.2">
      <c r="C4423" s="15"/>
      <c r="D4423" s="15"/>
      <c r="E4423" s="15"/>
      <c r="F4423" s="15"/>
      <c r="G4423" s="15"/>
      <c r="H4423" s="15"/>
      <c r="I4423" s="15"/>
      <c r="J4423" s="15"/>
      <c r="K4423" s="15"/>
      <c r="L4423" s="28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  <c r="AA4423" s="15"/>
      <c r="AB4423" s="15"/>
      <c r="AC4423" s="15"/>
      <c r="AD4423" s="15"/>
      <c r="AE4423" s="15"/>
      <c r="AF4423" s="15"/>
      <c r="AG4423" s="15"/>
      <c r="AH4423" s="15"/>
      <c r="AI4423" s="15"/>
      <c r="AJ4423" s="15"/>
      <c r="AK4423" s="15"/>
      <c r="AL4423" s="15"/>
      <c r="AM4423" s="15"/>
      <c r="AN4423" s="15"/>
      <c r="AO4423" s="15"/>
      <c r="AP4423" s="15"/>
      <c r="AQ4423" s="15"/>
      <c r="AR4423" s="15"/>
      <c r="AS4423" s="15"/>
      <c r="AT4423" s="15"/>
      <c r="AU4423" s="15"/>
      <c r="AV4423" s="15"/>
      <c r="AW4423" s="15"/>
    </row>
    <row r="4424" spans="3:49" x14ac:dyDescent="0.2">
      <c r="C4424" s="15"/>
      <c r="D4424" s="15"/>
      <c r="E4424" s="15"/>
      <c r="F4424" s="15"/>
      <c r="G4424" s="15"/>
      <c r="H4424" s="15"/>
      <c r="I4424" s="15"/>
      <c r="J4424" s="15"/>
      <c r="K4424" s="15"/>
      <c r="L4424" s="28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  <c r="AA4424" s="15"/>
      <c r="AB4424" s="15"/>
      <c r="AC4424" s="15"/>
      <c r="AD4424" s="15"/>
      <c r="AE4424" s="15"/>
      <c r="AF4424" s="15"/>
      <c r="AG4424" s="15"/>
      <c r="AH4424" s="15"/>
      <c r="AI4424" s="15"/>
      <c r="AJ4424" s="15"/>
      <c r="AK4424" s="15"/>
      <c r="AL4424" s="15"/>
      <c r="AM4424" s="15"/>
      <c r="AN4424" s="15"/>
      <c r="AO4424" s="15"/>
      <c r="AP4424" s="15"/>
      <c r="AQ4424" s="15"/>
      <c r="AR4424" s="15"/>
      <c r="AS4424" s="15"/>
      <c r="AT4424" s="15"/>
      <c r="AU4424" s="15"/>
      <c r="AV4424" s="15"/>
      <c r="AW4424" s="15"/>
    </row>
    <row r="4425" spans="3:49" x14ac:dyDescent="0.2">
      <c r="C4425" s="15"/>
      <c r="D4425" s="15"/>
      <c r="E4425" s="15"/>
      <c r="F4425" s="15"/>
      <c r="G4425" s="15"/>
      <c r="H4425" s="15"/>
      <c r="I4425" s="15"/>
      <c r="J4425" s="15"/>
      <c r="K4425" s="15"/>
      <c r="L4425" s="28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  <c r="AA4425" s="15"/>
      <c r="AB4425" s="15"/>
      <c r="AC4425" s="15"/>
      <c r="AD4425" s="15"/>
      <c r="AE4425" s="15"/>
      <c r="AF4425" s="15"/>
      <c r="AG4425" s="15"/>
      <c r="AH4425" s="15"/>
      <c r="AI4425" s="15"/>
      <c r="AJ4425" s="15"/>
      <c r="AK4425" s="15"/>
      <c r="AL4425" s="15"/>
      <c r="AM4425" s="15"/>
      <c r="AN4425" s="15"/>
      <c r="AO4425" s="15"/>
      <c r="AP4425" s="15"/>
      <c r="AQ4425" s="15"/>
      <c r="AR4425" s="15"/>
      <c r="AS4425" s="15"/>
      <c r="AT4425" s="15"/>
      <c r="AU4425" s="15"/>
      <c r="AV4425" s="15"/>
      <c r="AW4425" s="15"/>
    </row>
    <row r="4426" spans="3:49" x14ac:dyDescent="0.2">
      <c r="C4426" s="15"/>
      <c r="D4426" s="15"/>
      <c r="E4426" s="15"/>
      <c r="F4426" s="15"/>
      <c r="G4426" s="15"/>
      <c r="H4426" s="15"/>
      <c r="I4426" s="15"/>
      <c r="J4426" s="15"/>
      <c r="K4426" s="15"/>
      <c r="L4426" s="28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  <c r="AA4426" s="15"/>
      <c r="AB4426" s="15"/>
      <c r="AC4426" s="15"/>
      <c r="AD4426" s="15"/>
      <c r="AE4426" s="15"/>
      <c r="AF4426" s="15"/>
      <c r="AG4426" s="15"/>
      <c r="AH4426" s="15"/>
      <c r="AI4426" s="15"/>
      <c r="AJ4426" s="15"/>
      <c r="AK4426" s="15"/>
      <c r="AL4426" s="15"/>
      <c r="AM4426" s="15"/>
      <c r="AN4426" s="15"/>
      <c r="AO4426" s="15"/>
      <c r="AP4426" s="15"/>
      <c r="AQ4426" s="15"/>
      <c r="AR4426" s="15"/>
      <c r="AS4426" s="15"/>
      <c r="AT4426" s="15"/>
      <c r="AU4426" s="15"/>
      <c r="AV4426" s="15"/>
      <c r="AW4426" s="15"/>
    </row>
    <row r="4427" spans="3:49" x14ac:dyDescent="0.2">
      <c r="C4427" s="15"/>
      <c r="D4427" s="15"/>
      <c r="E4427" s="15"/>
      <c r="F4427" s="15"/>
      <c r="G4427" s="15"/>
      <c r="H4427" s="15"/>
      <c r="I4427" s="15"/>
      <c r="J4427" s="15"/>
      <c r="K4427" s="15"/>
      <c r="L4427" s="28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  <c r="AA4427" s="15"/>
      <c r="AB4427" s="15"/>
      <c r="AC4427" s="15"/>
      <c r="AD4427" s="15"/>
      <c r="AE4427" s="15"/>
      <c r="AF4427" s="15"/>
      <c r="AG4427" s="15"/>
      <c r="AH4427" s="15"/>
      <c r="AI4427" s="15"/>
      <c r="AJ4427" s="15"/>
      <c r="AK4427" s="15"/>
      <c r="AL4427" s="15"/>
      <c r="AM4427" s="15"/>
      <c r="AN4427" s="15"/>
      <c r="AO4427" s="15"/>
      <c r="AP4427" s="15"/>
      <c r="AQ4427" s="15"/>
      <c r="AR4427" s="15"/>
      <c r="AS4427" s="15"/>
      <c r="AT4427" s="15"/>
      <c r="AU4427" s="15"/>
      <c r="AV4427" s="15"/>
      <c r="AW4427" s="15"/>
    </row>
    <row r="4428" spans="3:49" x14ac:dyDescent="0.2">
      <c r="C4428" s="15"/>
      <c r="D4428" s="15"/>
      <c r="E4428" s="15"/>
      <c r="F4428" s="15"/>
      <c r="G4428" s="15"/>
      <c r="H4428" s="15"/>
      <c r="I4428" s="15"/>
      <c r="J4428" s="15"/>
      <c r="K4428" s="15"/>
      <c r="L4428" s="28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  <c r="AA4428" s="15"/>
      <c r="AB4428" s="15"/>
      <c r="AC4428" s="15"/>
      <c r="AD4428" s="15"/>
      <c r="AE4428" s="15"/>
      <c r="AF4428" s="15"/>
      <c r="AG4428" s="15"/>
      <c r="AH4428" s="15"/>
      <c r="AI4428" s="15"/>
      <c r="AJ4428" s="15"/>
      <c r="AK4428" s="15"/>
      <c r="AL4428" s="15"/>
      <c r="AM4428" s="15"/>
      <c r="AN4428" s="15"/>
      <c r="AO4428" s="15"/>
      <c r="AP4428" s="15"/>
      <c r="AQ4428" s="15"/>
      <c r="AR4428" s="15"/>
      <c r="AS4428" s="15"/>
      <c r="AT4428" s="15"/>
      <c r="AU4428" s="15"/>
      <c r="AV4428" s="15"/>
      <c r="AW4428" s="15"/>
    </row>
    <row r="4429" spans="3:49" x14ac:dyDescent="0.2">
      <c r="C4429" s="15"/>
      <c r="D4429" s="15"/>
      <c r="E4429" s="15"/>
      <c r="F4429" s="15"/>
      <c r="G4429" s="15"/>
      <c r="H4429" s="15"/>
      <c r="I4429" s="15"/>
      <c r="J4429" s="15"/>
      <c r="K4429" s="15"/>
      <c r="L4429" s="28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  <c r="AA4429" s="15"/>
      <c r="AB4429" s="15"/>
      <c r="AC4429" s="15"/>
      <c r="AD4429" s="15"/>
      <c r="AE4429" s="15"/>
      <c r="AF4429" s="15"/>
      <c r="AG4429" s="15"/>
      <c r="AH4429" s="15"/>
      <c r="AI4429" s="15"/>
      <c r="AJ4429" s="15"/>
      <c r="AK4429" s="15"/>
      <c r="AL4429" s="15"/>
      <c r="AM4429" s="15"/>
      <c r="AN4429" s="15"/>
      <c r="AO4429" s="15"/>
      <c r="AP4429" s="15"/>
      <c r="AQ4429" s="15"/>
      <c r="AR4429" s="15"/>
      <c r="AS4429" s="15"/>
      <c r="AT4429" s="15"/>
      <c r="AU4429" s="15"/>
      <c r="AV4429" s="15"/>
      <c r="AW4429" s="15"/>
    </row>
    <row r="4430" spans="3:49" x14ac:dyDescent="0.2">
      <c r="C4430" s="15"/>
      <c r="D4430" s="15"/>
      <c r="E4430" s="15"/>
      <c r="F4430" s="15"/>
      <c r="G4430" s="15"/>
      <c r="H4430" s="15"/>
      <c r="I4430" s="15"/>
      <c r="J4430" s="15"/>
      <c r="K4430" s="15"/>
      <c r="L4430" s="28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  <c r="AA4430" s="15"/>
      <c r="AB4430" s="15"/>
      <c r="AC4430" s="15"/>
      <c r="AD4430" s="15"/>
      <c r="AE4430" s="15"/>
      <c r="AF4430" s="15"/>
      <c r="AG4430" s="15"/>
      <c r="AH4430" s="15"/>
      <c r="AI4430" s="15"/>
      <c r="AJ4430" s="15"/>
      <c r="AK4430" s="15"/>
      <c r="AL4430" s="15"/>
      <c r="AM4430" s="15"/>
      <c r="AN4430" s="15"/>
      <c r="AO4430" s="15"/>
      <c r="AP4430" s="15"/>
      <c r="AQ4430" s="15"/>
      <c r="AR4430" s="15"/>
      <c r="AS4430" s="15"/>
      <c r="AT4430" s="15"/>
      <c r="AU4430" s="15"/>
      <c r="AV4430" s="15"/>
      <c r="AW4430" s="15"/>
    </row>
    <row r="4431" spans="3:49" x14ac:dyDescent="0.2">
      <c r="C4431" s="15"/>
      <c r="D4431" s="15"/>
      <c r="E4431" s="15"/>
      <c r="F4431" s="15"/>
      <c r="G4431" s="15"/>
      <c r="H4431" s="15"/>
      <c r="I4431" s="15"/>
      <c r="J4431" s="15"/>
      <c r="K4431" s="15"/>
      <c r="L4431" s="28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  <c r="AA4431" s="15"/>
      <c r="AB4431" s="15"/>
      <c r="AC4431" s="15"/>
      <c r="AD4431" s="15"/>
      <c r="AE4431" s="15"/>
      <c r="AF4431" s="15"/>
      <c r="AG4431" s="15"/>
      <c r="AH4431" s="15"/>
      <c r="AI4431" s="15"/>
      <c r="AJ4431" s="15"/>
      <c r="AK4431" s="15"/>
      <c r="AL4431" s="15"/>
      <c r="AM4431" s="15"/>
      <c r="AN4431" s="15"/>
      <c r="AO4431" s="15"/>
      <c r="AP4431" s="15"/>
      <c r="AQ4431" s="15"/>
      <c r="AR4431" s="15"/>
      <c r="AS4431" s="15"/>
      <c r="AT4431" s="15"/>
      <c r="AU4431" s="15"/>
      <c r="AV4431" s="15"/>
      <c r="AW4431" s="15"/>
    </row>
    <row r="4432" spans="3:49" x14ac:dyDescent="0.2">
      <c r="C4432" s="15"/>
      <c r="D4432" s="15"/>
      <c r="E4432" s="15"/>
      <c r="F4432" s="15"/>
      <c r="G4432" s="15"/>
      <c r="H4432" s="15"/>
      <c r="I4432" s="15"/>
      <c r="J4432" s="15"/>
      <c r="K4432" s="15"/>
      <c r="L4432" s="28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  <c r="AA4432" s="15"/>
      <c r="AB4432" s="15"/>
      <c r="AC4432" s="15"/>
      <c r="AD4432" s="15"/>
      <c r="AE4432" s="15"/>
      <c r="AF4432" s="15"/>
      <c r="AG4432" s="15"/>
      <c r="AH4432" s="15"/>
      <c r="AI4432" s="15"/>
      <c r="AJ4432" s="15"/>
      <c r="AK4432" s="15"/>
      <c r="AL4432" s="15"/>
      <c r="AM4432" s="15"/>
      <c r="AN4432" s="15"/>
      <c r="AO4432" s="15"/>
      <c r="AP4432" s="15"/>
      <c r="AQ4432" s="15"/>
      <c r="AR4432" s="15"/>
      <c r="AS4432" s="15"/>
      <c r="AT4432" s="15"/>
      <c r="AU4432" s="15"/>
      <c r="AV4432" s="15"/>
      <c r="AW4432" s="15"/>
    </row>
    <row r="4433" spans="3:49" x14ac:dyDescent="0.2">
      <c r="C4433" s="15"/>
      <c r="D4433" s="15"/>
      <c r="E4433" s="15"/>
      <c r="F4433" s="15"/>
      <c r="G4433" s="15"/>
      <c r="H4433" s="15"/>
      <c r="I4433" s="15"/>
      <c r="J4433" s="15"/>
      <c r="K4433" s="15"/>
      <c r="L4433" s="28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  <c r="AA4433" s="15"/>
      <c r="AB4433" s="15"/>
      <c r="AC4433" s="15"/>
      <c r="AD4433" s="15"/>
      <c r="AE4433" s="15"/>
      <c r="AF4433" s="15"/>
      <c r="AG4433" s="15"/>
      <c r="AH4433" s="15"/>
      <c r="AI4433" s="15"/>
      <c r="AJ4433" s="15"/>
      <c r="AK4433" s="15"/>
      <c r="AL4433" s="15"/>
      <c r="AM4433" s="15"/>
      <c r="AN4433" s="15"/>
      <c r="AO4433" s="15"/>
      <c r="AP4433" s="15"/>
      <c r="AQ4433" s="15"/>
      <c r="AR4433" s="15"/>
      <c r="AS4433" s="15"/>
      <c r="AT4433" s="15"/>
      <c r="AU4433" s="15"/>
      <c r="AV4433" s="15"/>
      <c r="AW4433" s="15"/>
    </row>
    <row r="4434" spans="3:49" x14ac:dyDescent="0.2">
      <c r="C4434" s="15"/>
      <c r="D4434" s="15"/>
      <c r="E4434" s="15"/>
      <c r="F4434" s="15"/>
      <c r="G4434" s="15"/>
      <c r="H4434" s="15"/>
      <c r="I4434" s="15"/>
      <c r="J4434" s="15"/>
      <c r="K4434" s="15"/>
      <c r="L4434" s="28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  <c r="AA4434" s="15"/>
      <c r="AB4434" s="15"/>
      <c r="AC4434" s="15"/>
      <c r="AD4434" s="15"/>
      <c r="AE4434" s="15"/>
      <c r="AF4434" s="15"/>
      <c r="AG4434" s="15"/>
      <c r="AH4434" s="15"/>
      <c r="AI4434" s="15"/>
      <c r="AJ4434" s="15"/>
      <c r="AK4434" s="15"/>
      <c r="AL4434" s="15"/>
      <c r="AM4434" s="15"/>
      <c r="AN4434" s="15"/>
      <c r="AO4434" s="15"/>
      <c r="AP4434" s="15"/>
      <c r="AQ4434" s="15"/>
      <c r="AR4434" s="15"/>
      <c r="AS4434" s="15"/>
      <c r="AT4434" s="15"/>
      <c r="AU4434" s="15"/>
      <c r="AV4434" s="15"/>
      <c r="AW4434" s="15"/>
    </row>
    <row r="4435" spans="3:49" x14ac:dyDescent="0.2">
      <c r="C4435" s="15"/>
      <c r="D4435" s="15"/>
      <c r="E4435" s="15"/>
      <c r="F4435" s="15"/>
      <c r="G4435" s="15"/>
      <c r="H4435" s="15"/>
      <c r="I4435" s="15"/>
      <c r="J4435" s="15"/>
      <c r="K4435" s="15"/>
      <c r="L4435" s="28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  <c r="AA4435" s="15"/>
      <c r="AB4435" s="15"/>
      <c r="AC4435" s="15"/>
      <c r="AD4435" s="15"/>
      <c r="AE4435" s="15"/>
      <c r="AF4435" s="15"/>
      <c r="AG4435" s="15"/>
      <c r="AH4435" s="15"/>
      <c r="AI4435" s="15"/>
      <c r="AJ4435" s="15"/>
      <c r="AK4435" s="15"/>
      <c r="AL4435" s="15"/>
      <c r="AM4435" s="15"/>
      <c r="AN4435" s="15"/>
      <c r="AO4435" s="15"/>
      <c r="AP4435" s="15"/>
      <c r="AQ4435" s="15"/>
      <c r="AR4435" s="15"/>
      <c r="AS4435" s="15"/>
      <c r="AT4435" s="15"/>
      <c r="AU4435" s="15"/>
      <c r="AV4435" s="15"/>
      <c r="AW4435" s="15"/>
    </row>
    <row r="4436" spans="3:49" x14ac:dyDescent="0.2">
      <c r="C4436" s="15"/>
      <c r="D4436" s="15"/>
      <c r="E4436" s="15"/>
      <c r="F4436" s="15"/>
      <c r="G4436" s="15"/>
      <c r="H4436" s="15"/>
      <c r="I4436" s="15"/>
      <c r="J4436" s="15"/>
      <c r="K4436" s="15"/>
      <c r="L4436" s="28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  <c r="AA4436" s="15"/>
      <c r="AB4436" s="15"/>
      <c r="AC4436" s="15"/>
      <c r="AD4436" s="15"/>
      <c r="AE4436" s="15"/>
      <c r="AF4436" s="15"/>
      <c r="AG4436" s="15"/>
      <c r="AH4436" s="15"/>
      <c r="AI4436" s="15"/>
      <c r="AJ4436" s="15"/>
      <c r="AK4436" s="15"/>
      <c r="AL4436" s="15"/>
      <c r="AM4436" s="15"/>
      <c r="AN4436" s="15"/>
      <c r="AO4436" s="15"/>
      <c r="AP4436" s="15"/>
      <c r="AQ4436" s="15"/>
      <c r="AR4436" s="15"/>
      <c r="AS4436" s="15"/>
      <c r="AT4436" s="15"/>
      <c r="AU4436" s="15"/>
      <c r="AV4436" s="15"/>
      <c r="AW4436" s="15"/>
    </row>
    <row r="4437" spans="3:49" x14ac:dyDescent="0.2">
      <c r="C4437" s="15"/>
      <c r="D4437" s="15"/>
      <c r="E4437" s="15"/>
      <c r="F4437" s="15"/>
      <c r="G4437" s="15"/>
      <c r="H4437" s="15"/>
      <c r="I4437" s="15"/>
      <c r="J4437" s="15"/>
      <c r="K4437" s="15"/>
      <c r="L4437" s="28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  <c r="AA4437" s="15"/>
      <c r="AB4437" s="15"/>
      <c r="AC4437" s="15"/>
      <c r="AD4437" s="15"/>
      <c r="AE4437" s="15"/>
      <c r="AF4437" s="15"/>
      <c r="AG4437" s="15"/>
      <c r="AH4437" s="15"/>
      <c r="AI4437" s="15"/>
      <c r="AJ4437" s="15"/>
      <c r="AK4437" s="15"/>
      <c r="AL4437" s="15"/>
      <c r="AM4437" s="15"/>
      <c r="AN4437" s="15"/>
      <c r="AO4437" s="15"/>
      <c r="AP4437" s="15"/>
      <c r="AQ4437" s="15"/>
      <c r="AR4437" s="15"/>
      <c r="AS4437" s="15"/>
      <c r="AT4437" s="15"/>
      <c r="AU4437" s="15"/>
      <c r="AV4437" s="15"/>
      <c r="AW4437" s="15"/>
    </row>
    <row r="4438" spans="3:49" x14ac:dyDescent="0.2">
      <c r="C4438" s="15"/>
      <c r="D4438" s="15"/>
      <c r="E4438" s="15"/>
      <c r="F4438" s="15"/>
      <c r="G4438" s="15"/>
      <c r="H4438" s="15"/>
      <c r="I4438" s="15"/>
      <c r="J4438" s="15"/>
      <c r="K4438" s="15"/>
      <c r="L4438" s="28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  <c r="AA4438" s="15"/>
      <c r="AB4438" s="15"/>
      <c r="AC4438" s="15"/>
      <c r="AD4438" s="15"/>
      <c r="AE4438" s="15"/>
      <c r="AF4438" s="15"/>
      <c r="AG4438" s="15"/>
      <c r="AH4438" s="15"/>
      <c r="AI4438" s="15"/>
      <c r="AJ4438" s="15"/>
      <c r="AK4438" s="15"/>
      <c r="AL4438" s="15"/>
      <c r="AM4438" s="15"/>
      <c r="AN4438" s="15"/>
      <c r="AO4438" s="15"/>
      <c r="AP4438" s="15"/>
      <c r="AQ4438" s="15"/>
      <c r="AR4438" s="15"/>
      <c r="AS4438" s="15"/>
      <c r="AT4438" s="15"/>
      <c r="AU4438" s="15"/>
      <c r="AV4438" s="15"/>
      <c r="AW4438" s="15"/>
    </row>
    <row r="4439" spans="3:49" x14ac:dyDescent="0.2">
      <c r="C4439" s="15"/>
      <c r="D4439" s="15"/>
      <c r="E4439" s="15"/>
      <c r="F4439" s="15"/>
      <c r="G4439" s="15"/>
      <c r="H4439" s="15"/>
      <c r="I4439" s="15"/>
      <c r="J4439" s="15"/>
      <c r="K4439" s="15"/>
      <c r="L4439" s="28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  <c r="AA4439" s="15"/>
      <c r="AB4439" s="15"/>
      <c r="AC4439" s="15"/>
      <c r="AD4439" s="15"/>
      <c r="AE4439" s="15"/>
      <c r="AF4439" s="15"/>
      <c r="AG4439" s="15"/>
      <c r="AH4439" s="15"/>
      <c r="AI4439" s="15"/>
      <c r="AJ4439" s="15"/>
      <c r="AK4439" s="15"/>
      <c r="AL4439" s="15"/>
      <c r="AM4439" s="15"/>
      <c r="AN4439" s="15"/>
      <c r="AO4439" s="15"/>
      <c r="AP4439" s="15"/>
      <c r="AQ4439" s="15"/>
      <c r="AR4439" s="15"/>
      <c r="AS4439" s="15"/>
      <c r="AT4439" s="15"/>
      <c r="AU4439" s="15"/>
      <c r="AV4439" s="15"/>
      <c r="AW4439" s="15"/>
    </row>
    <row r="4440" spans="3:49" x14ac:dyDescent="0.2">
      <c r="C4440" s="15"/>
      <c r="D4440" s="15"/>
      <c r="E4440" s="15"/>
      <c r="F4440" s="15"/>
      <c r="G4440" s="15"/>
      <c r="H4440" s="15"/>
      <c r="I4440" s="15"/>
      <c r="J4440" s="15"/>
      <c r="K4440" s="15"/>
      <c r="L4440" s="28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  <c r="AA4440" s="15"/>
      <c r="AB4440" s="15"/>
      <c r="AC4440" s="15"/>
      <c r="AD4440" s="15"/>
      <c r="AE4440" s="15"/>
      <c r="AF4440" s="15"/>
      <c r="AG4440" s="15"/>
      <c r="AH4440" s="15"/>
      <c r="AI4440" s="15"/>
      <c r="AJ4440" s="15"/>
      <c r="AK4440" s="15"/>
      <c r="AL4440" s="15"/>
      <c r="AM4440" s="15"/>
      <c r="AN4440" s="15"/>
      <c r="AO4440" s="15"/>
      <c r="AP4440" s="15"/>
      <c r="AQ4440" s="15"/>
      <c r="AR4440" s="15"/>
      <c r="AS4440" s="15"/>
      <c r="AT4440" s="15"/>
      <c r="AU4440" s="15"/>
      <c r="AV4440" s="15"/>
      <c r="AW4440" s="15"/>
    </row>
    <row r="4441" spans="3:49" x14ac:dyDescent="0.2">
      <c r="C4441" s="15"/>
      <c r="D4441" s="15"/>
      <c r="E4441" s="15"/>
      <c r="F4441" s="15"/>
      <c r="G4441" s="15"/>
      <c r="H4441" s="15"/>
      <c r="I4441" s="15"/>
      <c r="J4441" s="15"/>
      <c r="K4441" s="15"/>
      <c r="L4441" s="28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  <c r="AA4441" s="15"/>
      <c r="AB4441" s="15"/>
      <c r="AC4441" s="15"/>
      <c r="AD4441" s="15"/>
      <c r="AE4441" s="15"/>
      <c r="AF4441" s="15"/>
      <c r="AG4441" s="15"/>
      <c r="AH4441" s="15"/>
      <c r="AI4441" s="15"/>
      <c r="AJ4441" s="15"/>
      <c r="AK4441" s="15"/>
      <c r="AL4441" s="15"/>
      <c r="AM4441" s="15"/>
      <c r="AN4441" s="15"/>
      <c r="AO4441" s="15"/>
      <c r="AP4441" s="15"/>
      <c r="AQ4441" s="15"/>
      <c r="AR4441" s="15"/>
      <c r="AS4441" s="15"/>
      <c r="AT4441" s="15"/>
      <c r="AU4441" s="15"/>
      <c r="AV4441" s="15"/>
      <c r="AW4441" s="15"/>
    </row>
    <row r="4442" spans="3:49" x14ac:dyDescent="0.2">
      <c r="C4442" s="15"/>
      <c r="D4442" s="15"/>
      <c r="E4442" s="15"/>
      <c r="F4442" s="15"/>
      <c r="G4442" s="15"/>
      <c r="H4442" s="15"/>
      <c r="I4442" s="15"/>
      <c r="J4442" s="15"/>
      <c r="K4442" s="15"/>
      <c r="L4442" s="28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  <c r="AA4442" s="15"/>
      <c r="AB4442" s="15"/>
      <c r="AC4442" s="15"/>
      <c r="AD4442" s="15"/>
      <c r="AE4442" s="15"/>
      <c r="AF4442" s="15"/>
      <c r="AG4442" s="15"/>
      <c r="AH4442" s="15"/>
      <c r="AI4442" s="15"/>
      <c r="AJ4442" s="15"/>
      <c r="AK4442" s="15"/>
      <c r="AL4442" s="15"/>
      <c r="AM4442" s="15"/>
      <c r="AN4442" s="15"/>
      <c r="AO4442" s="15"/>
      <c r="AP4442" s="15"/>
      <c r="AQ4442" s="15"/>
      <c r="AR4442" s="15"/>
      <c r="AS4442" s="15"/>
      <c r="AT4442" s="15"/>
      <c r="AU4442" s="15"/>
      <c r="AV4442" s="15"/>
      <c r="AW4442" s="15"/>
    </row>
    <row r="4443" spans="3:49" x14ac:dyDescent="0.2">
      <c r="C4443" s="15"/>
      <c r="D4443" s="15"/>
      <c r="E4443" s="15"/>
      <c r="F4443" s="15"/>
      <c r="G4443" s="15"/>
      <c r="H4443" s="15"/>
      <c r="I4443" s="15"/>
      <c r="J4443" s="15"/>
      <c r="K4443" s="15"/>
      <c r="L4443" s="28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  <c r="AA4443" s="15"/>
      <c r="AB4443" s="15"/>
      <c r="AC4443" s="15"/>
      <c r="AD4443" s="15"/>
      <c r="AE4443" s="15"/>
      <c r="AF4443" s="15"/>
      <c r="AG4443" s="15"/>
      <c r="AH4443" s="15"/>
      <c r="AI4443" s="15"/>
      <c r="AJ4443" s="15"/>
      <c r="AK4443" s="15"/>
      <c r="AL4443" s="15"/>
      <c r="AM4443" s="15"/>
      <c r="AN4443" s="15"/>
      <c r="AO4443" s="15"/>
      <c r="AP4443" s="15"/>
      <c r="AQ4443" s="15"/>
      <c r="AR4443" s="15"/>
      <c r="AS4443" s="15"/>
      <c r="AT4443" s="15"/>
      <c r="AU4443" s="15"/>
      <c r="AV4443" s="15"/>
      <c r="AW4443" s="15"/>
    </row>
    <row r="4444" spans="3:49" x14ac:dyDescent="0.2">
      <c r="C4444" s="15"/>
      <c r="D4444" s="15"/>
      <c r="E4444" s="15"/>
      <c r="F4444" s="15"/>
      <c r="G4444" s="15"/>
      <c r="H4444" s="15"/>
      <c r="I4444" s="15"/>
      <c r="J4444" s="15"/>
      <c r="K4444" s="15"/>
      <c r="L4444" s="28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  <c r="AA4444" s="15"/>
      <c r="AB4444" s="15"/>
      <c r="AC4444" s="15"/>
      <c r="AD4444" s="15"/>
      <c r="AE4444" s="15"/>
      <c r="AF4444" s="15"/>
      <c r="AG4444" s="15"/>
      <c r="AH4444" s="15"/>
      <c r="AI4444" s="15"/>
      <c r="AJ4444" s="15"/>
      <c r="AK4444" s="15"/>
      <c r="AL4444" s="15"/>
      <c r="AM4444" s="15"/>
      <c r="AN4444" s="15"/>
      <c r="AO4444" s="15"/>
      <c r="AP4444" s="15"/>
      <c r="AQ4444" s="15"/>
      <c r="AR4444" s="15"/>
      <c r="AS4444" s="15"/>
      <c r="AT4444" s="15"/>
      <c r="AU4444" s="15"/>
      <c r="AV4444" s="15"/>
      <c r="AW4444" s="15"/>
    </row>
    <row r="4445" spans="3:49" x14ac:dyDescent="0.2">
      <c r="C4445" s="15"/>
      <c r="D4445" s="15"/>
      <c r="E4445" s="15"/>
      <c r="F4445" s="15"/>
      <c r="G4445" s="15"/>
      <c r="H4445" s="15"/>
      <c r="I4445" s="15"/>
      <c r="J4445" s="15"/>
      <c r="K4445" s="15"/>
      <c r="L4445" s="28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  <c r="AA4445" s="15"/>
      <c r="AB4445" s="15"/>
      <c r="AC4445" s="15"/>
      <c r="AD4445" s="15"/>
      <c r="AE4445" s="15"/>
      <c r="AF4445" s="15"/>
      <c r="AG4445" s="15"/>
      <c r="AH4445" s="15"/>
      <c r="AI4445" s="15"/>
      <c r="AJ4445" s="15"/>
      <c r="AK4445" s="15"/>
      <c r="AL4445" s="15"/>
      <c r="AM4445" s="15"/>
      <c r="AN4445" s="15"/>
      <c r="AO4445" s="15"/>
      <c r="AP4445" s="15"/>
      <c r="AQ4445" s="15"/>
      <c r="AR4445" s="15"/>
      <c r="AS4445" s="15"/>
      <c r="AT4445" s="15"/>
      <c r="AU4445" s="15"/>
      <c r="AV4445" s="15"/>
      <c r="AW4445" s="15"/>
    </row>
    <row r="4446" spans="3:49" x14ac:dyDescent="0.2">
      <c r="C4446" s="15"/>
      <c r="D4446" s="15"/>
      <c r="E4446" s="15"/>
      <c r="F4446" s="15"/>
      <c r="G4446" s="15"/>
      <c r="H4446" s="15"/>
      <c r="I4446" s="15"/>
      <c r="J4446" s="15"/>
      <c r="K4446" s="15"/>
      <c r="L4446" s="28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  <c r="AA4446" s="15"/>
      <c r="AB4446" s="15"/>
      <c r="AC4446" s="15"/>
      <c r="AD4446" s="15"/>
      <c r="AE4446" s="15"/>
      <c r="AF4446" s="15"/>
      <c r="AG4446" s="15"/>
      <c r="AH4446" s="15"/>
      <c r="AI4446" s="15"/>
      <c r="AJ4446" s="15"/>
      <c r="AK4446" s="15"/>
      <c r="AL4446" s="15"/>
      <c r="AM4446" s="15"/>
      <c r="AN4446" s="15"/>
      <c r="AO4446" s="15"/>
      <c r="AP4446" s="15"/>
      <c r="AQ4446" s="15"/>
      <c r="AR4446" s="15"/>
      <c r="AS4446" s="15"/>
      <c r="AT4446" s="15"/>
      <c r="AU4446" s="15"/>
      <c r="AV4446" s="15"/>
      <c r="AW4446" s="15"/>
    </row>
    <row r="4447" spans="3:49" x14ac:dyDescent="0.2">
      <c r="C4447" s="15"/>
      <c r="D4447" s="15"/>
      <c r="E4447" s="15"/>
      <c r="F4447" s="15"/>
      <c r="G4447" s="15"/>
      <c r="H4447" s="15"/>
      <c r="I4447" s="15"/>
      <c r="J4447" s="15"/>
      <c r="K4447" s="15"/>
      <c r="L4447" s="28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  <c r="AA4447" s="15"/>
      <c r="AB4447" s="15"/>
      <c r="AC4447" s="15"/>
      <c r="AD4447" s="15"/>
      <c r="AE4447" s="15"/>
      <c r="AF4447" s="15"/>
      <c r="AG4447" s="15"/>
      <c r="AH4447" s="15"/>
      <c r="AI4447" s="15"/>
      <c r="AJ4447" s="15"/>
      <c r="AK4447" s="15"/>
      <c r="AL4447" s="15"/>
      <c r="AM4447" s="15"/>
      <c r="AN4447" s="15"/>
      <c r="AO4447" s="15"/>
      <c r="AP4447" s="15"/>
      <c r="AQ4447" s="15"/>
      <c r="AR4447" s="15"/>
      <c r="AS4447" s="15"/>
      <c r="AT4447" s="15"/>
      <c r="AU4447" s="15"/>
      <c r="AV4447" s="15"/>
      <c r="AW4447" s="15"/>
    </row>
    <row r="4448" spans="3:49" x14ac:dyDescent="0.2">
      <c r="C4448" s="15"/>
      <c r="D4448" s="15"/>
      <c r="E4448" s="15"/>
      <c r="F4448" s="15"/>
      <c r="G4448" s="15"/>
      <c r="H4448" s="15"/>
      <c r="I4448" s="15"/>
      <c r="J4448" s="15"/>
      <c r="K4448" s="15"/>
      <c r="L4448" s="28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  <c r="AA4448" s="15"/>
      <c r="AB4448" s="15"/>
      <c r="AC4448" s="15"/>
      <c r="AD4448" s="15"/>
      <c r="AE4448" s="15"/>
      <c r="AF4448" s="15"/>
      <c r="AG4448" s="15"/>
      <c r="AH4448" s="15"/>
      <c r="AI4448" s="15"/>
      <c r="AJ4448" s="15"/>
      <c r="AK4448" s="15"/>
      <c r="AL4448" s="15"/>
      <c r="AM4448" s="15"/>
      <c r="AN4448" s="15"/>
      <c r="AO4448" s="15"/>
      <c r="AP4448" s="15"/>
      <c r="AQ4448" s="15"/>
      <c r="AR4448" s="15"/>
      <c r="AS4448" s="15"/>
      <c r="AT4448" s="15"/>
      <c r="AU4448" s="15"/>
      <c r="AV4448" s="15"/>
      <c r="AW4448" s="15"/>
    </row>
    <row r="4449" spans="3:49" x14ac:dyDescent="0.2">
      <c r="C4449" s="15"/>
      <c r="D4449" s="15"/>
      <c r="E4449" s="15"/>
      <c r="F4449" s="15"/>
      <c r="G4449" s="15"/>
      <c r="H4449" s="15"/>
      <c r="I4449" s="15"/>
      <c r="J4449" s="15"/>
      <c r="K4449" s="15"/>
      <c r="L4449" s="28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  <c r="AA4449" s="15"/>
      <c r="AB4449" s="15"/>
      <c r="AC4449" s="15"/>
      <c r="AD4449" s="15"/>
      <c r="AE4449" s="15"/>
      <c r="AF4449" s="15"/>
      <c r="AG4449" s="15"/>
      <c r="AH4449" s="15"/>
      <c r="AI4449" s="15"/>
      <c r="AJ4449" s="15"/>
      <c r="AK4449" s="15"/>
      <c r="AL4449" s="15"/>
      <c r="AM4449" s="15"/>
      <c r="AN4449" s="15"/>
      <c r="AO4449" s="15"/>
      <c r="AP4449" s="15"/>
      <c r="AQ4449" s="15"/>
      <c r="AR4449" s="15"/>
      <c r="AS4449" s="15"/>
      <c r="AT4449" s="15"/>
      <c r="AU4449" s="15"/>
      <c r="AV4449" s="15"/>
      <c r="AW4449" s="15"/>
    </row>
    <row r="4450" spans="3:49" x14ac:dyDescent="0.2">
      <c r="C4450" s="15"/>
      <c r="D4450" s="15"/>
      <c r="E4450" s="15"/>
      <c r="F4450" s="15"/>
      <c r="G4450" s="15"/>
      <c r="H4450" s="15"/>
      <c r="I4450" s="15"/>
      <c r="J4450" s="15"/>
      <c r="K4450" s="15"/>
      <c r="L4450" s="28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  <c r="AA4450" s="15"/>
      <c r="AB4450" s="15"/>
      <c r="AC4450" s="15"/>
      <c r="AD4450" s="15"/>
      <c r="AE4450" s="15"/>
      <c r="AF4450" s="15"/>
      <c r="AG4450" s="15"/>
      <c r="AH4450" s="15"/>
      <c r="AI4450" s="15"/>
      <c r="AJ4450" s="15"/>
      <c r="AK4450" s="15"/>
      <c r="AL4450" s="15"/>
      <c r="AM4450" s="15"/>
      <c r="AN4450" s="15"/>
      <c r="AO4450" s="15"/>
      <c r="AP4450" s="15"/>
      <c r="AQ4450" s="15"/>
      <c r="AR4450" s="15"/>
      <c r="AS4450" s="15"/>
      <c r="AT4450" s="15"/>
      <c r="AU4450" s="15"/>
      <c r="AV4450" s="15"/>
      <c r="AW4450" s="15"/>
    </row>
    <row r="4451" spans="3:49" x14ac:dyDescent="0.2">
      <c r="C4451" s="15"/>
      <c r="D4451" s="15"/>
      <c r="E4451" s="15"/>
      <c r="F4451" s="15"/>
      <c r="G4451" s="15"/>
      <c r="H4451" s="15"/>
      <c r="I4451" s="15"/>
      <c r="J4451" s="15"/>
      <c r="K4451" s="15"/>
      <c r="L4451" s="28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  <c r="AA4451" s="15"/>
      <c r="AB4451" s="15"/>
      <c r="AC4451" s="15"/>
      <c r="AD4451" s="15"/>
      <c r="AE4451" s="15"/>
      <c r="AF4451" s="15"/>
      <c r="AG4451" s="15"/>
      <c r="AH4451" s="15"/>
      <c r="AI4451" s="15"/>
      <c r="AJ4451" s="15"/>
      <c r="AK4451" s="15"/>
      <c r="AL4451" s="15"/>
      <c r="AM4451" s="15"/>
      <c r="AN4451" s="15"/>
      <c r="AO4451" s="15"/>
      <c r="AP4451" s="15"/>
      <c r="AQ4451" s="15"/>
      <c r="AR4451" s="15"/>
      <c r="AS4451" s="15"/>
      <c r="AT4451" s="15"/>
      <c r="AU4451" s="15"/>
      <c r="AV4451" s="15"/>
      <c r="AW4451" s="15"/>
    </row>
    <row r="4452" spans="3:49" x14ac:dyDescent="0.2">
      <c r="C4452" s="15"/>
      <c r="D4452" s="15"/>
      <c r="E4452" s="15"/>
      <c r="F4452" s="15"/>
      <c r="G4452" s="15"/>
      <c r="H4452" s="15"/>
      <c r="I4452" s="15"/>
      <c r="J4452" s="15"/>
      <c r="K4452" s="15"/>
      <c r="L4452" s="28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  <c r="AA4452" s="15"/>
      <c r="AB4452" s="15"/>
      <c r="AC4452" s="15"/>
      <c r="AD4452" s="15"/>
      <c r="AE4452" s="15"/>
      <c r="AF4452" s="15"/>
      <c r="AG4452" s="15"/>
      <c r="AH4452" s="15"/>
      <c r="AI4452" s="15"/>
      <c r="AJ4452" s="15"/>
      <c r="AK4452" s="15"/>
      <c r="AL4452" s="15"/>
      <c r="AM4452" s="15"/>
      <c r="AN4452" s="15"/>
      <c r="AO4452" s="15"/>
      <c r="AP4452" s="15"/>
      <c r="AQ4452" s="15"/>
      <c r="AR4452" s="15"/>
      <c r="AS4452" s="15"/>
      <c r="AT4452" s="15"/>
      <c r="AU4452" s="15"/>
      <c r="AV4452" s="15"/>
      <c r="AW4452" s="15"/>
    </row>
    <row r="4453" spans="3:49" x14ac:dyDescent="0.2">
      <c r="C4453" s="15"/>
      <c r="D4453" s="15"/>
      <c r="E4453" s="15"/>
      <c r="F4453" s="15"/>
      <c r="G4453" s="15"/>
      <c r="H4453" s="15"/>
      <c r="I4453" s="15"/>
      <c r="J4453" s="15"/>
      <c r="K4453" s="15"/>
      <c r="L4453" s="28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  <c r="AA4453" s="15"/>
      <c r="AB4453" s="15"/>
      <c r="AC4453" s="15"/>
      <c r="AD4453" s="15"/>
      <c r="AE4453" s="15"/>
      <c r="AF4453" s="15"/>
      <c r="AG4453" s="15"/>
      <c r="AH4453" s="15"/>
      <c r="AI4453" s="15"/>
      <c r="AJ4453" s="15"/>
      <c r="AK4453" s="15"/>
      <c r="AL4453" s="15"/>
      <c r="AM4453" s="15"/>
      <c r="AN4453" s="15"/>
      <c r="AO4453" s="15"/>
      <c r="AP4453" s="15"/>
      <c r="AQ4453" s="15"/>
      <c r="AR4453" s="15"/>
      <c r="AS4453" s="15"/>
      <c r="AT4453" s="15"/>
      <c r="AU4453" s="15"/>
      <c r="AV4453" s="15"/>
      <c r="AW4453" s="15"/>
    </row>
    <row r="4454" spans="3:49" x14ac:dyDescent="0.2">
      <c r="C4454" s="15"/>
      <c r="D4454" s="15"/>
      <c r="E4454" s="15"/>
      <c r="F4454" s="15"/>
      <c r="G4454" s="15"/>
      <c r="H4454" s="15"/>
      <c r="I4454" s="15"/>
      <c r="J4454" s="15"/>
      <c r="K4454" s="15"/>
      <c r="L4454" s="28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  <c r="AA4454" s="15"/>
      <c r="AB4454" s="15"/>
      <c r="AC4454" s="15"/>
      <c r="AD4454" s="15"/>
      <c r="AE4454" s="15"/>
      <c r="AF4454" s="15"/>
      <c r="AG4454" s="15"/>
      <c r="AH4454" s="15"/>
      <c r="AI4454" s="15"/>
      <c r="AJ4454" s="15"/>
      <c r="AK4454" s="15"/>
      <c r="AL4454" s="15"/>
      <c r="AM4454" s="15"/>
      <c r="AN4454" s="15"/>
      <c r="AO4454" s="15"/>
      <c r="AP4454" s="15"/>
      <c r="AQ4454" s="15"/>
      <c r="AR4454" s="15"/>
      <c r="AS4454" s="15"/>
      <c r="AT4454" s="15"/>
      <c r="AU4454" s="15"/>
      <c r="AV4454" s="15"/>
      <c r="AW4454" s="15"/>
    </row>
    <row r="4455" spans="3:49" x14ac:dyDescent="0.2">
      <c r="C4455" s="15"/>
      <c r="D4455" s="15"/>
      <c r="E4455" s="15"/>
      <c r="F4455" s="15"/>
      <c r="G4455" s="15"/>
      <c r="H4455" s="15"/>
      <c r="I4455" s="15"/>
      <c r="J4455" s="15"/>
      <c r="K4455" s="15"/>
      <c r="L4455" s="28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  <c r="AA4455" s="15"/>
      <c r="AB4455" s="15"/>
      <c r="AC4455" s="15"/>
      <c r="AD4455" s="15"/>
      <c r="AE4455" s="15"/>
      <c r="AF4455" s="15"/>
      <c r="AG4455" s="15"/>
      <c r="AH4455" s="15"/>
      <c r="AI4455" s="15"/>
      <c r="AJ4455" s="15"/>
      <c r="AK4455" s="15"/>
      <c r="AL4455" s="15"/>
      <c r="AM4455" s="15"/>
      <c r="AN4455" s="15"/>
      <c r="AO4455" s="15"/>
      <c r="AP4455" s="15"/>
      <c r="AQ4455" s="15"/>
      <c r="AR4455" s="15"/>
      <c r="AS4455" s="15"/>
      <c r="AT4455" s="15"/>
      <c r="AU4455" s="15"/>
      <c r="AV4455" s="15"/>
      <c r="AW4455" s="15"/>
    </row>
    <row r="4456" spans="3:49" x14ac:dyDescent="0.2">
      <c r="C4456" s="15"/>
      <c r="D4456" s="15"/>
      <c r="E4456" s="15"/>
      <c r="F4456" s="15"/>
      <c r="G4456" s="15"/>
      <c r="H4456" s="15"/>
      <c r="I4456" s="15"/>
      <c r="J4456" s="15"/>
      <c r="K4456" s="15"/>
      <c r="L4456" s="28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  <c r="AA4456" s="15"/>
      <c r="AB4456" s="15"/>
      <c r="AC4456" s="15"/>
      <c r="AD4456" s="15"/>
      <c r="AE4456" s="15"/>
      <c r="AF4456" s="15"/>
      <c r="AG4456" s="15"/>
      <c r="AH4456" s="15"/>
      <c r="AI4456" s="15"/>
      <c r="AJ4456" s="15"/>
      <c r="AK4456" s="15"/>
      <c r="AL4456" s="15"/>
      <c r="AM4456" s="15"/>
      <c r="AN4456" s="15"/>
      <c r="AO4456" s="15"/>
      <c r="AP4456" s="15"/>
      <c r="AQ4456" s="15"/>
      <c r="AR4456" s="15"/>
      <c r="AS4456" s="15"/>
      <c r="AT4456" s="15"/>
      <c r="AU4456" s="15"/>
      <c r="AV4456" s="15"/>
      <c r="AW4456" s="15"/>
    </row>
    <row r="4457" spans="3:49" x14ac:dyDescent="0.2">
      <c r="C4457" s="15"/>
      <c r="D4457" s="15"/>
      <c r="E4457" s="15"/>
      <c r="F4457" s="15"/>
      <c r="G4457" s="15"/>
      <c r="H4457" s="15"/>
      <c r="I4457" s="15"/>
      <c r="J4457" s="15"/>
      <c r="K4457" s="15"/>
      <c r="L4457" s="28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  <c r="AA4457" s="15"/>
      <c r="AB4457" s="15"/>
      <c r="AC4457" s="15"/>
      <c r="AD4457" s="15"/>
      <c r="AE4457" s="15"/>
      <c r="AF4457" s="15"/>
      <c r="AG4457" s="15"/>
      <c r="AH4457" s="15"/>
      <c r="AI4457" s="15"/>
      <c r="AJ4457" s="15"/>
      <c r="AK4457" s="15"/>
      <c r="AL4457" s="15"/>
      <c r="AM4457" s="15"/>
      <c r="AN4457" s="15"/>
      <c r="AO4457" s="15"/>
      <c r="AP4457" s="15"/>
      <c r="AQ4457" s="15"/>
      <c r="AR4457" s="15"/>
      <c r="AS4457" s="15"/>
      <c r="AT4457" s="15"/>
      <c r="AU4457" s="15"/>
      <c r="AV4457" s="15"/>
      <c r="AW4457" s="15"/>
    </row>
    <row r="4458" spans="3:49" x14ac:dyDescent="0.2">
      <c r="C4458" s="15"/>
      <c r="D4458" s="15"/>
      <c r="E4458" s="15"/>
      <c r="F4458" s="15"/>
      <c r="G4458" s="15"/>
      <c r="H4458" s="15"/>
      <c r="I4458" s="15"/>
      <c r="J4458" s="15"/>
      <c r="K4458" s="15"/>
      <c r="L4458" s="28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  <c r="AA4458" s="15"/>
      <c r="AB4458" s="15"/>
      <c r="AC4458" s="15"/>
      <c r="AD4458" s="15"/>
      <c r="AE4458" s="15"/>
      <c r="AF4458" s="15"/>
      <c r="AG4458" s="15"/>
      <c r="AH4458" s="15"/>
      <c r="AI4458" s="15"/>
      <c r="AJ4458" s="15"/>
      <c r="AK4458" s="15"/>
      <c r="AL4458" s="15"/>
      <c r="AM4458" s="15"/>
      <c r="AN4458" s="15"/>
      <c r="AO4458" s="15"/>
      <c r="AP4458" s="15"/>
      <c r="AQ4458" s="15"/>
      <c r="AR4458" s="15"/>
      <c r="AS4458" s="15"/>
      <c r="AT4458" s="15"/>
      <c r="AU4458" s="15"/>
      <c r="AV4458" s="15"/>
      <c r="AW4458" s="15"/>
    </row>
    <row r="4459" spans="3:49" x14ac:dyDescent="0.2">
      <c r="C4459" s="15"/>
      <c r="D4459" s="15"/>
      <c r="E4459" s="15"/>
      <c r="F4459" s="15"/>
      <c r="G4459" s="15"/>
      <c r="H4459" s="15"/>
      <c r="I4459" s="15"/>
      <c r="J4459" s="15"/>
      <c r="K4459" s="15"/>
      <c r="L4459" s="28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  <c r="AE4459" s="15"/>
      <c r="AF4459" s="15"/>
      <c r="AG4459" s="15"/>
      <c r="AH4459" s="15"/>
      <c r="AI4459" s="15"/>
      <c r="AJ4459" s="15"/>
      <c r="AK4459" s="15"/>
      <c r="AL4459" s="15"/>
      <c r="AM4459" s="15"/>
      <c r="AN4459" s="15"/>
      <c r="AO4459" s="15"/>
      <c r="AP4459" s="15"/>
      <c r="AQ4459" s="15"/>
      <c r="AR4459" s="15"/>
      <c r="AS4459" s="15"/>
      <c r="AT4459" s="15"/>
      <c r="AU4459" s="15"/>
      <c r="AV4459" s="15"/>
      <c r="AW4459" s="15"/>
    </row>
    <row r="4460" spans="3:49" x14ac:dyDescent="0.2">
      <c r="C4460" s="15"/>
      <c r="D4460" s="15"/>
      <c r="E4460" s="15"/>
      <c r="F4460" s="15"/>
      <c r="G4460" s="15"/>
      <c r="H4460" s="15"/>
      <c r="I4460" s="15"/>
      <c r="J4460" s="15"/>
      <c r="K4460" s="15"/>
      <c r="L4460" s="28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  <c r="AA4460" s="15"/>
      <c r="AB4460" s="15"/>
      <c r="AC4460" s="15"/>
      <c r="AD4460" s="15"/>
      <c r="AE4460" s="15"/>
      <c r="AF4460" s="15"/>
      <c r="AG4460" s="15"/>
      <c r="AH4460" s="15"/>
      <c r="AI4460" s="15"/>
      <c r="AJ4460" s="15"/>
      <c r="AK4460" s="15"/>
      <c r="AL4460" s="15"/>
      <c r="AM4460" s="15"/>
      <c r="AN4460" s="15"/>
      <c r="AO4460" s="15"/>
      <c r="AP4460" s="15"/>
      <c r="AQ4460" s="15"/>
      <c r="AR4460" s="15"/>
      <c r="AS4460" s="15"/>
      <c r="AT4460" s="15"/>
      <c r="AU4460" s="15"/>
      <c r="AV4460" s="15"/>
      <c r="AW4460" s="15"/>
    </row>
    <row r="4461" spans="3:49" x14ac:dyDescent="0.2">
      <c r="C4461" s="15"/>
      <c r="D4461" s="15"/>
      <c r="E4461" s="15"/>
      <c r="F4461" s="15"/>
      <c r="G4461" s="15"/>
      <c r="H4461" s="15"/>
      <c r="I4461" s="15"/>
      <c r="J4461" s="15"/>
      <c r="K4461" s="15"/>
      <c r="L4461" s="28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  <c r="AA4461" s="15"/>
      <c r="AB4461" s="15"/>
      <c r="AC4461" s="15"/>
      <c r="AD4461" s="15"/>
      <c r="AE4461" s="15"/>
      <c r="AF4461" s="15"/>
      <c r="AG4461" s="15"/>
      <c r="AH4461" s="15"/>
      <c r="AI4461" s="15"/>
      <c r="AJ4461" s="15"/>
      <c r="AK4461" s="15"/>
      <c r="AL4461" s="15"/>
      <c r="AM4461" s="15"/>
      <c r="AN4461" s="15"/>
      <c r="AO4461" s="15"/>
      <c r="AP4461" s="15"/>
      <c r="AQ4461" s="15"/>
      <c r="AR4461" s="15"/>
      <c r="AS4461" s="15"/>
      <c r="AT4461" s="15"/>
      <c r="AU4461" s="15"/>
      <c r="AV4461" s="15"/>
      <c r="AW4461" s="15"/>
    </row>
    <row r="4462" spans="3:49" x14ac:dyDescent="0.2">
      <c r="C4462" s="15"/>
      <c r="D4462" s="15"/>
      <c r="E4462" s="15"/>
      <c r="F4462" s="15"/>
      <c r="G4462" s="15"/>
      <c r="H4462" s="15"/>
      <c r="I4462" s="15"/>
      <c r="J4462" s="15"/>
      <c r="K4462" s="15"/>
      <c r="L4462" s="28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  <c r="AE4462" s="15"/>
      <c r="AF4462" s="15"/>
      <c r="AG4462" s="15"/>
      <c r="AH4462" s="15"/>
      <c r="AI4462" s="15"/>
      <c r="AJ4462" s="15"/>
      <c r="AK4462" s="15"/>
      <c r="AL4462" s="15"/>
      <c r="AM4462" s="15"/>
      <c r="AN4462" s="15"/>
      <c r="AO4462" s="15"/>
      <c r="AP4462" s="15"/>
      <c r="AQ4462" s="15"/>
      <c r="AR4462" s="15"/>
      <c r="AS4462" s="15"/>
      <c r="AT4462" s="15"/>
      <c r="AU4462" s="15"/>
      <c r="AV4462" s="15"/>
      <c r="AW4462" s="15"/>
    </row>
    <row r="4463" spans="3:49" x14ac:dyDescent="0.2">
      <c r="C4463" s="15"/>
      <c r="D4463" s="15"/>
      <c r="E4463" s="15"/>
      <c r="F4463" s="15"/>
      <c r="G4463" s="15"/>
      <c r="H4463" s="15"/>
      <c r="I4463" s="15"/>
      <c r="J4463" s="15"/>
      <c r="K4463" s="15"/>
      <c r="L4463" s="28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  <c r="AE4463" s="15"/>
      <c r="AF4463" s="15"/>
      <c r="AG4463" s="15"/>
      <c r="AH4463" s="15"/>
      <c r="AI4463" s="15"/>
      <c r="AJ4463" s="15"/>
      <c r="AK4463" s="15"/>
      <c r="AL4463" s="15"/>
      <c r="AM4463" s="15"/>
      <c r="AN4463" s="15"/>
      <c r="AO4463" s="15"/>
      <c r="AP4463" s="15"/>
      <c r="AQ4463" s="15"/>
      <c r="AR4463" s="15"/>
      <c r="AS4463" s="15"/>
      <c r="AT4463" s="15"/>
      <c r="AU4463" s="15"/>
      <c r="AV4463" s="15"/>
      <c r="AW4463" s="15"/>
    </row>
    <row r="4464" spans="3:49" x14ac:dyDescent="0.2">
      <c r="C4464" s="15"/>
      <c r="D4464" s="15"/>
      <c r="E4464" s="15"/>
      <c r="F4464" s="15"/>
      <c r="G4464" s="15"/>
      <c r="H4464" s="15"/>
      <c r="I4464" s="15"/>
      <c r="J4464" s="15"/>
      <c r="K4464" s="15"/>
      <c r="L4464" s="28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  <c r="AE4464" s="15"/>
      <c r="AF4464" s="15"/>
      <c r="AG4464" s="15"/>
      <c r="AH4464" s="15"/>
      <c r="AI4464" s="15"/>
      <c r="AJ4464" s="15"/>
      <c r="AK4464" s="15"/>
      <c r="AL4464" s="15"/>
      <c r="AM4464" s="15"/>
      <c r="AN4464" s="15"/>
      <c r="AO4464" s="15"/>
      <c r="AP4464" s="15"/>
      <c r="AQ4464" s="15"/>
      <c r="AR4464" s="15"/>
      <c r="AS4464" s="15"/>
      <c r="AT4464" s="15"/>
      <c r="AU4464" s="15"/>
      <c r="AV4464" s="15"/>
      <c r="AW4464" s="15"/>
    </row>
    <row r="4465" spans="3:49" x14ac:dyDescent="0.2">
      <c r="C4465" s="15"/>
      <c r="D4465" s="15"/>
      <c r="E4465" s="15"/>
      <c r="F4465" s="15"/>
      <c r="G4465" s="15"/>
      <c r="H4465" s="15"/>
      <c r="I4465" s="15"/>
      <c r="J4465" s="15"/>
      <c r="K4465" s="15"/>
      <c r="L4465" s="28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  <c r="AE4465" s="15"/>
      <c r="AF4465" s="15"/>
      <c r="AG4465" s="15"/>
      <c r="AH4465" s="15"/>
      <c r="AI4465" s="15"/>
      <c r="AJ4465" s="15"/>
      <c r="AK4465" s="15"/>
      <c r="AL4465" s="15"/>
      <c r="AM4465" s="15"/>
      <c r="AN4465" s="15"/>
      <c r="AO4465" s="15"/>
      <c r="AP4465" s="15"/>
      <c r="AQ4465" s="15"/>
      <c r="AR4465" s="15"/>
      <c r="AS4465" s="15"/>
      <c r="AT4465" s="15"/>
      <c r="AU4465" s="15"/>
      <c r="AV4465" s="15"/>
      <c r="AW4465" s="15"/>
    </row>
    <row r="4466" spans="3:49" x14ac:dyDescent="0.2">
      <c r="C4466" s="15"/>
      <c r="D4466" s="15"/>
      <c r="E4466" s="15"/>
      <c r="F4466" s="15"/>
      <c r="G4466" s="15"/>
      <c r="H4466" s="15"/>
      <c r="I4466" s="15"/>
      <c r="J4466" s="15"/>
      <c r="K4466" s="15"/>
      <c r="L4466" s="28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  <c r="AE4466" s="15"/>
      <c r="AF4466" s="15"/>
      <c r="AG4466" s="15"/>
      <c r="AH4466" s="15"/>
      <c r="AI4466" s="15"/>
      <c r="AJ4466" s="15"/>
      <c r="AK4466" s="15"/>
      <c r="AL4466" s="15"/>
      <c r="AM4466" s="15"/>
      <c r="AN4466" s="15"/>
      <c r="AO4466" s="15"/>
      <c r="AP4466" s="15"/>
      <c r="AQ4466" s="15"/>
      <c r="AR4466" s="15"/>
      <c r="AS4466" s="15"/>
      <c r="AT4466" s="15"/>
      <c r="AU4466" s="15"/>
      <c r="AV4466" s="15"/>
      <c r="AW4466" s="15"/>
    </row>
    <row r="4467" spans="3:49" x14ac:dyDescent="0.2">
      <c r="C4467" s="15"/>
      <c r="D4467" s="15"/>
      <c r="E4467" s="15"/>
      <c r="F4467" s="15"/>
      <c r="G4467" s="15"/>
      <c r="H4467" s="15"/>
      <c r="I4467" s="15"/>
      <c r="J4467" s="15"/>
      <c r="K4467" s="15"/>
      <c r="L4467" s="28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  <c r="AE4467" s="15"/>
      <c r="AF4467" s="15"/>
      <c r="AG4467" s="15"/>
      <c r="AH4467" s="15"/>
      <c r="AI4467" s="15"/>
      <c r="AJ4467" s="15"/>
      <c r="AK4467" s="15"/>
      <c r="AL4467" s="15"/>
      <c r="AM4467" s="15"/>
      <c r="AN4467" s="15"/>
      <c r="AO4467" s="15"/>
      <c r="AP4467" s="15"/>
      <c r="AQ4467" s="15"/>
      <c r="AR4467" s="15"/>
      <c r="AS4467" s="15"/>
      <c r="AT4467" s="15"/>
      <c r="AU4467" s="15"/>
      <c r="AV4467" s="15"/>
      <c r="AW4467" s="15"/>
    </row>
    <row r="4468" spans="3:49" x14ac:dyDescent="0.2">
      <c r="C4468" s="15"/>
      <c r="D4468" s="15"/>
      <c r="E4468" s="15"/>
      <c r="F4468" s="15"/>
      <c r="G4468" s="15"/>
      <c r="H4468" s="15"/>
      <c r="I4468" s="15"/>
      <c r="J4468" s="15"/>
      <c r="K4468" s="15"/>
      <c r="L4468" s="28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  <c r="AE4468" s="15"/>
      <c r="AF4468" s="15"/>
      <c r="AG4468" s="15"/>
      <c r="AH4468" s="15"/>
      <c r="AI4468" s="15"/>
      <c r="AJ4468" s="15"/>
      <c r="AK4468" s="15"/>
      <c r="AL4468" s="15"/>
      <c r="AM4468" s="15"/>
      <c r="AN4468" s="15"/>
      <c r="AO4468" s="15"/>
      <c r="AP4468" s="15"/>
      <c r="AQ4468" s="15"/>
      <c r="AR4468" s="15"/>
      <c r="AS4468" s="15"/>
      <c r="AT4468" s="15"/>
      <c r="AU4468" s="15"/>
      <c r="AV4468" s="15"/>
      <c r="AW4468" s="15"/>
    </row>
    <row r="4469" spans="3:49" x14ac:dyDescent="0.2">
      <c r="C4469" s="15"/>
      <c r="D4469" s="15"/>
      <c r="E4469" s="15"/>
      <c r="F4469" s="15"/>
      <c r="G4469" s="15"/>
      <c r="H4469" s="15"/>
      <c r="I4469" s="15"/>
      <c r="J4469" s="15"/>
      <c r="K4469" s="15"/>
      <c r="L4469" s="28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  <c r="AE4469" s="15"/>
      <c r="AF4469" s="15"/>
      <c r="AG4469" s="15"/>
      <c r="AH4469" s="15"/>
      <c r="AI4469" s="15"/>
      <c r="AJ4469" s="15"/>
      <c r="AK4469" s="15"/>
      <c r="AL4469" s="15"/>
      <c r="AM4469" s="15"/>
      <c r="AN4469" s="15"/>
      <c r="AO4469" s="15"/>
      <c r="AP4469" s="15"/>
      <c r="AQ4469" s="15"/>
      <c r="AR4469" s="15"/>
      <c r="AS4469" s="15"/>
      <c r="AT4469" s="15"/>
      <c r="AU4469" s="15"/>
      <c r="AV4469" s="15"/>
      <c r="AW4469" s="15"/>
    </row>
    <row r="4470" spans="3:49" x14ac:dyDescent="0.2">
      <c r="C4470" s="15"/>
      <c r="D4470" s="15"/>
      <c r="E4470" s="15"/>
      <c r="F4470" s="15"/>
      <c r="G4470" s="15"/>
      <c r="H4470" s="15"/>
      <c r="I4470" s="15"/>
      <c r="J4470" s="15"/>
      <c r="K4470" s="15"/>
      <c r="L4470" s="28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  <c r="AA4470" s="15"/>
      <c r="AB4470" s="15"/>
      <c r="AC4470" s="15"/>
      <c r="AD4470" s="15"/>
      <c r="AE4470" s="15"/>
      <c r="AF4470" s="15"/>
      <c r="AG4470" s="15"/>
      <c r="AH4470" s="15"/>
      <c r="AI4470" s="15"/>
      <c r="AJ4470" s="15"/>
      <c r="AK4470" s="15"/>
      <c r="AL4470" s="15"/>
      <c r="AM4470" s="15"/>
      <c r="AN4470" s="15"/>
      <c r="AO4470" s="15"/>
      <c r="AP4470" s="15"/>
      <c r="AQ4470" s="15"/>
      <c r="AR4470" s="15"/>
      <c r="AS4470" s="15"/>
      <c r="AT4470" s="15"/>
      <c r="AU4470" s="15"/>
      <c r="AV4470" s="15"/>
      <c r="AW4470" s="15"/>
    </row>
    <row r="4471" spans="3:49" x14ac:dyDescent="0.2">
      <c r="C4471" s="15"/>
      <c r="D4471" s="15"/>
      <c r="E4471" s="15"/>
      <c r="F4471" s="15"/>
      <c r="G4471" s="15"/>
      <c r="H4471" s="15"/>
      <c r="I4471" s="15"/>
      <c r="J4471" s="15"/>
      <c r="K4471" s="15"/>
      <c r="L4471" s="28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  <c r="AE4471" s="15"/>
      <c r="AF4471" s="15"/>
      <c r="AG4471" s="15"/>
      <c r="AH4471" s="15"/>
      <c r="AI4471" s="15"/>
      <c r="AJ4471" s="15"/>
      <c r="AK4471" s="15"/>
      <c r="AL4471" s="15"/>
      <c r="AM4471" s="15"/>
      <c r="AN4471" s="15"/>
      <c r="AO4471" s="15"/>
      <c r="AP4471" s="15"/>
      <c r="AQ4471" s="15"/>
      <c r="AR4471" s="15"/>
      <c r="AS4471" s="15"/>
      <c r="AT4471" s="15"/>
      <c r="AU4471" s="15"/>
      <c r="AV4471" s="15"/>
      <c r="AW4471" s="15"/>
    </row>
    <row r="4472" spans="3:49" x14ac:dyDescent="0.2">
      <c r="C4472" s="15"/>
      <c r="D4472" s="15"/>
      <c r="E4472" s="15"/>
      <c r="F4472" s="15"/>
      <c r="G4472" s="15"/>
      <c r="H4472" s="15"/>
      <c r="I4472" s="15"/>
      <c r="J4472" s="15"/>
      <c r="K4472" s="15"/>
      <c r="L4472" s="28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  <c r="AE4472" s="15"/>
      <c r="AF4472" s="15"/>
      <c r="AG4472" s="15"/>
      <c r="AH4472" s="15"/>
      <c r="AI4472" s="15"/>
      <c r="AJ4472" s="15"/>
      <c r="AK4472" s="15"/>
      <c r="AL4472" s="15"/>
      <c r="AM4472" s="15"/>
      <c r="AN4472" s="15"/>
      <c r="AO4472" s="15"/>
      <c r="AP4472" s="15"/>
      <c r="AQ4472" s="15"/>
      <c r="AR4472" s="15"/>
      <c r="AS4472" s="15"/>
      <c r="AT4472" s="15"/>
      <c r="AU4472" s="15"/>
      <c r="AV4472" s="15"/>
      <c r="AW4472" s="15"/>
    </row>
    <row r="4473" spans="3:49" x14ac:dyDescent="0.2">
      <c r="C4473" s="15"/>
      <c r="D4473" s="15"/>
      <c r="E4473" s="15"/>
      <c r="F4473" s="15"/>
      <c r="G4473" s="15"/>
      <c r="H4473" s="15"/>
      <c r="I4473" s="15"/>
      <c r="J4473" s="15"/>
      <c r="K4473" s="15"/>
      <c r="L4473" s="28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  <c r="AA4473" s="15"/>
      <c r="AB4473" s="15"/>
      <c r="AC4473" s="15"/>
      <c r="AD4473" s="15"/>
      <c r="AE4473" s="15"/>
      <c r="AF4473" s="15"/>
      <c r="AG4473" s="15"/>
      <c r="AH4473" s="15"/>
      <c r="AI4473" s="15"/>
      <c r="AJ4473" s="15"/>
      <c r="AK4473" s="15"/>
      <c r="AL4473" s="15"/>
      <c r="AM4473" s="15"/>
      <c r="AN4473" s="15"/>
      <c r="AO4473" s="15"/>
      <c r="AP4473" s="15"/>
      <c r="AQ4473" s="15"/>
      <c r="AR4473" s="15"/>
      <c r="AS4473" s="15"/>
      <c r="AT4473" s="15"/>
      <c r="AU4473" s="15"/>
      <c r="AV4473" s="15"/>
      <c r="AW4473" s="15"/>
    </row>
    <row r="4474" spans="3:49" x14ac:dyDescent="0.2">
      <c r="C4474" s="15"/>
      <c r="D4474" s="15"/>
      <c r="E4474" s="15"/>
      <c r="F4474" s="15"/>
      <c r="G4474" s="15"/>
      <c r="H4474" s="15"/>
      <c r="I4474" s="15"/>
      <c r="J4474" s="15"/>
      <c r="K4474" s="15"/>
      <c r="L4474" s="28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  <c r="AA4474" s="15"/>
      <c r="AB4474" s="15"/>
      <c r="AC4474" s="15"/>
      <c r="AD4474" s="15"/>
      <c r="AE4474" s="15"/>
      <c r="AF4474" s="15"/>
      <c r="AG4474" s="15"/>
      <c r="AH4474" s="15"/>
      <c r="AI4474" s="15"/>
      <c r="AJ4474" s="15"/>
      <c r="AK4474" s="15"/>
      <c r="AL4474" s="15"/>
      <c r="AM4474" s="15"/>
      <c r="AN4474" s="15"/>
      <c r="AO4474" s="15"/>
      <c r="AP4474" s="15"/>
      <c r="AQ4474" s="15"/>
      <c r="AR4474" s="15"/>
      <c r="AS4474" s="15"/>
      <c r="AT4474" s="15"/>
      <c r="AU4474" s="15"/>
      <c r="AV4474" s="15"/>
      <c r="AW4474" s="15"/>
    </row>
    <row r="4475" spans="3:49" x14ac:dyDescent="0.2">
      <c r="C4475" s="15"/>
      <c r="D4475" s="15"/>
      <c r="E4475" s="15"/>
      <c r="F4475" s="15"/>
      <c r="G4475" s="15"/>
      <c r="H4475" s="15"/>
      <c r="I4475" s="15"/>
      <c r="J4475" s="15"/>
      <c r="K4475" s="15"/>
      <c r="L4475" s="28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  <c r="AA4475" s="15"/>
      <c r="AB4475" s="15"/>
      <c r="AC4475" s="15"/>
      <c r="AD4475" s="15"/>
      <c r="AE4475" s="15"/>
      <c r="AF4475" s="15"/>
      <c r="AG4475" s="15"/>
      <c r="AH4475" s="15"/>
      <c r="AI4475" s="15"/>
      <c r="AJ4475" s="15"/>
      <c r="AK4475" s="15"/>
      <c r="AL4475" s="15"/>
      <c r="AM4475" s="15"/>
      <c r="AN4475" s="15"/>
      <c r="AO4475" s="15"/>
      <c r="AP4475" s="15"/>
      <c r="AQ4475" s="15"/>
      <c r="AR4475" s="15"/>
      <c r="AS4475" s="15"/>
      <c r="AT4475" s="15"/>
      <c r="AU4475" s="15"/>
      <c r="AV4475" s="15"/>
      <c r="AW4475" s="15"/>
    </row>
    <row r="4476" spans="3:49" x14ac:dyDescent="0.2">
      <c r="C4476" s="15"/>
      <c r="D4476" s="15"/>
      <c r="E4476" s="15"/>
      <c r="F4476" s="15"/>
      <c r="G4476" s="15"/>
      <c r="H4476" s="15"/>
      <c r="I4476" s="15"/>
      <c r="J4476" s="15"/>
      <c r="K4476" s="15"/>
      <c r="L4476" s="28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  <c r="AA4476" s="15"/>
      <c r="AB4476" s="15"/>
      <c r="AC4476" s="15"/>
      <c r="AD4476" s="15"/>
      <c r="AE4476" s="15"/>
      <c r="AF4476" s="15"/>
      <c r="AG4476" s="15"/>
      <c r="AH4476" s="15"/>
      <c r="AI4476" s="15"/>
      <c r="AJ4476" s="15"/>
      <c r="AK4476" s="15"/>
      <c r="AL4476" s="15"/>
      <c r="AM4476" s="15"/>
      <c r="AN4476" s="15"/>
      <c r="AO4476" s="15"/>
      <c r="AP4476" s="15"/>
      <c r="AQ4476" s="15"/>
      <c r="AR4476" s="15"/>
      <c r="AS4476" s="15"/>
      <c r="AT4476" s="15"/>
      <c r="AU4476" s="15"/>
      <c r="AV4476" s="15"/>
      <c r="AW4476" s="15"/>
    </row>
    <row r="4477" spans="3:49" x14ac:dyDescent="0.2">
      <c r="C4477" s="15"/>
      <c r="D4477" s="15"/>
      <c r="E4477" s="15"/>
      <c r="F4477" s="15"/>
      <c r="G4477" s="15"/>
      <c r="H4477" s="15"/>
      <c r="I4477" s="15"/>
      <c r="J4477" s="15"/>
      <c r="K4477" s="15"/>
      <c r="L4477" s="28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  <c r="AA4477" s="15"/>
      <c r="AB4477" s="15"/>
      <c r="AC4477" s="15"/>
      <c r="AD4477" s="15"/>
      <c r="AE4477" s="15"/>
      <c r="AF4477" s="15"/>
      <c r="AG4477" s="15"/>
      <c r="AH4477" s="15"/>
      <c r="AI4477" s="15"/>
      <c r="AJ4477" s="15"/>
      <c r="AK4477" s="15"/>
      <c r="AL4477" s="15"/>
      <c r="AM4477" s="15"/>
      <c r="AN4477" s="15"/>
      <c r="AO4477" s="15"/>
      <c r="AP4477" s="15"/>
      <c r="AQ4477" s="15"/>
      <c r="AR4477" s="15"/>
      <c r="AS4477" s="15"/>
      <c r="AT4477" s="15"/>
      <c r="AU4477" s="15"/>
      <c r="AV4477" s="15"/>
      <c r="AW4477" s="15"/>
    </row>
    <row r="4478" spans="3:49" x14ac:dyDescent="0.2">
      <c r="C4478" s="15"/>
      <c r="D4478" s="15"/>
      <c r="E4478" s="15"/>
      <c r="F4478" s="15"/>
      <c r="G4478" s="15"/>
      <c r="H4478" s="15"/>
      <c r="I4478" s="15"/>
      <c r="J4478" s="15"/>
      <c r="K4478" s="15"/>
      <c r="L4478" s="28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  <c r="AA4478" s="15"/>
      <c r="AB4478" s="15"/>
      <c r="AC4478" s="15"/>
      <c r="AD4478" s="15"/>
      <c r="AE4478" s="15"/>
      <c r="AF4478" s="15"/>
      <c r="AG4478" s="15"/>
      <c r="AH4478" s="15"/>
      <c r="AI4478" s="15"/>
      <c r="AJ4478" s="15"/>
      <c r="AK4478" s="15"/>
      <c r="AL4478" s="15"/>
      <c r="AM4478" s="15"/>
      <c r="AN4478" s="15"/>
      <c r="AO4478" s="15"/>
      <c r="AP4478" s="15"/>
      <c r="AQ4478" s="15"/>
      <c r="AR4478" s="15"/>
      <c r="AS4478" s="15"/>
      <c r="AT4478" s="15"/>
      <c r="AU4478" s="15"/>
      <c r="AV4478" s="15"/>
      <c r="AW4478" s="15"/>
    </row>
    <row r="4479" spans="3:49" x14ac:dyDescent="0.2">
      <c r="C4479" s="15"/>
      <c r="D4479" s="15"/>
      <c r="E4479" s="15"/>
      <c r="F4479" s="15"/>
      <c r="G4479" s="15"/>
      <c r="H4479" s="15"/>
      <c r="I4479" s="15"/>
      <c r="J4479" s="15"/>
      <c r="K4479" s="15"/>
      <c r="L4479" s="28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  <c r="AA4479" s="15"/>
      <c r="AB4479" s="15"/>
      <c r="AC4479" s="15"/>
      <c r="AD4479" s="15"/>
      <c r="AE4479" s="15"/>
      <c r="AF4479" s="15"/>
      <c r="AG4479" s="15"/>
      <c r="AH4479" s="15"/>
      <c r="AI4479" s="15"/>
      <c r="AJ4479" s="15"/>
      <c r="AK4479" s="15"/>
      <c r="AL4479" s="15"/>
      <c r="AM4479" s="15"/>
      <c r="AN4479" s="15"/>
      <c r="AO4479" s="15"/>
      <c r="AP4479" s="15"/>
      <c r="AQ4479" s="15"/>
      <c r="AR4479" s="15"/>
      <c r="AS4479" s="15"/>
      <c r="AT4479" s="15"/>
      <c r="AU4479" s="15"/>
      <c r="AV4479" s="15"/>
      <c r="AW4479" s="15"/>
    </row>
    <row r="4480" spans="3:49" x14ac:dyDescent="0.2">
      <c r="C4480" s="15"/>
      <c r="D4480" s="15"/>
      <c r="E4480" s="15"/>
      <c r="F4480" s="15"/>
      <c r="G4480" s="15"/>
      <c r="H4480" s="15"/>
      <c r="I4480" s="15"/>
      <c r="J4480" s="15"/>
      <c r="K4480" s="15"/>
      <c r="L4480" s="28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  <c r="AA4480" s="15"/>
      <c r="AB4480" s="15"/>
      <c r="AC4480" s="15"/>
      <c r="AD4480" s="15"/>
      <c r="AE4480" s="15"/>
      <c r="AF4480" s="15"/>
      <c r="AG4480" s="15"/>
      <c r="AH4480" s="15"/>
      <c r="AI4480" s="15"/>
      <c r="AJ4480" s="15"/>
      <c r="AK4480" s="15"/>
      <c r="AL4480" s="15"/>
      <c r="AM4480" s="15"/>
      <c r="AN4480" s="15"/>
      <c r="AO4480" s="15"/>
      <c r="AP4480" s="15"/>
      <c r="AQ4480" s="15"/>
      <c r="AR4480" s="15"/>
      <c r="AS4480" s="15"/>
      <c r="AT4480" s="15"/>
      <c r="AU4480" s="15"/>
      <c r="AV4480" s="15"/>
      <c r="AW4480" s="15"/>
    </row>
    <row r="4481" spans="3:49" x14ac:dyDescent="0.2">
      <c r="C4481" s="15"/>
      <c r="D4481" s="15"/>
      <c r="E4481" s="15"/>
      <c r="F4481" s="15"/>
      <c r="G4481" s="15"/>
      <c r="H4481" s="15"/>
      <c r="I4481" s="15"/>
      <c r="J4481" s="15"/>
      <c r="K4481" s="15"/>
      <c r="L4481" s="28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  <c r="AA4481" s="15"/>
      <c r="AB4481" s="15"/>
      <c r="AC4481" s="15"/>
      <c r="AD4481" s="15"/>
      <c r="AE4481" s="15"/>
      <c r="AF4481" s="15"/>
      <c r="AG4481" s="15"/>
      <c r="AH4481" s="15"/>
      <c r="AI4481" s="15"/>
      <c r="AJ4481" s="15"/>
      <c r="AK4481" s="15"/>
      <c r="AL4481" s="15"/>
      <c r="AM4481" s="15"/>
      <c r="AN4481" s="15"/>
      <c r="AO4481" s="15"/>
      <c r="AP4481" s="15"/>
      <c r="AQ4481" s="15"/>
      <c r="AR4481" s="15"/>
      <c r="AS4481" s="15"/>
      <c r="AT4481" s="15"/>
      <c r="AU4481" s="15"/>
      <c r="AV4481" s="15"/>
      <c r="AW4481" s="15"/>
    </row>
    <row r="4482" spans="3:49" x14ac:dyDescent="0.2">
      <c r="C4482" s="15"/>
      <c r="D4482" s="15"/>
      <c r="E4482" s="15"/>
      <c r="F4482" s="15"/>
      <c r="G4482" s="15"/>
      <c r="H4482" s="15"/>
      <c r="I4482" s="15"/>
      <c r="J4482" s="15"/>
      <c r="K4482" s="15"/>
      <c r="L4482" s="28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  <c r="AA4482" s="15"/>
      <c r="AB4482" s="15"/>
      <c r="AC4482" s="15"/>
      <c r="AD4482" s="15"/>
      <c r="AE4482" s="15"/>
      <c r="AF4482" s="15"/>
      <c r="AG4482" s="15"/>
      <c r="AH4482" s="15"/>
      <c r="AI4482" s="15"/>
      <c r="AJ4482" s="15"/>
      <c r="AK4482" s="15"/>
      <c r="AL4482" s="15"/>
      <c r="AM4482" s="15"/>
      <c r="AN4482" s="15"/>
      <c r="AO4482" s="15"/>
      <c r="AP4482" s="15"/>
      <c r="AQ4482" s="15"/>
      <c r="AR4482" s="15"/>
      <c r="AS4482" s="15"/>
      <c r="AT4482" s="15"/>
      <c r="AU4482" s="15"/>
      <c r="AV4482" s="15"/>
      <c r="AW4482" s="15"/>
    </row>
    <row r="4483" spans="3:49" x14ac:dyDescent="0.2">
      <c r="C4483" s="15"/>
      <c r="D4483" s="15"/>
      <c r="E4483" s="15"/>
      <c r="F4483" s="15"/>
      <c r="G4483" s="15"/>
      <c r="H4483" s="15"/>
      <c r="I4483" s="15"/>
      <c r="J4483" s="15"/>
      <c r="K4483" s="15"/>
      <c r="L4483" s="28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  <c r="AA4483" s="15"/>
      <c r="AB4483" s="15"/>
      <c r="AC4483" s="15"/>
      <c r="AD4483" s="15"/>
      <c r="AE4483" s="15"/>
      <c r="AF4483" s="15"/>
      <c r="AG4483" s="15"/>
      <c r="AH4483" s="15"/>
      <c r="AI4483" s="15"/>
      <c r="AJ4483" s="15"/>
      <c r="AK4483" s="15"/>
      <c r="AL4483" s="15"/>
      <c r="AM4483" s="15"/>
      <c r="AN4483" s="15"/>
      <c r="AO4483" s="15"/>
      <c r="AP4483" s="15"/>
      <c r="AQ4483" s="15"/>
      <c r="AR4483" s="15"/>
      <c r="AS4483" s="15"/>
      <c r="AT4483" s="15"/>
      <c r="AU4483" s="15"/>
      <c r="AV4483" s="15"/>
      <c r="AW4483" s="15"/>
    </row>
    <row r="4484" spans="3:49" x14ac:dyDescent="0.2">
      <c r="C4484" s="15"/>
      <c r="D4484" s="15"/>
      <c r="E4484" s="15"/>
      <c r="F4484" s="15"/>
      <c r="G4484" s="15"/>
      <c r="H4484" s="15"/>
      <c r="I4484" s="15"/>
      <c r="J4484" s="15"/>
      <c r="K4484" s="15"/>
      <c r="L4484" s="28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  <c r="AA4484" s="15"/>
      <c r="AB4484" s="15"/>
      <c r="AC4484" s="15"/>
      <c r="AD4484" s="15"/>
      <c r="AE4484" s="15"/>
      <c r="AF4484" s="15"/>
      <c r="AG4484" s="15"/>
      <c r="AH4484" s="15"/>
      <c r="AI4484" s="15"/>
      <c r="AJ4484" s="15"/>
      <c r="AK4484" s="15"/>
      <c r="AL4484" s="15"/>
      <c r="AM4484" s="15"/>
      <c r="AN4484" s="15"/>
      <c r="AO4484" s="15"/>
      <c r="AP4484" s="15"/>
      <c r="AQ4484" s="15"/>
      <c r="AR4484" s="15"/>
      <c r="AS4484" s="15"/>
      <c r="AT4484" s="15"/>
      <c r="AU4484" s="15"/>
      <c r="AV4484" s="15"/>
      <c r="AW4484" s="15"/>
    </row>
    <row r="4485" spans="3:49" x14ac:dyDescent="0.2">
      <c r="C4485" s="15"/>
      <c r="D4485" s="15"/>
      <c r="E4485" s="15"/>
      <c r="F4485" s="15"/>
      <c r="G4485" s="15"/>
      <c r="H4485" s="15"/>
      <c r="I4485" s="15"/>
      <c r="J4485" s="15"/>
      <c r="K4485" s="15"/>
      <c r="L4485" s="28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  <c r="AA4485" s="15"/>
      <c r="AB4485" s="15"/>
      <c r="AC4485" s="15"/>
      <c r="AD4485" s="15"/>
      <c r="AE4485" s="15"/>
      <c r="AF4485" s="15"/>
      <c r="AG4485" s="15"/>
      <c r="AH4485" s="15"/>
      <c r="AI4485" s="15"/>
      <c r="AJ4485" s="15"/>
      <c r="AK4485" s="15"/>
      <c r="AL4485" s="15"/>
      <c r="AM4485" s="15"/>
      <c r="AN4485" s="15"/>
      <c r="AO4485" s="15"/>
      <c r="AP4485" s="15"/>
      <c r="AQ4485" s="15"/>
      <c r="AR4485" s="15"/>
      <c r="AS4485" s="15"/>
      <c r="AT4485" s="15"/>
      <c r="AU4485" s="15"/>
      <c r="AV4485" s="15"/>
      <c r="AW4485" s="15"/>
    </row>
    <row r="4486" spans="3:49" x14ac:dyDescent="0.2">
      <c r="C4486" s="15"/>
      <c r="D4486" s="15"/>
      <c r="E4486" s="15"/>
      <c r="F4486" s="15"/>
      <c r="G4486" s="15"/>
      <c r="H4486" s="15"/>
      <c r="I4486" s="15"/>
      <c r="J4486" s="15"/>
      <c r="K4486" s="15"/>
      <c r="L4486" s="28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  <c r="AA4486" s="15"/>
      <c r="AB4486" s="15"/>
      <c r="AC4486" s="15"/>
      <c r="AD4486" s="15"/>
      <c r="AE4486" s="15"/>
      <c r="AF4486" s="15"/>
      <c r="AG4486" s="15"/>
      <c r="AH4486" s="15"/>
      <c r="AI4486" s="15"/>
      <c r="AJ4486" s="15"/>
      <c r="AK4486" s="15"/>
      <c r="AL4486" s="15"/>
      <c r="AM4486" s="15"/>
      <c r="AN4486" s="15"/>
      <c r="AO4486" s="15"/>
      <c r="AP4486" s="15"/>
      <c r="AQ4486" s="15"/>
      <c r="AR4486" s="15"/>
      <c r="AS4486" s="15"/>
      <c r="AT4486" s="15"/>
      <c r="AU4486" s="15"/>
      <c r="AV4486" s="15"/>
      <c r="AW4486" s="15"/>
    </row>
    <row r="4487" spans="3:49" x14ac:dyDescent="0.2">
      <c r="C4487" s="15"/>
      <c r="D4487" s="15"/>
      <c r="E4487" s="15"/>
      <c r="F4487" s="15"/>
      <c r="G4487" s="15"/>
      <c r="H4487" s="15"/>
      <c r="I4487" s="15"/>
      <c r="J4487" s="15"/>
      <c r="K4487" s="15"/>
      <c r="L4487" s="28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  <c r="AA4487" s="15"/>
      <c r="AB4487" s="15"/>
      <c r="AC4487" s="15"/>
      <c r="AD4487" s="15"/>
      <c r="AE4487" s="15"/>
      <c r="AF4487" s="15"/>
      <c r="AG4487" s="15"/>
      <c r="AH4487" s="15"/>
      <c r="AI4487" s="15"/>
      <c r="AJ4487" s="15"/>
      <c r="AK4487" s="15"/>
      <c r="AL4487" s="15"/>
      <c r="AM4487" s="15"/>
      <c r="AN4487" s="15"/>
      <c r="AO4487" s="15"/>
      <c r="AP4487" s="15"/>
      <c r="AQ4487" s="15"/>
      <c r="AR4487" s="15"/>
      <c r="AS4487" s="15"/>
      <c r="AT4487" s="15"/>
      <c r="AU4487" s="15"/>
      <c r="AV4487" s="15"/>
      <c r="AW4487" s="15"/>
    </row>
    <row r="4488" spans="3:49" x14ac:dyDescent="0.2">
      <c r="C4488" s="15"/>
      <c r="D4488" s="15"/>
      <c r="E4488" s="15"/>
      <c r="F4488" s="15"/>
      <c r="G4488" s="15"/>
      <c r="H4488" s="15"/>
      <c r="I4488" s="15"/>
      <c r="J4488" s="15"/>
      <c r="K4488" s="15"/>
      <c r="L4488" s="28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  <c r="AA4488" s="15"/>
      <c r="AB4488" s="15"/>
      <c r="AC4488" s="15"/>
      <c r="AD4488" s="15"/>
      <c r="AE4488" s="15"/>
      <c r="AF4488" s="15"/>
      <c r="AG4488" s="15"/>
      <c r="AH4488" s="15"/>
      <c r="AI4488" s="15"/>
      <c r="AJ4488" s="15"/>
      <c r="AK4488" s="15"/>
      <c r="AL4488" s="15"/>
      <c r="AM4488" s="15"/>
      <c r="AN4488" s="15"/>
      <c r="AO4488" s="15"/>
      <c r="AP4488" s="15"/>
      <c r="AQ4488" s="15"/>
      <c r="AR4488" s="15"/>
      <c r="AS4488" s="15"/>
      <c r="AT4488" s="15"/>
      <c r="AU4488" s="15"/>
      <c r="AV4488" s="15"/>
      <c r="AW4488" s="15"/>
    </row>
    <row r="4489" spans="3:49" x14ac:dyDescent="0.2">
      <c r="C4489" s="15"/>
      <c r="D4489" s="15"/>
      <c r="E4489" s="15"/>
      <c r="F4489" s="15"/>
      <c r="G4489" s="15"/>
      <c r="H4489" s="15"/>
      <c r="I4489" s="15"/>
      <c r="J4489" s="15"/>
      <c r="K4489" s="15"/>
      <c r="L4489" s="28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  <c r="AA4489" s="15"/>
      <c r="AB4489" s="15"/>
      <c r="AC4489" s="15"/>
      <c r="AD4489" s="15"/>
      <c r="AE4489" s="15"/>
      <c r="AF4489" s="15"/>
      <c r="AG4489" s="15"/>
      <c r="AH4489" s="15"/>
      <c r="AI4489" s="15"/>
      <c r="AJ4489" s="15"/>
      <c r="AK4489" s="15"/>
      <c r="AL4489" s="15"/>
      <c r="AM4489" s="15"/>
      <c r="AN4489" s="15"/>
      <c r="AO4489" s="15"/>
      <c r="AP4489" s="15"/>
      <c r="AQ4489" s="15"/>
      <c r="AR4489" s="15"/>
      <c r="AS4489" s="15"/>
      <c r="AT4489" s="15"/>
      <c r="AU4489" s="15"/>
      <c r="AV4489" s="15"/>
      <c r="AW4489" s="15"/>
    </row>
    <row r="4490" spans="3:49" x14ac:dyDescent="0.2">
      <c r="C4490" s="15"/>
      <c r="D4490" s="15"/>
      <c r="E4490" s="15"/>
      <c r="F4490" s="15"/>
      <c r="G4490" s="15"/>
      <c r="H4490" s="15"/>
      <c r="I4490" s="15"/>
      <c r="J4490" s="15"/>
      <c r="K4490" s="15"/>
      <c r="L4490" s="28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  <c r="AA4490" s="15"/>
      <c r="AB4490" s="15"/>
      <c r="AC4490" s="15"/>
      <c r="AD4490" s="15"/>
      <c r="AE4490" s="15"/>
      <c r="AF4490" s="15"/>
      <c r="AG4490" s="15"/>
      <c r="AH4490" s="15"/>
      <c r="AI4490" s="15"/>
      <c r="AJ4490" s="15"/>
      <c r="AK4490" s="15"/>
      <c r="AL4490" s="15"/>
      <c r="AM4490" s="15"/>
      <c r="AN4490" s="15"/>
      <c r="AO4490" s="15"/>
      <c r="AP4490" s="15"/>
      <c r="AQ4490" s="15"/>
      <c r="AR4490" s="15"/>
      <c r="AS4490" s="15"/>
      <c r="AT4490" s="15"/>
      <c r="AU4490" s="15"/>
      <c r="AV4490" s="15"/>
      <c r="AW4490" s="15"/>
    </row>
    <row r="4491" spans="3:49" x14ac:dyDescent="0.2">
      <c r="C4491" s="15"/>
      <c r="D4491" s="15"/>
      <c r="E4491" s="15"/>
      <c r="F4491" s="15"/>
      <c r="G4491" s="15"/>
      <c r="H4491" s="15"/>
      <c r="I4491" s="15"/>
      <c r="J4491" s="15"/>
      <c r="K4491" s="15"/>
      <c r="L4491" s="28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  <c r="AA4491" s="15"/>
      <c r="AB4491" s="15"/>
      <c r="AC4491" s="15"/>
      <c r="AD4491" s="15"/>
      <c r="AE4491" s="15"/>
      <c r="AF4491" s="15"/>
      <c r="AG4491" s="15"/>
      <c r="AH4491" s="15"/>
      <c r="AI4491" s="15"/>
      <c r="AJ4491" s="15"/>
      <c r="AK4491" s="15"/>
      <c r="AL4491" s="15"/>
      <c r="AM4491" s="15"/>
      <c r="AN4491" s="15"/>
      <c r="AO4491" s="15"/>
      <c r="AP4491" s="15"/>
      <c r="AQ4491" s="15"/>
      <c r="AR4491" s="15"/>
      <c r="AS4491" s="15"/>
      <c r="AT4491" s="15"/>
      <c r="AU4491" s="15"/>
      <c r="AV4491" s="15"/>
      <c r="AW4491" s="15"/>
    </row>
    <row r="4492" spans="3:49" x14ac:dyDescent="0.2">
      <c r="C4492" s="15"/>
      <c r="D4492" s="15"/>
      <c r="E4492" s="15"/>
      <c r="F4492" s="15"/>
      <c r="G4492" s="15"/>
      <c r="H4492" s="15"/>
      <c r="I4492" s="15"/>
      <c r="J4492" s="15"/>
      <c r="K4492" s="15"/>
      <c r="L4492" s="28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  <c r="AA4492" s="15"/>
      <c r="AB4492" s="15"/>
      <c r="AC4492" s="15"/>
      <c r="AD4492" s="15"/>
      <c r="AE4492" s="15"/>
      <c r="AF4492" s="15"/>
      <c r="AG4492" s="15"/>
      <c r="AH4492" s="15"/>
      <c r="AI4492" s="15"/>
      <c r="AJ4492" s="15"/>
      <c r="AK4492" s="15"/>
      <c r="AL4492" s="15"/>
      <c r="AM4492" s="15"/>
      <c r="AN4492" s="15"/>
      <c r="AO4492" s="15"/>
      <c r="AP4492" s="15"/>
      <c r="AQ4492" s="15"/>
      <c r="AR4492" s="15"/>
      <c r="AS4492" s="15"/>
      <c r="AT4492" s="15"/>
      <c r="AU4492" s="15"/>
      <c r="AV4492" s="15"/>
      <c r="AW4492" s="15"/>
    </row>
    <row r="4493" spans="3:49" x14ac:dyDescent="0.2">
      <c r="C4493" s="15"/>
      <c r="D4493" s="15"/>
      <c r="E4493" s="15"/>
      <c r="F4493" s="15"/>
      <c r="G4493" s="15"/>
      <c r="H4493" s="15"/>
      <c r="I4493" s="15"/>
      <c r="J4493" s="15"/>
      <c r="K4493" s="15"/>
      <c r="L4493" s="28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  <c r="AA4493" s="15"/>
      <c r="AB4493" s="15"/>
      <c r="AC4493" s="15"/>
      <c r="AD4493" s="15"/>
      <c r="AE4493" s="15"/>
      <c r="AF4493" s="15"/>
      <c r="AG4493" s="15"/>
      <c r="AH4493" s="15"/>
      <c r="AI4493" s="15"/>
      <c r="AJ4493" s="15"/>
      <c r="AK4493" s="15"/>
      <c r="AL4493" s="15"/>
      <c r="AM4493" s="15"/>
      <c r="AN4493" s="15"/>
      <c r="AO4493" s="15"/>
      <c r="AP4493" s="15"/>
      <c r="AQ4493" s="15"/>
      <c r="AR4493" s="15"/>
      <c r="AS4493" s="15"/>
      <c r="AT4493" s="15"/>
      <c r="AU4493" s="15"/>
      <c r="AV4493" s="15"/>
      <c r="AW4493" s="15"/>
    </row>
    <row r="4494" spans="3:49" x14ac:dyDescent="0.2">
      <c r="C4494" s="15"/>
      <c r="D4494" s="15"/>
      <c r="E4494" s="15"/>
      <c r="F4494" s="15"/>
      <c r="G4494" s="15"/>
      <c r="H4494" s="15"/>
      <c r="I4494" s="15"/>
      <c r="J4494" s="15"/>
      <c r="K4494" s="15"/>
      <c r="L4494" s="28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  <c r="AA4494" s="15"/>
      <c r="AB4494" s="15"/>
      <c r="AC4494" s="15"/>
      <c r="AD4494" s="15"/>
      <c r="AE4494" s="15"/>
      <c r="AF4494" s="15"/>
      <c r="AG4494" s="15"/>
      <c r="AH4494" s="15"/>
      <c r="AI4494" s="15"/>
      <c r="AJ4494" s="15"/>
      <c r="AK4494" s="15"/>
      <c r="AL4494" s="15"/>
      <c r="AM4494" s="15"/>
      <c r="AN4494" s="15"/>
      <c r="AO4494" s="15"/>
      <c r="AP4494" s="15"/>
      <c r="AQ4494" s="15"/>
      <c r="AR4494" s="15"/>
      <c r="AS4494" s="15"/>
      <c r="AT4494" s="15"/>
      <c r="AU4494" s="15"/>
      <c r="AV4494" s="15"/>
      <c r="AW4494" s="15"/>
    </row>
    <row r="4495" spans="3:49" x14ac:dyDescent="0.2">
      <c r="C4495" s="15"/>
      <c r="D4495" s="15"/>
      <c r="E4495" s="15"/>
      <c r="F4495" s="15"/>
      <c r="G4495" s="15"/>
      <c r="H4495" s="15"/>
      <c r="I4495" s="15"/>
      <c r="J4495" s="15"/>
      <c r="K4495" s="15"/>
      <c r="L4495" s="28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  <c r="AA4495" s="15"/>
      <c r="AB4495" s="15"/>
      <c r="AC4495" s="15"/>
      <c r="AD4495" s="15"/>
      <c r="AE4495" s="15"/>
      <c r="AF4495" s="15"/>
      <c r="AG4495" s="15"/>
      <c r="AH4495" s="15"/>
      <c r="AI4495" s="15"/>
      <c r="AJ4495" s="15"/>
      <c r="AK4495" s="15"/>
      <c r="AL4495" s="15"/>
      <c r="AM4495" s="15"/>
      <c r="AN4495" s="15"/>
      <c r="AO4495" s="15"/>
      <c r="AP4495" s="15"/>
      <c r="AQ4495" s="15"/>
      <c r="AR4495" s="15"/>
      <c r="AS4495" s="15"/>
      <c r="AT4495" s="15"/>
      <c r="AU4495" s="15"/>
      <c r="AV4495" s="15"/>
      <c r="AW4495" s="15"/>
    </row>
    <row r="4496" spans="3:49" x14ac:dyDescent="0.2">
      <c r="C4496" s="15"/>
      <c r="D4496" s="15"/>
      <c r="E4496" s="15"/>
      <c r="F4496" s="15"/>
      <c r="G4496" s="15"/>
      <c r="H4496" s="15"/>
      <c r="I4496" s="15"/>
      <c r="J4496" s="15"/>
      <c r="K4496" s="15"/>
      <c r="L4496" s="28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  <c r="AA4496" s="15"/>
      <c r="AB4496" s="15"/>
      <c r="AC4496" s="15"/>
      <c r="AD4496" s="15"/>
      <c r="AE4496" s="15"/>
      <c r="AF4496" s="15"/>
      <c r="AG4496" s="15"/>
      <c r="AH4496" s="15"/>
      <c r="AI4496" s="15"/>
      <c r="AJ4496" s="15"/>
      <c r="AK4496" s="15"/>
      <c r="AL4496" s="15"/>
      <c r="AM4496" s="15"/>
      <c r="AN4496" s="15"/>
      <c r="AO4496" s="15"/>
      <c r="AP4496" s="15"/>
      <c r="AQ4496" s="15"/>
      <c r="AR4496" s="15"/>
      <c r="AS4496" s="15"/>
      <c r="AT4496" s="15"/>
      <c r="AU4496" s="15"/>
      <c r="AV4496" s="15"/>
      <c r="AW4496" s="15"/>
    </row>
    <row r="4497" spans="3:49" x14ac:dyDescent="0.2">
      <c r="C4497" s="15"/>
      <c r="D4497" s="15"/>
      <c r="E4497" s="15"/>
      <c r="F4497" s="15"/>
      <c r="G4497" s="15"/>
      <c r="H4497" s="15"/>
      <c r="I4497" s="15"/>
      <c r="J4497" s="15"/>
      <c r="K4497" s="15"/>
      <c r="L4497" s="28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  <c r="AA4497" s="15"/>
      <c r="AB4497" s="15"/>
      <c r="AC4497" s="15"/>
      <c r="AD4497" s="15"/>
      <c r="AE4497" s="15"/>
      <c r="AF4497" s="15"/>
      <c r="AG4497" s="15"/>
      <c r="AH4497" s="15"/>
      <c r="AI4497" s="15"/>
      <c r="AJ4497" s="15"/>
      <c r="AK4497" s="15"/>
      <c r="AL4497" s="15"/>
      <c r="AM4497" s="15"/>
      <c r="AN4497" s="15"/>
      <c r="AO4497" s="15"/>
      <c r="AP4497" s="15"/>
      <c r="AQ4497" s="15"/>
      <c r="AR4497" s="15"/>
      <c r="AS4497" s="15"/>
      <c r="AT4497" s="15"/>
      <c r="AU4497" s="15"/>
      <c r="AV4497" s="15"/>
      <c r="AW4497" s="15"/>
    </row>
    <row r="4498" spans="3:49" x14ac:dyDescent="0.2">
      <c r="C4498" s="15"/>
      <c r="D4498" s="15"/>
      <c r="E4498" s="15"/>
      <c r="F4498" s="15"/>
      <c r="G4498" s="15"/>
      <c r="H4498" s="15"/>
      <c r="I4498" s="15"/>
      <c r="J4498" s="15"/>
      <c r="K4498" s="15"/>
      <c r="L4498" s="28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  <c r="AA4498" s="15"/>
      <c r="AB4498" s="15"/>
      <c r="AC4498" s="15"/>
      <c r="AD4498" s="15"/>
      <c r="AE4498" s="15"/>
      <c r="AF4498" s="15"/>
      <c r="AG4498" s="15"/>
      <c r="AH4498" s="15"/>
      <c r="AI4498" s="15"/>
      <c r="AJ4498" s="15"/>
      <c r="AK4498" s="15"/>
      <c r="AL4498" s="15"/>
      <c r="AM4498" s="15"/>
      <c r="AN4498" s="15"/>
      <c r="AO4498" s="15"/>
      <c r="AP4498" s="15"/>
      <c r="AQ4498" s="15"/>
      <c r="AR4498" s="15"/>
      <c r="AS4498" s="15"/>
      <c r="AT4498" s="15"/>
      <c r="AU4498" s="15"/>
      <c r="AV4498" s="15"/>
      <c r="AW4498" s="15"/>
    </row>
    <row r="4499" spans="3:49" x14ac:dyDescent="0.2">
      <c r="C4499" s="15"/>
      <c r="D4499" s="15"/>
      <c r="E4499" s="15"/>
      <c r="F4499" s="15"/>
      <c r="G4499" s="15"/>
      <c r="H4499" s="15"/>
      <c r="I4499" s="15"/>
      <c r="J4499" s="15"/>
      <c r="K4499" s="15"/>
      <c r="L4499" s="28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  <c r="AA4499" s="15"/>
      <c r="AB4499" s="15"/>
      <c r="AC4499" s="15"/>
      <c r="AD4499" s="15"/>
      <c r="AE4499" s="15"/>
      <c r="AF4499" s="15"/>
      <c r="AG4499" s="15"/>
      <c r="AH4499" s="15"/>
      <c r="AI4499" s="15"/>
      <c r="AJ4499" s="15"/>
      <c r="AK4499" s="15"/>
      <c r="AL4499" s="15"/>
      <c r="AM4499" s="15"/>
      <c r="AN4499" s="15"/>
      <c r="AO4499" s="15"/>
      <c r="AP4499" s="15"/>
      <c r="AQ4499" s="15"/>
      <c r="AR4499" s="15"/>
      <c r="AS4499" s="15"/>
      <c r="AT4499" s="15"/>
      <c r="AU4499" s="15"/>
      <c r="AV4499" s="15"/>
      <c r="AW4499" s="15"/>
    </row>
    <row r="4500" spans="3:49" x14ac:dyDescent="0.2">
      <c r="C4500" s="15"/>
      <c r="D4500" s="15"/>
      <c r="E4500" s="15"/>
      <c r="F4500" s="15"/>
      <c r="G4500" s="15"/>
      <c r="H4500" s="15"/>
      <c r="I4500" s="15"/>
      <c r="J4500" s="15"/>
      <c r="K4500" s="15"/>
      <c r="L4500" s="28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  <c r="AA4500" s="15"/>
      <c r="AB4500" s="15"/>
      <c r="AC4500" s="15"/>
      <c r="AD4500" s="15"/>
      <c r="AE4500" s="15"/>
      <c r="AF4500" s="15"/>
      <c r="AG4500" s="15"/>
      <c r="AH4500" s="15"/>
      <c r="AI4500" s="15"/>
      <c r="AJ4500" s="15"/>
      <c r="AK4500" s="15"/>
      <c r="AL4500" s="15"/>
      <c r="AM4500" s="15"/>
      <c r="AN4500" s="15"/>
      <c r="AO4500" s="15"/>
      <c r="AP4500" s="15"/>
      <c r="AQ4500" s="15"/>
      <c r="AR4500" s="15"/>
      <c r="AS4500" s="15"/>
      <c r="AT4500" s="15"/>
      <c r="AU4500" s="15"/>
      <c r="AV4500" s="15"/>
      <c r="AW4500" s="15"/>
    </row>
    <row r="4501" spans="3:49" x14ac:dyDescent="0.2">
      <c r="C4501" s="15"/>
      <c r="D4501" s="15"/>
      <c r="E4501" s="15"/>
      <c r="F4501" s="15"/>
      <c r="G4501" s="15"/>
      <c r="H4501" s="15"/>
      <c r="I4501" s="15"/>
      <c r="J4501" s="15"/>
      <c r="K4501" s="15"/>
      <c r="L4501" s="28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  <c r="AA4501" s="15"/>
      <c r="AB4501" s="15"/>
      <c r="AC4501" s="15"/>
      <c r="AD4501" s="15"/>
      <c r="AE4501" s="15"/>
      <c r="AF4501" s="15"/>
      <c r="AG4501" s="15"/>
      <c r="AH4501" s="15"/>
      <c r="AI4501" s="15"/>
      <c r="AJ4501" s="15"/>
      <c r="AK4501" s="15"/>
      <c r="AL4501" s="15"/>
      <c r="AM4501" s="15"/>
      <c r="AN4501" s="15"/>
      <c r="AO4501" s="15"/>
      <c r="AP4501" s="15"/>
      <c r="AQ4501" s="15"/>
      <c r="AR4501" s="15"/>
      <c r="AS4501" s="15"/>
      <c r="AT4501" s="15"/>
      <c r="AU4501" s="15"/>
      <c r="AV4501" s="15"/>
      <c r="AW4501" s="15"/>
    </row>
    <row r="4502" spans="3:49" x14ac:dyDescent="0.2">
      <c r="C4502" s="15"/>
      <c r="D4502" s="15"/>
      <c r="E4502" s="15"/>
      <c r="F4502" s="15"/>
      <c r="G4502" s="15"/>
      <c r="H4502" s="15"/>
      <c r="I4502" s="15"/>
      <c r="J4502" s="15"/>
      <c r="K4502" s="15"/>
      <c r="L4502" s="28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  <c r="AA4502" s="15"/>
      <c r="AB4502" s="15"/>
      <c r="AC4502" s="15"/>
      <c r="AD4502" s="15"/>
      <c r="AE4502" s="15"/>
      <c r="AF4502" s="15"/>
      <c r="AG4502" s="15"/>
      <c r="AH4502" s="15"/>
      <c r="AI4502" s="15"/>
      <c r="AJ4502" s="15"/>
      <c r="AK4502" s="15"/>
      <c r="AL4502" s="15"/>
      <c r="AM4502" s="15"/>
      <c r="AN4502" s="15"/>
      <c r="AO4502" s="15"/>
      <c r="AP4502" s="15"/>
      <c r="AQ4502" s="15"/>
      <c r="AR4502" s="15"/>
      <c r="AS4502" s="15"/>
      <c r="AT4502" s="15"/>
      <c r="AU4502" s="15"/>
      <c r="AV4502" s="15"/>
      <c r="AW4502" s="15"/>
    </row>
    <row r="4503" spans="3:49" x14ac:dyDescent="0.2">
      <c r="C4503" s="15"/>
      <c r="D4503" s="15"/>
      <c r="E4503" s="15"/>
      <c r="F4503" s="15"/>
      <c r="G4503" s="15"/>
      <c r="H4503" s="15"/>
      <c r="I4503" s="15"/>
      <c r="J4503" s="15"/>
      <c r="K4503" s="15"/>
      <c r="L4503" s="28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  <c r="AA4503" s="15"/>
      <c r="AB4503" s="15"/>
      <c r="AC4503" s="15"/>
      <c r="AD4503" s="15"/>
      <c r="AE4503" s="15"/>
      <c r="AF4503" s="15"/>
      <c r="AG4503" s="15"/>
      <c r="AH4503" s="15"/>
      <c r="AI4503" s="15"/>
      <c r="AJ4503" s="15"/>
      <c r="AK4503" s="15"/>
      <c r="AL4503" s="15"/>
      <c r="AM4503" s="15"/>
      <c r="AN4503" s="15"/>
      <c r="AO4503" s="15"/>
      <c r="AP4503" s="15"/>
      <c r="AQ4503" s="15"/>
      <c r="AR4503" s="15"/>
      <c r="AS4503" s="15"/>
      <c r="AT4503" s="15"/>
      <c r="AU4503" s="15"/>
      <c r="AV4503" s="15"/>
      <c r="AW4503" s="15"/>
    </row>
    <row r="4504" spans="3:49" x14ac:dyDescent="0.2">
      <c r="C4504" s="15"/>
      <c r="D4504" s="15"/>
      <c r="E4504" s="15"/>
      <c r="F4504" s="15"/>
      <c r="G4504" s="15"/>
      <c r="H4504" s="15"/>
      <c r="I4504" s="15"/>
      <c r="J4504" s="15"/>
      <c r="K4504" s="15"/>
      <c r="L4504" s="28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  <c r="AA4504" s="15"/>
      <c r="AB4504" s="15"/>
      <c r="AC4504" s="15"/>
      <c r="AD4504" s="15"/>
      <c r="AE4504" s="15"/>
      <c r="AF4504" s="15"/>
      <c r="AG4504" s="15"/>
      <c r="AH4504" s="15"/>
      <c r="AI4504" s="15"/>
      <c r="AJ4504" s="15"/>
      <c r="AK4504" s="15"/>
      <c r="AL4504" s="15"/>
      <c r="AM4504" s="15"/>
      <c r="AN4504" s="15"/>
      <c r="AO4504" s="15"/>
      <c r="AP4504" s="15"/>
      <c r="AQ4504" s="15"/>
      <c r="AR4504" s="15"/>
      <c r="AS4504" s="15"/>
      <c r="AT4504" s="15"/>
      <c r="AU4504" s="15"/>
      <c r="AV4504" s="15"/>
      <c r="AW4504" s="15"/>
    </row>
    <row r="4505" spans="3:49" x14ac:dyDescent="0.2">
      <c r="C4505" s="15"/>
      <c r="D4505" s="15"/>
      <c r="E4505" s="15"/>
      <c r="F4505" s="15"/>
      <c r="G4505" s="15"/>
      <c r="H4505" s="15"/>
      <c r="I4505" s="15"/>
      <c r="J4505" s="15"/>
      <c r="K4505" s="15"/>
      <c r="L4505" s="28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  <c r="AA4505" s="15"/>
      <c r="AB4505" s="15"/>
      <c r="AC4505" s="15"/>
      <c r="AD4505" s="15"/>
      <c r="AE4505" s="15"/>
      <c r="AF4505" s="15"/>
      <c r="AG4505" s="15"/>
      <c r="AH4505" s="15"/>
      <c r="AI4505" s="15"/>
      <c r="AJ4505" s="15"/>
      <c r="AK4505" s="15"/>
      <c r="AL4505" s="15"/>
      <c r="AM4505" s="15"/>
      <c r="AN4505" s="15"/>
      <c r="AO4505" s="15"/>
      <c r="AP4505" s="15"/>
      <c r="AQ4505" s="15"/>
      <c r="AR4505" s="15"/>
      <c r="AS4505" s="15"/>
      <c r="AT4505" s="15"/>
      <c r="AU4505" s="15"/>
      <c r="AV4505" s="15"/>
      <c r="AW4505" s="15"/>
    </row>
    <row r="4506" spans="3:49" x14ac:dyDescent="0.2">
      <c r="C4506" s="15"/>
      <c r="D4506" s="15"/>
      <c r="E4506" s="15"/>
      <c r="F4506" s="15"/>
      <c r="G4506" s="15"/>
      <c r="H4506" s="15"/>
      <c r="I4506" s="15"/>
      <c r="J4506" s="15"/>
      <c r="K4506" s="15"/>
      <c r="L4506" s="28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  <c r="AA4506" s="15"/>
      <c r="AB4506" s="15"/>
      <c r="AC4506" s="15"/>
      <c r="AD4506" s="15"/>
      <c r="AE4506" s="15"/>
      <c r="AF4506" s="15"/>
      <c r="AG4506" s="15"/>
      <c r="AH4506" s="15"/>
      <c r="AI4506" s="15"/>
      <c r="AJ4506" s="15"/>
      <c r="AK4506" s="15"/>
      <c r="AL4506" s="15"/>
      <c r="AM4506" s="15"/>
      <c r="AN4506" s="15"/>
      <c r="AO4506" s="15"/>
      <c r="AP4506" s="15"/>
      <c r="AQ4506" s="15"/>
      <c r="AR4506" s="15"/>
      <c r="AS4506" s="15"/>
      <c r="AT4506" s="15"/>
      <c r="AU4506" s="15"/>
      <c r="AV4506" s="15"/>
      <c r="AW4506" s="15"/>
    </row>
    <row r="4507" spans="3:49" x14ac:dyDescent="0.2">
      <c r="C4507" s="15"/>
      <c r="D4507" s="15"/>
      <c r="E4507" s="15"/>
      <c r="F4507" s="15"/>
      <c r="G4507" s="15"/>
      <c r="H4507" s="15"/>
      <c r="I4507" s="15"/>
      <c r="J4507" s="15"/>
      <c r="K4507" s="15"/>
      <c r="L4507" s="28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  <c r="AA4507" s="15"/>
      <c r="AB4507" s="15"/>
      <c r="AC4507" s="15"/>
      <c r="AD4507" s="15"/>
      <c r="AE4507" s="15"/>
      <c r="AF4507" s="15"/>
      <c r="AG4507" s="15"/>
      <c r="AH4507" s="15"/>
      <c r="AI4507" s="15"/>
      <c r="AJ4507" s="15"/>
      <c r="AK4507" s="15"/>
      <c r="AL4507" s="15"/>
      <c r="AM4507" s="15"/>
      <c r="AN4507" s="15"/>
      <c r="AO4507" s="15"/>
      <c r="AP4507" s="15"/>
      <c r="AQ4507" s="15"/>
      <c r="AR4507" s="15"/>
      <c r="AS4507" s="15"/>
      <c r="AT4507" s="15"/>
      <c r="AU4507" s="15"/>
      <c r="AV4507" s="15"/>
      <c r="AW4507" s="15"/>
    </row>
    <row r="4508" spans="3:49" x14ac:dyDescent="0.2">
      <c r="C4508" s="15"/>
      <c r="D4508" s="15"/>
      <c r="E4508" s="15"/>
      <c r="F4508" s="15"/>
      <c r="G4508" s="15"/>
      <c r="H4508" s="15"/>
      <c r="I4508" s="15"/>
      <c r="J4508" s="15"/>
      <c r="K4508" s="15"/>
      <c r="L4508" s="28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  <c r="AA4508" s="15"/>
      <c r="AB4508" s="15"/>
      <c r="AC4508" s="15"/>
      <c r="AD4508" s="15"/>
      <c r="AE4508" s="15"/>
      <c r="AF4508" s="15"/>
      <c r="AG4508" s="15"/>
      <c r="AH4508" s="15"/>
      <c r="AI4508" s="15"/>
      <c r="AJ4508" s="15"/>
      <c r="AK4508" s="15"/>
      <c r="AL4508" s="15"/>
      <c r="AM4508" s="15"/>
      <c r="AN4508" s="15"/>
      <c r="AO4508" s="15"/>
      <c r="AP4508" s="15"/>
      <c r="AQ4508" s="15"/>
      <c r="AR4508" s="15"/>
      <c r="AS4508" s="15"/>
      <c r="AT4508" s="15"/>
      <c r="AU4508" s="15"/>
      <c r="AV4508" s="15"/>
      <c r="AW4508" s="15"/>
    </row>
    <row r="4509" spans="3:49" x14ac:dyDescent="0.2">
      <c r="C4509" s="15"/>
      <c r="D4509" s="15"/>
      <c r="E4509" s="15"/>
      <c r="F4509" s="15"/>
      <c r="G4509" s="15"/>
      <c r="H4509" s="15"/>
      <c r="I4509" s="15"/>
      <c r="J4509" s="15"/>
      <c r="K4509" s="15"/>
      <c r="L4509" s="28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  <c r="AA4509" s="15"/>
      <c r="AB4509" s="15"/>
      <c r="AC4509" s="15"/>
      <c r="AD4509" s="15"/>
      <c r="AE4509" s="15"/>
      <c r="AF4509" s="15"/>
      <c r="AG4509" s="15"/>
      <c r="AH4509" s="15"/>
      <c r="AI4509" s="15"/>
      <c r="AJ4509" s="15"/>
      <c r="AK4509" s="15"/>
      <c r="AL4509" s="15"/>
      <c r="AM4509" s="15"/>
      <c r="AN4509" s="15"/>
      <c r="AO4509" s="15"/>
      <c r="AP4509" s="15"/>
      <c r="AQ4509" s="15"/>
      <c r="AR4509" s="15"/>
      <c r="AS4509" s="15"/>
      <c r="AT4509" s="15"/>
      <c r="AU4509" s="15"/>
      <c r="AV4509" s="15"/>
      <c r="AW4509" s="15"/>
    </row>
    <row r="4510" spans="3:49" x14ac:dyDescent="0.2">
      <c r="C4510" s="15"/>
      <c r="D4510" s="15"/>
      <c r="E4510" s="15"/>
      <c r="F4510" s="15"/>
      <c r="G4510" s="15"/>
      <c r="H4510" s="15"/>
      <c r="I4510" s="15"/>
      <c r="J4510" s="15"/>
      <c r="K4510" s="15"/>
      <c r="L4510" s="28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  <c r="AA4510" s="15"/>
      <c r="AB4510" s="15"/>
      <c r="AC4510" s="15"/>
      <c r="AD4510" s="15"/>
      <c r="AE4510" s="15"/>
      <c r="AF4510" s="15"/>
      <c r="AG4510" s="15"/>
      <c r="AH4510" s="15"/>
      <c r="AI4510" s="15"/>
      <c r="AJ4510" s="15"/>
      <c r="AK4510" s="15"/>
      <c r="AL4510" s="15"/>
      <c r="AM4510" s="15"/>
      <c r="AN4510" s="15"/>
      <c r="AO4510" s="15"/>
      <c r="AP4510" s="15"/>
      <c r="AQ4510" s="15"/>
      <c r="AR4510" s="15"/>
      <c r="AS4510" s="15"/>
      <c r="AT4510" s="15"/>
      <c r="AU4510" s="15"/>
      <c r="AV4510" s="15"/>
      <c r="AW4510" s="15"/>
    </row>
    <row r="4511" spans="3:49" x14ac:dyDescent="0.2">
      <c r="C4511" s="15"/>
      <c r="D4511" s="15"/>
      <c r="E4511" s="15"/>
      <c r="F4511" s="15"/>
      <c r="G4511" s="15"/>
      <c r="H4511" s="15"/>
      <c r="I4511" s="15"/>
      <c r="J4511" s="15"/>
      <c r="K4511" s="15"/>
      <c r="L4511" s="28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  <c r="AA4511" s="15"/>
      <c r="AB4511" s="15"/>
      <c r="AC4511" s="15"/>
      <c r="AD4511" s="15"/>
      <c r="AE4511" s="15"/>
      <c r="AF4511" s="15"/>
      <c r="AG4511" s="15"/>
      <c r="AH4511" s="15"/>
      <c r="AI4511" s="15"/>
      <c r="AJ4511" s="15"/>
      <c r="AK4511" s="15"/>
      <c r="AL4511" s="15"/>
      <c r="AM4511" s="15"/>
      <c r="AN4511" s="15"/>
      <c r="AO4511" s="15"/>
      <c r="AP4511" s="15"/>
      <c r="AQ4511" s="15"/>
      <c r="AR4511" s="15"/>
      <c r="AS4511" s="15"/>
      <c r="AT4511" s="15"/>
      <c r="AU4511" s="15"/>
      <c r="AV4511" s="15"/>
      <c r="AW4511" s="15"/>
    </row>
    <row r="4512" spans="3:49" x14ac:dyDescent="0.2">
      <c r="C4512" s="15"/>
      <c r="D4512" s="15"/>
      <c r="E4512" s="15"/>
      <c r="F4512" s="15"/>
      <c r="G4512" s="15"/>
      <c r="H4512" s="15"/>
      <c r="I4512" s="15"/>
      <c r="J4512" s="15"/>
      <c r="K4512" s="15"/>
      <c r="L4512" s="28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  <c r="AA4512" s="15"/>
      <c r="AB4512" s="15"/>
      <c r="AC4512" s="15"/>
      <c r="AD4512" s="15"/>
      <c r="AE4512" s="15"/>
      <c r="AF4512" s="15"/>
      <c r="AG4512" s="15"/>
      <c r="AH4512" s="15"/>
      <c r="AI4512" s="15"/>
      <c r="AJ4512" s="15"/>
      <c r="AK4512" s="15"/>
      <c r="AL4512" s="15"/>
      <c r="AM4512" s="15"/>
      <c r="AN4512" s="15"/>
      <c r="AO4512" s="15"/>
      <c r="AP4512" s="15"/>
      <c r="AQ4512" s="15"/>
      <c r="AR4512" s="15"/>
      <c r="AS4512" s="15"/>
      <c r="AT4512" s="15"/>
      <c r="AU4512" s="15"/>
      <c r="AV4512" s="15"/>
      <c r="AW4512" s="15"/>
    </row>
    <row r="4513" spans="3:49" x14ac:dyDescent="0.2">
      <c r="C4513" s="15"/>
      <c r="D4513" s="15"/>
      <c r="E4513" s="15"/>
      <c r="F4513" s="15"/>
      <c r="G4513" s="15"/>
      <c r="H4513" s="15"/>
      <c r="I4513" s="15"/>
      <c r="J4513" s="15"/>
      <c r="K4513" s="15"/>
      <c r="L4513" s="28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  <c r="AA4513" s="15"/>
      <c r="AB4513" s="15"/>
      <c r="AC4513" s="15"/>
      <c r="AD4513" s="15"/>
      <c r="AE4513" s="15"/>
      <c r="AF4513" s="15"/>
      <c r="AG4513" s="15"/>
      <c r="AH4513" s="15"/>
      <c r="AI4513" s="15"/>
      <c r="AJ4513" s="15"/>
      <c r="AK4513" s="15"/>
      <c r="AL4513" s="15"/>
      <c r="AM4513" s="15"/>
      <c r="AN4513" s="15"/>
      <c r="AO4513" s="15"/>
      <c r="AP4513" s="15"/>
      <c r="AQ4513" s="15"/>
      <c r="AR4513" s="15"/>
      <c r="AS4513" s="15"/>
      <c r="AT4513" s="15"/>
      <c r="AU4513" s="15"/>
      <c r="AV4513" s="15"/>
      <c r="AW4513" s="15"/>
    </row>
    <row r="4514" spans="3:49" x14ac:dyDescent="0.2">
      <c r="C4514" s="15"/>
      <c r="D4514" s="15"/>
      <c r="E4514" s="15"/>
      <c r="F4514" s="15"/>
      <c r="G4514" s="15"/>
      <c r="H4514" s="15"/>
      <c r="I4514" s="15"/>
      <c r="J4514" s="15"/>
      <c r="K4514" s="15"/>
      <c r="L4514" s="28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  <c r="AA4514" s="15"/>
      <c r="AB4514" s="15"/>
      <c r="AC4514" s="15"/>
      <c r="AD4514" s="15"/>
      <c r="AE4514" s="15"/>
      <c r="AF4514" s="15"/>
      <c r="AG4514" s="15"/>
      <c r="AH4514" s="15"/>
      <c r="AI4514" s="15"/>
      <c r="AJ4514" s="15"/>
      <c r="AK4514" s="15"/>
      <c r="AL4514" s="15"/>
      <c r="AM4514" s="15"/>
      <c r="AN4514" s="15"/>
      <c r="AO4514" s="15"/>
      <c r="AP4514" s="15"/>
      <c r="AQ4514" s="15"/>
      <c r="AR4514" s="15"/>
      <c r="AS4514" s="15"/>
      <c r="AT4514" s="15"/>
      <c r="AU4514" s="15"/>
      <c r="AV4514" s="15"/>
      <c r="AW4514" s="15"/>
    </row>
    <row r="4515" spans="3:49" x14ac:dyDescent="0.2">
      <c r="C4515" s="15"/>
      <c r="D4515" s="15"/>
      <c r="E4515" s="15"/>
      <c r="F4515" s="15"/>
      <c r="G4515" s="15"/>
      <c r="H4515" s="15"/>
      <c r="I4515" s="15"/>
      <c r="J4515" s="15"/>
      <c r="K4515" s="15"/>
      <c r="L4515" s="28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  <c r="AA4515" s="15"/>
      <c r="AB4515" s="15"/>
      <c r="AC4515" s="15"/>
      <c r="AD4515" s="15"/>
      <c r="AE4515" s="15"/>
      <c r="AF4515" s="15"/>
      <c r="AG4515" s="15"/>
      <c r="AH4515" s="15"/>
      <c r="AI4515" s="15"/>
      <c r="AJ4515" s="15"/>
      <c r="AK4515" s="15"/>
      <c r="AL4515" s="15"/>
      <c r="AM4515" s="15"/>
      <c r="AN4515" s="15"/>
      <c r="AO4515" s="15"/>
      <c r="AP4515" s="15"/>
      <c r="AQ4515" s="15"/>
      <c r="AR4515" s="15"/>
      <c r="AS4515" s="15"/>
      <c r="AT4515" s="15"/>
      <c r="AU4515" s="15"/>
      <c r="AV4515" s="15"/>
      <c r="AW4515" s="15"/>
    </row>
    <row r="4516" spans="3:49" x14ac:dyDescent="0.2">
      <c r="C4516" s="15"/>
      <c r="D4516" s="15"/>
      <c r="E4516" s="15"/>
      <c r="F4516" s="15"/>
      <c r="G4516" s="15"/>
      <c r="H4516" s="15"/>
      <c r="I4516" s="15"/>
      <c r="J4516" s="15"/>
      <c r="K4516" s="15"/>
      <c r="L4516" s="28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  <c r="AA4516" s="15"/>
      <c r="AB4516" s="15"/>
      <c r="AC4516" s="15"/>
      <c r="AD4516" s="15"/>
      <c r="AE4516" s="15"/>
      <c r="AF4516" s="15"/>
      <c r="AG4516" s="15"/>
      <c r="AH4516" s="15"/>
      <c r="AI4516" s="15"/>
      <c r="AJ4516" s="15"/>
      <c r="AK4516" s="15"/>
      <c r="AL4516" s="15"/>
      <c r="AM4516" s="15"/>
      <c r="AN4516" s="15"/>
      <c r="AO4516" s="15"/>
      <c r="AP4516" s="15"/>
      <c r="AQ4516" s="15"/>
      <c r="AR4516" s="15"/>
      <c r="AS4516" s="15"/>
      <c r="AT4516" s="15"/>
      <c r="AU4516" s="15"/>
      <c r="AV4516" s="15"/>
      <c r="AW4516" s="15"/>
    </row>
    <row r="4517" spans="3:49" x14ac:dyDescent="0.2">
      <c r="C4517" s="15"/>
      <c r="D4517" s="15"/>
      <c r="E4517" s="15"/>
      <c r="F4517" s="15"/>
      <c r="G4517" s="15"/>
      <c r="H4517" s="15"/>
      <c r="I4517" s="15"/>
      <c r="J4517" s="15"/>
      <c r="K4517" s="15"/>
      <c r="L4517" s="28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  <c r="AA4517" s="15"/>
      <c r="AB4517" s="15"/>
      <c r="AC4517" s="15"/>
      <c r="AD4517" s="15"/>
      <c r="AE4517" s="15"/>
      <c r="AF4517" s="15"/>
      <c r="AG4517" s="15"/>
      <c r="AH4517" s="15"/>
      <c r="AI4517" s="15"/>
      <c r="AJ4517" s="15"/>
      <c r="AK4517" s="15"/>
      <c r="AL4517" s="15"/>
      <c r="AM4517" s="15"/>
      <c r="AN4517" s="15"/>
      <c r="AO4517" s="15"/>
      <c r="AP4517" s="15"/>
      <c r="AQ4517" s="15"/>
      <c r="AR4517" s="15"/>
      <c r="AS4517" s="15"/>
      <c r="AT4517" s="15"/>
      <c r="AU4517" s="15"/>
      <c r="AV4517" s="15"/>
      <c r="AW4517" s="15"/>
    </row>
    <row r="4518" spans="3:49" x14ac:dyDescent="0.2">
      <c r="C4518" s="15"/>
      <c r="D4518" s="15"/>
      <c r="E4518" s="15"/>
      <c r="F4518" s="15"/>
      <c r="G4518" s="15"/>
      <c r="H4518" s="15"/>
      <c r="I4518" s="15"/>
      <c r="J4518" s="15"/>
      <c r="K4518" s="15"/>
      <c r="L4518" s="28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  <c r="AA4518" s="15"/>
      <c r="AB4518" s="15"/>
      <c r="AC4518" s="15"/>
      <c r="AD4518" s="15"/>
      <c r="AE4518" s="15"/>
      <c r="AF4518" s="15"/>
      <c r="AG4518" s="15"/>
      <c r="AH4518" s="15"/>
      <c r="AI4518" s="15"/>
      <c r="AJ4518" s="15"/>
      <c r="AK4518" s="15"/>
      <c r="AL4518" s="15"/>
      <c r="AM4518" s="15"/>
      <c r="AN4518" s="15"/>
      <c r="AO4518" s="15"/>
      <c r="AP4518" s="15"/>
      <c r="AQ4518" s="15"/>
      <c r="AR4518" s="15"/>
      <c r="AS4518" s="15"/>
      <c r="AT4518" s="15"/>
      <c r="AU4518" s="15"/>
      <c r="AV4518" s="15"/>
      <c r="AW4518" s="15"/>
    </row>
    <row r="4519" spans="3:49" x14ac:dyDescent="0.2">
      <c r="C4519" s="15"/>
      <c r="D4519" s="15"/>
      <c r="E4519" s="15"/>
      <c r="F4519" s="15"/>
      <c r="G4519" s="15"/>
      <c r="H4519" s="15"/>
      <c r="I4519" s="15"/>
      <c r="J4519" s="15"/>
      <c r="K4519" s="15"/>
      <c r="L4519" s="28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  <c r="AA4519" s="15"/>
      <c r="AB4519" s="15"/>
      <c r="AC4519" s="15"/>
      <c r="AD4519" s="15"/>
      <c r="AE4519" s="15"/>
      <c r="AF4519" s="15"/>
      <c r="AG4519" s="15"/>
      <c r="AH4519" s="15"/>
      <c r="AI4519" s="15"/>
      <c r="AJ4519" s="15"/>
      <c r="AK4519" s="15"/>
      <c r="AL4519" s="15"/>
      <c r="AM4519" s="15"/>
      <c r="AN4519" s="15"/>
      <c r="AO4519" s="15"/>
      <c r="AP4519" s="15"/>
      <c r="AQ4519" s="15"/>
      <c r="AR4519" s="15"/>
      <c r="AS4519" s="15"/>
      <c r="AT4519" s="15"/>
      <c r="AU4519" s="15"/>
      <c r="AV4519" s="15"/>
      <c r="AW4519" s="15"/>
    </row>
    <row r="4520" spans="3:49" x14ac:dyDescent="0.2">
      <c r="C4520" s="15"/>
      <c r="D4520" s="15"/>
      <c r="E4520" s="15"/>
      <c r="F4520" s="15"/>
      <c r="G4520" s="15"/>
      <c r="H4520" s="15"/>
      <c r="I4520" s="15"/>
      <c r="J4520" s="15"/>
      <c r="K4520" s="15"/>
      <c r="L4520" s="28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  <c r="AA4520" s="15"/>
      <c r="AB4520" s="15"/>
      <c r="AC4520" s="15"/>
      <c r="AD4520" s="15"/>
      <c r="AE4520" s="15"/>
      <c r="AF4520" s="15"/>
      <c r="AG4520" s="15"/>
      <c r="AH4520" s="15"/>
      <c r="AI4520" s="15"/>
      <c r="AJ4520" s="15"/>
      <c r="AK4520" s="15"/>
      <c r="AL4520" s="15"/>
      <c r="AM4520" s="15"/>
      <c r="AN4520" s="15"/>
      <c r="AO4520" s="15"/>
      <c r="AP4520" s="15"/>
      <c r="AQ4520" s="15"/>
      <c r="AR4520" s="15"/>
      <c r="AS4520" s="15"/>
      <c r="AT4520" s="15"/>
      <c r="AU4520" s="15"/>
      <c r="AV4520" s="15"/>
      <c r="AW4520" s="15"/>
    </row>
    <row r="4521" spans="3:49" x14ac:dyDescent="0.2">
      <c r="C4521" s="15"/>
      <c r="D4521" s="15"/>
      <c r="E4521" s="15"/>
      <c r="F4521" s="15"/>
      <c r="G4521" s="15"/>
      <c r="H4521" s="15"/>
      <c r="I4521" s="15"/>
      <c r="J4521" s="15"/>
      <c r="K4521" s="15"/>
      <c r="L4521" s="28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  <c r="AA4521" s="15"/>
      <c r="AB4521" s="15"/>
      <c r="AC4521" s="15"/>
      <c r="AD4521" s="15"/>
      <c r="AE4521" s="15"/>
      <c r="AF4521" s="15"/>
      <c r="AG4521" s="15"/>
      <c r="AH4521" s="15"/>
      <c r="AI4521" s="15"/>
      <c r="AJ4521" s="15"/>
      <c r="AK4521" s="15"/>
      <c r="AL4521" s="15"/>
      <c r="AM4521" s="15"/>
      <c r="AN4521" s="15"/>
      <c r="AO4521" s="15"/>
      <c r="AP4521" s="15"/>
      <c r="AQ4521" s="15"/>
      <c r="AR4521" s="15"/>
      <c r="AS4521" s="15"/>
      <c r="AT4521" s="15"/>
      <c r="AU4521" s="15"/>
      <c r="AV4521" s="15"/>
      <c r="AW4521" s="15"/>
    </row>
    <row r="4522" spans="3:49" x14ac:dyDescent="0.2">
      <c r="C4522" s="15"/>
      <c r="D4522" s="15"/>
      <c r="E4522" s="15"/>
      <c r="F4522" s="15"/>
      <c r="G4522" s="15"/>
      <c r="H4522" s="15"/>
      <c r="I4522" s="15"/>
      <c r="J4522" s="15"/>
      <c r="K4522" s="15"/>
      <c r="L4522" s="28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  <c r="AA4522" s="15"/>
      <c r="AB4522" s="15"/>
      <c r="AC4522" s="15"/>
      <c r="AD4522" s="15"/>
      <c r="AE4522" s="15"/>
      <c r="AF4522" s="15"/>
      <c r="AG4522" s="15"/>
      <c r="AH4522" s="15"/>
      <c r="AI4522" s="15"/>
      <c r="AJ4522" s="15"/>
      <c r="AK4522" s="15"/>
      <c r="AL4522" s="15"/>
      <c r="AM4522" s="15"/>
      <c r="AN4522" s="15"/>
      <c r="AO4522" s="15"/>
      <c r="AP4522" s="15"/>
      <c r="AQ4522" s="15"/>
      <c r="AR4522" s="15"/>
      <c r="AS4522" s="15"/>
      <c r="AT4522" s="15"/>
      <c r="AU4522" s="15"/>
      <c r="AV4522" s="15"/>
      <c r="AW4522" s="15"/>
    </row>
    <row r="4523" spans="3:49" x14ac:dyDescent="0.2">
      <c r="C4523" s="15"/>
      <c r="D4523" s="15"/>
      <c r="E4523" s="15"/>
      <c r="F4523" s="15"/>
      <c r="G4523" s="15"/>
      <c r="H4523" s="15"/>
      <c r="I4523" s="15"/>
      <c r="J4523" s="15"/>
      <c r="K4523" s="15"/>
      <c r="L4523" s="28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  <c r="AA4523" s="15"/>
      <c r="AB4523" s="15"/>
      <c r="AC4523" s="15"/>
      <c r="AD4523" s="15"/>
      <c r="AE4523" s="15"/>
      <c r="AF4523" s="15"/>
      <c r="AG4523" s="15"/>
      <c r="AH4523" s="15"/>
      <c r="AI4523" s="15"/>
      <c r="AJ4523" s="15"/>
      <c r="AK4523" s="15"/>
      <c r="AL4523" s="15"/>
      <c r="AM4523" s="15"/>
      <c r="AN4523" s="15"/>
      <c r="AO4523" s="15"/>
      <c r="AP4523" s="15"/>
      <c r="AQ4523" s="15"/>
      <c r="AR4523" s="15"/>
      <c r="AS4523" s="15"/>
      <c r="AT4523" s="15"/>
      <c r="AU4523" s="15"/>
      <c r="AV4523" s="15"/>
      <c r="AW4523" s="15"/>
    </row>
    <row r="4524" spans="3:49" x14ac:dyDescent="0.2">
      <c r="C4524" s="15"/>
      <c r="D4524" s="15"/>
      <c r="E4524" s="15"/>
      <c r="F4524" s="15"/>
      <c r="G4524" s="15"/>
      <c r="H4524" s="15"/>
      <c r="I4524" s="15"/>
      <c r="J4524" s="15"/>
      <c r="K4524" s="15"/>
      <c r="L4524" s="28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  <c r="AA4524" s="15"/>
      <c r="AB4524" s="15"/>
      <c r="AC4524" s="15"/>
      <c r="AD4524" s="15"/>
      <c r="AE4524" s="15"/>
      <c r="AF4524" s="15"/>
      <c r="AG4524" s="15"/>
      <c r="AH4524" s="15"/>
      <c r="AI4524" s="15"/>
      <c r="AJ4524" s="15"/>
      <c r="AK4524" s="15"/>
      <c r="AL4524" s="15"/>
      <c r="AM4524" s="15"/>
      <c r="AN4524" s="15"/>
      <c r="AO4524" s="15"/>
      <c r="AP4524" s="15"/>
      <c r="AQ4524" s="15"/>
      <c r="AR4524" s="15"/>
      <c r="AS4524" s="15"/>
      <c r="AT4524" s="15"/>
      <c r="AU4524" s="15"/>
      <c r="AV4524" s="15"/>
      <c r="AW4524" s="15"/>
    </row>
    <row r="4525" spans="3:49" x14ac:dyDescent="0.2">
      <c r="C4525" s="15"/>
      <c r="D4525" s="15"/>
      <c r="E4525" s="15"/>
      <c r="F4525" s="15"/>
      <c r="G4525" s="15"/>
      <c r="H4525" s="15"/>
      <c r="I4525" s="15"/>
      <c r="J4525" s="15"/>
      <c r="K4525" s="15"/>
      <c r="L4525" s="28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  <c r="AA4525" s="15"/>
      <c r="AB4525" s="15"/>
      <c r="AC4525" s="15"/>
      <c r="AD4525" s="15"/>
      <c r="AE4525" s="15"/>
      <c r="AF4525" s="15"/>
      <c r="AG4525" s="15"/>
      <c r="AH4525" s="15"/>
      <c r="AI4525" s="15"/>
      <c r="AJ4525" s="15"/>
      <c r="AK4525" s="15"/>
      <c r="AL4525" s="15"/>
      <c r="AM4525" s="15"/>
      <c r="AN4525" s="15"/>
      <c r="AO4525" s="15"/>
      <c r="AP4525" s="15"/>
      <c r="AQ4525" s="15"/>
      <c r="AR4525" s="15"/>
      <c r="AS4525" s="15"/>
      <c r="AT4525" s="15"/>
      <c r="AU4525" s="15"/>
      <c r="AV4525" s="15"/>
      <c r="AW4525" s="15"/>
    </row>
    <row r="4526" spans="3:49" x14ac:dyDescent="0.2">
      <c r="C4526" s="15"/>
      <c r="D4526" s="15"/>
      <c r="E4526" s="15"/>
      <c r="F4526" s="15"/>
      <c r="G4526" s="15"/>
      <c r="H4526" s="15"/>
      <c r="I4526" s="15"/>
      <c r="J4526" s="15"/>
      <c r="K4526" s="15"/>
      <c r="L4526" s="28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  <c r="AA4526" s="15"/>
      <c r="AB4526" s="15"/>
      <c r="AC4526" s="15"/>
      <c r="AD4526" s="15"/>
      <c r="AE4526" s="15"/>
      <c r="AF4526" s="15"/>
      <c r="AG4526" s="15"/>
      <c r="AH4526" s="15"/>
      <c r="AI4526" s="15"/>
      <c r="AJ4526" s="15"/>
      <c r="AK4526" s="15"/>
      <c r="AL4526" s="15"/>
      <c r="AM4526" s="15"/>
      <c r="AN4526" s="15"/>
      <c r="AO4526" s="15"/>
      <c r="AP4526" s="15"/>
      <c r="AQ4526" s="15"/>
      <c r="AR4526" s="15"/>
      <c r="AS4526" s="15"/>
      <c r="AT4526" s="15"/>
      <c r="AU4526" s="15"/>
      <c r="AV4526" s="15"/>
      <c r="AW4526" s="15"/>
    </row>
    <row r="4527" spans="3:49" x14ac:dyDescent="0.2">
      <c r="C4527" s="15"/>
      <c r="D4527" s="15"/>
      <c r="E4527" s="15"/>
      <c r="F4527" s="15"/>
      <c r="G4527" s="15"/>
      <c r="H4527" s="15"/>
      <c r="I4527" s="15"/>
      <c r="J4527" s="15"/>
      <c r="K4527" s="15"/>
      <c r="L4527" s="28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  <c r="AA4527" s="15"/>
      <c r="AB4527" s="15"/>
      <c r="AC4527" s="15"/>
      <c r="AD4527" s="15"/>
      <c r="AE4527" s="15"/>
      <c r="AF4527" s="15"/>
      <c r="AG4527" s="15"/>
      <c r="AH4527" s="15"/>
      <c r="AI4527" s="15"/>
      <c r="AJ4527" s="15"/>
      <c r="AK4527" s="15"/>
      <c r="AL4527" s="15"/>
      <c r="AM4527" s="15"/>
      <c r="AN4527" s="15"/>
      <c r="AO4527" s="15"/>
      <c r="AP4527" s="15"/>
      <c r="AQ4527" s="15"/>
      <c r="AR4527" s="15"/>
      <c r="AS4527" s="15"/>
      <c r="AT4527" s="15"/>
      <c r="AU4527" s="15"/>
      <c r="AV4527" s="15"/>
      <c r="AW4527" s="15"/>
    </row>
    <row r="4528" spans="3:49" x14ac:dyDescent="0.2">
      <c r="C4528" s="15"/>
      <c r="D4528" s="15"/>
      <c r="E4528" s="15"/>
      <c r="F4528" s="15"/>
      <c r="G4528" s="15"/>
      <c r="H4528" s="15"/>
      <c r="I4528" s="15"/>
      <c r="J4528" s="15"/>
      <c r="K4528" s="15"/>
      <c r="L4528" s="28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  <c r="AA4528" s="15"/>
      <c r="AB4528" s="15"/>
      <c r="AC4528" s="15"/>
      <c r="AD4528" s="15"/>
      <c r="AE4528" s="15"/>
      <c r="AF4528" s="15"/>
      <c r="AG4528" s="15"/>
      <c r="AH4528" s="15"/>
      <c r="AI4528" s="15"/>
      <c r="AJ4528" s="15"/>
      <c r="AK4528" s="15"/>
      <c r="AL4528" s="15"/>
      <c r="AM4528" s="15"/>
      <c r="AN4528" s="15"/>
      <c r="AO4528" s="15"/>
      <c r="AP4528" s="15"/>
      <c r="AQ4528" s="15"/>
      <c r="AR4528" s="15"/>
      <c r="AS4528" s="15"/>
      <c r="AT4528" s="15"/>
      <c r="AU4528" s="15"/>
      <c r="AV4528" s="15"/>
      <c r="AW4528" s="15"/>
    </row>
    <row r="4529" spans="3:49" x14ac:dyDescent="0.2">
      <c r="C4529" s="15"/>
      <c r="D4529" s="15"/>
      <c r="E4529" s="15"/>
      <c r="F4529" s="15"/>
      <c r="G4529" s="15"/>
      <c r="H4529" s="15"/>
      <c r="I4529" s="15"/>
      <c r="J4529" s="15"/>
      <c r="K4529" s="15"/>
      <c r="L4529" s="28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  <c r="AA4529" s="15"/>
      <c r="AB4529" s="15"/>
      <c r="AC4529" s="15"/>
      <c r="AD4529" s="15"/>
      <c r="AE4529" s="15"/>
      <c r="AF4529" s="15"/>
      <c r="AG4529" s="15"/>
      <c r="AH4529" s="15"/>
      <c r="AI4529" s="15"/>
      <c r="AJ4529" s="15"/>
      <c r="AK4529" s="15"/>
      <c r="AL4529" s="15"/>
      <c r="AM4529" s="15"/>
      <c r="AN4529" s="15"/>
      <c r="AO4529" s="15"/>
      <c r="AP4529" s="15"/>
      <c r="AQ4529" s="15"/>
      <c r="AR4529" s="15"/>
      <c r="AS4529" s="15"/>
      <c r="AT4529" s="15"/>
      <c r="AU4529" s="15"/>
      <c r="AV4529" s="15"/>
      <c r="AW4529" s="15"/>
    </row>
    <row r="4530" spans="3:49" x14ac:dyDescent="0.2">
      <c r="C4530" s="15"/>
      <c r="D4530" s="15"/>
      <c r="E4530" s="15"/>
      <c r="F4530" s="15"/>
      <c r="G4530" s="15"/>
      <c r="H4530" s="15"/>
      <c r="I4530" s="15"/>
      <c r="J4530" s="15"/>
      <c r="K4530" s="15"/>
      <c r="L4530" s="28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  <c r="AA4530" s="15"/>
      <c r="AB4530" s="15"/>
      <c r="AC4530" s="15"/>
      <c r="AD4530" s="15"/>
      <c r="AE4530" s="15"/>
      <c r="AF4530" s="15"/>
      <c r="AG4530" s="15"/>
      <c r="AH4530" s="15"/>
      <c r="AI4530" s="15"/>
      <c r="AJ4530" s="15"/>
      <c r="AK4530" s="15"/>
      <c r="AL4530" s="15"/>
      <c r="AM4530" s="15"/>
      <c r="AN4530" s="15"/>
      <c r="AO4530" s="15"/>
      <c r="AP4530" s="15"/>
      <c r="AQ4530" s="15"/>
      <c r="AR4530" s="15"/>
      <c r="AS4530" s="15"/>
      <c r="AT4530" s="15"/>
      <c r="AU4530" s="15"/>
      <c r="AV4530" s="15"/>
      <c r="AW4530" s="15"/>
    </row>
    <row r="4531" spans="3:49" x14ac:dyDescent="0.2">
      <c r="C4531" s="15"/>
      <c r="D4531" s="15"/>
      <c r="E4531" s="15"/>
      <c r="F4531" s="15"/>
      <c r="G4531" s="15"/>
      <c r="H4531" s="15"/>
      <c r="I4531" s="15"/>
      <c r="J4531" s="15"/>
      <c r="K4531" s="15"/>
      <c r="L4531" s="28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  <c r="AA4531" s="15"/>
      <c r="AB4531" s="15"/>
      <c r="AC4531" s="15"/>
      <c r="AD4531" s="15"/>
      <c r="AE4531" s="15"/>
      <c r="AF4531" s="15"/>
      <c r="AG4531" s="15"/>
      <c r="AH4531" s="15"/>
      <c r="AI4531" s="15"/>
      <c r="AJ4531" s="15"/>
      <c r="AK4531" s="15"/>
      <c r="AL4531" s="15"/>
      <c r="AM4531" s="15"/>
      <c r="AN4531" s="15"/>
      <c r="AO4531" s="15"/>
      <c r="AP4531" s="15"/>
      <c r="AQ4531" s="15"/>
      <c r="AR4531" s="15"/>
      <c r="AS4531" s="15"/>
      <c r="AT4531" s="15"/>
      <c r="AU4531" s="15"/>
      <c r="AV4531" s="15"/>
      <c r="AW4531" s="15"/>
    </row>
    <row r="4532" spans="3:49" x14ac:dyDescent="0.2">
      <c r="C4532" s="15"/>
      <c r="D4532" s="15"/>
      <c r="E4532" s="15"/>
      <c r="F4532" s="15"/>
      <c r="G4532" s="15"/>
      <c r="H4532" s="15"/>
      <c r="I4532" s="15"/>
      <c r="J4532" s="15"/>
      <c r="K4532" s="15"/>
      <c r="L4532" s="28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  <c r="AA4532" s="15"/>
      <c r="AB4532" s="15"/>
      <c r="AC4532" s="15"/>
      <c r="AD4532" s="15"/>
      <c r="AE4532" s="15"/>
      <c r="AF4532" s="15"/>
      <c r="AG4532" s="15"/>
      <c r="AH4532" s="15"/>
      <c r="AI4532" s="15"/>
      <c r="AJ4532" s="15"/>
      <c r="AK4532" s="15"/>
      <c r="AL4532" s="15"/>
      <c r="AM4532" s="15"/>
      <c r="AN4532" s="15"/>
      <c r="AO4532" s="15"/>
      <c r="AP4532" s="15"/>
      <c r="AQ4532" s="15"/>
      <c r="AR4532" s="15"/>
      <c r="AS4532" s="15"/>
      <c r="AT4532" s="15"/>
      <c r="AU4532" s="15"/>
      <c r="AV4532" s="15"/>
      <c r="AW4532" s="15"/>
    </row>
    <row r="4533" spans="3:49" x14ac:dyDescent="0.2">
      <c r="C4533" s="15"/>
      <c r="D4533" s="15"/>
      <c r="E4533" s="15"/>
      <c r="F4533" s="15"/>
      <c r="G4533" s="15"/>
      <c r="H4533" s="15"/>
      <c r="I4533" s="15"/>
      <c r="J4533" s="15"/>
      <c r="K4533" s="15"/>
      <c r="L4533" s="28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  <c r="AA4533" s="15"/>
      <c r="AB4533" s="15"/>
      <c r="AC4533" s="15"/>
      <c r="AD4533" s="15"/>
      <c r="AE4533" s="15"/>
      <c r="AF4533" s="15"/>
      <c r="AG4533" s="15"/>
      <c r="AH4533" s="15"/>
      <c r="AI4533" s="15"/>
      <c r="AJ4533" s="15"/>
      <c r="AK4533" s="15"/>
      <c r="AL4533" s="15"/>
      <c r="AM4533" s="15"/>
      <c r="AN4533" s="15"/>
      <c r="AO4533" s="15"/>
      <c r="AP4533" s="15"/>
      <c r="AQ4533" s="15"/>
      <c r="AR4533" s="15"/>
      <c r="AS4533" s="15"/>
      <c r="AT4533" s="15"/>
      <c r="AU4533" s="15"/>
      <c r="AV4533" s="15"/>
      <c r="AW4533" s="15"/>
    </row>
    <row r="4534" spans="3:49" x14ac:dyDescent="0.2">
      <c r="C4534" s="15"/>
      <c r="D4534" s="15"/>
      <c r="E4534" s="15"/>
      <c r="F4534" s="15"/>
      <c r="G4534" s="15"/>
      <c r="H4534" s="15"/>
      <c r="I4534" s="15"/>
      <c r="J4534" s="15"/>
      <c r="K4534" s="15"/>
      <c r="L4534" s="28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  <c r="AA4534" s="15"/>
      <c r="AB4534" s="15"/>
      <c r="AC4534" s="15"/>
      <c r="AD4534" s="15"/>
      <c r="AE4534" s="15"/>
      <c r="AF4534" s="15"/>
      <c r="AG4534" s="15"/>
      <c r="AH4534" s="15"/>
      <c r="AI4534" s="15"/>
      <c r="AJ4534" s="15"/>
      <c r="AK4534" s="15"/>
      <c r="AL4534" s="15"/>
      <c r="AM4534" s="15"/>
      <c r="AN4534" s="15"/>
      <c r="AO4534" s="15"/>
      <c r="AP4534" s="15"/>
      <c r="AQ4534" s="15"/>
      <c r="AR4534" s="15"/>
      <c r="AS4534" s="15"/>
      <c r="AT4534" s="15"/>
      <c r="AU4534" s="15"/>
      <c r="AV4534" s="15"/>
      <c r="AW4534" s="15"/>
    </row>
    <row r="4535" spans="3:49" x14ac:dyDescent="0.2">
      <c r="C4535" s="15"/>
      <c r="D4535" s="15"/>
      <c r="E4535" s="15"/>
      <c r="F4535" s="15"/>
      <c r="G4535" s="15"/>
      <c r="H4535" s="15"/>
      <c r="I4535" s="15"/>
      <c r="J4535" s="15"/>
      <c r="K4535" s="15"/>
      <c r="L4535" s="28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  <c r="AA4535" s="15"/>
      <c r="AB4535" s="15"/>
      <c r="AC4535" s="15"/>
      <c r="AD4535" s="15"/>
      <c r="AE4535" s="15"/>
      <c r="AF4535" s="15"/>
      <c r="AG4535" s="15"/>
      <c r="AH4535" s="15"/>
      <c r="AI4535" s="15"/>
      <c r="AJ4535" s="15"/>
      <c r="AK4535" s="15"/>
      <c r="AL4535" s="15"/>
      <c r="AM4535" s="15"/>
      <c r="AN4535" s="15"/>
      <c r="AO4535" s="15"/>
      <c r="AP4535" s="15"/>
      <c r="AQ4535" s="15"/>
      <c r="AR4535" s="15"/>
      <c r="AS4535" s="15"/>
      <c r="AT4535" s="15"/>
      <c r="AU4535" s="15"/>
      <c r="AV4535" s="15"/>
      <c r="AW4535" s="15"/>
    </row>
    <row r="4536" spans="3:49" x14ac:dyDescent="0.2">
      <c r="C4536" s="15"/>
      <c r="D4536" s="15"/>
      <c r="E4536" s="15"/>
      <c r="F4536" s="15"/>
      <c r="G4536" s="15"/>
      <c r="H4536" s="15"/>
      <c r="I4536" s="15"/>
      <c r="J4536" s="15"/>
      <c r="K4536" s="15"/>
      <c r="L4536" s="28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  <c r="AA4536" s="15"/>
      <c r="AB4536" s="15"/>
      <c r="AC4536" s="15"/>
      <c r="AD4536" s="15"/>
      <c r="AE4536" s="15"/>
      <c r="AF4536" s="15"/>
      <c r="AG4536" s="15"/>
      <c r="AH4536" s="15"/>
      <c r="AI4536" s="15"/>
      <c r="AJ4536" s="15"/>
      <c r="AK4536" s="15"/>
      <c r="AL4536" s="15"/>
      <c r="AM4536" s="15"/>
      <c r="AN4536" s="15"/>
      <c r="AO4536" s="15"/>
      <c r="AP4536" s="15"/>
      <c r="AQ4536" s="15"/>
      <c r="AR4536" s="15"/>
      <c r="AS4536" s="15"/>
      <c r="AT4536" s="15"/>
      <c r="AU4536" s="15"/>
      <c r="AV4536" s="15"/>
      <c r="AW4536" s="15"/>
    </row>
    <row r="4537" spans="3:49" x14ac:dyDescent="0.2">
      <c r="C4537" s="15"/>
      <c r="D4537" s="15"/>
      <c r="E4537" s="15"/>
      <c r="F4537" s="15"/>
      <c r="G4537" s="15"/>
      <c r="H4537" s="15"/>
      <c r="I4537" s="15"/>
      <c r="J4537" s="15"/>
      <c r="K4537" s="15"/>
      <c r="L4537" s="28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  <c r="AA4537" s="15"/>
      <c r="AB4537" s="15"/>
      <c r="AC4537" s="15"/>
      <c r="AD4537" s="15"/>
      <c r="AE4537" s="15"/>
      <c r="AF4537" s="15"/>
      <c r="AG4537" s="15"/>
      <c r="AH4537" s="15"/>
      <c r="AI4537" s="15"/>
      <c r="AJ4537" s="15"/>
      <c r="AK4537" s="15"/>
      <c r="AL4537" s="15"/>
      <c r="AM4537" s="15"/>
      <c r="AN4537" s="15"/>
      <c r="AO4537" s="15"/>
      <c r="AP4537" s="15"/>
      <c r="AQ4537" s="15"/>
      <c r="AR4537" s="15"/>
      <c r="AS4537" s="15"/>
      <c r="AT4537" s="15"/>
      <c r="AU4537" s="15"/>
      <c r="AV4537" s="15"/>
      <c r="AW4537" s="15"/>
    </row>
    <row r="4538" spans="3:49" x14ac:dyDescent="0.2">
      <c r="C4538" s="15"/>
      <c r="D4538" s="15"/>
      <c r="E4538" s="15"/>
      <c r="F4538" s="15"/>
      <c r="G4538" s="15"/>
      <c r="H4538" s="15"/>
      <c r="I4538" s="15"/>
      <c r="J4538" s="15"/>
      <c r="K4538" s="15"/>
      <c r="L4538" s="28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  <c r="AA4538" s="15"/>
      <c r="AB4538" s="15"/>
      <c r="AC4538" s="15"/>
      <c r="AD4538" s="15"/>
      <c r="AE4538" s="15"/>
      <c r="AF4538" s="15"/>
      <c r="AG4538" s="15"/>
      <c r="AH4538" s="15"/>
      <c r="AI4538" s="15"/>
      <c r="AJ4538" s="15"/>
      <c r="AK4538" s="15"/>
      <c r="AL4538" s="15"/>
      <c r="AM4538" s="15"/>
      <c r="AN4538" s="15"/>
      <c r="AO4538" s="15"/>
      <c r="AP4538" s="15"/>
      <c r="AQ4538" s="15"/>
      <c r="AR4538" s="15"/>
      <c r="AS4538" s="15"/>
      <c r="AT4538" s="15"/>
      <c r="AU4538" s="15"/>
      <c r="AV4538" s="15"/>
      <c r="AW4538" s="15"/>
    </row>
    <row r="4539" spans="3:49" x14ac:dyDescent="0.2">
      <c r="C4539" s="15"/>
      <c r="D4539" s="15"/>
      <c r="E4539" s="15"/>
      <c r="F4539" s="15"/>
      <c r="G4539" s="15"/>
      <c r="H4539" s="15"/>
      <c r="I4539" s="15"/>
      <c r="J4539" s="15"/>
      <c r="K4539" s="15"/>
      <c r="L4539" s="28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  <c r="AA4539" s="15"/>
      <c r="AB4539" s="15"/>
      <c r="AC4539" s="15"/>
      <c r="AD4539" s="15"/>
      <c r="AE4539" s="15"/>
      <c r="AF4539" s="15"/>
      <c r="AG4539" s="15"/>
      <c r="AH4539" s="15"/>
      <c r="AI4539" s="15"/>
      <c r="AJ4539" s="15"/>
      <c r="AK4539" s="15"/>
      <c r="AL4539" s="15"/>
      <c r="AM4539" s="15"/>
      <c r="AN4539" s="15"/>
      <c r="AO4539" s="15"/>
      <c r="AP4539" s="15"/>
      <c r="AQ4539" s="15"/>
      <c r="AR4539" s="15"/>
      <c r="AS4539" s="15"/>
      <c r="AT4539" s="15"/>
      <c r="AU4539" s="15"/>
      <c r="AV4539" s="15"/>
      <c r="AW4539" s="15"/>
    </row>
    <row r="4540" spans="3:49" x14ac:dyDescent="0.2">
      <c r="C4540" s="15"/>
      <c r="D4540" s="15"/>
      <c r="E4540" s="15"/>
      <c r="F4540" s="15"/>
      <c r="G4540" s="15"/>
      <c r="H4540" s="15"/>
      <c r="I4540" s="15"/>
      <c r="J4540" s="15"/>
      <c r="K4540" s="15"/>
      <c r="L4540" s="28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  <c r="AA4540" s="15"/>
      <c r="AB4540" s="15"/>
      <c r="AC4540" s="15"/>
      <c r="AD4540" s="15"/>
      <c r="AE4540" s="15"/>
      <c r="AF4540" s="15"/>
      <c r="AG4540" s="15"/>
      <c r="AH4540" s="15"/>
      <c r="AI4540" s="15"/>
      <c r="AJ4540" s="15"/>
      <c r="AK4540" s="15"/>
      <c r="AL4540" s="15"/>
      <c r="AM4540" s="15"/>
      <c r="AN4540" s="15"/>
      <c r="AO4540" s="15"/>
      <c r="AP4540" s="15"/>
      <c r="AQ4540" s="15"/>
      <c r="AR4540" s="15"/>
      <c r="AS4540" s="15"/>
      <c r="AT4540" s="15"/>
      <c r="AU4540" s="15"/>
      <c r="AV4540" s="15"/>
      <c r="AW4540" s="15"/>
    </row>
    <row r="4541" spans="3:49" x14ac:dyDescent="0.2">
      <c r="C4541" s="15"/>
      <c r="D4541" s="15"/>
      <c r="E4541" s="15"/>
      <c r="F4541" s="15"/>
      <c r="G4541" s="15"/>
      <c r="H4541" s="15"/>
      <c r="I4541" s="15"/>
      <c r="J4541" s="15"/>
      <c r="K4541" s="15"/>
      <c r="L4541" s="28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  <c r="AA4541" s="15"/>
      <c r="AB4541" s="15"/>
      <c r="AC4541" s="15"/>
      <c r="AD4541" s="15"/>
      <c r="AE4541" s="15"/>
      <c r="AF4541" s="15"/>
      <c r="AG4541" s="15"/>
      <c r="AH4541" s="15"/>
      <c r="AI4541" s="15"/>
      <c r="AJ4541" s="15"/>
      <c r="AK4541" s="15"/>
      <c r="AL4541" s="15"/>
      <c r="AM4541" s="15"/>
      <c r="AN4541" s="15"/>
      <c r="AO4541" s="15"/>
      <c r="AP4541" s="15"/>
      <c r="AQ4541" s="15"/>
      <c r="AR4541" s="15"/>
      <c r="AS4541" s="15"/>
      <c r="AT4541" s="15"/>
      <c r="AU4541" s="15"/>
      <c r="AV4541" s="15"/>
      <c r="AW4541" s="15"/>
    </row>
    <row r="4542" spans="3:49" x14ac:dyDescent="0.2">
      <c r="C4542" s="15"/>
      <c r="D4542" s="15"/>
      <c r="E4542" s="15"/>
      <c r="F4542" s="15"/>
      <c r="G4542" s="15"/>
      <c r="H4542" s="15"/>
      <c r="I4542" s="15"/>
      <c r="J4542" s="15"/>
      <c r="K4542" s="15"/>
      <c r="L4542" s="28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  <c r="AA4542" s="15"/>
      <c r="AB4542" s="15"/>
      <c r="AC4542" s="15"/>
      <c r="AD4542" s="15"/>
      <c r="AE4542" s="15"/>
      <c r="AF4542" s="15"/>
      <c r="AG4542" s="15"/>
      <c r="AH4542" s="15"/>
      <c r="AI4542" s="15"/>
      <c r="AJ4542" s="15"/>
      <c r="AK4542" s="15"/>
      <c r="AL4542" s="15"/>
      <c r="AM4542" s="15"/>
      <c r="AN4542" s="15"/>
      <c r="AO4542" s="15"/>
      <c r="AP4542" s="15"/>
      <c r="AQ4542" s="15"/>
      <c r="AR4542" s="15"/>
      <c r="AS4542" s="15"/>
      <c r="AT4542" s="15"/>
      <c r="AU4542" s="15"/>
      <c r="AV4542" s="15"/>
      <c r="AW4542" s="15"/>
    </row>
    <row r="4543" spans="3:49" x14ac:dyDescent="0.2">
      <c r="C4543" s="15"/>
      <c r="D4543" s="15"/>
      <c r="E4543" s="15"/>
      <c r="F4543" s="15"/>
      <c r="G4543" s="15"/>
      <c r="H4543" s="15"/>
      <c r="I4543" s="15"/>
      <c r="J4543" s="15"/>
      <c r="K4543" s="15"/>
      <c r="L4543" s="28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  <c r="AA4543" s="15"/>
      <c r="AB4543" s="15"/>
      <c r="AC4543" s="15"/>
      <c r="AD4543" s="15"/>
      <c r="AE4543" s="15"/>
      <c r="AF4543" s="15"/>
      <c r="AG4543" s="15"/>
      <c r="AH4543" s="15"/>
      <c r="AI4543" s="15"/>
      <c r="AJ4543" s="15"/>
      <c r="AK4543" s="15"/>
      <c r="AL4543" s="15"/>
      <c r="AM4543" s="15"/>
      <c r="AN4543" s="15"/>
      <c r="AO4543" s="15"/>
      <c r="AP4543" s="15"/>
      <c r="AQ4543" s="15"/>
      <c r="AR4543" s="15"/>
      <c r="AS4543" s="15"/>
      <c r="AT4543" s="15"/>
      <c r="AU4543" s="15"/>
      <c r="AV4543" s="15"/>
      <c r="AW4543" s="15"/>
    </row>
    <row r="4544" spans="3:49" x14ac:dyDescent="0.2">
      <c r="C4544" s="15"/>
      <c r="D4544" s="15"/>
      <c r="E4544" s="15"/>
      <c r="F4544" s="15"/>
      <c r="G4544" s="15"/>
      <c r="H4544" s="15"/>
      <c r="I4544" s="15"/>
      <c r="J4544" s="15"/>
      <c r="K4544" s="15"/>
      <c r="L4544" s="28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  <c r="AA4544" s="15"/>
      <c r="AB4544" s="15"/>
      <c r="AC4544" s="15"/>
      <c r="AD4544" s="15"/>
      <c r="AE4544" s="15"/>
      <c r="AF4544" s="15"/>
      <c r="AG4544" s="15"/>
      <c r="AH4544" s="15"/>
      <c r="AI4544" s="15"/>
      <c r="AJ4544" s="15"/>
      <c r="AK4544" s="15"/>
      <c r="AL4544" s="15"/>
      <c r="AM4544" s="15"/>
      <c r="AN4544" s="15"/>
      <c r="AO4544" s="15"/>
      <c r="AP4544" s="15"/>
      <c r="AQ4544" s="15"/>
      <c r="AR4544" s="15"/>
      <c r="AS4544" s="15"/>
      <c r="AT4544" s="15"/>
      <c r="AU4544" s="15"/>
      <c r="AV4544" s="15"/>
      <c r="AW4544" s="15"/>
    </row>
    <row r="4545" spans="3:49" x14ac:dyDescent="0.2">
      <c r="C4545" s="15"/>
      <c r="D4545" s="15"/>
      <c r="E4545" s="15"/>
      <c r="F4545" s="15"/>
      <c r="G4545" s="15"/>
      <c r="H4545" s="15"/>
      <c r="I4545" s="15"/>
      <c r="J4545" s="15"/>
      <c r="K4545" s="15"/>
      <c r="L4545" s="28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  <c r="AA4545" s="15"/>
      <c r="AB4545" s="15"/>
      <c r="AC4545" s="15"/>
      <c r="AD4545" s="15"/>
      <c r="AE4545" s="15"/>
      <c r="AF4545" s="15"/>
      <c r="AG4545" s="15"/>
      <c r="AH4545" s="15"/>
      <c r="AI4545" s="15"/>
      <c r="AJ4545" s="15"/>
      <c r="AK4545" s="15"/>
      <c r="AL4545" s="15"/>
      <c r="AM4545" s="15"/>
      <c r="AN4545" s="15"/>
      <c r="AO4545" s="15"/>
      <c r="AP4545" s="15"/>
      <c r="AQ4545" s="15"/>
      <c r="AR4545" s="15"/>
      <c r="AS4545" s="15"/>
      <c r="AT4545" s="15"/>
      <c r="AU4545" s="15"/>
      <c r="AV4545" s="15"/>
      <c r="AW4545" s="15"/>
    </row>
    <row r="4546" spans="3:49" x14ac:dyDescent="0.2">
      <c r="C4546" s="15"/>
      <c r="D4546" s="15"/>
      <c r="E4546" s="15"/>
      <c r="F4546" s="15"/>
      <c r="G4546" s="15"/>
      <c r="H4546" s="15"/>
      <c r="I4546" s="15"/>
      <c r="J4546" s="15"/>
      <c r="K4546" s="15"/>
      <c r="L4546" s="28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  <c r="AA4546" s="15"/>
      <c r="AB4546" s="15"/>
      <c r="AC4546" s="15"/>
      <c r="AD4546" s="15"/>
      <c r="AE4546" s="15"/>
      <c r="AF4546" s="15"/>
      <c r="AG4546" s="15"/>
      <c r="AH4546" s="15"/>
      <c r="AI4546" s="15"/>
      <c r="AJ4546" s="15"/>
      <c r="AK4546" s="15"/>
      <c r="AL4546" s="15"/>
      <c r="AM4546" s="15"/>
      <c r="AN4546" s="15"/>
      <c r="AO4546" s="15"/>
      <c r="AP4546" s="15"/>
      <c r="AQ4546" s="15"/>
      <c r="AR4546" s="15"/>
      <c r="AS4546" s="15"/>
      <c r="AT4546" s="15"/>
      <c r="AU4546" s="15"/>
      <c r="AV4546" s="15"/>
      <c r="AW4546" s="15"/>
    </row>
    <row r="4547" spans="3:49" x14ac:dyDescent="0.2">
      <c r="C4547" s="15"/>
      <c r="D4547" s="15"/>
      <c r="E4547" s="15"/>
      <c r="F4547" s="15"/>
      <c r="G4547" s="15"/>
      <c r="H4547" s="15"/>
      <c r="I4547" s="15"/>
      <c r="J4547" s="15"/>
      <c r="K4547" s="15"/>
      <c r="L4547" s="28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  <c r="AA4547" s="15"/>
      <c r="AB4547" s="15"/>
      <c r="AC4547" s="15"/>
      <c r="AD4547" s="15"/>
      <c r="AE4547" s="15"/>
      <c r="AF4547" s="15"/>
      <c r="AG4547" s="15"/>
      <c r="AH4547" s="15"/>
      <c r="AI4547" s="15"/>
      <c r="AJ4547" s="15"/>
      <c r="AK4547" s="15"/>
      <c r="AL4547" s="15"/>
      <c r="AM4547" s="15"/>
      <c r="AN4547" s="15"/>
      <c r="AO4547" s="15"/>
      <c r="AP4547" s="15"/>
      <c r="AQ4547" s="15"/>
      <c r="AR4547" s="15"/>
      <c r="AS4547" s="15"/>
      <c r="AT4547" s="15"/>
      <c r="AU4547" s="15"/>
      <c r="AV4547" s="15"/>
      <c r="AW4547" s="15"/>
    </row>
    <row r="4548" spans="3:49" x14ac:dyDescent="0.2">
      <c r="C4548" s="15"/>
      <c r="D4548" s="15"/>
      <c r="E4548" s="15"/>
      <c r="F4548" s="15"/>
      <c r="G4548" s="15"/>
      <c r="H4548" s="15"/>
      <c r="I4548" s="15"/>
      <c r="J4548" s="15"/>
      <c r="K4548" s="15"/>
      <c r="L4548" s="28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  <c r="AA4548" s="15"/>
      <c r="AB4548" s="15"/>
      <c r="AC4548" s="15"/>
      <c r="AD4548" s="15"/>
      <c r="AE4548" s="15"/>
      <c r="AF4548" s="15"/>
      <c r="AG4548" s="15"/>
      <c r="AH4548" s="15"/>
      <c r="AI4548" s="15"/>
      <c r="AJ4548" s="15"/>
      <c r="AK4548" s="15"/>
      <c r="AL4548" s="15"/>
      <c r="AM4548" s="15"/>
      <c r="AN4548" s="15"/>
      <c r="AO4548" s="15"/>
      <c r="AP4548" s="15"/>
      <c r="AQ4548" s="15"/>
      <c r="AR4548" s="15"/>
      <c r="AS4548" s="15"/>
      <c r="AT4548" s="15"/>
      <c r="AU4548" s="15"/>
      <c r="AV4548" s="15"/>
      <c r="AW4548" s="15"/>
    </row>
    <row r="4549" spans="3:49" x14ac:dyDescent="0.2">
      <c r="C4549" s="15"/>
      <c r="D4549" s="15"/>
      <c r="E4549" s="15"/>
      <c r="F4549" s="15"/>
      <c r="G4549" s="15"/>
      <c r="H4549" s="15"/>
      <c r="I4549" s="15"/>
      <c r="J4549" s="15"/>
      <c r="K4549" s="15"/>
      <c r="L4549" s="28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  <c r="AA4549" s="15"/>
      <c r="AB4549" s="15"/>
      <c r="AC4549" s="15"/>
      <c r="AD4549" s="15"/>
      <c r="AE4549" s="15"/>
      <c r="AF4549" s="15"/>
      <c r="AG4549" s="15"/>
      <c r="AH4549" s="15"/>
      <c r="AI4549" s="15"/>
      <c r="AJ4549" s="15"/>
      <c r="AK4549" s="15"/>
      <c r="AL4549" s="15"/>
      <c r="AM4549" s="15"/>
      <c r="AN4549" s="15"/>
      <c r="AO4549" s="15"/>
      <c r="AP4549" s="15"/>
      <c r="AQ4549" s="15"/>
      <c r="AR4549" s="15"/>
      <c r="AS4549" s="15"/>
      <c r="AT4549" s="15"/>
      <c r="AU4549" s="15"/>
      <c r="AV4549" s="15"/>
      <c r="AW4549" s="15"/>
    </row>
    <row r="4550" spans="3:49" x14ac:dyDescent="0.2">
      <c r="C4550" s="15"/>
      <c r="D4550" s="15"/>
      <c r="E4550" s="15"/>
      <c r="F4550" s="15"/>
      <c r="G4550" s="15"/>
      <c r="H4550" s="15"/>
      <c r="I4550" s="15"/>
      <c r="J4550" s="15"/>
      <c r="K4550" s="15"/>
      <c r="L4550" s="28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  <c r="AA4550" s="15"/>
      <c r="AB4550" s="15"/>
      <c r="AC4550" s="15"/>
      <c r="AD4550" s="15"/>
      <c r="AE4550" s="15"/>
      <c r="AF4550" s="15"/>
      <c r="AG4550" s="15"/>
      <c r="AH4550" s="15"/>
      <c r="AI4550" s="15"/>
      <c r="AJ4550" s="15"/>
      <c r="AK4550" s="15"/>
      <c r="AL4550" s="15"/>
      <c r="AM4550" s="15"/>
      <c r="AN4550" s="15"/>
      <c r="AO4550" s="15"/>
      <c r="AP4550" s="15"/>
      <c r="AQ4550" s="15"/>
      <c r="AR4550" s="15"/>
      <c r="AS4550" s="15"/>
      <c r="AT4550" s="15"/>
      <c r="AU4550" s="15"/>
      <c r="AV4550" s="15"/>
      <c r="AW4550" s="15"/>
    </row>
    <row r="4551" spans="3:49" x14ac:dyDescent="0.2">
      <c r="C4551" s="15"/>
      <c r="D4551" s="15"/>
      <c r="E4551" s="15"/>
      <c r="F4551" s="15"/>
      <c r="G4551" s="15"/>
      <c r="H4551" s="15"/>
      <c r="I4551" s="15"/>
      <c r="J4551" s="15"/>
      <c r="K4551" s="15"/>
      <c r="L4551" s="28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  <c r="AA4551" s="15"/>
      <c r="AB4551" s="15"/>
      <c r="AC4551" s="15"/>
      <c r="AD4551" s="15"/>
      <c r="AE4551" s="15"/>
      <c r="AF4551" s="15"/>
      <c r="AG4551" s="15"/>
      <c r="AH4551" s="15"/>
      <c r="AI4551" s="15"/>
      <c r="AJ4551" s="15"/>
      <c r="AK4551" s="15"/>
      <c r="AL4551" s="15"/>
      <c r="AM4551" s="15"/>
      <c r="AN4551" s="15"/>
      <c r="AO4551" s="15"/>
      <c r="AP4551" s="15"/>
      <c r="AQ4551" s="15"/>
      <c r="AR4551" s="15"/>
      <c r="AS4551" s="15"/>
      <c r="AT4551" s="15"/>
      <c r="AU4551" s="15"/>
      <c r="AV4551" s="15"/>
      <c r="AW4551" s="15"/>
    </row>
    <row r="4552" spans="3:49" x14ac:dyDescent="0.2">
      <c r="C4552" s="15"/>
      <c r="D4552" s="15"/>
      <c r="E4552" s="15"/>
      <c r="F4552" s="15"/>
      <c r="G4552" s="15"/>
      <c r="H4552" s="15"/>
      <c r="I4552" s="15"/>
      <c r="J4552" s="15"/>
      <c r="K4552" s="15"/>
      <c r="L4552" s="28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  <c r="AA4552" s="15"/>
      <c r="AB4552" s="15"/>
      <c r="AC4552" s="15"/>
      <c r="AD4552" s="15"/>
      <c r="AE4552" s="15"/>
      <c r="AF4552" s="15"/>
      <c r="AG4552" s="15"/>
      <c r="AH4552" s="15"/>
      <c r="AI4552" s="15"/>
      <c r="AJ4552" s="15"/>
      <c r="AK4552" s="15"/>
      <c r="AL4552" s="15"/>
      <c r="AM4552" s="15"/>
      <c r="AN4552" s="15"/>
      <c r="AO4552" s="15"/>
      <c r="AP4552" s="15"/>
      <c r="AQ4552" s="15"/>
      <c r="AR4552" s="15"/>
      <c r="AS4552" s="15"/>
      <c r="AT4552" s="15"/>
      <c r="AU4552" s="15"/>
      <c r="AV4552" s="15"/>
      <c r="AW4552" s="15"/>
    </row>
    <row r="4553" spans="3:49" x14ac:dyDescent="0.2">
      <c r="C4553" s="15"/>
      <c r="D4553" s="15"/>
      <c r="E4553" s="15"/>
      <c r="F4553" s="15"/>
      <c r="G4553" s="15"/>
      <c r="H4553" s="15"/>
      <c r="I4553" s="15"/>
      <c r="J4553" s="15"/>
      <c r="K4553" s="15"/>
      <c r="L4553" s="28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  <c r="AA4553" s="15"/>
      <c r="AB4553" s="15"/>
      <c r="AC4553" s="15"/>
      <c r="AD4553" s="15"/>
      <c r="AE4553" s="15"/>
      <c r="AF4553" s="15"/>
      <c r="AG4553" s="15"/>
      <c r="AH4553" s="15"/>
      <c r="AI4553" s="15"/>
      <c r="AJ4553" s="15"/>
      <c r="AK4553" s="15"/>
      <c r="AL4553" s="15"/>
      <c r="AM4553" s="15"/>
      <c r="AN4553" s="15"/>
      <c r="AO4553" s="15"/>
      <c r="AP4553" s="15"/>
      <c r="AQ4553" s="15"/>
      <c r="AR4553" s="15"/>
      <c r="AS4553" s="15"/>
      <c r="AT4553" s="15"/>
      <c r="AU4553" s="15"/>
      <c r="AV4553" s="15"/>
      <c r="AW4553" s="15"/>
    </row>
    <row r="4554" spans="3:49" x14ac:dyDescent="0.2">
      <c r="C4554" s="15"/>
      <c r="D4554" s="15"/>
      <c r="E4554" s="15"/>
      <c r="F4554" s="15"/>
      <c r="G4554" s="15"/>
      <c r="H4554" s="15"/>
      <c r="I4554" s="15"/>
      <c r="J4554" s="15"/>
      <c r="K4554" s="15"/>
      <c r="L4554" s="28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  <c r="AA4554" s="15"/>
      <c r="AB4554" s="15"/>
      <c r="AC4554" s="15"/>
      <c r="AD4554" s="15"/>
      <c r="AE4554" s="15"/>
      <c r="AF4554" s="15"/>
      <c r="AG4554" s="15"/>
      <c r="AH4554" s="15"/>
      <c r="AI4554" s="15"/>
      <c r="AJ4554" s="15"/>
      <c r="AK4554" s="15"/>
      <c r="AL4554" s="15"/>
      <c r="AM4554" s="15"/>
      <c r="AN4554" s="15"/>
      <c r="AO4554" s="15"/>
      <c r="AP4554" s="15"/>
      <c r="AQ4554" s="15"/>
      <c r="AR4554" s="15"/>
      <c r="AS4554" s="15"/>
      <c r="AT4554" s="15"/>
      <c r="AU4554" s="15"/>
      <c r="AV4554" s="15"/>
      <c r="AW4554" s="15"/>
    </row>
    <row r="4555" spans="3:49" x14ac:dyDescent="0.2">
      <c r="C4555" s="15"/>
      <c r="D4555" s="15"/>
      <c r="E4555" s="15"/>
      <c r="F4555" s="15"/>
      <c r="G4555" s="15"/>
      <c r="H4555" s="15"/>
      <c r="I4555" s="15"/>
      <c r="J4555" s="15"/>
      <c r="K4555" s="15"/>
      <c r="L4555" s="28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  <c r="AA4555" s="15"/>
      <c r="AB4555" s="15"/>
      <c r="AC4555" s="15"/>
      <c r="AD4555" s="15"/>
      <c r="AE4555" s="15"/>
      <c r="AF4555" s="15"/>
      <c r="AG4555" s="15"/>
      <c r="AH4555" s="15"/>
      <c r="AI4555" s="15"/>
      <c r="AJ4555" s="15"/>
      <c r="AK4555" s="15"/>
      <c r="AL4555" s="15"/>
      <c r="AM4555" s="15"/>
      <c r="AN4555" s="15"/>
      <c r="AO4555" s="15"/>
      <c r="AP4555" s="15"/>
      <c r="AQ4555" s="15"/>
      <c r="AR4555" s="15"/>
      <c r="AS4555" s="15"/>
      <c r="AT4555" s="15"/>
      <c r="AU4555" s="15"/>
      <c r="AV4555" s="15"/>
      <c r="AW4555" s="15"/>
    </row>
    <row r="4556" spans="3:49" x14ac:dyDescent="0.2">
      <c r="C4556" s="15"/>
      <c r="D4556" s="15"/>
      <c r="E4556" s="15"/>
      <c r="F4556" s="15"/>
      <c r="G4556" s="15"/>
      <c r="H4556" s="15"/>
      <c r="I4556" s="15"/>
      <c r="J4556" s="15"/>
      <c r="K4556" s="15"/>
      <c r="L4556" s="28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  <c r="AA4556" s="15"/>
      <c r="AB4556" s="15"/>
      <c r="AC4556" s="15"/>
      <c r="AD4556" s="15"/>
      <c r="AE4556" s="15"/>
      <c r="AF4556" s="15"/>
      <c r="AG4556" s="15"/>
      <c r="AH4556" s="15"/>
      <c r="AI4556" s="15"/>
      <c r="AJ4556" s="15"/>
      <c r="AK4556" s="15"/>
      <c r="AL4556" s="15"/>
      <c r="AM4556" s="15"/>
      <c r="AN4556" s="15"/>
      <c r="AO4556" s="15"/>
      <c r="AP4556" s="15"/>
      <c r="AQ4556" s="15"/>
      <c r="AR4556" s="15"/>
      <c r="AS4556" s="15"/>
      <c r="AT4556" s="15"/>
      <c r="AU4556" s="15"/>
      <c r="AV4556" s="15"/>
      <c r="AW4556" s="15"/>
    </row>
    <row r="4557" spans="3:49" x14ac:dyDescent="0.2">
      <c r="C4557" s="15"/>
      <c r="D4557" s="15"/>
      <c r="E4557" s="15"/>
      <c r="F4557" s="15"/>
      <c r="G4557" s="15"/>
      <c r="H4557" s="15"/>
      <c r="I4557" s="15"/>
      <c r="J4557" s="15"/>
      <c r="K4557" s="15"/>
      <c r="L4557" s="28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  <c r="AA4557" s="15"/>
      <c r="AB4557" s="15"/>
      <c r="AC4557" s="15"/>
      <c r="AD4557" s="15"/>
      <c r="AE4557" s="15"/>
      <c r="AF4557" s="15"/>
      <c r="AG4557" s="15"/>
      <c r="AH4557" s="15"/>
      <c r="AI4557" s="15"/>
      <c r="AJ4557" s="15"/>
      <c r="AK4557" s="15"/>
      <c r="AL4557" s="15"/>
      <c r="AM4557" s="15"/>
      <c r="AN4557" s="15"/>
      <c r="AO4557" s="15"/>
      <c r="AP4557" s="15"/>
      <c r="AQ4557" s="15"/>
      <c r="AR4557" s="15"/>
      <c r="AS4557" s="15"/>
      <c r="AT4557" s="15"/>
      <c r="AU4557" s="15"/>
      <c r="AV4557" s="15"/>
      <c r="AW4557" s="15"/>
    </row>
    <row r="4558" spans="3:49" x14ac:dyDescent="0.2">
      <c r="C4558" s="15"/>
      <c r="D4558" s="15"/>
      <c r="E4558" s="15"/>
      <c r="F4558" s="15"/>
      <c r="G4558" s="15"/>
      <c r="H4558" s="15"/>
      <c r="I4558" s="15"/>
      <c r="J4558" s="15"/>
      <c r="K4558" s="15"/>
      <c r="L4558" s="28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  <c r="AA4558" s="15"/>
      <c r="AB4558" s="15"/>
      <c r="AC4558" s="15"/>
      <c r="AD4558" s="15"/>
      <c r="AE4558" s="15"/>
      <c r="AF4558" s="15"/>
      <c r="AG4558" s="15"/>
      <c r="AH4558" s="15"/>
      <c r="AI4558" s="15"/>
      <c r="AJ4558" s="15"/>
      <c r="AK4558" s="15"/>
      <c r="AL4558" s="15"/>
      <c r="AM4558" s="15"/>
      <c r="AN4558" s="15"/>
      <c r="AO4558" s="15"/>
      <c r="AP4558" s="15"/>
      <c r="AQ4558" s="15"/>
      <c r="AR4558" s="15"/>
      <c r="AS4558" s="15"/>
      <c r="AT4558" s="15"/>
      <c r="AU4558" s="15"/>
      <c r="AV4558" s="15"/>
      <c r="AW4558" s="15"/>
    </row>
    <row r="4559" spans="3:49" x14ac:dyDescent="0.2">
      <c r="C4559" s="15"/>
      <c r="D4559" s="15"/>
      <c r="E4559" s="15"/>
      <c r="F4559" s="15"/>
      <c r="G4559" s="15"/>
      <c r="H4559" s="15"/>
      <c r="I4559" s="15"/>
      <c r="J4559" s="15"/>
      <c r="K4559" s="15"/>
      <c r="L4559" s="28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  <c r="AA4559" s="15"/>
      <c r="AB4559" s="15"/>
      <c r="AC4559" s="15"/>
      <c r="AD4559" s="15"/>
      <c r="AE4559" s="15"/>
      <c r="AF4559" s="15"/>
      <c r="AG4559" s="15"/>
      <c r="AH4559" s="15"/>
      <c r="AI4559" s="15"/>
      <c r="AJ4559" s="15"/>
      <c r="AK4559" s="15"/>
      <c r="AL4559" s="15"/>
      <c r="AM4559" s="15"/>
      <c r="AN4559" s="15"/>
      <c r="AO4559" s="15"/>
      <c r="AP4559" s="15"/>
      <c r="AQ4559" s="15"/>
      <c r="AR4559" s="15"/>
      <c r="AS4559" s="15"/>
      <c r="AT4559" s="15"/>
      <c r="AU4559" s="15"/>
      <c r="AV4559" s="15"/>
      <c r="AW4559" s="15"/>
    </row>
    <row r="4560" spans="3:49" x14ac:dyDescent="0.2">
      <c r="C4560" s="15"/>
      <c r="D4560" s="15"/>
      <c r="E4560" s="15"/>
      <c r="F4560" s="15"/>
      <c r="G4560" s="15"/>
      <c r="H4560" s="15"/>
      <c r="I4560" s="15"/>
      <c r="J4560" s="15"/>
      <c r="K4560" s="15"/>
      <c r="L4560" s="28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  <c r="AA4560" s="15"/>
      <c r="AB4560" s="15"/>
      <c r="AC4560" s="15"/>
      <c r="AD4560" s="15"/>
      <c r="AE4560" s="15"/>
      <c r="AF4560" s="15"/>
      <c r="AG4560" s="15"/>
      <c r="AH4560" s="15"/>
      <c r="AI4560" s="15"/>
      <c r="AJ4560" s="15"/>
      <c r="AK4560" s="15"/>
      <c r="AL4560" s="15"/>
      <c r="AM4560" s="15"/>
      <c r="AN4560" s="15"/>
      <c r="AO4560" s="15"/>
      <c r="AP4560" s="15"/>
      <c r="AQ4560" s="15"/>
      <c r="AR4560" s="15"/>
      <c r="AS4560" s="15"/>
      <c r="AT4560" s="15"/>
      <c r="AU4560" s="15"/>
      <c r="AV4560" s="15"/>
      <c r="AW4560" s="15"/>
    </row>
    <row r="4561" spans="3:49" x14ac:dyDescent="0.2">
      <c r="C4561" s="15"/>
      <c r="D4561" s="15"/>
      <c r="E4561" s="15"/>
      <c r="F4561" s="15"/>
      <c r="G4561" s="15"/>
      <c r="H4561" s="15"/>
      <c r="I4561" s="15"/>
      <c r="J4561" s="15"/>
      <c r="K4561" s="15"/>
      <c r="L4561" s="28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  <c r="AA4561" s="15"/>
      <c r="AB4561" s="15"/>
      <c r="AC4561" s="15"/>
      <c r="AD4561" s="15"/>
      <c r="AE4561" s="15"/>
      <c r="AF4561" s="15"/>
      <c r="AG4561" s="15"/>
      <c r="AH4561" s="15"/>
      <c r="AI4561" s="15"/>
      <c r="AJ4561" s="15"/>
      <c r="AK4561" s="15"/>
      <c r="AL4561" s="15"/>
      <c r="AM4561" s="15"/>
      <c r="AN4561" s="15"/>
      <c r="AO4561" s="15"/>
      <c r="AP4561" s="15"/>
      <c r="AQ4561" s="15"/>
      <c r="AR4561" s="15"/>
      <c r="AS4561" s="15"/>
      <c r="AT4561" s="15"/>
      <c r="AU4561" s="15"/>
      <c r="AV4561" s="15"/>
      <c r="AW4561" s="15"/>
    </row>
    <row r="4562" spans="3:49" x14ac:dyDescent="0.2">
      <c r="C4562" s="15"/>
      <c r="D4562" s="15"/>
      <c r="E4562" s="15"/>
      <c r="F4562" s="15"/>
      <c r="G4562" s="15"/>
      <c r="H4562" s="15"/>
      <c r="I4562" s="15"/>
      <c r="J4562" s="15"/>
      <c r="K4562" s="15"/>
      <c r="L4562" s="28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  <c r="AA4562" s="15"/>
      <c r="AB4562" s="15"/>
      <c r="AC4562" s="15"/>
      <c r="AD4562" s="15"/>
      <c r="AE4562" s="15"/>
      <c r="AF4562" s="15"/>
      <c r="AG4562" s="15"/>
      <c r="AH4562" s="15"/>
      <c r="AI4562" s="15"/>
      <c r="AJ4562" s="15"/>
      <c r="AK4562" s="15"/>
      <c r="AL4562" s="15"/>
      <c r="AM4562" s="15"/>
      <c r="AN4562" s="15"/>
      <c r="AO4562" s="15"/>
      <c r="AP4562" s="15"/>
      <c r="AQ4562" s="15"/>
      <c r="AR4562" s="15"/>
      <c r="AS4562" s="15"/>
      <c r="AT4562" s="15"/>
      <c r="AU4562" s="15"/>
      <c r="AV4562" s="15"/>
      <c r="AW4562" s="15"/>
    </row>
    <row r="4563" spans="3:49" x14ac:dyDescent="0.2">
      <c r="C4563" s="15"/>
      <c r="D4563" s="15"/>
      <c r="E4563" s="15"/>
      <c r="F4563" s="15"/>
      <c r="G4563" s="15"/>
      <c r="H4563" s="15"/>
      <c r="I4563" s="15"/>
      <c r="J4563" s="15"/>
      <c r="K4563" s="15"/>
      <c r="L4563" s="28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  <c r="AA4563" s="15"/>
      <c r="AB4563" s="15"/>
      <c r="AC4563" s="15"/>
      <c r="AD4563" s="15"/>
      <c r="AE4563" s="15"/>
      <c r="AF4563" s="15"/>
      <c r="AG4563" s="15"/>
      <c r="AH4563" s="15"/>
      <c r="AI4563" s="15"/>
      <c r="AJ4563" s="15"/>
      <c r="AK4563" s="15"/>
      <c r="AL4563" s="15"/>
      <c r="AM4563" s="15"/>
      <c r="AN4563" s="15"/>
      <c r="AO4563" s="15"/>
      <c r="AP4563" s="15"/>
      <c r="AQ4563" s="15"/>
      <c r="AR4563" s="15"/>
      <c r="AS4563" s="15"/>
      <c r="AT4563" s="15"/>
      <c r="AU4563" s="15"/>
      <c r="AV4563" s="15"/>
      <c r="AW4563" s="15"/>
    </row>
    <row r="4564" spans="3:49" x14ac:dyDescent="0.2">
      <c r="C4564" s="15"/>
      <c r="D4564" s="15"/>
      <c r="E4564" s="15"/>
      <c r="F4564" s="15"/>
      <c r="G4564" s="15"/>
      <c r="H4564" s="15"/>
      <c r="I4564" s="15"/>
      <c r="J4564" s="15"/>
      <c r="K4564" s="15"/>
      <c r="L4564" s="28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  <c r="AA4564" s="15"/>
      <c r="AB4564" s="15"/>
      <c r="AC4564" s="15"/>
      <c r="AD4564" s="15"/>
      <c r="AE4564" s="15"/>
      <c r="AF4564" s="15"/>
      <c r="AG4564" s="15"/>
      <c r="AH4564" s="15"/>
      <c r="AI4564" s="15"/>
      <c r="AJ4564" s="15"/>
      <c r="AK4564" s="15"/>
      <c r="AL4564" s="15"/>
      <c r="AM4564" s="15"/>
      <c r="AN4564" s="15"/>
      <c r="AO4564" s="15"/>
      <c r="AP4564" s="15"/>
      <c r="AQ4564" s="15"/>
      <c r="AR4564" s="15"/>
      <c r="AS4564" s="15"/>
      <c r="AT4564" s="15"/>
      <c r="AU4564" s="15"/>
      <c r="AV4564" s="15"/>
      <c r="AW4564" s="15"/>
    </row>
    <row r="4565" spans="3:49" x14ac:dyDescent="0.2">
      <c r="C4565" s="15"/>
      <c r="D4565" s="15"/>
      <c r="E4565" s="15"/>
      <c r="F4565" s="15"/>
      <c r="G4565" s="15"/>
      <c r="H4565" s="15"/>
      <c r="I4565" s="15"/>
      <c r="J4565" s="15"/>
      <c r="K4565" s="15"/>
      <c r="L4565" s="28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  <c r="AA4565" s="15"/>
      <c r="AB4565" s="15"/>
      <c r="AC4565" s="15"/>
      <c r="AD4565" s="15"/>
      <c r="AE4565" s="15"/>
      <c r="AF4565" s="15"/>
      <c r="AG4565" s="15"/>
      <c r="AH4565" s="15"/>
      <c r="AI4565" s="15"/>
      <c r="AJ4565" s="15"/>
      <c r="AK4565" s="15"/>
      <c r="AL4565" s="15"/>
      <c r="AM4565" s="15"/>
      <c r="AN4565" s="15"/>
      <c r="AO4565" s="15"/>
      <c r="AP4565" s="15"/>
      <c r="AQ4565" s="15"/>
      <c r="AR4565" s="15"/>
      <c r="AS4565" s="15"/>
      <c r="AT4565" s="15"/>
      <c r="AU4565" s="15"/>
      <c r="AV4565" s="15"/>
      <c r="AW4565" s="15"/>
    </row>
    <row r="4566" spans="3:49" x14ac:dyDescent="0.2">
      <c r="C4566" s="15"/>
      <c r="D4566" s="15"/>
      <c r="E4566" s="15"/>
      <c r="F4566" s="15"/>
      <c r="G4566" s="15"/>
      <c r="H4566" s="15"/>
      <c r="I4566" s="15"/>
      <c r="J4566" s="15"/>
      <c r="K4566" s="15"/>
      <c r="L4566" s="28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  <c r="AA4566" s="15"/>
      <c r="AB4566" s="15"/>
      <c r="AC4566" s="15"/>
      <c r="AD4566" s="15"/>
      <c r="AE4566" s="15"/>
      <c r="AF4566" s="15"/>
      <c r="AG4566" s="15"/>
      <c r="AH4566" s="15"/>
      <c r="AI4566" s="15"/>
      <c r="AJ4566" s="15"/>
      <c r="AK4566" s="15"/>
      <c r="AL4566" s="15"/>
      <c r="AM4566" s="15"/>
      <c r="AN4566" s="15"/>
      <c r="AO4566" s="15"/>
      <c r="AP4566" s="15"/>
      <c r="AQ4566" s="15"/>
      <c r="AR4566" s="15"/>
      <c r="AS4566" s="15"/>
      <c r="AT4566" s="15"/>
      <c r="AU4566" s="15"/>
      <c r="AV4566" s="15"/>
      <c r="AW4566" s="15"/>
    </row>
    <row r="4567" spans="3:49" x14ac:dyDescent="0.2">
      <c r="C4567" s="15"/>
      <c r="D4567" s="15"/>
      <c r="E4567" s="15"/>
      <c r="F4567" s="15"/>
      <c r="G4567" s="15"/>
      <c r="H4567" s="15"/>
      <c r="I4567" s="15"/>
      <c r="J4567" s="15"/>
      <c r="K4567" s="15"/>
      <c r="L4567" s="28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  <c r="AA4567" s="15"/>
      <c r="AB4567" s="15"/>
      <c r="AC4567" s="15"/>
      <c r="AD4567" s="15"/>
      <c r="AE4567" s="15"/>
      <c r="AF4567" s="15"/>
      <c r="AG4567" s="15"/>
      <c r="AH4567" s="15"/>
      <c r="AI4567" s="15"/>
      <c r="AJ4567" s="15"/>
      <c r="AK4567" s="15"/>
      <c r="AL4567" s="15"/>
      <c r="AM4567" s="15"/>
      <c r="AN4567" s="15"/>
      <c r="AO4567" s="15"/>
      <c r="AP4567" s="15"/>
      <c r="AQ4567" s="15"/>
      <c r="AR4567" s="15"/>
      <c r="AS4567" s="15"/>
      <c r="AT4567" s="15"/>
      <c r="AU4567" s="15"/>
      <c r="AV4567" s="15"/>
      <c r="AW4567" s="15"/>
    </row>
    <row r="4568" spans="3:49" x14ac:dyDescent="0.2">
      <c r="C4568" s="15"/>
      <c r="D4568" s="15"/>
      <c r="E4568" s="15"/>
      <c r="F4568" s="15"/>
      <c r="G4568" s="15"/>
      <c r="H4568" s="15"/>
      <c r="I4568" s="15"/>
      <c r="J4568" s="15"/>
      <c r="K4568" s="15"/>
      <c r="L4568" s="28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  <c r="AA4568" s="15"/>
      <c r="AB4568" s="15"/>
      <c r="AC4568" s="15"/>
      <c r="AD4568" s="15"/>
      <c r="AE4568" s="15"/>
      <c r="AF4568" s="15"/>
      <c r="AG4568" s="15"/>
      <c r="AH4568" s="15"/>
      <c r="AI4568" s="15"/>
      <c r="AJ4568" s="15"/>
      <c r="AK4568" s="15"/>
      <c r="AL4568" s="15"/>
      <c r="AM4568" s="15"/>
      <c r="AN4568" s="15"/>
      <c r="AO4568" s="15"/>
      <c r="AP4568" s="15"/>
      <c r="AQ4568" s="15"/>
      <c r="AR4568" s="15"/>
      <c r="AS4568" s="15"/>
      <c r="AT4568" s="15"/>
      <c r="AU4568" s="15"/>
      <c r="AV4568" s="15"/>
      <c r="AW4568" s="15"/>
    </row>
    <row r="4569" spans="3:49" x14ac:dyDescent="0.2">
      <c r="C4569" s="15"/>
      <c r="D4569" s="15"/>
      <c r="E4569" s="15"/>
      <c r="F4569" s="15"/>
      <c r="G4569" s="15"/>
      <c r="H4569" s="15"/>
      <c r="I4569" s="15"/>
      <c r="J4569" s="15"/>
      <c r="K4569" s="15"/>
      <c r="L4569" s="28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  <c r="AA4569" s="15"/>
      <c r="AB4569" s="15"/>
      <c r="AC4569" s="15"/>
      <c r="AD4569" s="15"/>
      <c r="AE4569" s="15"/>
      <c r="AF4569" s="15"/>
      <c r="AG4569" s="15"/>
      <c r="AH4569" s="15"/>
      <c r="AI4569" s="15"/>
      <c r="AJ4569" s="15"/>
      <c r="AK4569" s="15"/>
      <c r="AL4569" s="15"/>
      <c r="AM4569" s="15"/>
      <c r="AN4569" s="15"/>
      <c r="AO4569" s="15"/>
      <c r="AP4569" s="15"/>
      <c r="AQ4569" s="15"/>
      <c r="AR4569" s="15"/>
      <c r="AS4569" s="15"/>
      <c r="AT4569" s="15"/>
      <c r="AU4569" s="15"/>
      <c r="AV4569" s="15"/>
      <c r="AW4569" s="15"/>
    </row>
    <row r="4570" spans="3:49" x14ac:dyDescent="0.2">
      <c r="C4570" s="15"/>
      <c r="D4570" s="15"/>
      <c r="E4570" s="15"/>
      <c r="F4570" s="15"/>
      <c r="G4570" s="15"/>
      <c r="H4570" s="15"/>
      <c r="I4570" s="15"/>
      <c r="J4570" s="15"/>
      <c r="K4570" s="15"/>
      <c r="L4570" s="28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  <c r="AA4570" s="15"/>
      <c r="AB4570" s="15"/>
      <c r="AC4570" s="15"/>
      <c r="AD4570" s="15"/>
      <c r="AE4570" s="15"/>
      <c r="AF4570" s="15"/>
      <c r="AG4570" s="15"/>
      <c r="AH4570" s="15"/>
      <c r="AI4570" s="15"/>
      <c r="AJ4570" s="15"/>
      <c r="AK4570" s="15"/>
      <c r="AL4570" s="15"/>
      <c r="AM4570" s="15"/>
      <c r="AN4570" s="15"/>
      <c r="AO4570" s="15"/>
      <c r="AP4570" s="15"/>
      <c r="AQ4570" s="15"/>
      <c r="AR4570" s="15"/>
      <c r="AS4570" s="15"/>
      <c r="AT4570" s="15"/>
      <c r="AU4570" s="15"/>
      <c r="AV4570" s="15"/>
      <c r="AW4570" s="15"/>
    </row>
    <row r="4571" spans="3:49" x14ac:dyDescent="0.2">
      <c r="C4571" s="15"/>
      <c r="D4571" s="15"/>
      <c r="E4571" s="15"/>
      <c r="F4571" s="15"/>
      <c r="G4571" s="15"/>
      <c r="H4571" s="15"/>
      <c r="I4571" s="15"/>
      <c r="J4571" s="15"/>
      <c r="K4571" s="15"/>
      <c r="L4571" s="28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  <c r="AA4571" s="15"/>
      <c r="AB4571" s="15"/>
      <c r="AC4571" s="15"/>
      <c r="AD4571" s="15"/>
      <c r="AE4571" s="15"/>
      <c r="AF4571" s="15"/>
      <c r="AG4571" s="15"/>
      <c r="AH4571" s="15"/>
      <c r="AI4571" s="15"/>
      <c r="AJ4571" s="15"/>
      <c r="AK4571" s="15"/>
      <c r="AL4571" s="15"/>
      <c r="AM4571" s="15"/>
      <c r="AN4571" s="15"/>
      <c r="AO4571" s="15"/>
      <c r="AP4571" s="15"/>
      <c r="AQ4571" s="15"/>
      <c r="AR4571" s="15"/>
      <c r="AS4571" s="15"/>
      <c r="AT4571" s="15"/>
      <c r="AU4571" s="15"/>
      <c r="AV4571" s="15"/>
      <c r="AW4571" s="15"/>
    </row>
    <row r="4572" spans="3:49" x14ac:dyDescent="0.2">
      <c r="C4572" s="15"/>
      <c r="D4572" s="15"/>
      <c r="E4572" s="15"/>
      <c r="F4572" s="15"/>
      <c r="G4572" s="15"/>
      <c r="H4572" s="15"/>
      <c r="I4572" s="15"/>
      <c r="J4572" s="15"/>
      <c r="K4572" s="15"/>
      <c r="L4572" s="28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  <c r="AA4572" s="15"/>
      <c r="AB4572" s="15"/>
      <c r="AC4572" s="15"/>
      <c r="AD4572" s="15"/>
      <c r="AE4572" s="15"/>
      <c r="AF4572" s="15"/>
      <c r="AG4572" s="15"/>
      <c r="AH4572" s="15"/>
      <c r="AI4572" s="15"/>
      <c r="AJ4572" s="15"/>
      <c r="AK4572" s="15"/>
      <c r="AL4572" s="15"/>
      <c r="AM4572" s="15"/>
      <c r="AN4572" s="15"/>
      <c r="AO4572" s="15"/>
      <c r="AP4572" s="15"/>
      <c r="AQ4572" s="15"/>
      <c r="AR4572" s="15"/>
      <c r="AS4572" s="15"/>
      <c r="AT4572" s="15"/>
      <c r="AU4572" s="15"/>
      <c r="AV4572" s="15"/>
      <c r="AW4572" s="15"/>
    </row>
    <row r="4573" spans="3:49" x14ac:dyDescent="0.2">
      <c r="C4573" s="15"/>
      <c r="D4573" s="15"/>
      <c r="E4573" s="15"/>
      <c r="F4573" s="15"/>
      <c r="G4573" s="15"/>
      <c r="H4573" s="15"/>
      <c r="I4573" s="15"/>
      <c r="J4573" s="15"/>
      <c r="K4573" s="15"/>
      <c r="L4573" s="28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  <c r="AA4573" s="15"/>
      <c r="AB4573" s="15"/>
      <c r="AC4573" s="15"/>
      <c r="AD4573" s="15"/>
      <c r="AE4573" s="15"/>
      <c r="AF4573" s="15"/>
      <c r="AG4573" s="15"/>
      <c r="AH4573" s="15"/>
      <c r="AI4573" s="15"/>
      <c r="AJ4573" s="15"/>
      <c r="AK4573" s="15"/>
      <c r="AL4573" s="15"/>
      <c r="AM4573" s="15"/>
      <c r="AN4573" s="15"/>
      <c r="AO4573" s="15"/>
      <c r="AP4573" s="15"/>
      <c r="AQ4573" s="15"/>
      <c r="AR4573" s="15"/>
      <c r="AS4573" s="15"/>
      <c r="AT4573" s="15"/>
      <c r="AU4573" s="15"/>
      <c r="AV4573" s="15"/>
      <c r="AW4573" s="15"/>
    </row>
    <row r="4574" spans="3:49" x14ac:dyDescent="0.2">
      <c r="C4574" s="15"/>
      <c r="D4574" s="15"/>
      <c r="E4574" s="15"/>
      <c r="F4574" s="15"/>
      <c r="G4574" s="15"/>
      <c r="H4574" s="15"/>
      <c r="I4574" s="15"/>
      <c r="J4574" s="15"/>
      <c r="K4574" s="15"/>
      <c r="L4574" s="28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  <c r="AA4574" s="15"/>
      <c r="AB4574" s="15"/>
      <c r="AC4574" s="15"/>
      <c r="AD4574" s="15"/>
      <c r="AE4574" s="15"/>
      <c r="AF4574" s="15"/>
      <c r="AG4574" s="15"/>
      <c r="AH4574" s="15"/>
      <c r="AI4574" s="15"/>
      <c r="AJ4574" s="15"/>
      <c r="AK4574" s="15"/>
      <c r="AL4574" s="15"/>
      <c r="AM4574" s="15"/>
      <c r="AN4574" s="15"/>
      <c r="AO4574" s="15"/>
      <c r="AP4574" s="15"/>
      <c r="AQ4574" s="15"/>
      <c r="AR4574" s="15"/>
      <c r="AS4574" s="15"/>
      <c r="AT4574" s="15"/>
      <c r="AU4574" s="15"/>
      <c r="AV4574" s="15"/>
      <c r="AW4574" s="15"/>
    </row>
    <row r="4575" spans="3:49" x14ac:dyDescent="0.2">
      <c r="C4575" s="15"/>
      <c r="D4575" s="15"/>
      <c r="E4575" s="15"/>
      <c r="F4575" s="15"/>
      <c r="G4575" s="15"/>
      <c r="H4575" s="15"/>
      <c r="I4575" s="15"/>
      <c r="J4575" s="15"/>
      <c r="K4575" s="15"/>
      <c r="L4575" s="28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  <c r="AA4575" s="15"/>
      <c r="AB4575" s="15"/>
      <c r="AC4575" s="15"/>
      <c r="AD4575" s="15"/>
      <c r="AE4575" s="15"/>
      <c r="AF4575" s="15"/>
      <c r="AG4575" s="15"/>
      <c r="AH4575" s="15"/>
      <c r="AI4575" s="15"/>
      <c r="AJ4575" s="15"/>
      <c r="AK4575" s="15"/>
      <c r="AL4575" s="15"/>
      <c r="AM4575" s="15"/>
      <c r="AN4575" s="15"/>
      <c r="AO4575" s="15"/>
      <c r="AP4575" s="15"/>
      <c r="AQ4575" s="15"/>
      <c r="AR4575" s="15"/>
      <c r="AS4575" s="15"/>
      <c r="AT4575" s="15"/>
      <c r="AU4575" s="15"/>
      <c r="AV4575" s="15"/>
      <c r="AW4575" s="15"/>
    </row>
    <row r="4576" spans="3:49" x14ac:dyDescent="0.2">
      <c r="C4576" s="15"/>
      <c r="D4576" s="15"/>
      <c r="E4576" s="15"/>
      <c r="F4576" s="15"/>
      <c r="G4576" s="15"/>
      <c r="H4576" s="15"/>
      <c r="I4576" s="15"/>
      <c r="J4576" s="15"/>
      <c r="K4576" s="15"/>
      <c r="L4576" s="28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  <c r="AA4576" s="15"/>
      <c r="AB4576" s="15"/>
      <c r="AC4576" s="15"/>
      <c r="AD4576" s="15"/>
      <c r="AE4576" s="15"/>
      <c r="AF4576" s="15"/>
      <c r="AG4576" s="15"/>
      <c r="AH4576" s="15"/>
      <c r="AI4576" s="15"/>
      <c r="AJ4576" s="15"/>
      <c r="AK4576" s="15"/>
      <c r="AL4576" s="15"/>
      <c r="AM4576" s="15"/>
      <c r="AN4576" s="15"/>
      <c r="AO4576" s="15"/>
      <c r="AP4576" s="15"/>
      <c r="AQ4576" s="15"/>
      <c r="AR4576" s="15"/>
      <c r="AS4576" s="15"/>
      <c r="AT4576" s="15"/>
      <c r="AU4576" s="15"/>
      <c r="AV4576" s="15"/>
      <c r="AW4576" s="15"/>
    </row>
    <row r="4577" spans="3:49" x14ac:dyDescent="0.2">
      <c r="C4577" s="15"/>
      <c r="D4577" s="15"/>
      <c r="E4577" s="15"/>
      <c r="F4577" s="15"/>
      <c r="G4577" s="15"/>
      <c r="H4577" s="15"/>
      <c r="I4577" s="15"/>
      <c r="J4577" s="15"/>
      <c r="K4577" s="15"/>
      <c r="L4577" s="28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  <c r="AA4577" s="15"/>
      <c r="AB4577" s="15"/>
      <c r="AC4577" s="15"/>
      <c r="AD4577" s="15"/>
      <c r="AE4577" s="15"/>
      <c r="AF4577" s="15"/>
      <c r="AG4577" s="15"/>
      <c r="AH4577" s="15"/>
      <c r="AI4577" s="15"/>
      <c r="AJ4577" s="15"/>
      <c r="AK4577" s="15"/>
      <c r="AL4577" s="15"/>
      <c r="AM4577" s="15"/>
      <c r="AN4577" s="15"/>
      <c r="AO4577" s="15"/>
      <c r="AP4577" s="15"/>
      <c r="AQ4577" s="15"/>
      <c r="AR4577" s="15"/>
      <c r="AS4577" s="15"/>
      <c r="AT4577" s="15"/>
      <c r="AU4577" s="15"/>
      <c r="AV4577" s="15"/>
      <c r="AW4577" s="15"/>
    </row>
    <row r="4578" spans="3:49" x14ac:dyDescent="0.2">
      <c r="C4578" s="15"/>
      <c r="D4578" s="15"/>
      <c r="E4578" s="15"/>
      <c r="F4578" s="15"/>
      <c r="G4578" s="15"/>
      <c r="H4578" s="15"/>
      <c r="I4578" s="15"/>
      <c r="J4578" s="15"/>
      <c r="K4578" s="15"/>
      <c r="L4578" s="28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  <c r="AA4578" s="15"/>
      <c r="AB4578" s="15"/>
      <c r="AC4578" s="15"/>
      <c r="AD4578" s="15"/>
      <c r="AE4578" s="15"/>
      <c r="AF4578" s="15"/>
      <c r="AG4578" s="15"/>
      <c r="AH4578" s="15"/>
      <c r="AI4578" s="15"/>
      <c r="AJ4578" s="15"/>
      <c r="AK4578" s="15"/>
      <c r="AL4578" s="15"/>
      <c r="AM4578" s="15"/>
      <c r="AN4578" s="15"/>
      <c r="AO4578" s="15"/>
      <c r="AP4578" s="15"/>
      <c r="AQ4578" s="15"/>
      <c r="AR4578" s="15"/>
      <c r="AS4578" s="15"/>
      <c r="AT4578" s="15"/>
      <c r="AU4578" s="15"/>
      <c r="AV4578" s="15"/>
      <c r="AW4578" s="15"/>
    </row>
    <row r="4579" spans="3:49" x14ac:dyDescent="0.2">
      <c r="C4579" s="15"/>
      <c r="D4579" s="15"/>
      <c r="E4579" s="15"/>
      <c r="F4579" s="15"/>
      <c r="G4579" s="15"/>
      <c r="H4579" s="15"/>
      <c r="I4579" s="15"/>
      <c r="J4579" s="15"/>
      <c r="K4579" s="15"/>
      <c r="L4579" s="28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  <c r="AA4579" s="15"/>
      <c r="AB4579" s="15"/>
      <c r="AC4579" s="15"/>
      <c r="AD4579" s="15"/>
      <c r="AE4579" s="15"/>
      <c r="AF4579" s="15"/>
      <c r="AG4579" s="15"/>
      <c r="AH4579" s="15"/>
      <c r="AI4579" s="15"/>
      <c r="AJ4579" s="15"/>
      <c r="AK4579" s="15"/>
      <c r="AL4579" s="15"/>
      <c r="AM4579" s="15"/>
      <c r="AN4579" s="15"/>
      <c r="AO4579" s="15"/>
      <c r="AP4579" s="15"/>
      <c r="AQ4579" s="15"/>
      <c r="AR4579" s="15"/>
      <c r="AS4579" s="15"/>
      <c r="AT4579" s="15"/>
      <c r="AU4579" s="15"/>
      <c r="AV4579" s="15"/>
      <c r="AW4579" s="15"/>
    </row>
    <row r="4580" spans="3:49" x14ac:dyDescent="0.2">
      <c r="C4580" s="15"/>
      <c r="D4580" s="15"/>
      <c r="E4580" s="15"/>
      <c r="F4580" s="15"/>
      <c r="G4580" s="15"/>
      <c r="H4580" s="15"/>
      <c r="I4580" s="15"/>
      <c r="J4580" s="15"/>
      <c r="K4580" s="15"/>
      <c r="L4580" s="28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  <c r="AA4580" s="15"/>
      <c r="AB4580" s="15"/>
      <c r="AC4580" s="15"/>
      <c r="AD4580" s="15"/>
      <c r="AE4580" s="15"/>
      <c r="AF4580" s="15"/>
      <c r="AG4580" s="15"/>
      <c r="AH4580" s="15"/>
      <c r="AI4580" s="15"/>
      <c r="AJ4580" s="15"/>
      <c r="AK4580" s="15"/>
      <c r="AL4580" s="15"/>
      <c r="AM4580" s="15"/>
      <c r="AN4580" s="15"/>
      <c r="AO4580" s="15"/>
      <c r="AP4580" s="15"/>
      <c r="AQ4580" s="15"/>
      <c r="AR4580" s="15"/>
      <c r="AS4580" s="15"/>
      <c r="AT4580" s="15"/>
      <c r="AU4580" s="15"/>
      <c r="AV4580" s="15"/>
      <c r="AW4580" s="15"/>
    </row>
    <row r="4581" spans="3:49" x14ac:dyDescent="0.2">
      <c r="C4581" s="15"/>
      <c r="D4581" s="15"/>
      <c r="E4581" s="15"/>
      <c r="F4581" s="15"/>
      <c r="G4581" s="15"/>
      <c r="H4581" s="15"/>
      <c r="I4581" s="15"/>
      <c r="J4581" s="15"/>
      <c r="K4581" s="15"/>
      <c r="L4581" s="28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  <c r="AA4581" s="15"/>
      <c r="AB4581" s="15"/>
      <c r="AC4581" s="15"/>
      <c r="AD4581" s="15"/>
      <c r="AE4581" s="15"/>
      <c r="AF4581" s="15"/>
      <c r="AG4581" s="15"/>
      <c r="AH4581" s="15"/>
      <c r="AI4581" s="15"/>
      <c r="AJ4581" s="15"/>
      <c r="AK4581" s="15"/>
      <c r="AL4581" s="15"/>
      <c r="AM4581" s="15"/>
      <c r="AN4581" s="15"/>
      <c r="AO4581" s="15"/>
      <c r="AP4581" s="15"/>
      <c r="AQ4581" s="15"/>
      <c r="AR4581" s="15"/>
      <c r="AS4581" s="15"/>
      <c r="AT4581" s="15"/>
      <c r="AU4581" s="15"/>
      <c r="AV4581" s="15"/>
      <c r="AW4581" s="15"/>
    </row>
    <row r="4582" spans="3:49" x14ac:dyDescent="0.2">
      <c r="C4582" s="15"/>
      <c r="D4582" s="15"/>
      <c r="E4582" s="15"/>
      <c r="F4582" s="15"/>
      <c r="G4582" s="15"/>
      <c r="H4582" s="15"/>
      <c r="I4582" s="15"/>
      <c r="J4582" s="15"/>
      <c r="K4582" s="15"/>
      <c r="L4582" s="28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  <c r="AA4582" s="15"/>
      <c r="AB4582" s="15"/>
      <c r="AC4582" s="15"/>
      <c r="AD4582" s="15"/>
      <c r="AE4582" s="15"/>
      <c r="AF4582" s="15"/>
      <c r="AG4582" s="15"/>
      <c r="AH4582" s="15"/>
      <c r="AI4582" s="15"/>
      <c r="AJ4582" s="15"/>
      <c r="AK4582" s="15"/>
      <c r="AL4582" s="15"/>
      <c r="AM4582" s="15"/>
      <c r="AN4582" s="15"/>
      <c r="AO4582" s="15"/>
      <c r="AP4582" s="15"/>
      <c r="AQ4582" s="15"/>
      <c r="AR4582" s="15"/>
      <c r="AS4582" s="15"/>
      <c r="AT4582" s="15"/>
      <c r="AU4582" s="15"/>
      <c r="AV4582" s="15"/>
      <c r="AW4582" s="15"/>
    </row>
    <row r="4583" spans="3:49" x14ac:dyDescent="0.2">
      <c r="C4583" s="15"/>
      <c r="D4583" s="15"/>
      <c r="E4583" s="15"/>
      <c r="F4583" s="15"/>
      <c r="G4583" s="15"/>
      <c r="H4583" s="15"/>
      <c r="I4583" s="15"/>
      <c r="J4583" s="15"/>
      <c r="K4583" s="15"/>
      <c r="L4583" s="28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  <c r="AA4583" s="15"/>
      <c r="AB4583" s="15"/>
      <c r="AC4583" s="15"/>
      <c r="AD4583" s="15"/>
      <c r="AE4583" s="15"/>
      <c r="AF4583" s="15"/>
      <c r="AG4583" s="15"/>
      <c r="AH4583" s="15"/>
      <c r="AI4583" s="15"/>
      <c r="AJ4583" s="15"/>
      <c r="AK4583" s="15"/>
      <c r="AL4583" s="15"/>
      <c r="AM4583" s="15"/>
      <c r="AN4583" s="15"/>
      <c r="AO4583" s="15"/>
      <c r="AP4583" s="15"/>
      <c r="AQ4583" s="15"/>
      <c r="AR4583" s="15"/>
      <c r="AS4583" s="15"/>
      <c r="AT4583" s="15"/>
      <c r="AU4583" s="15"/>
      <c r="AV4583" s="15"/>
      <c r="AW4583" s="15"/>
    </row>
    <row r="4584" spans="3:49" x14ac:dyDescent="0.2">
      <c r="C4584" s="15"/>
      <c r="D4584" s="15"/>
      <c r="E4584" s="15"/>
      <c r="F4584" s="15"/>
      <c r="G4584" s="15"/>
      <c r="H4584" s="15"/>
      <c r="I4584" s="15"/>
      <c r="J4584" s="15"/>
      <c r="K4584" s="15"/>
      <c r="L4584" s="28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  <c r="AA4584" s="15"/>
      <c r="AB4584" s="15"/>
      <c r="AC4584" s="15"/>
      <c r="AD4584" s="15"/>
      <c r="AE4584" s="15"/>
      <c r="AF4584" s="15"/>
      <c r="AG4584" s="15"/>
      <c r="AH4584" s="15"/>
      <c r="AI4584" s="15"/>
      <c r="AJ4584" s="15"/>
      <c r="AK4584" s="15"/>
      <c r="AL4584" s="15"/>
      <c r="AM4584" s="15"/>
      <c r="AN4584" s="15"/>
      <c r="AO4584" s="15"/>
      <c r="AP4584" s="15"/>
      <c r="AQ4584" s="15"/>
      <c r="AR4584" s="15"/>
      <c r="AS4584" s="15"/>
      <c r="AT4584" s="15"/>
      <c r="AU4584" s="15"/>
      <c r="AV4584" s="15"/>
      <c r="AW4584" s="15"/>
    </row>
    <row r="4585" spans="3:49" x14ac:dyDescent="0.2">
      <c r="C4585" s="15"/>
      <c r="D4585" s="15"/>
      <c r="E4585" s="15"/>
      <c r="F4585" s="15"/>
      <c r="G4585" s="15"/>
      <c r="H4585" s="15"/>
      <c r="I4585" s="15"/>
      <c r="J4585" s="15"/>
      <c r="K4585" s="15"/>
      <c r="L4585" s="28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  <c r="AA4585" s="15"/>
      <c r="AB4585" s="15"/>
      <c r="AC4585" s="15"/>
      <c r="AD4585" s="15"/>
      <c r="AE4585" s="15"/>
      <c r="AF4585" s="15"/>
      <c r="AG4585" s="15"/>
      <c r="AH4585" s="15"/>
      <c r="AI4585" s="15"/>
      <c r="AJ4585" s="15"/>
      <c r="AK4585" s="15"/>
      <c r="AL4585" s="15"/>
      <c r="AM4585" s="15"/>
      <c r="AN4585" s="15"/>
      <c r="AO4585" s="15"/>
      <c r="AP4585" s="15"/>
      <c r="AQ4585" s="15"/>
      <c r="AR4585" s="15"/>
      <c r="AS4585" s="15"/>
      <c r="AT4585" s="15"/>
      <c r="AU4585" s="15"/>
      <c r="AV4585" s="15"/>
      <c r="AW4585" s="15"/>
    </row>
    <row r="4586" spans="3:49" x14ac:dyDescent="0.2">
      <c r="C4586" s="15"/>
      <c r="D4586" s="15"/>
      <c r="E4586" s="15"/>
      <c r="F4586" s="15"/>
      <c r="G4586" s="15"/>
      <c r="H4586" s="15"/>
      <c r="I4586" s="15"/>
      <c r="J4586" s="15"/>
      <c r="K4586" s="15"/>
      <c r="L4586" s="28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  <c r="AA4586" s="15"/>
      <c r="AB4586" s="15"/>
      <c r="AC4586" s="15"/>
      <c r="AD4586" s="15"/>
      <c r="AE4586" s="15"/>
      <c r="AF4586" s="15"/>
      <c r="AG4586" s="15"/>
      <c r="AH4586" s="15"/>
      <c r="AI4586" s="15"/>
      <c r="AJ4586" s="15"/>
      <c r="AK4586" s="15"/>
      <c r="AL4586" s="15"/>
      <c r="AM4586" s="15"/>
      <c r="AN4586" s="15"/>
      <c r="AO4586" s="15"/>
      <c r="AP4586" s="15"/>
      <c r="AQ4586" s="15"/>
      <c r="AR4586" s="15"/>
      <c r="AS4586" s="15"/>
      <c r="AT4586" s="15"/>
      <c r="AU4586" s="15"/>
      <c r="AV4586" s="15"/>
      <c r="AW4586" s="15"/>
    </row>
    <row r="4587" spans="3:49" x14ac:dyDescent="0.2">
      <c r="C4587" s="15"/>
      <c r="D4587" s="15"/>
      <c r="E4587" s="15"/>
      <c r="F4587" s="15"/>
      <c r="G4587" s="15"/>
      <c r="H4587" s="15"/>
      <c r="I4587" s="15"/>
      <c r="J4587" s="15"/>
      <c r="K4587" s="15"/>
      <c r="L4587" s="28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  <c r="AA4587" s="15"/>
      <c r="AB4587" s="15"/>
      <c r="AC4587" s="15"/>
      <c r="AD4587" s="15"/>
      <c r="AE4587" s="15"/>
      <c r="AF4587" s="15"/>
      <c r="AG4587" s="15"/>
      <c r="AH4587" s="15"/>
      <c r="AI4587" s="15"/>
      <c r="AJ4587" s="15"/>
      <c r="AK4587" s="15"/>
      <c r="AL4587" s="15"/>
      <c r="AM4587" s="15"/>
      <c r="AN4587" s="15"/>
      <c r="AO4587" s="15"/>
      <c r="AP4587" s="15"/>
      <c r="AQ4587" s="15"/>
      <c r="AR4587" s="15"/>
      <c r="AS4587" s="15"/>
      <c r="AT4587" s="15"/>
      <c r="AU4587" s="15"/>
      <c r="AV4587" s="15"/>
      <c r="AW4587" s="15"/>
    </row>
    <row r="4588" spans="3:49" x14ac:dyDescent="0.2">
      <c r="C4588" s="15"/>
      <c r="D4588" s="15"/>
      <c r="E4588" s="15"/>
      <c r="F4588" s="15"/>
      <c r="G4588" s="15"/>
      <c r="H4588" s="15"/>
      <c r="I4588" s="15"/>
      <c r="J4588" s="15"/>
      <c r="K4588" s="15"/>
      <c r="L4588" s="28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  <c r="AA4588" s="15"/>
      <c r="AB4588" s="15"/>
      <c r="AC4588" s="15"/>
      <c r="AD4588" s="15"/>
      <c r="AE4588" s="15"/>
      <c r="AF4588" s="15"/>
      <c r="AG4588" s="15"/>
      <c r="AH4588" s="15"/>
      <c r="AI4588" s="15"/>
      <c r="AJ4588" s="15"/>
      <c r="AK4588" s="15"/>
      <c r="AL4588" s="15"/>
      <c r="AM4588" s="15"/>
      <c r="AN4588" s="15"/>
      <c r="AO4588" s="15"/>
      <c r="AP4588" s="15"/>
      <c r="AQ4588" s="15"/>
      <c r="AR4588" s="15"/>
      <c r="AS4588" s="15"/>
      <c r="AT4588" s="15"/>
      <c r="AU4588" s="15"/>
      <c r="AV4588" s="15"/>
      <c r="AW4588" s="15"/>
    </row>
    <row r="4589" spans="3:49" x14ac:dyDescent="0.2">
      <c r="C4589" s="15"/>
      <c r="D4589" s="15"/>
      <c r="E4589" s="15"/>
      <c r="F4589" s="15"/>
      <c r="G4589" s="15"/>
      <c r="H4589" s="15"/>
      <c r="I4589" s="15"/>
      <c r="J4589" s="15"/>
      <c r="K4589" s="15"/>
      <c r="L4589" s="28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  <c r="AA4589" s="15"/>
      <c r="AB4589" s="15"/>
      <c r="AC4589" s="15"/>
      <c r="AD4589" s="15"/>
      <c r="AE4589" s="15"/>
      <c r="AF4589" s="15"/>
      <c r="AG4589" s="15"/>
      <c r="AH4589" s="15"/>
      <c r="AI4589" s="15"/>
      <c r="AJ4589" s="15"/>
      <c r="AK4589" s="15"/>
      <c r="AL4589" s="15"/>
      <c r="AM4589" s="15"/>
      <c r="AN4589" s="15"/>
      <c r="AO4589" s="15"/>
      <c r="AP4589" s="15"/>
      <c r="AQ4589" s="15"/>
      <c r="AR4589" s="15"/>
      <c r="AS4589" s="15"/>
      <c r="AT4589" s="15"/>
      <c r="AU4589" s="15"/>
      <c r="AV4589" s="15"/>
      <c r="AW4589" s="15"/>
    </row>
    <row r="4590" spans="3:49" x14ac:dyDescent="0.2">
      <c r="C4590" s="15"/>
      <c r="D4590" s="15"/>
      <c r="E4590" s="15"/>
      <c r="F4590" s="15"/>
      <c r="G4590" s="15"/>
      <c r="H4590" s="15"/>
      <c r="I4590" s="15"/>
      <c r="J4590" s="15"/>
      <c r="K4590" s="15"/>
      <c r="L4590" s="28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  <c r="AA4590" s="15"/>
      <c r="AB4590" s="15"/>
      <c r="AC4590" s="15"/>
      <c r="AD4590" s="15"/>
      <c r="AE4590" s="15"/>
      <c r="AF4590" s="15"/>
      <c r="AG4590" s="15"/>
      <c r="AH4590" s="15"/>
      <c r="AI4590" s="15"/>
      <c r="AJ4590" s="15"/>
      <c r="AK4590" s="15"/>
      <c r="AL4590" s="15"/>
      <c r="AM4590" s="15"/>
      <c r="AN4590" s="15"/>
      <c r="AO4590" s="15"/>
      <c r="AP4590" s="15"/>
      <c r="AQ4590" s="15"/>
      <c r="AR4590" s="15"/>
      <c r="AS4590" s="15"/>
      <c r="AT4590" s="15"/>
      <c r="AU4590" s="15"/>
      <c r="AV4590" s="15"/>
      <c r="AW4590" s="15"/>
    </row>
    <row r="4591" spans="3:49" x14ac:dyDescent="0.2">
      <c r="C4591" s="15"/>
      <c r="D4591" s="15"/>
      <c r="E4591" s="15"/>
      <c r="F4591" s="15"/>
      <c r="G4591" s="15"/>
      <c r="H4591" s="15"/>
      <c r="I4591" s="15"/>
      <c r="J4591" s="15"/>
      <c r="K4591" s="15"/>
      <c r="L4591" s="28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  <c r="AA4591" s="15"/>
      <c r="AB4591" s="15"/>
      <c r="AC4591" s="15"/>
      <c r="AD4591" s="15"/>
      <c r="AE4591" s="15"/>
      <c r="AF4591" s="15"/>
      <c r="AG4591" s="15"/>
      <c r="AH4591" s="15"/>
      <c r="AI4591" s="15"/>
      <c r="AJ4591" s="15"/>
      <c r="AK4591" s="15"/>
      <c r="AL4591" s="15"/>
      <c r="AM4591" s="15"/>
      <c r="AN4591" s="15"/>
      <c r="AO4591" s="15"/>
      <c r="AP4591" s="15"/>
      <c r="AQ4591" s="15"/>
      <c r="AR4591" s="15"/>
      <c r="AS4591" s="15"/>
      <c r="AT4591" s="15"/>
      <c r="AU4591" s="15"/>
      <c r="AV4591" s="15"/>
      <c r="AW4591" s="15"/>
    </row>
    <row r="4592" spans="3:49" x14ac:dyDescent="0.2">
      <c r="C4592" s="15"/>
      <c r="D4592" s="15"/>
      <c r="E4592" s="15"/>
      <c r="F4592" s="15"/>
      <c r="G4592" s="15"/>
      <c r="H4592" s="15"/>
      <c r="I4592" s="15"/>
      <c r="J4592" s="15"/>
      <c r="K4592" s="15"/>
      <c r="L4592" s="28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  <c r="AA4592" s="15"/>
      <c r="AB4592" s="15"/>
      <c r="AC4592" s="15"/>
      <c r="AD4592" s="15"/>
      <c r="AE4592" s="15"/>
      <c r="AF4592" s="15"/>
      <c r="AG4592" s="15"/>
      <c r="AH4592" s="15"/>
      <c r="AI4592" s="15"/>
      <c r="AJ4592" s="15"/>
      <c r="AK4592" s="15"/>
      <c r="AL4592" s="15"/>
      <c r="AM4592" s="15"/>
      <c r="AN4592" s="15"/>
      <c r="AO4592" s="15"/>
      <c r="AP4592" s="15"/>
      <c r="AQ4592" s="15"/>
      <c r="AR4592" s="15"/>
      <c r="AS4592" s="15"/>
      <c r="AT4592" s="15"/>
      <c r="AU4592" s="15"/>
      <c r="AV4592" s="15"/>
      <c r="AW4592" s="15"/>
    </row>
    <row r="4593" spans="3:49" x14ac:dyDescent="0.2">
      <c r="C4593" s="15"/>
      <c r="D4593" s="15"/>
      <c r="E4593" s="15"/>
      <c r="F4593" s="15"/>
      <c r="G4593" s="15"/>
      <c r="H4593" s="15"/>
      <c r="I4593" s="15"/>
      <c r="J4593" s="15"/>
      <c r="K4593" s="15"/>
      <c r="L4593" s="28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  <c r="AA4593" s="15"/>
      <c r="AB4593" s="15"/>
      <c r="AC4593" s="15"/>
      <c r="AD4593" s="15"/>
      <c r="AE4593" s="15"/>
      <c r="AF4593" s="15"/>
      <c r="AG4593" s="15"/>
      <c r="AH4593" s="15"/>
      <c r="AI4593" s="15"/>
      <c r="AJ4593" s="15"/>
      <c r="AK4593" s="15"/>
      <c r="AL4593" s="15"/>
      <c r="AM4593" s="15"/>
      <c r="AN4593" s="15"/>
      <c r="AO4593" s="15"/>
      <c r="AP4593" s="15"/>
      <c r="AQ4593" s="15"/>
      <c r="AR4593" s="15"/>
      <c r="AS4593" s="15"/>
      <c r="AT4593" s="15"/>
      <c r="AU4593" s="15"/>
      <c r="AV4593" s="15"/>
      <c r="AW4593" s="15"/>
    </row>
    <row r="4594" spans="3:49" x14ac:dyDescent="0.2">
      <c r="C4594" s="15"/>
      <c r="D4594" s="15"/>
      <c r="E4594" s="15"/>
      <c r="F4594" s="15"/>
      <c r="G4594" s="15"/>
      <c r="H4594" s="15"/>
      <c r="I4594" s="15"/>
      <c r="J4594" s="15"/>
      <c r="K4594" s="15"/>
      <c r="L4594" s="28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  <c r="AA4594" s="15"/>
      <c r="AB4594" s="15"/>
      <c r="AC4594" s="15"/>
      <c r="AD4594" s="15"/>
      <c r="AE4594" s="15"/>
      <c r="AF4594" s="15"/>
      <c r="AG4594" s="15"/>
      <c r="AH4594" s="15"/>
      <c r="AI4594" s="15"/>
      <c r="AJ4594" s="15"/>
      <c r="AK4594" s="15"/>
      <c r="AL4594" s="15"/>
      <c r="AM4594" s="15"/>
      <c r="AN4594" s="15"/>
      <c r="AO4594" s="15"/>
      <c r="AP4594" s="15"/>
      <c r="AQ4594" s="15"/>
      <c r="AR4594" s="15"/>
      <c r="AS4594" s="15"/>
      <c r="AT4594" s="15"/>
      <c r="AU4594" s="15"/>
      <c r="AV4594" s="15"/>
      <c r="AW4594" s="15"/>
    </row>
    <row r="4595" spans="3:49" x14ac:dyDescent="0.2">
      <c r="C4595" s="15"/>
      <c r="D4595" s="15"/>
      <c r="E4595" s="15"/>
      <c r="F4595" s="15"/>
      <c r="G4595" s="15"/>
      <c r="H4595" s="15"/>
      <c r="I4595" s="15"/>
      <c r="J4595" s="15"/>
      <c r="K4595" s="15"/>
      <c r="L4595" s="28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  <c r="AA4595" s="15"/>
      <c r="AB4595" s="15"/>
      <c r="AC4595" s="15"/>
      <c r="AD4595" s="15"/>
      <c r="AE4595" s="15"/>
      <c r="AF4595" s="15"/>
      <c r="AG4595" s="15"/>
      <c r="AH4595" s="15"/>
      <c r="AI4595" s="15"/>
      <c r="AJ4595" s="15"/>
      <c r="AK4595" s="15"/>
      <c r="AL4595" s="15"/>
      <c r="AM4595" s="15"/>
      <c r="AN4595" s="15"/>
      <c r="AO4595" s="15"/>
      <c r="AP4595" s="15"/>
      <c r="AQ4595" s="15"/>
      <c r="AR4595" s="15"/>
      <c r="AS4595" s="15"/>
      <c r="AT4595" s="15"/>
      <c r="AU4595" s="15"/>
      <c r="AV4595" s="15"/>
      <c r="AW4595" s="15"/>
    </row>
    <row r="4596" spans="3:49" x14ac:dyDescent="0.2">
      <c r="C4596" s="15"/>
      <c r="D4596" s="15"/>
      <c r="E4596" s="15"/>
      <c r="F4596" s="15"/>
      <c r="G4596" s="15"/>
      <c r="H4596" s="15"/>
      <c r="I4596" s="15"/>
      <c r="J4596" s="15"/>
      <c r="K4596" s="15"/>
      <c r="L4596" s="28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  <c r="AA4596" s="15"/>
      <c r="AB4596" s="15"/>
      <c r="AC4596" s="15"/>
      <c r="AD4596" s="15"/>
      <c r="AE4596" s="15"/>
      <c r="AF4596" s="15"/>
      <c r="AG4596" s="15"/>
      <c r="AH4596" s="15"/>
      <c r="AI4596" s="15"/>
      <c r="AJ4596" s="15"/>
      <c r="AK4596" s="15"/>
      <c r="AL4596" s="15"/>
      <c r="AM4596" s="15"/>
      <c r="AN4596" s="15"/>
      <c r="AO4596" s="15"/>
      <c r="AP4596" s="15"/>
      <c r="AQ4596" s="15"/>
      <c r="AR4596" s="15"/>
      <c r="AS4596" s="15"/>
      <c r="AT4596" s="15"/>
      <c r="AU4596" s="15"/>
      <c r="AV4596" s="15"/>
      <c r="AW4596" s="15"/>
    </row>
    <row r="4597" spans="3:49" x14ac:dyDescent="0.2">
      <c r="C4597" s="15"/>
      <c r="D4597" s="15"/>
      <c r="E4597" s="15"/>
      <c r="F4597" s="15"/>
      <c r="G4597" s="15"/>
      <c r="H4597" s="15"/>
      <c r="I4597" s="15"/>
      <c r="J4597" s="15"/>
      <c r="K4597" s="15"/>
      <c r="L4597" s="28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  <c r="AA4597" s="15"/>
      <c r="AB4597" s="15"/>
      <c r="AC4597" s="15"/>
      <c r="AD4597" s="15"/>
      <c r="AE4597" s="15"/>
      <c r="AF4597" s="15"/>
      <c r="AG4597" s="15"/>
      <c r="AH4597" s="15"/>
      <c r="AI4597" s="15"/>
      <c r="AJ4597" s="15"/>
      <c r="AK4597" s="15"/>
      <c r="AL4597" s="15"/>
      <c r="AM4597" s="15"/>
      <c r="AN4597" s="15"/>
      <c r="AO4597" s="15"/>
      <c r="AP4597" s="15"/>
      <c r="AQ4597" s="15"/>
      <c r="AR4597" s="15"/>
      <c r="AS4597" s="15"/>
      <c r="AT4597" s="15"/>
      <c r="AU4597" s="15"/>
      <c r="AV4597" s="15"/>
      <c r="AW4597" s="15"/>
    </row>
    <row r="4598" spans="3:49" x14ac:dyDescent="0.2">
      <c r="C4598" s="15"/>
      <c r="D4598" s="15"/>
      <c r="E4598" s="15"/>
      <c r="F4598" s="15"/>
      <c r="G4598" s="15"/>
      <c r="H4598" s="15"/>
      <c r="I4598" s="15"/>
      <c r="J4598" s="15"/>
      <c r="K4598" s="15"/>
      <c r="L4598" s="28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  <c r="AA4598" s="15"/>
      <c r="AB4598" s="15"/>
      <c r="AC4598" s="15"/>
      <c r="AD4598" s="15"/>
      <c r="AE4598" s="15"/>
      <c r="AF4598" s="15"/>
      <c r="AG4598" s="15"/>
      <c r="AH4598" s="15"/>
      <c r="AI4598" s="15"/>
      <c r="AJ4598" s="15"/>
      <c r="AK4598" s="15"/>
      <c r="AL4598" s="15"/>
      <c r="AM4598" s="15"/>
      <c r="AN4598" s="15"/>
      <c r="AO4598" s="15"/>
      <c r="AP4598" s="15"/>
      <c r="AQ4598" s="15"/>
      <c r="AR4598" s="15"/>
      <c r="AS4598" s="15"/>
      <c r="AT4598" s="15"/>
      <c r="AU4598" s="15"/>
      <c r="AV4598" s="15"/>
      <c r="AW4598" s="15"/>
    </row>
    <row r="4599" spans="3:49" x14ac:dyDescent="0.2">
      <c r="C4599" s="15"/>
      <c r="D4599" s="15"/>
      <c r="E4599" s="15"/>
      <c r="F4599" s="15"/>
      <c r="G4599" s="15"/>
      <c r="H4599" s="15"/>
      <c r="I4599" s="15"/>
      <c r="J4599" s="15"/>
      <c r="K4599" s="15"/>
      <c r="L4599" s="28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  <c r="AA4599" s="15"/>
      <c r="AB4599" s="15"/>
      <c r="AC4599" s="15"/>
      <c r="AD4599" s="15"/>
      <c r="AE4599" s="15"/>
      <c r="AF4599" s="15"/>
      <c r="AG4599" s="15"/>
      <c r="AH4599" s="15"/>
      <c r="AI4599" s="15"/>
      <c r="AJ4599" s="15"/>
      <c r="AK4599" s="15"/>
      <c r="AL4599" s="15"/>
      <c r="AM4599" s="15"/>
      <c r="AN4599" s="15"/>
      <c r="AO4599" s="15"/>
      <c r="AP4599" s="15"/>
      <c r="AQ4599" s="15"/>
      <c r="AR4599" s="15"/>
      <c r="AS4599" s="15"/>
      <c r="AT4599" s="15"/>
      <c r="AU4599" s="15"/>
      <c r="AV4599" s="15"/>
      <c r="AW4599" s="15"/>
    </row>
    <row r="4600" spans="3:49" x14ac:dyDescent="0.2">
      <c r="C4600" s="15"/>
      <c r="D4600" s="15"/>
      <c r="E4600" s="15"/>
      <c r="F4600" s="15"/>
      <c r="G4600" s="15"/>
      <c r="H4600" s="15"/>
      <c r="I4600" s="15"/>
      <c r="J4600" s="15"/>
      <c r="K4600" s="15"/>
      <c r="L4600" s="28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  <c r="AA4600" s="15"/>
      <c r="AB4600" s="15"/>
      <c r="AC4600" s="15"/>
      <c r="AD4600" s="15"/>
      <c r="AE4600" s="15"/>
      <c r="AF4600" s="15"/>
      <c r="AG4600" s="15"/>
      <c r="AH4600" s="15"/>
      <c r="AI4600" s="15"/>
      <c r="AJ4600" s="15"/>
      <c r="AK4600" s="15"/>
      <c r="AL4600" s="15"/>
      <c r="AM4600" s="15"/>
      <c r="AN4600" s="15"/>
      <c r="AO4600" s="15"/>
      <c r="AP4600" s="15"/>
      <c r="AQ4600" s="15"/>
      <c r="AR4600" s="15"/>
      <c r="AS4600" s="15"/>
      <c r="AT4600" s="15"/>
      <c r="AU4600" s="15"/>
      <c r="AV4600" s="15"/>
      <c r="AW4600" s="15"/>
    </row>
    <row r="4601" spans="3:49" x14ac:dyDescent="0.2">
      <c r="C4601" s="15"/>
      <c r="D4601" s="15"/>
      <c r="E4601" s="15"/>
      <c r="F4601" s="15"/>
      <c r="G4601" s="15"/>
      <c r="H4601" s="15"/>
      <c r="I4601" s="15"/>
      <c r="J4601" s="15"/>
      <c r="K4601" s="15"/>
      <c r="L4601" s="28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  <c r="AA4601" s="15"/>
      <c r="AB4601" s="15"/>
      <c r="AC4601" s="15"/>
      <c r="AD4601" s="15"/>
      <c r="AE4601" s="15"/>
      <c r="AF4601" s="15"/>
      <c r="AG4601" s="15"/>
      <c r="AH4601" s="15"/>
      <c r="AI4601" s="15"/>
      <c r="AJ4601" s="15"/>
      <c r="AK4601" s="15"/>
      <c r="AL4601" s="15"/>
      <c r="AM4601" s="15"/>
      <c r="AN4601" s="15"/>
      <c r="AO4601" s="15"/>
      <c r="AP4601" s="15"/>
      <c r="AQ4601" s="15"/>
      <c r="AR4601" s="15"/>
      <c r="AS4601" s="15"/>
      <c r="AT4601" s="15"/>
      <c r="AU4601" s="15"/>
      <c r="AV4601" s="15"/>
      <c r="AW4601" s="15"/>
    </row>
    <row r="4602" spans="3:49" x14ac:dyDescent="0.2">
      <c r="C4602" s="15"/>
      <c r="D4602" s="15"/>
      <c r="E4602" s="15"/>
      <c r="F4602" s="15"/>
      <c r="G4602" s="15"/>
      <c r="H4602" s="15"/>
      <c r="I4602" s="15"/>
      <c r="J4602" s="15"/>
      <c r="K4602" s="15"/>
      <c r="L4602" s="28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  <c r="AA4602" s="15"/>
      <c r="AB4602" s="15"/>
      <c r="AC4602" s="15"/>
      <c r="AD4602" s="15"/>
      <c r="AE4602" s="15"/>
      <c r="AF4602" s="15"/>
      <c r="AG4602" s="15"/>
      <c r="AH4602" s="15"/>
      <c r="AI4602" s="15"/>
      <c r="AJ4602" s="15"/>
      <c r="AK4602" s="15"/>
      <c r="AL4602" s="15"/>
      <c r="AM4602" s="15"/>
      <c r="AN4602" s="15"/>
      <c r="AO4602" s="15"/>
      <c r="AP4602" s="15"/>
      <c r="AQ4602" s="15"/>
      <c r="AR4602" s="15"/>
      <c r="AS4602" s="15"/>
      <c r="AT4602" s="15"/>
      <c r="AU4602" s="15"/>
      <c r="AV4602" s="15"/>
      <c r="AW4602" s="15"/>
    </row>
    <row r="4603" spans="3:49" x14ac:dyDescent="0.2">
      <c r="C4603" s="15"/>
      <c r="D4603" s="15"/>
      <c r="E4603" s="15"/>
      <c r="F4603" s="15"/>
      <c r="G4603" s="15"/>
      <c r="H4603" s="15"/>
      <c r="I4603" s="15"/>
      <c r="J4603" s="15"/>
      <c r="K4603" s="15"/>
      <c r="L4603" s="28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  <c r="AA4603" s="15"/>
      <c r="AB4603" s="15"/>
      <c r="AC4603" s="15"/>
      <c r="AD4603" s="15"/>
      <c r="AE4603" s="15"/>
      <c r="AF4603" s="15"/>
      <c r="AG4603" s="15"/>
      <c r="AH4603" s="15"/>
      <c r="AI4603" s="15"/>
      <c r="AJ4603" s="15"/>
      <c r="AK4603" s="15"/>
      <c r="AL4603" s="15"/>
      <c r="AM4603" s="15"/>
      <c r="AN4603" s="15"/>
      <c r="AO4603" s="15"/>
      <c r="AP4603" s="15"/>
      <c r="AQ4603" s="15"/>
      <c r="AR4603" s="15"/>
      <c r="AS4603" s="15"/>
      <c r="AT4603" s="15"/>
      <c r="AU4603" s="15"/>
      <c r="AV4603" s="15"/>
      <c r="AW4603" s="15"/>
    </row>
    <row r="4604" spans="3:49" x14ac:dyDescent="0.2">
      <c r="C4604" s="15"/>
      <c r="D4604" s="15"/>
      <c r="E4604" s="15"/>
      <c r="F4604" s="15"/>
      <c r="G4604" s="15"/>
      <c r="H4604" s="15"/>
      <c r="I4604" s="15"/>
      <c r="J4604" s="15"/>
      <c r="K4604" s="15"/>
      <c r="L4604" s="28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  <c r="AA4604" s="15"/>
      <c r="AB4604" s="15"/>
      <c r="AC4604" s="15"/>
      <c r="AD4604" s="15"/>
      <c r="AE4604" s="15"/>
      <c r="AF4604" s="15"/>
      <c r="AG4604" s="15"/>
      <c r="AH4604" s="15"/>
      <c r="AI4604" s="15"/>
      <c r="AJ4604" s="15"/>
      <c r="AK4604" s="15"/>
      <c r="AL4604" s="15"/>
      <c r="AM4604" s="15"/>
      <c r="AN4604" s="15"/>
      <c r="AO4604" s="15"/>
      <c r="AP4604" s="15"/>
      <c r="AQ4604" s="15"/>
      <c r="AR4604" s="15"/>
      <c r="AS4604" s="15"/>
      <c r="AT4604" s="15"/>
      <c r="AU4604" s="15"/>
      <c r="AV4604" s="15"/>
      <c r="AW4604" s="15"/>
    </row>
    <row r="4605" spans="3:49" x14ac:dyDescent="0.2">
      <c r="C4605" s="15"/>
      <c r="D4605" s="15"/>
      <c r="E4605" s="15"/>
      <c r="F4605" s="15"/>
      <c r="G4605" s="15"/>
      <c r="H4605" s="15"/>
      <c r="I4605" s="15"/>
      <c r="J4605" s="15"/>
      <c r="K4605" s="15"/>
      <c r="L4605" s="28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  <c r="AA4605" s="15"/>
      <c r="AB4605" s="15"/>
      <c r="AC4605" s="15"/>
      <c r="AD4605" s="15"/>
      <c r="AE4605" s="15"/>
      <c r="AF4605" s="15"/>
      <c r="AG4605" s="15"/>
      <c r="AH4605" s="15"/>
      <c r="AI4605" s="15"/>
      <c r="AJ4605" s="15"/>
      <c r="AK4605" s="15"/>
      <c r="AL4605" s="15"/>
      <c r="AM4605" s="15"/>
      <c r="AN4605" s="15"/>
      <c r="AO4605" s="15"/>
      <c r="AP4605" s="15"/>
      <c r="AQ4605" s="15"/>
      <c r="AR4605" s="15"/>
      <c r="AS4605" s="15"/>
      <c r="AT4605" s="15"/>
      <c r="AU4605" s="15"/>
      <c r="AV4605" s="15"/>
      <c r="AW4605" s="15"/>
    </row>
    <row r="4606" spans="3:49" x14ac:dyDescent="0.2">
      <c r="C4606" s="15"/>
      <c r="D4606" s="15"/>
      <c r="E4606" s="15"/>
      <c r="F4606" s="15"/>
      <c r="G4606" s="15"/>
      <c r="H4606" s="15"/>
      <c r="I4606" s="15"/>
      <c r="J4606" s="15"/>
      <c r="K4606" s="15"/>
      <c r="L4606" s="28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  <c r="AA4606" s="15"/>
      <c r="AB4606" s="15"/>
      <c r="AC4606" s="15"/>
      <c r="AD4606" s="15"/>
      <c r="AE4606" s="15"/>
      <c r="AF4606" s="15"/>
      <c r="AG4606" s="15"/>
      <c r="AH4606" s="15"/>
      <c r="AI4606" s="15"/>
      <c r="AJ4606" s="15"/>
      <c r="AK4606" s="15"/>
      <c r="AL4606" s="15"/>
      <c r="AM4606" s="15"/>
      <c r="AN4606" s="15"/>
      <c r="AO4606" s="15"/>
      <c r="AP4606" s="15"/>
      <c r="AQ4606" s="15"/>
      <c r="AR4606" s="15"/>
      <c r="AS4606" s="15"/>
      <c r="AT4606" s="15"/>
      <c r="AU4606" s="15"/>
      <c r="AV4606" s="15"/>
      <c r="AW4606" s="15"/>
    </row>
    <row r="4607" spans="3:49" x14ac:dyDescent="0.2">
      <c r="C4607" s="15"/>
      <c r="D4607" s="15"/>
      <c r="E4607" s="15"/>
      <c r="F4607" s="15"/>
      <c r="G4607" s="15"/>
      <c r="H4607" s="15"/>
      <c r="I4607" s="15"/>
      <c r="J4607" s="15"/>
      <c r="K4607" s="15"/>
      <c r="L4607" s="28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  <c r="AA4607" s="15"/>
      <c r="AB4607" s="15"/>
      <c r="AC4607" s="15"/>
      <c r="AD4607" s="15"/>
      <c r="AE4607" s="15"/>
      <c r="AF4607" s="15"/>
      <c r="AG4607" s="15"/>
      <c r="AH4607" s="15"/>
      <c r="AI4607" s="15"/>
      <c r="AJ4607" s="15"/>
      <c r="AK4607" s="15"/>
      <c r="AL4607" s="15"/>
      <c r="AM4607" s="15"/>
      <c r="AN4607" s="15"/>
      <c r="AO4607" s="15"/>
      <c r="AP4607" s="15"/>
      <c r="AQ4607" s="15"/>
      <c r="AR4607" s="15"/>
      <c r="AS4607" s="15"/>
      <c r="AT4607" s="15"/>
      <c r="AU4607" s="15"/>
      <c r="AV4607" s="15"/>
      <c r="AW4607" s="15"/>
    </row>
    <row r="4608" spans="3:49" x14ac:dyDescent="0.2">
      <c r="C4608" s="15"/>
      <c r="D4608" s="15"/>
      <c r="E4608" s="15"/>
      <c r="F4608" s="15"/>
      <c r="G4608" s="15"/>
      <c r="H4608" s="15"/>
      <c r="I4608" s="15"/>
      <c r="J4608" s="15"/>
      <c r="K4608" s="15"/>
      <c r="L4608" s="28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  <c r="AA4608" s="15"/>
      <c r="AB4608" s="15"/>
      <c r="AC4608" s="15"/>
      <c r="AD4608" s="15"/>
      <c r="AE4608" s="15"/>
      <c r="AF4608" s="15"/>
      <c r="AG4608" s="15"/>
      <c r="AH4608" s="15"/>
      <c r="AI4608" s="15"/>
      <c r="AJ4608" s="15"/>
      <c r="AK4608" s="15"/>
      <c r="AL4608" s="15"/>
      <c r="AM4608" s="15"/>
      <c r="AN4608" s="15"/>
      <c r="AO4608" s="15"/>
      <c r="AP4608" s="15"/>
      <c r="AQ4608" s="15"/>
      <c r="AR4608" s="15"/>
      <c r="AS4608" s="15"/>
      <c r="AT4608" s="15"/>
      <c r="AU4608" s="15"/>
      <c r="AV4608" s="15"/>
      <c r="AW4608" s="15"/>
    </row>
    <row r="4609" spans="3:49" x14ac:dyDescent="0.2">
      <c r="C4609" s="15"/>
      <c r="D4609" s="15"/>
      <c r="E4609" s="15"/>
      <c r="F4609" s="15"/>
      <c r="G4609" s="15"/>
      <c r="H4609" s="15"/>
      <c r="I4609" s="15"/>
      <c r="J4609" s="15"/>
      <c r="K4609" s="15"/>
      <c r="L4609" s="28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  <c r="AA4609" s="15"/>
      <c r="AB4609" s="15"/>
      <c r="AC4609" s="15"/>
      <c r="AD4609" s="15"/>
      <c r="AE4609" s="15"/>
      <c r="AF4609" s="15"/>
      <c r="AG4609" s="15"/>
      <c r="AH4609" s="15"/>
      <c r="AI4609" s="15"/>
      <c r="AJ4609" s="15"/>
      <c r="AK4609" s="15"/>
      <c r="AL4609" s="15"/>
      <c r="AM4609" s="15"/>
      <c r="AN4609" s="15"/>
      <c r="AO4609" s="15"/>
      <c r="AP4609" s="15"/>
      <c r="AQ4609" s="15"/>
      <c r="AR4609" s="15"/>
      <c r="AS4609" s="15"/>
      <c r="AT4609" s="15"/>
      <c r="AU4609" s="15"/>
      <c r="AV4609" s="15"/>
      <c r="AW4609" s="15"/>
    </row>
    <row r="4610" spans="3:49" x14ac:dyDescent="0.2">
      <c r="C4610" s="15"/>
      <c r="D4610" s="15"/>
      <c r="E4610" s="15"/>
      <c r="F4610" s="15"/>
      <c r="G4610" s="15"/>
      <c r="H4610" s="15"/>
      <c r="I4610" s="15"/>
      <c r="J4610" s="15"/>
      <c r="K4610" s="15"/>
      <c r="L4610" s="28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  <c r="AA4610" s="15"/>
      <c r="AB4610" s="15"/>
      <c r="AC4610" s="15"/>
      <c r="AD4610" s="15"/>
      <c r="AE4610" s="15"/>
      <c r="AF4610" s="15"/>
      <c r="AG4610" s="15"/>
      <c r="AH4610" s="15"/>
      <c r="AI4610" s="15"/>
      <c r="AJ4610" s="15"/>
      <c r="AK4610" s="15"/>
      <c r="AL4610" s="15"/>
      <c r="AM4610" s="15"/>
      <c r="AN4610" s="15"/>
      <c r="AO4610" s="15"/>
      <c r="AP4610" s="15"/>
      <c r="AQ4610" s="15"/>
      <c r="AR4610" s="15"/>
      <c r="AS4610" s="15"/>
      <c r="AT4610" s="15"/>
      <c r="AU4610" s="15"/>
      <c r="AV4610" s="15"/>
      <c r="AW4610" s="15"/>
    </row>
    <row r="4611" spans="3:49" x14ac:dyDescent="0.2">
      <c r="C4611" s="15"/>
      <c r="D4611" s="15"/>
      <c r="E4611" s="15"/>
      <c r="F4611" s="15"/>
      <c r="G4611" s="15"/>
      <c r="H4611" s="15"/>
      <c r="I4611" s="15"/>
      <c r="J4611" s="15"/>
      <c r="K4611" s="15"/>
      <c r="L4611" s="28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  <c r="AA4611" s="15"/>
      <c r="AB4611" s="15"/>
      <c r="AC4611" s="15"/>
      <c r="AD4611" s="15"/>
      <c r="AE4611" s="15"/>
      <c r="AF4611" s="15"/>
      <c r="AG4611" s="15"/>
      <c r="AH4611" s="15"/>
      <c r="AI4611" s="15"/>
      <c r="AJ4611" s="15"/>
      <c r="AK4611" s="15"/>
      <c r="AL4611" s="15"/>
      <c r="AM4611" s="15"/>
      <c r="AN4611" s="15"/>
      <c r="AO4611" s="15"/>
      <c r="AP4611" s="15"/>
      <c r="AQ4611" s="15"/>
      <c r="AR4611" s="15"/>
      <c r="AS4611" s="15"/>
      <c r="AT4611" s="15"/>
      <c r="AU4611" s="15"/>
      <c r="AV4611" s="15"/>
      <c r="AW4611" s="15"/>
    </row>
    <row r="4612" spans="3:49" x14ac:dyDescent="0.2">
      <c r="C4612" s="15"/>
      <c r="D4612" s="15"/>
      <c r="E4612" s="15"/>
      <c r="F4612" s="15"/>
      <c r="G4612" s="15"/>
      <c r="H4612" s="15"/>
      <c r="I4612" s="15"/>
      <c r="J4612" s="15"/>
      <c r="K4612" s="15"/>
      <c r="L4612" s="28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  <c r="AA4612" s="15"/>
      <c r="AB4612" s="15"/>
      <c r="AC4612" s="15"/>
      <c r="AD4612" s="15"/>
      <c r="AE4612" s="15"/>
      <c r="AF4612" s="15"/>
      <c r="AG4612" s="15"/>
      <c r="AH4612" s="15"/>
      <c r="AI4612" s="15"/>
      <c r="AJ4612" s="15"/>
      <c r="AK4612" s="15"/>
      <c r="AL4612" s="15"/>
      <c r="AM4612" s="15"/>
      <c r="AN4612" s="15"/>
      <c r="AO4612" s="15"/>
      <c r="AP4612" s="15"/>
      <c r="AQ4612" s="15"/>
      <c r="AR4612" s="15"/>
      <c r="AS4612" s="15"/>
      <c r="AT4612" s="15"/>
      <c r="AU4612" s="15"/>
      <c r="AV4612" s="15"/>
      <c r="AW4612" s="15"/>
    </row>
    <row r="4613" spans="3:49" x14ac:dyDescent="0.2">
      <c r="C4613" s="15"/>
      <c r="D4613" s="15"/>
      <c r="E4613" s="15"/>
      <c r="F4613" s="15"/>
      <c r="G4613" s="15"/>
      <c r="H4613" s="15"/>
      <c r="I4613" s="15"/>
      <c r="J4613" s="15"/>
      <c r="K4613" s="15"/>
      <c r="L4613" s="28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  <c r="AA4613" s="15"/>
      <c r="AB4613" s="15"/>
      <c r="AC4613" s="15"/>
      <c r="AD4613" s="15"/>
      <c r="AE4613" s="15"/>
      <c r="AF4613" s="15"/>
      <c r="AG4613" s="15"/>
      <c r="AH4613" s="15"/>
      <c r="AI4613" s="15"/>
      <c r="AJ4613" s="15"/>
      <c r="AK4613" s="15"/>
      <c r="AL4613" s="15"/>
      <c r="AM4613" s="15"/>
      <c r="AN4613" s="15"/>
      <c r="AO4613" s="15"/>
      <c r="AP4613" s="15"/>
      <c r="AQ4613" s="15"/>
      <c r="AR4613" s="15"/>
      <c r="AS4613" s="15"/>
      <c r="AT4613" s="15"/>
      <c r="AU4613" s="15"/>
      <c r="AV4613" s="15"/>
      <c r="AW4613" s="15"/>
    </row>
    <row r="4614" spans="3:49" x14ac:dyDescent="0.2">
      <c r="C4614" s="15"/>
      <c r="D4614" s="15"/>
      <c r="E4614" s="15"/>
      <c r="F4614" s="15"/>
      <c r="G4614" s="15"/>
      <c r="H4614" s="15"/>
      <c r="I4614" s="15"/>
      <c r="J4614" s="15"/>
      <c r="K4614" s="15"/>
      <c r="L4614" s="28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  <c r="AA4614" s="15"/>
      <c r="AB4614" s="15"/>
      <c r="AC4614" s="15"/>
      <c r="AD4614" s="15"/>
      <c r="AE4614" s="15"/>
      <c r="AF4614" s="15"/>
      <c r="AG4614" s="15"/>
      <c r="AH4614" s="15"/>
      <c r="AI4614" s="15"/>
      <c r="AJ4614" s="15"/>
      <c r="AK4614" s="15"/>
      <c r="AL4614" s="15"/>
      <c r="AM4614" s="15"/>
      <c r="AN4614" s="15"/>
      <c r="AO4614" s="15"/>
      <c r="AP4614" s="15"/>
      <c r="AQ4614" s="15"/>
      <c r="AR4614" s="15"/>
      <c r="AS4614" s="15"/>
      <c r="AT4614" s="15"/>
      <c r="AU4614" s="15"/>
      <c r="AV4614" s="15"/>
      <c r="AW4614" s="15"/>
    </row>
    <row r="4615" spans="3:49" x14ac:dyDescent="0.2">
      <c r="C4615" s="15"/>
      <c r="D4615" s="15"/>
      <c r="E4615" s="15"/>
      <c r="F4615" s="15"/>
      <c r="G4615" s="15"/>
      <c r="H4615" s="15"/>
      <c r="I4615" s="15"/>
      <c r="J4615" s="15"/>
      <c r="K4615" s="15"/>
      <c r="L4615" s="28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  <c r="AA4615" s="15"/>
      <c r="AB4615" s="15"/>
      <c r="AC4615" s="15"/>
      <c r="AD4615" s="15"/>
      <c r="AE4615" s="15"/>
      <c r="AF4615" s="15"/>
      <c r="AG4615" s="15"/>
      <c r="AH4615" s="15"/>
      <c r="AI4615" s="15"/>
      <c r="AJ4615" s="15"/>
      <c r="AK4615" s="15"/>
      <c r="AL4615" s="15"/>
      <c r="AM4615" s="15"/>
      <c r="AN4615" s="15"/>
      <c r="AO4615" s="15"/>
      <c r="AP4615" s="15"/>
      <c r="AQ4615" s="15"/>
      <c r="AR4615" s="15"/>
      <c r="AS4615" s="15"/>
      <c r="AT4615" s="15"/>
      <c r="AU4615" s="15"/>
      <c r="AV4615" s="15"/>
      <c r="AW4615" s="15"/>
    </row>
    <row r="4616" spans="3:49" x14ac:dyDescent="0.2">
      <c r="C4616" s="15"/>
      <c r="D4616" s="15"/>
      <c r="E4616" s="15"/>
      <c r="F4616" s="15"/>
      <c r="G4616" s="15"/>
      <c r="H4616" s="15"/>
      <c r="I4616" s="15"/>
      <c r="J4616" s="15"/>
      <c r="K4616" s="15"/>
      <c r="L4616" s="28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  <c r="AA4616" s="15"/>
      <c r="AB4616" s="15"/>
      <c r="AC4616" s="15"/>
      <c r="AD4616" s="15"/>
      <c r="AE4616" s="15"/>
      <c r="AF4616" s="15"/>
      <c r="AG4616" s="15"/>
      <c r="AH4616" s="15"/>
      <c r="AI4616" s="15"/>
      <c r="AJ4616" s="15"/>
      <c r="AK4616" s="15"/>
      <c r="AL4616" s="15"/>
      <c r="AM4616" s="15"/>
      <c r="AN4616" s="15"/>
      <c r="AO4616" s="15"/>
      <c r="AP4616" s="15"/>
      <c r="AQ4616" s="15"/>
      <c r="AR4616" s="15"/>
      <c r="AS4616" s="15"/>
      <c r="AT4616" s="15"/>
      <c r="AU4616" s="15"/>
      <c r="AV4616" s="15"/>
      <c r="AW4616" s="15"/>
    </row>
    <row r="4617" spans="3:49" x14ac:dyDescent="0.2">
      <c r="C4617" s="15"/>
      <c r="D4617" s="15"/>
      <c r="E4617" s="15"/>
      <c r="F4617" s="15"/>
      <c r="G4617" s="15"/>
      <c r="H4617" s="15"/>
      <c r="I4617" s="15"/>
      <c r="J4617" s="15"/>
      <c r="K4617" s="15"/>
      <c r="L4617" s="28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  <c r="AA4617" s="15"/>
      <c r="AB4617" s="15"/>
      <c r="AC4617" s="15"/>
      <c r="AD4617" s="15"/>
      <c r="AE4617" s="15"/>
      <c r="AF4617" s="15"/>
      <c r="AG4617" s="15"/>
      <c r="AH4617" s="15"/>
      <c r="AI4617" s="15"/>
      <c r="AJ4617" s="15"/>
      <c r="AK4617" s="15"/>
      <c r="AL4617" s="15"/>
      <c r="AM4617" s="15"/>
      <c r="AN4617" s="15"/>
      <c r="AO4617" s="15"/>
      <c r="AP4617" s="15"/>
      <c r="AQ4617" s="15"/>
      <c r="AR4617" s="15"/>
      <c r="AS4617" s="15"/>
      <c r="AT4617" s="15"/>
      <c r="AU4617" s="15"/>
      <c r="AV4617" s="15"/>
      <c r="AW4617" s="15"/>
    </row>
    <row r="4618" spans="3:49" x14ac:dyDescent="0.2">
      <c r="C4618" s="15"/>
      <c r="D4618" s="15"/>
      <c r="E4618" s="15"/>
      <c r="F4618" s="15"/>
      <c r="G4618" s="15"/>
      <c r="H4618" s="15"/>
      <c r="I4618" s="15"/>
      <c r="J4618" s="15"/>
      <c r="K4618" s="15"/>
      <c r="L4618" s="28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  <c r="AA4618" s="15"/>
      <c r="AB4618" s="15"/>
      <c r="AC4618" s="15"/>
      <c r="AD4618" s="15"/>
      <c r="AE4618" s="15"/>
      <c r="AF4618" s="15"/>
      <c r="AG4618" s="15"/>
      <c r="AH4618" s="15"/>
      <c r="AI4618" s="15"/>
      <c r="AJ4618" s="15"/>
      <c r="AK4618" s="15"/>
      <c r="AL4618" s="15"/>
      <c r="AM4618" s="15"/>
      <c r="AN4618" s="15"/>
      <c r="AO4618" s="15"/>
      <c r="AP4618" s="15"/>
      <c r="AQ4618" s="15"/>
      <c r="AR4618" s="15"/>
      <c r="AS4618" s="15"/>
      <c r="AT4618" s="15"/>
      <c r="AU4618" s="15"/>
      <c r="AV4618" s="15"/>
      <c r="AW4618" s="15"/>
    </row>
    <row r="4619" spans="3:49" x14ac:dyDescent="0.2">
      <c r="C4619" s="15"/>
      <c r="D4619" s="15"/>
      <c r="E4619" s="15"/>
      <c r="F4619" s="15"/>
      <c r="G4619" s="15"/>
      <c r="H4619" s="15"/>
      <c r="I4619" s="15"/>
      <c r="J4619" s="15"/>
      <c r="K4619" s="15"/>
      <c r="L4619" s="28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  <c r="AA4619" s="15"/>
      <c r="AB4619" s="15"/>
      <c r="AC4619" s="15"/>
      <c r="AD4619" s="15"/>
      <c r="AE4619" s="15"/>
      <c r="AF4619" s="15"/>
      <c r="AG4619" s="15"/>
      <c r="AH4619" s="15"/>
      <c r="AI4619" s="15"/>
      <c r="AJ4619" s="15"/>
      <c r="AK4619" s="15"/>
      <c r="AL4619" s="15"/>
      <c r="AM4619" s="15"/>
      <c r="AN4619" s="15"/>
      <c r="AO4619" s="15"/>
      <c r="AP4619" s="15"/>
      <c r="AQ4619" s="15"/>
      <c r="AR4619" s="15"/>
      <c r="AS4619" s="15"/>
      <c r="AT4619" s="15"/>
      <c r="AU4619" s="15"/>
      <c r="AV4619" s="15"/>
      <c r="AW4619" s="15"/>
    </row>
    <row r="4620" spans="3:49" x14ac:dyDescent="0.2">
      <c r="C4620" s="15"/>
      <c r="D4620" s="15"/>
      <c r="E4620" s="15"/>
      <c r="F4620" s="15"/>
      <c r="G4620" s="15"/>
      <c r="H4620" s="15"/>
      <c r="I4620" s="15"/>
      <c r="J4620" s="15"/>
      <c r="K4620" s="15"/>
      <c r="L4620" s="28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  <c r="AA4620" s="15"/>
      <c r="AB4620" s="15"/>
      <c r="AC4620" s="15"/>
      <c r="AD4620" s="15"/>
      <c r="AE4620" s="15"/>
      <c r="AF4620" s="15"/>
      <c r="AG4620" s="15"/>
      <c r="AH4620" s="15"/>
      <c r="AI4620" s="15"/>
      <c r="AJ4620" s="15"/>
      <c r="AK4620" s="15"/>
      <c r="AL4620" s="15"/>
      <c r="AM4620" s="15"/>
      <c r="AN4620" s="15"/>
      <c r="AO4620" s="15"/>
      <c r="AP4620" s="15"/>
      <c r="AQ4620" s="15"/>
      <c r="AR4620" s="15"/>
      <c r="AS4620" s="15"/>
      <c r="AT4620" s="15"/>
      <c r="AU4620" s="15"/>
      <c r="AV4620" s="15"/>
      <c r="AW4620" s="15"/>
    </row>
    <row r="4621" spans="3:49" x14ac:dyDescent="0.2">
      <c r="C4621" s="15"/>
      <c r="D4621" s="15"/>
      <c r="E4621" s="15"/>
      <c r="F4621" s="15"/>
      <c r="G4621" s="15"/>
      <c r="H4621" s="15"/>
      <c r="I4621" s="15"/>
      <c r="J4621" s="15"/>
      <c r="K4621" s="15"/>
      <c r="L4621" s="28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  <c r="AA4621" s="15"/>
      <c r="AB4621" s="15"/>
      <c r="AC4621" s="15"/>
      <c r="AD4621" s="15"/>
      <c r="AE4621" s="15"/>
      <c r="AF4621" s="15"/>
      <c r="AG4621" s="15"/>
      <c r="AH4621" s="15"/>
      <c r="AI4621" s="15"/>
      <c r="AJ4621" s="15"/>
      <c r="AK4621" s="15"/>
      <c r="AL4621" s="15"/>
      <c r="AM4621" s="15"/>
      <c r="AN4621" s="15"/>
      <c r="AO4621" s="15"/>
      <c r="AP4621" s="15"/>
      <c r="AQ4621" s="15"/>
      <c r="AR4621" s="15"/>
      <c r="AS4621" s="15"/>
      <c r="AT4621" s="15"/>
      <c r="AU4621" s="15"/>
      <c r="AV4621" s="15"/>
      <c r="AW4621" s="15"/>
    </row>
    <row r="4622" spans="3:49" x14ac:dyDescent="0.2">
      <c r="C4622" s="15"/>
      <c r="D4622" s="15"/>
      <c r="E4622" s="15"/>
      <c r="F4622" s="15"/>
      <c r="G4622" s="15"/>
      <c r="H4622" s="15"/>
      <c r="I4622" s="15"/>
      <c r="J4622" s="15"/>
      <c r="K4622" s="15"/>
      <c r="L4622" s="28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  <c r="AA4622" s="15"/>
      <c r="AB4622" s="15"/>
      <c r="AC4622" s="15"/>
      <c r="AD4622" s="15"/>
      <c r="AE4622" s="15"/>
      <c r="AF4622" s="15"/>
      <c r="AG4622" s="15"/>
      <c r="AH4622" s="15"/>
      <c r="AI4622" s="15"/>
      <c r="AJ4622" s="15"/>
      <c r="AK4622" s="15"/>
      <c r="AL4622" s="15"/>
      <c r="AM4622" s="15"/>
      <c r="AN4622" s="15"/>
      <c r="AO4622" s="15"/>
      <c r="AP4622" s="15"/>
      <c r="AQ4622" s="15"/>
      <c r="AR4622" s="15"/>
      <c r="AS4622" s="15"/>
      <c r="AT4622" s="15"/>
      <c r="AU4622" s="15"/>
      <c r="AV4622" s="15"/>
      <c r="AW4622" s="15"/>
    </row>
    <row r="4623" spans="3:49" x14ac:dyDescent="0.2">
      <c r="C4623" s="15"/>
      <c r="D4623" s="15"/>
      <c r="E4623" s="15"/>
      <c r="F4623" s="15"/>
      <c r="G4623" s="15"/>
      <c r="H4623" s="15"/>
      <c r="I4623" s="15"/>
      <c r="J4623" s="15"/>
      <c r="K4623" s="15"/>
      <c r="L4623" s="28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  <c r="AA4623" s="15"/>
      <c r="AB4623" s="15"/>
      <c r="AC4623" s="15"/>
      <c r="AD4623" s="15"/>
      <c r="AE4623" s="15"/>
      <c r="AF4623" s="15"/>
      <c r="AG4623" s="15"/>
      <c r="AH4623" s="15"/>
      <c r="AI4623" s="15"/>
      <c r="AJ4623" s="15"/>
      <c r="AK4623" s="15"/>
      <c r="AL4623" s="15"/>
      <c r="AM4623" s="15"/>
      <c r="AN4623" s="15"/>
      <c r="AO4623" s="15"/>
      <c r="AP4623" s="15"/>
      <c r="AQ4623" s="15"/>
      <c r="AR4623" s="15"/>
      <c r="AS4623" s="15"/>
      <c r="AT4623" s="15"/>
      <c r="AU4623" s="15"/>
      <c r="AV4623" s="15"/>
      <c r="AW4623" s="15"/>
    </row>
    <row r="4624" spans="3:49" x14ac:dyDescent="0.2">
      <c r="C4624" s="15"/>
      <c r="D4624" s="15"/>
      <c r="E4624" s="15"/>
      <c r="F4624" s="15"/>
      <c r="G4624" s="15"/>
      <c r="H4624" s="15"/>
      <c r="I4624" s="15"/>
      <c r="J4624" s="15"/>
      <c r="K4624" s="15"/>
      <c r="L4624" s="28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  <c r="AA4624" s="15"/>
      <c r="AB4624" s="15"/>
      <c r="AC4624" s="15"/>
      <c r="AD4624" s="15"/>
      <c r="AE4624" s="15"/>
      <c r="AF4624" s="15"/>
      <c r="AG4624" s="15"/>
      <c r="AH4624" s="15"/>
      <c r="AI4624" s="15"/>
      <c r="AJ4624" s="15"/>
      <c r="AK4624" s="15"/>
      <c r="AL4624" s="15"/>
      <c r="AM4624" s="15"/>
      <c r="AN4624" s="15"/>
      <c r="AO4624" s="15"/>
      <c r="AP4624" s="15"/>
      <c r="AQ4624" s="15"/>
      <c r="AR4624" s="15"/>
      <c r="AS4624" s="15"/>
      <c r="AT4624" s="15"/>
      <c r="AU4624" s="15"/>
      <c r="AV4624" s="15"/>
      <c r="AW4624" s="15"/>
    </row>
    <row r="4625" spans="3:49" x14ac:dyDescent="0.2">
      <c r="C4625" s="15"/>
      <c r="D4625" s="15"/>
      <c r="E4625" s="15"/>
      <c r="F4625" s="15"/>
      <c r="G4625" s="15"/>
      <c r="H4625" s="15"/>
      <c r="I4625" s="15"/>
      <c r="J4625" s="15"/>
      <c r="K4625" s="15"/>
      <c r="L4625" s="28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  <c r="AA4625" s="15"/>
      <c r="AB4625" s="15"/>
      <c r="AC4625" s="15"/>
      <c r="AD4625" s="15"/>
      <c r="AE4625" s="15"/>
      <c r="AF4625" s="15"/>
      <c r="AG4625" s="15"/>
      <c r="AH4625" s="15"/>
      <c r="AI4625" s="15"/>
      <c r="AJ4625" s="15"/>
      <c r="AK4625" s="15"/>
      <c r="AL4625" s="15"/>
      <c r="AM4625" s="15"/>
      <c r="AN4625" s="15"/>
      <c r="AO4625" s="15"/>
      <c r="AP4625" s="15"/>
      <c r="AQ4625" s="15"/>
      <c r="AR4625" s="15"/>
      <c r="AS4625" s="15"/>
      <c r="AT4625" s="15"/>
      <c r="AU4625" s="15"/>
      <c r="AV4625" s="15"/>
      <c r="AW4625" s="15"/>
    </row>
    <row r="4626" spans="3:49" x14ac:dyDescent="0.2">
      <c r="C4626" s="15"/>
      <c r="D4626" s="15"/>
      <c r="E4626" s="15"/>
      <c r="F4626" s="15"/>
      <c r="G4626" s="15"/>
      <c r="H4626" s="15"/>
      <c r="I4626" s="15"/>
      <c r="J4626" s="15"/>
      <c r="K4626" s="15"/>
      <c r="L4626" s="28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  <c r="AA4626" s="15"/>
      <c r="AB4626" s="15"/>
      <c r="AC4626" s="15"/>
      <c r="AD4626" s="15"/>
      <c r="AE4626" s="15"/>
      <c r="AF4626" s="15"/>
      <c r="AG4626" s="15"/>
      <c r="AH4626" s="15"/>
      <c r="AI4626" s="15"/>
      <c r="AJ4626" s="15"/>
      <c r="AK4626" s="15"/>
      <c r="AL4626" s="15"/>
      <c r="AM4626" s="15"/>
      <c r="AN4626" s="15"/>
      <c r="AO4626" s="15"/>
      <c r="AP4626" s="15"/>
      <c r="AQ4626" s="15"/>
      <c r="AR4626" s="15"/>
      <c r="AS4626" s="15"/>
      <c r="AT4626" s="15"/>
      <c r="AU4626" s="15"/>
      <c r="AV4626" s="15"/>
      <c r="AW4626" s="15"/>
    </row>
    <row r="4627" spans="3:49" x14ac:dyDescent="0.2">
      <c r="C4627" s="15"/>
      <c r="D4627" s="15"/>
      <c r="E4627" s="15"/>
      <c r="F4627" s="15"/>
      <c r="G4627" s="15"/>
      <c r="H4627" s="15"/>
      <c r="I4627" s="15"/>
      <c r="J4627" s="15"/>
      <c r="K4627" s="15"/>
      <c r="L4627" s="28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  <c r="AA4627" s="15"/>
      <c r="AB4627" s="15"/>
      <c r="AC4627" s="15"/>
      <c r="AD4627" s="15"/>
      <c r="AE4627" s="15"/>
      <c r="AF4627" s="15"/>
      <c r="AG4627" s="15"/>
      <c r="AH4627" s="15"/>
      <c r="AI4627" s="15"/>
      <c r="AJ4627" s="15"/>
      <c r="AK4627" s="15"/>
      <c r="AL4627" s="15"/>
      <c r="AM4627" s="15"/>
      <c r="AN4627" s="15"/>
      <c r="AO4627" s="15"/>
      <c r="AP4627" s="15"/>
      <c r="AQ4627" s="15"/>
      <c r="AR4627" s="15"/>
      <c r="AS4627" s="15"/>
      <c r="AT4627" s="15"/>
      <c r="AU4627" s="15"/>
      <c r="AV4627" s="15"/>
      <c r="AW4627" s="15"/>
    </row>
    <row r="4628" spans="3:49" x14ac:dyDescent="0.2">
      <c r="C4628" s="15"/>
      <c r="D4628" s="15"/>
      <c r="E4628" s="15"/>
      <c r="F4628" s="15"/>
      <c r="G4628" s="15"/>
      <c r="H4628" s="15"/>
      <c r="I4628" s="15"/>
      <c r="J4628" s="15"/>
      <c r="K4628" s="15"/>
      <c r="L4628" s="28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  <c r="AA4628" s="15"/>
      <c r="AB4628" s="15"/>
      <c r="AC4628" s="15"/>
      <c r="AD4628" s="15"/>
      <c r="AE4628" s="15"/>
      <c r="AF4628" s="15"/>
      <c r="AG4628" s="15"/>
      <c r="AH4628" s="15"/>
      <c r="AI4628" s="15"/>
      <c r="AJ4628" s="15"/>
      <c r="AK4628" s="15"/>
      <c r="AL4628" s="15"/>
      <c r="AM4628" s="15"/>
      <c r="AN4628" s="15"/>
      <c r="AO4628" s="15"/>
      <c r="AP4628" s="15"/>
      <c r="AQ4628" s="15"/>
      <c r="AR4628" s="15"/>
      <c r="AS4628" s="15"/>
      <c r="AT4628" s="15"/>
      <c r="AU4628" s="15"/>
      <c r="AV4628" s="15"/>
      <c r="AW4628" s="15"/>
    </row>
    <row r="4629" spans="3:49" x14ac:dyDescent="0.2">
      <c r="C4629" s="15"/>
      <c r="D4629" s="15"/>
      <c r="E4629" s="15"/>
      <c r="F4629" s="15"/>
      <c r="G4629" s="15"/>
      <c r="H4629" s="15"/>
      <c r="I4629" s="15"/>
      <c r="J4629" s="15"/>
      <c r="K4629" s="15"/>
      <c r="L4629" s="28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  <c r="AA4629" s="15"/>
      <c r="AB4629" s="15"/>
      <c r="AC4629" s="15"/>
      <c r="AD4629" s="15"/>
      <c r="AE4629" s="15"/>
      <c r="AF4629" s="15"/>
      <c r="AG4629" s="15"/>
      <c r="AH4629" s="15"/>
      <c r="AI4629" s="15"/>
      <c r="AJ4629" s="15"/>
      <c r="AK4629" s="15"/>
      <c r="AL4629" s="15"/>
      <c r="AM4629" s="15"/>
      <c r="AN4629" s="15"/>
      <c r="AO4629" s="15"/>
      <c r="AP4629" s="15"/>
      <c r="AQ4629" s="15"/>
      <c r="AR4629" s="15"/>
      <c r="AS4629" s="15"/>
      <c r="AT4629" s="15"/>
      <c r="AU4629" s="15"/>
      <c r="AV4629" s="15"/>
      <c r="AW4629" s="15"/>
    </row>
    <row r="4630" spans="3:49" x14ac:dyDescent="0.2">
      <c r="C4630" s="15"/>
      <c r="D4630" s="15"/>
      <c r="E4630" s="15"/>
      <c r="F4630" s="15"/>
      <c r="G4630" s="15"/>
      <c r="H4630" s="15"/>
      <c r="I4630" s="15"/>
      <c r="J4630" s="15"/>
      <c r="K4630" s="15"/>
      <c r="L4630" s="28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  <c r="AA4630" s="15"/>
      <c r="AB4630" s="15"/>
      <c r="AC4630" s="15"/>
      <c r="AD4630" s="15"/>
      <c r="AE4630" s="15"/>
      <c r="AF4630" s="15"/>
      <c r="AG4630" s="15"/>
      <c r="AH4630" s="15"/>
      <c r="AI4630" s="15"/>
      <c r="AJ4630" s="15"/>
      <c r="AK4630" s="15"/>
      <c r="AL4630" s="15"/>
      <c r="AM4630" s="15"/>
      <c r="AN4630" s="15"/>
      <c r="AO4630" s="15"/>
      <c r="AP4630" s="15"/>
      <c r="AQ4630" s="15"/>
      <c r="AR4630" s="15"/>
      <c r="AS4630" s="15"/>
      <c r="AT4630" s="15"/>
      <c r="AU4630" s="15"/>
      <c r="AV4630" s="15"/>
      <c r="AW4630" s="15"/>
    </row>
    <row r="4631" spans="3:49" x14ac:dyDescent="0.2">
      <c r="C4631" s="15"/>
      <c r="D4631" s="15"/>
      <c r="E4631" s="15"/>
      <c r="F4631" s="15"/>
      <c r="G4631" s="15"/>
      <c r="H4631" s="15"/>
      <c r="I4631" s="15"/>
      <c r="J4631" s="15"/>
      <c r="K4631" s="15"/>
      <c r="L4631" s="28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  <c r="AA4631" s="15"/>
      <c r="AB4631" s="15"/>
      <c r="AC4631" s="15"/>
      <c r="AD4631" s="15"/>
      <c r="AE4631" s="15"/>
      <c r="AF4631" s="15"/>
      <c r="AG4631" s="15"/>
      <c r="AH4631" s="15"/>
      <c r="AI4631" s="15"/>
      <c r="AJ4631" s="15"/>
      <c r="AK4631" s="15"/>
      <c r="AL4631" s="15"/>
      <c r="AM4631" s="15"/>
      <c r="AN4631" s="15"/>
      <c r="AO4631" s="15"/>
      <c r="AP4631" s="15"/>
      <c r="AQ4631" s="15"/>
      <c r="AR4631" s="15"/>
      <c r="AS4631" s="15"/>
      <c r="AT4631" s="15"/>
      <c r="AU4631" s="15"/>
      <c r="AV4631" s="15"/>
      <c r="AW4631" s="15"/>
    </row>
    <row r="4632" spans="3:49" x14ac:dyDescent="0.2">
      <c r="C4632" s="15"/>
      <c r="D4632" s="15"/>
      <c r="E4632" s="15"/>
      <c r="F4632" s="15"/>
      <c r="G4632" s="15"/>
      <c r="H4632" s="15"/>
      <c r="I4632" s="15"/>
      <c r="J4632" s="15"/>
      <c r="K4632" s="15"/>
      <c r="L4632" s="28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  <c r="AA4632" s="15"/>
      <c r="AB4632" s="15"/>
      <c r="AC4632" s="15"/>
      <c r="AD4632" s="15"/>
      <c r="AE4632" s="15"/>
      <c r="AF4632" s="15"/>
      <c r="AG4632" s="15"/>
      <c r="AH4632" s="15"/>
      <c r="AI4632" s="15"/>
      <c r="AJ4632" s="15"/>
      <c r="AK4632" s="15"/>
      <c r="AL4632" s="15"/>
      <c r="AM4632" s="15"/>
      <c r="AN4632" s="15"/>
      <c r="AO4632" s="15"/>
      <c r="AP4632" s="15"/>
      <c r="AQ4632" s="15"/>
      <c r="AR4632" s="15"/>
      <c r="AS4632" s="15"/>
      <c r="AT4632" s="15"/>
      <c r="AU4632" s="15"/>
      <c r="AV4632" s="15"/>
      <c r="AW4632" s="15"/>
    </row>
    <row r="4633" spans="3:49" x14ac:dyDescent="0.2">
      <c r="C4633" s="15"/>
      <c r="D4633" s="15"/>
      <c r="E4633" s="15"/>
      <c r="F4633" s="15"/>
      <c r="G4633" s="15"/>
      <c r="H4633" s="15"/>
      <c r="I4633" s="15"/>
      <c r="J4633" s="15"/>
      <c r="K4633" s="15"/>
      <c r="L4633" s="28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  <c r="AA4633" s="15"/>
      <c r="AB4633" s="15"/>
      <c r="AC4633" s="15"/>
      <c r="AD4633" s="15"/>
      <c r="AE4633" s="15"/>
      <c r="AF4633" s="15"/>
      <c r="AG4633" s="15"/>
      <c r="AH4633" s="15"/>
      <c r="AI4633" s="15"/>
      <c r="AJ4633" s="15"/>
      <c r="AK4633" s="15"/>
      <c r="AL4633" s="15"/>
      <c r="AM4633" s="15"/>
      <c r="AN4633" s="15"/>
      <c r="AO4633" s="15"/>
      <c r="AP4633" s="15"/>
      <c r="AQ4633" s="15"/>
      <c r="AR4633" s="15"/>
      <c r="AS4633" s="15"/>
      <c r="AT4633" s="15"/>
      <c r="AU4633" s="15"/>
      <c r="AV4633" s="15"/>
      <c r="AW4633" s="15"/>
    </row>
    <row r="4634" spans="3:49" x14ac:dyDescent="0.2">
      <c r="C4634" s="15"/>
      <c r="D4634" s="15"/>
      <c r="E4634" s="15"/>
      <c r="F4634" s="15"/>
      <c r="G4634" s="15"/>
      <c r="H4634" s="15"/>
      <c r="I4634" s="15"/>
      <c r="J4634" s="15"/>
      <c r="K4634" s="15"/>
      <c r="L4634" s="28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  <c r="AA4634" s="15"/>
      <c r="AB4634" s="15"/>
      <c r="AC4634" s="15"/>
      <c r="AD4634" s="15"/>
      <c r="AE4634" s="15"/>
      <c r="AF4634" s="15"/>
      <c r="AG4634" s="15"/>
      <c r="AH4634" s="15"/>
      <c r="AI4634" s="15"/>
      <c r="AJ4634" s="15"/>
      <c r="AK4634" s="15"/>
      <c r="AL4634" s="15"/>
      <c r="AM4634" s="15"/>
      <c r="AN4634" s="15"/>
      <c r="AO4634" s="15"/>
      <c r="AP4634" s="15"/>
      <c r="AQ4634" s="15"/>
      <c r="AR4634" s="15"/>
      <c r="AS4634" s="15"/>
      <c r="AT4634" s="15"/>
      <c r="AU4634" s="15"/>
      <c r="AV4634" s="15"/>
      <c r="AW4634" s="15"/>
    </row>
    <row r="4635" spans="3:49" x14ac:dyDescent="0.2">
      <c r="C4635" s="15"/>
      <c r="D4635" s="15"/>
      <c r="E4635" s="15"/>
      <c r="F4635" s="15"/>
      <c r="G4635" s="15"/>
      <c r="H4635" s="15"/>
      <c r="I4635" s="15"/>
      <c r="J4635" s="15"/>
      <c r="K4635" s="15"/>
      <c r="L4635" s="28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  <c r="AA4635" s="15"/>
      <c r="AB4635" s="15"/>
      <c r="AC4635" s="15"/>
      <c r="AD4635" s="15"/>
      <c r="AE4635" s="15"/>
      <c r="AF4635" s="15"/>
      <c r="AG4635" s="15"/>
      <c r="AH4635" s="15"/>
      <c r="AI4635" s="15"/>
      <c r="AJ4635" s="15"/>
      <c r="AK4635" s="15"/>
      <c r="AL4635" s="15"/>
      <c r="AM4635" s="15"/>
      <c r="AN4635" s="15"/>
      <c r="AO4635" s="15"/>
      <c r="AP4635" s="15"/>
      <c r="AQ4635" s="15"/>
      <c r="AR4635" s="15"/>
      <c r="AS4635" s="15"/>
      <c r="AT4635" s="15"/>
      <c r="AU4635" s="15"/>
      <c r="AV4635" s="15"/>
      <c r="AW4635" s="15"/>
    </row>
    <row r="4636" spans="3:49" x14ac:dyDescent="0.2">
      <c r="C4636" s="15"/>
      <c r="D4636" s="15"/>
      <c r="E4636" s="15"/>
      <c r="F4636" s="15"/>
      <c r="G4636" s="15"/>
      <c r="H4636" s="15"/>
      <c r="I4636" s="15"/>
      <c r="J4636" s="15"/>
      <c r="K4636" s="15"/>
      <c r="L4636" s="28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  <c r="AA4636" s="15"/>
      <c r="AB4636" s="15"/>
      <c r="AC4636" s="15"/>
      <c r="AD4636" s="15"/>
      <c r="AE4636" s="15"/>
      <c r="AF4636" s="15"/>
      <c r="AG4636" s="15"/>
      <c r="AH4636" s="15"/>
      <c r="AI4636" s="15"/>
      <c r="AJ4636" s="15"/>
      <c r="AK4636" s="15"/>
      <c r="AL4636" s="15"/>
      <c r="AM4636" s="15"/>
      <c r="AN4636" s="15"/>
      <c r="AO4636" s="15"/>
      <c r="AP4636" s="15"/>
      <c r="AQ4636" s="15"/>
      <c r="AR4636" s="15"/>
      <c r="AS4636" s="15"/>
      <c r="AT4636" s="15"/>
      <c r="AU4636" s="15"/>
      <c r="AV4636" s="15"/>
      <c r="AW4636" s="15"/>
    </row>
    <row r="4637" spans="3:49" x14ac:dyDescent="0.2">
      <c r="C4637" s="15"/>
      <c r="D4637" s="15"/>
      <c r="E4637" s="15"/>
      <c r="F4637" s="15"/>
      <c r="G4637" s="15"/>
      <c r="H4637" s="15"/>
      <c r="I4637" s="15"/>
      <c r="J4637" s="15"/>
      <c r="K4637" s="15"/>
      <c r="L4637" s="28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  <c r="AA4637" s="15"/>
      <c r="AB4637" s="15"/>
      <c r="AC4637" s="15"/>
      <c r="AD4637" s="15"/>
      <c r="AE4637" s="15"/>
      <c r="AF4637" s="15"/>
      <c r="AG4637" s="15"/>
      <c r="AH4637" s="15"/>
      <c r="AI4637" s="15"/>
      <c r="AJ4637" s="15"/>
      <c r="AK4637" s="15"/>
      <c r="AL4637" s="15"/>
      <c r="AM4637" s="15"/>
      <c r="AN4637" s="15"/>
      <c r="AO4637" s="15"/>
      <c r="AP4637" s="15"/>
      <c r="AQ4637" s="15"/>
      <c r="AR4637" s="15"/>
      <c r="AS4637" s="15"/>
      <c r="AT4637" s="15"/>
      <c r="AU4637" s="15"/>
      <c r="AV4637" s="15"/>
      <c r="AW4637" s="15"/>
    </row>
    <row r="4638" spans="3:49" x14ac:dyDescent="0.2">
      <c r="C4638" s="15"/>
      <c r="D4638" s="15"/>
      <c r="E4638" s="15"/>
      <c r="F4638" s="15"/>
      <c r="G4638" s="15"/>
      <c r="H4638" s="15"/>
      <c r="I4638" s="15"/>
      <c r="J4638" s="15"/>
      <c r="K4638" s="15"/>
      <c r="L4638" s="28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  <c r="AA4638" s="15"/>
      <c r="AB4638" s="15"/>
      <c r="AC4638" s="15"/>
      <c r="AD4638" s="15"/>
      <c r="AE4638" s="15"/>
      <c r="AF4638" s="15"/>
      <c r="AG4638" s="15"/>
      <c r="AH4638" s="15"/>
      <c r="AI4638" s="15"/>
      <c r="AJ4638" s="15"/>
      <c r="AK4638" s="15"/>
      <c r="AL4638" s="15"/>
      <c r="AM4638" s="15"/>
      <c r="AN4638" s="15"/>
      <c r="AO4638" s="15"/>
      <c r="AP4638" s="15"/>
      <c r="AQ4638" s="15"/>
      <c r="AR4638" s="15"/>
      <c r="AS4638" s="15"/>
      <c r="AT4638" s="15"/>
      <c r="AU4638" s="15"/>
      <c r="AV4638" s="15"/>
      <c r="AW4638" s="15"/>
    </row>
    <row r="4639" spans="3:49" x14ac:dyDescent="0.2">
      <c r="C4639" s="15"/>
      <c r="D4639" s="15"/>
      <c r="E4639" s="15"/>
      <c r="F4639" s="15"/>
      <c r="G4639" s="15"/>
      <c r="H4639" s="15"/>
      <c r="I4639" s="15"/>
      <c r="J4639" s="15"/>
      <c r="K4639" s="15"/>
      <c r="L4639" s="28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  <c r="AA4639" s="15"/>
      <c r="AB4639" s="15"/>
      <c r="AC4639" s="15"/>
      <c r="AD4639" s="15"/>
      <c r="AE4639" s="15"/>
      <c r="AF4639" s="15"/>
      <c r="AG4639" s="15"/>
      <c r="AH4639" s="15"/>
      <c r="AI4639" s="15"/>
      <c r="AJ4639" s="15"/>
      <c r="AK4639" s="15"/>
      <c r="AL4639" s="15"/>
      <c r="AM4639" s="15"/>
      <c r="AN4639" s="15"/>
      <c r="AO4639" s="15"/>
      <c r="AP4639" s="15"/>
      <c r="AQ4639" s="15"/>
      <c r="AR4639" s="15"/>
      <c r="AS4639" s="15"/>
      <c r="AT4639" s="15"/>
      <c r="AU4639" s="15"/>
      <c r="AV4639" s="15"/>
      <c r="AW4639" s="15"/>
    </row>
    <row r="4640" spans="3:49" x14ac:dyDescent="0.2">
      <c r="C4640" s="15"/>
      <c r="D4640" s="15"/>
      <c r="E4640" s="15"/>
      <c r="F4640" s="15"/>
      <c r="G4640" s="15"/>
      <c r="H4640" s="15"/>
      <c r="I4640" s="15"/>
      <c r="J4640" s="15"/>
      <c r="K4640" s="15"/>
      <c r="L4640" s="28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  <c r="AA4640" s="15"/>
      <c r="AB4640" s="15"/>
      <c r="AC4640" s="15"/>
      <c r="AD4640" s="15"/>
      <c r="AE4640" s="15"/>
      <c r="AF4640" s="15"/>
      <c r="AG4640" s="15"/>
      <c r="AH4640" s="15"/>
      <c r="AI4640" s="15"/>
      <c r="AJ4640" s="15"/>
      <c r="AK4640" s="15"/>
      <c r="AL4640" s="15"/>
      <c r="AM4640" s="15"/>
      <c r="AN4640" s="15"/>
      <c r="AO4640" s="15"/>
      <c r="AP4640" s="15"/>
      <c r="AQ4640" s="15"/>
      <c r="AR4640" s="15"/>
      <c r="AS4640" s="15"/>
      <c r="AT4640" s="15"/>
      <c r="AU4640" s="15"/>
      <c r="AV4640" s="15"/>
      <c r="AW4640" s="15"/>
    </row>
    <row r="4641" spans="3:49" x14ac:dyDescent="0.2">
      <c r="C4641" s="15"/>
      <c r="D4641" s="15"/>
      <c r="E4641" s="15"/>
      <c r="F4641" s="15"/>
      <c r="G4641" s="15"/>
      <c r="H4641" s="15"/>
      <c r="I4641" s="15"/>
      <c r="J4641" s="15"/>
      <c r="K4641" s="15"/>
      <c r="L4641" s="28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  <c r="AA4641" s="15"/>
      <c r="AB4641" s="15"/>
      <c r="AC4641" s="15"/>
      <c r="AD4641" s="15"/>
      <c r="AE4641" s="15"/>
      <c r="AF4641" s="15"/>
      <c r="AG4641" s="15"/>
      <c r="AH4641" s="15"/>
      <c r="AI4641" s="15"/>
      <c r="AJ4641" s="15"/>
      <c r="AK4641" s="15"/>
      <c r="AL4641" s="15"/>
      <c r="AM4641" s="15"/>
      <c r="AN4641" s="15"/>
      <c r="AO4641" s="15"/>
      <c r="AP4641" s="15"/>
      <c r="AQ4641" s="15"/>
      <c r="AR4641" s="15"/>
      <c r="AS4641" s="15"/>
      <c r="AT4641" s="15"/>
      <c r="AU4641" s="15"/>
      <c r="AV4641" s="15"/>
      <c r="AW4641" s="15"/>
    </row>
    <row r="4642" spans="3:49" x14ac:dyDescent="0.2">
      <c r="C4642" s="15"/>
      <c r="D4642" s="15"/>
      <c r="E4642" s="15"/>
      <c r="F4642" s="15"/>
      <c r="G4642" s="15"/>
      <c r="H4642" s="15"/>
      <c r="I4642" s="15"/>
      <c r="J4642" s="15"/>
      <c r="K4642" s="15"/>
      <c r="L4642" s="28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  <c r="AA4642" s="15"/>
      <c r="AB4642" s="15"/>
      <c r="AC4642" s="15"/>
      <c r="AD4642" s="15"/>
      <c r="AE4642" s="15"/>
      <c r="AF4642" s="15"/>
      <c r="AG4642" s="15"/>
      <c r="AH4642" s="15"/>
      <c r="AI4642" s="15"/>
      <c r="AJ4642" s="15"/>
      <c r="AK4642" s="15"/>
      <c r="AL4642" s="15"/>
      <c r="AM4642" s="15"/>
      <c r="AN4642" s="15"/>
      <c r="AO4642" s="15"/>
      <c r="AP4642" s="15"/>
      <c r="AQ4642" s="15"/>
      <c r="AR4642" s="15"/>
      <c r="AS4642" s="15"/>
      <c r="AT4642" s="15"/>
      <c r="AU4642" s="15"/>
      <c r="AV4642" s="15"/>
      <c r="AW4642" s="15"/>
    </row>
    <row r="4643" spans="3:49" x14ac:dyDescent="0.2">
      <c r="C4643" s="15"/>
      <c r="D4643" s="15"/>
      <c r="E4643" s="15"/>
      <c r="F4643" s="15"/>
      <c r="G4643" s="15"/>
      <c r="H4643" s="15"/>
      <c r="I4643" s="15"/>
      <c r="J4643" s="15"/>
      <c r="K4643" s="15"/>
      <c r="L4643" s="28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  <c r="AA4643" s="15"/>
      <c r="AB4643" s="15"/>
      <c r="AC4643" s="15"/>
      <c r="AD4643" s="15"/>
      <c r="AE4643" s="15"/>
      <c r="AF4643" s="15"/>
      <c r="AG4643" s="15"/>
      <c r="AH4643" s="15"/>
      <c r="AI4643" s="15"/>
      <c r="AJ4643" s="15"/>
      <c r="AK4643" s="15"/>
      <c r="AL4643" s="15"/>
      <c r="AM4643" s="15"/>
      <c r="AN4643" s="15"/>
      <c r="AO4643" s="15"/>
      <c r="AP4643" s="15"/>
      <c r="AQ4643" s="15"/>
      <c r="AR4643" s="15"/>
      <c r="AS4643" s="15"/>
      <c r="AT4643" s="15"/>
      <c r="AU4643" s="15"/>
      <c r="AV4643" s="15"/>
      <c r="AW4643" s="15"/>
    </row>
    <row r="4644" spans="3:49" x14ac:dyDescent="0.2">
      <c r="C4644" s="15"/>
      <c r="D4644" s="15"/>
      <c r="E4644" s="15"/>
      <c r="F4644" s="15"/>
      <c r="G4644" s="15"/>
      <c r="H4644" s="15"/>
      <c r="I4644" s="15"/>
      <c r="J4644" s="15"/>
      <c r="K4644" s="15"/>
      <c r="L4644" s="28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  <c r="AA4644" s="15"/>
      <c r="AB4644" s="15"/>
      <c r="AC4644" s="15"/>
      <c r="AD4644" s="15"/>
      <c r="AE4644" s="15"/>
      <c r="AF4644" s="15"/>
      <c r="AG4644" s="15"/>
      <c r="AH4644" s="15"/>
      <c r="AI4644" s="15"/>
      <c r="AJ4644" s="15"/>
      <c r="AK4644" s="15"/>
      <c r="AL4644" s="15"/>
      <c r="AM4644" s="15"/>
      <c r="AN4644" s="15"/>
      <c r="AO4644" s="15"/>
      <c r="AP4644" s="15"/>
      <c r="AQ4644" s="15"/>
      <c r="AR4644" s="15"/>
      <c r="AS4644" s="15"/>
      <c r="AT4644" s="15"/>
      <c r="AU4644" s="15"/>
      <c r="AV4644" s="15"/>
      <c r="AW4644" s="15"/>
    </row>
    <row r="4645" spans="3:49" x14ac:dyDescent="0.2">
      <c r="C4645" s="15"/>
      <c r="D4645" s="15"/>
      <c r="E4645" s="15"/>
      <c r="F4645" s="15"/>
      <c r="G4645" s="15"/>
      <c r="H4645" s="15"/>
      <c r="I4645" s="15"/>
      <c r="J4645" s="15"/>
      <c r="K4645" s="15"/>
      <c r="L4645" s="28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  <c r="AA4645" s="15"/>
      <c r="AB4645" s="15"/>
      <c r="AC4645" s="15"/>
      <c r="AD4645" s="15"/>
      <c r="AE4645" s="15"/>
      <c r="AF4645" s="15"/>
      <c r="AG4645" s="15"/>
      <c r="AH4645" s="15"/>
      <c r="AI4645" s="15"/>
      <c r="AJ4645" s="15"/>
      <c r="AK4645" s="15"/>
      <c r="AL4645" s="15"/>
      <c r="AM4645" s="15"/>
      <c r="AN4645" s="15"/>
      <c r="AO4645" s="15"/>
      <c r="AP4645" s="15"/>
      <c r="AQ4645" s="15"/>
      <c r="AR4645" s="15"/>
      <c r="AS4645" s="15"/>
      <c r="AT4645" s="15"/>
      <c r="AU4645" s="15"/>
      <c r="AV4645" s="15"/>
      <c r="AW4645" s="15"/>
    </row>
    <row r="4646" spans="3:49" x14ac:dyDescent="0.2">
      <c r="C4646" s="15"/>
      <c r="D4646" s="15"/>
      <c r="E4646" s="15"/>
      <c r="F4646" s="15"/>
      <c r="G4646" s="15"/>
      <c r="H4646" s="15"/>
      <c r="I4646" s="15"/>
      <c r="J4646" s="15"/>
      <c r="K4646" s="15"/>
      <c r="L4646" s="28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  <c r="AA4646" s="15"/>
      <c r="AB4646" s="15"/>
      <c r="AC4646" s="15"/>
      <c r="AD4646" s="15"/>
      <c r="AE4646" s="15"/>
      <c r="AF4646" s="15"/>
      <c r="AG4646" s="15"/>
      <c r="AH4646" s="15"/>
      <c r="AI4646" s="15"/>
      <c r="AJ4646" s="15"/>
      <c r="AK4646" s="15"/>
      <c r="AL4646" s="15"/>
      <c r="AM4646" s="15"/>
      <c r="AN4646" s="15"/>
      <c r="AO4646" s="15"/>
      <c r="AP4646" s="15"/>
      <c r="AQ4646" s="15"/>
      <c r="AR4646" s="15"/>
      <c r="AS4646" s="15"/>
      <c r="AT4646" s="15"/>
      <c r="AU4646" s="15"/>
      <c r="AV4646" s="15"/>
      <c r="AW4646" s="15"/>
    </row>
    <row r="4647" spans="3:49" x14ac:dyDescent="0.2">
      <c r="C4647" s="15"/>
      <c r="D4647" s="15"/>
      <c r="E4647" s="15"/>
      <c r="F4647" s="15"/>
      <c r="G4647" s="15"/>
      <c r="H4647" s="15"/>
      <c r="I4647" s="15"/>
      <c r="J4647" s="15"/>
      <c r="K4647" s="15"/>
      <c r="L4647" s="28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  <c r="AA4647" s="15"/>
      <c r="AB4647" s="15"/>
      <c r="AC4647" s="15"/>
      <c r="AD4647" s="15"/>
      <c r="AE4647" s="15"/>
      <c r="AF4647" s="15"/>
      <c r="AG4647" s="15"/>
      <c r="AH4647" s="15"/>
      <c r="AI4647" s="15"/>
      <c r="AJ4647" s="15"/>
      <c r="AK4647" s="15"/>
      <c r="AL4647" s="15"/>
      <c r="AM4647" s="15"/>
      <c r="AN4647" s="15"/>
      <c r="AO4647" s="15"/>
      <c r="AP4647" s="15"/>
      <c r="AQ4647" s="15"/>
      <c r="AR4647" s="15"/>
      <c r="AS4647" s="15"/>
      <c r="AT4647" s="15"/>
      <c r="AU4647" s="15"/>
      <c r="AV4647" s="15"/>
      <c r="AW4647" s="15"/>
    </row>
    <row r="4648" spans="3:49" x14ac:dyDescent="0.2">
      <c r="C4648" s="15"/>
      <c r="D4648" s="15"/>
      <c r="E4648" s="15"/>
      <c r="F4648" s="15"/>
      <c r="G4648" s="15"/>
      <c r="H4648" s="15"/>
      <c r="I4648" s="15"/>
      <c r="J4648" s="15"/>
      <c r="K4648" s="15"/>
      <c r="L4648" s="28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  <c r="AA4648" s="15"/>
      <c r="AB4648" s="15"/>
      <c r="AC4648" s="15"/>
      <c r="AD4648" s="15"/>
      <c r="AE4648" s="15"/>
      <c r="AF4648" s="15"/>
      <c r="AG4648" s="15"/>
      <c r="AH4648" s="15"/>
      <c r="AI4648" s="15"/>
      <c r="AJ4648" s="15"/>
      <c r="AK4648" s="15"/>
      <c r="AL4648" s="15"/>
      <c r="AM4648" s="15"/>
      <c r="AN4648" s="15"/>
      <c r="AO4648" s="15"/>
      <c r="AP4648" s="15"/>
      <c r="AQ4648" s="15"/>
      <c r="AR4648" s="15"/>
      <c r="AS4648" s="15"/>
      <c r="AT4648" s="15"/>
      <c r="AU4648" s="15"/>
      <c r="AV4648" s="15"/>
      <c r="AW4648" s="15"/>
    </row>
    <row r="4649" spans="3:49" x14ac:dyDescent="0.2">
      <c r="C4649" s="15"/>
      <c r="D4649" s="15"/>
      <c r="E4649" s="15"/>
      <c r="F4649" s="15"/>
      <c r="G4649" s="15"/>
      <c r="H4649" s="15"/>
      <c r="I4649" s="15"/>
      <c r="J4649" s="15"/>
      <c r="K4649" s="15"/>
      <c r="L4649" s="28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  <c r="AA4649" s="15"/>
      <c r="AB4649" s="15"/>
      <c r="AC4649" s="15"/>
      <c r="AD4649" s="15"/>
      <c r="AE4649" s="15"/>
      <c r="AF4649" s="15"/>
      <c r="AG4649" s="15"/>
      <c r="AH4649" s="15"/>
      <c r="AI4649" s="15"/>
      <c r="AJ4649" s="15"/>
      <c r="AK4649" s="15"/>
      <c r="AL4649" s="15"/>
      <c r="AM4649" s="15"/>
      <c r="AN4649" s="15"/>
      <c r="AO4649" s="15"/>
      <c r="AP4649" s="15"/>
      <c r="AQ4649" s="15"/>
      <c r="AR4649" s="15"/>
      <c r="AS4649" s="15"/>
      <c r="AT4649" s="15"/>
      <c r="AU4649" s="15"/>
      <c r="AV4649" s="15"/>
      <c r="AW4649" s="15"/>
    </row>
    <row r="4650" spans="3:49" x14ac:dyDescent="0.2">
      <c r="C4650" s="15"/>
      <c r="D4650" s="15"/>
      <c r="E4650" s="15"/>
      <c r="F4650" s="15"/>
      <c r="G4650" s="15"/>
      <c r="H4650" s="15"/>
      <c r="I4650" s="15"/>
      <c r="J4650" s="15"/>
      <c r="K4650" s="15"/>
      <c r="L4650" s="28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  <c r="AA4650" s="15"/>
      <c r="AB4650" s="15"/>
      <c r="AC4650" s="15"/>
      <c r="AD4650" s="15"/>
      <c r="AE4650" s="15"/>
      <c r="AF4650" s="15"/>
      <c r="AG4650" s="15"/>
      <c r="AH4650" s="15"/>
      <c r="AI4650" s="15"/>
      <c r="AJ4650" s="15"/>
      <c r="AK4650" s="15"/>
      <c r="AL4650" s="15"/>
      <c r="AM4650" s="15"/>
      <c r="AN4650" s="15"/>
      <c r="AO4650" s="15"/>
      <c r="AP4650" s="15"/>
      <c r="AQ4650" s="15"/>
      <c r="AR4650" s="15"/>
      <c r="AS4650" s="15"/>
      <c r="AT4650" s="15"/>
      <c r="AU4650" s="15"/>
      <c r="AV4650" s="15"/>
      <c r="AW4650" s="15"/>
    </row>
    <row r="4651" spans="3:49" x14ac:dyDescent="0.2">
      <c r="C4651" s="15"/>
      <c r="D4651" s="15"/>
      <c r="E4651" s="15"/>
      <c r="F4651" s="15"/>
      <c r="G4651" s="15"/>
      <c r="H4651" s="15"/>
      <c r="I4651" s="15"/>
      <c r="J4651" s="15"/>
      <c r="K4651" s="15"/>
      <c r="L4651" s="28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  <c r="AA4651" s="15"/>
      <c r="AB4651" s="15"/>
      <c r="AC4651" s="15"/>
      <c r="AD4651" s="15"/>
      <c r="AE4651" s="15"/>
      <c r="AF4651" s="15"/>
      <c r="AG4651" s="15"/>
      <c r="AH4651" s="15"/>
      <c r="AI4651" s="15"/>
      <c r="AJ4651" s="15"/>
      <c r="AK4651" s="15"/>
      <c r="AL4651" s="15"/>
      <c r="AM4651" s="15"/>
      <c r="AN4651" s="15"/>
      <c r="AO4651" s="15"/>
      <c r="AP4651" s="15"/>
      <c r="AQ4651" s="15"/>
      <c r="AR4651" s="15"/>
      <c r="AS4651" s="15"/>
      <c r="AT4651" s="15"/>
      <c r="AU4651" s="15"/>
      <c r="AV4651" s="15"/>
      <c r="AW4651" s="15"/>
    </row>
    <row r="4652" spans="3:49" x14ac:dyDescent="0.2">
      <c r="C4652" s="15"/>
      <c r="D4652" s="15"/>
      <c r="E4652" s="15"/>
      <c r="F4652" s="15"/>
      <c r="G4652" s="15"/>
      <c r="H4652" s="15"/>
      <c r="I4652" s="15"/>
      <c r="J4652" s="15"/>
      <c r="K4652" s="15"/>
      <c r="L4652" s="28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  <c r="AA4652" s="15"/>
      <c r="AB4652" s="15"/>
      <c r="AC4652" s="15"/>
      <c r="AD4652" s="15"/>
      <c r="AE4652" s="15"/>
      <c r="AF4652" s="15"/>
      <c r="AG4652" s="15"/>
      <c r="AH4652" s="15"/>
      <c r="AI4652" s="15"/>
      <c r="AJ4652" s="15"/>
      <c r="AK4652" s="15"/>
      <c r="AL4652" s="15"/>
      <c r="AM4652" s="15"/>
      <c r="AN4652" s="15"/>
      <c r="AO4652" s="15"/>
      <c r="AP4652" s="15"/>
      <c r="AQ4652" s="15"/>
      <c r="AR4652" s="15"/>
      <c r="AS4652" s="15"/>
      <c r="AT4652" s="15"/>
      <c r="AU4652" s="15"/>
      <c r="AV4652" s="15"/>
      <c r="AW4652" s="15"/>
    </row>
    <row r="4653" spans="3:49" x14ac:dyDescent="0.2">
      <c r="C4653" s="15"/>
      <c r="D4653" s="15"/>
      <c r="E4653" s="15"/>
      <c r="F4653" s="15"/>
      <c r="G4653" s="15"/>
      <c r="H4653" s="15"/>
      <c r="I4653" s="15"/>
      <c r="J4653" s="15"/>
      <c r="K4653" s="15"/>
      <c r="L4653" s="28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  <c r="AA4653" s="15"/>
      <c r="AB4653" s="15"/>
      <c r="AC4653" s="15"/>
      <c r="AD4653" s="15"/>
      <c r="AE4653" s="15"/>
      <c r="AF4653" s="15"/>
      <c r="AG4653" s="15"/>
      <c r="AH4653" s="15"/>
      <c r="AI4653" s="15"/>
      <c r="AJ4653" s="15"/>
      <c r="AK4653" s="15"/>
      <c r="AL4653" s="15"/>
      <c r="AM4653" s="15"/>
      <c r="AN4653" s="15"/>
      <c r="AO4653" s="15"/>
      <c r="AP4653" s="15"/>
      <c r="AQ4653" s="15"/>
      <c r="AR4653" s="15"/>
      <c r="AS4653" s="15"/>
      <c r="AT4653" s="15"/>
      <c r="AU4653" s="15"/>
      <c r="AV4653" s="15"/>
      <c r="AW4653" s="15"/>
    </row>
    <row r="4654" spans="3:49" x14ac:dyDescent="0.2">
      <c r="C4654" s="15"/>
      <c r="D4654" s="15"/>
      <c r="E4654" s="15"/>
      <c r="F4654" s="15"/>
      <c r="G4654" s="15"/>
      <c r="H4654" s="15"/>
      <c r="I4654" s="15"/>
      <c r="J4654" s="15"/>
      <c r="K4654" s="15"/>
      <c r="L4654" s="28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  <c r="AA4654" s="15"/>
      <c r="AB4654" s="15"/>
      <c r="AC4654" s="15"/>
      <c r="AD4654" s="15"/>
      <c r="AE4654" s="15"/>
      <c r="AF4654" s="15"/>
      <c r="AG4654" s="15"/>
      <c r="AH4654" s="15"/>
      <c r="AI4654" s="15"/>
      <c r="AJ4654" s="15"/>
      <c r="AK4654" s="15"/>
      <c r="AL4654" s="15"/>
      <c r="AM4654" s="15"/>
      <c r="AN4654" s="15"/>
      <c r="AO4654" s="15"/>
      <c r="AP4654" s="15"/>
      <c r="AQ4654" s="15"/>
      <c r="AR4654" s="15"/>
      <c r="AS4654" s="15"/>
      <c r="AT4654" s="15"/>
      <c r="AU4654" s="15"/>
      <c r="AV4654" s="15"/>
      <c r="AW4654" s="15"/>
    </row>
    <row r="4655" spans="3:49" x14ac:dyDescent="0.2">
      <c r="C4655" s="15"/>
      <c r="D4655" s="15"/>
      <c r="E4655" s="15"/>
      <c r="F4655" s="15"/>
      <c r="G4655" s="15"/>
      <c r="H4655" s="15"/>
      <c r="I4655" s="15"/>
      <c r="J4655" s="15"/>
      <c r="K4655" s="15"/>
      <c r="L4655" s="28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  <c r="AA4655" s="15"/>
      <c r="AB4655" s="15"/>
      <c r="AC4655" s="15"/>
      <c r="AD4655" s="15"/>
      <c r="AE4655" s="15"/>
      <c r="AF4655" s="15"/>
      <c r="AG4655" s="15"/>
      <c r="AH4655" s="15"/>
      <c r="AI4655" s="15"/>
      <c r="AJ4655" s="15"/>
      <c r="AK4655" s="15"/>
      <c r="AL4655" s="15"/>
      <c r="AM4655" s="15"/>
      <c r="AN4655" s="15"/>
      <c r="AO4655" s="15"/>
      <c r="AP4655" s="15"/>
      <c r="AQ4655" s="15"/>
      <c r="AR4655" s="15"/>
      <c r="AS4655" s="15"/>
      <c r="AT4655" s="15"/>
      <c r="AU4655" s="15"/>
      <c r="AV4655" s="15"/>
      <c r="AW4655" s="15"/>
    </row>
    <row r="4656" spans="3:49" x14ac:dyDescent="0.2">
      <c r="C4656" s="15"/>
      <c r="D4656" s="15"/>
      <c r="E4656" s="15"/>
      <c r="F4656" s="15"/>
      <c r="G4656" s="15"/>
      <c r="H4656" s="15"/>
      <c r="I4656" s="15"/>
      <c r="J4656" s="15"/>
      <c r="K4656" s="15"/>
      <c r="L4656" s="28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  <c r="AA4656" s="15"/>
      <c r="AB4656" s="15"/>
      <c r="AC4656" s="15"/>
      <c r="AD4656" s="15"/>
      <c r="AE4656" s="15"/>
      <c r="AF4656" s="15"/>
      <c r="AG4656" s="15"/>
      <c r="AH4656" s="15"/>
      <c r="AI4656" s="15"/>
      <c r="AJ4656" s="15"/>
      <c r="AK4656" s="15"/>
      <c r="AL4656" s="15"/>
      <c r="AM4656" s="15"/>
      <c r="AN4656" s="15"/>
      <c r="AO4656" s="15"/>
      <c r="AP4656" s="15"/>
      <c r="AQ4656" s="15"/>
      <c r="AR4656" s="15"/>
      <c r="AS4656" s="15"/>
      <c r="AT4656" s="15"/>
      <c r="AU4656" s="15"/>
      <c r="AV4656" s="15"/>
      <c r="AW4656" s="15"/>
    </row>
    <row r="4657" spans="3:49" x14ac:dyDescent="0.2">
      <c r="C4657" s="15"/>
      <c r="D4657" s="15"/>
      <c r="E4657" s="15"/>
      <c r="F4657" s="15"/>
      <c r="G4657" s="15"/>
      <c r="H4657" s="15"/>
      <c r="I4657" s="15"/>
      <c r="J4657" s="15"/>
      <c r="K4657" s="15"/>
      <c r="L4657" s="28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  <c r="AA4657" s="15"/>
      <c r="AB4657" s="15"/>
      <c r="AC4657" s="15"/>
      <c r="AD4657" s="15"/>
      <c r="AE4657" s="15"/>
      <c r="AF4657" s="15"/>
      <c r="AG4657" s="15"/>
      <c r="AH4657" s="15"/>
      <c r="AI4657" s="15"/>
      <c r="AJ4657" s="15"/>
      <c r="AK4657" s="15"/>
      <c r="AL4657" s="15"/>
      <c r="AM4657" s="15"/>
      <c r="AN4657" s="15"/>
      <c r="AO4657" s="15"/>
      <c r="AP4657" s="15"/>
      <c r="AQ4657" s="15"/>
      <c r="AR4657" s="15"/>
      <c r="AS4657" s="15"/>
      <c r="AT4657" s="15"/>
      <c r="AU4657" s="15"/>
      <c r="AV4657" s="15"/>
      <c r="AW4657" s="15"/>
    </row>
    <row r="4658" spans="3:49" x14ac:dyDescent="0.2">
      <c r="C4658" s="15"/>
      <c r="D4658" s="15"/>
      <c r="E4658" s="15"/>
      <c r="F4658" s="15"/>
      <c r="G4658" s="15"/>
      <c r="H4658" s="15"/>
      <c r="I4658" s="15"/>
      <c r="J4658" s="15"/>
      <c r="K4658" s="15"/>
      <c r="L4658" s="28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  <c r="AA4658" s="15"/>
      <c r="AB4658" s="15"/>
      <c r="AC4658" s="15"/>
      <c r="AD4658" s="15"/>
      <c r="AE4658" s="15"/>
      <c r="AF4658" s="15"/>
      <c r="AG4658" s="15"/>
      <c r="AH4658" s="15"/>
      <c r="AI4658" s="15"/>
      <c r="AJ4658" s="15"/>
      <c r="AK4658" s="15"/>
      <c r="AL4658" s="15"/>
      <c r="AM4658" s="15"/>
      <c r="AN4658" s="15"/>
      <c r="AO4658" s="15"/>
      <c r="AP4658" s="15"/>
      <c r="AQ4658" s="15"/>
      <c r="AR4658" s="15"/>
      <c r="AS4658" s="15"/>
      <c r="AT4658" s="15"/>
      <c r="AU4658" s="15"/>
      <c r="AV4658" s="15"/>
      <c r="AW4658" s="15"/>
    </row>
    <row r="4659" spans="3:49" x14ac:dyDescent="0.2">
      <c r="C4659" s="15"/>
      <c r="D4659" s="15"/>
      <c r="E4659" s="15"/>
      <c r="F4659" s="15"/>
      <c r="G4659" s="15"/>
      <c r="H4659" s="15"/>
      <c r="I4659" s="15"/>
      <c r="J4659" s="15"/>
      <c r="K4659" s="15"/>
      <c r="L4659" s="28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  <c r="AA4659" s="15"/>
      <c r="AB4659" s="15"/>
      <c r="AC4659" s="15"/>
      <c r="AD4659" s="15"/>
      <c r="AE4659" s="15"/>
      <c r="AF4659" s="15"/>
      <c r="AG4659" s="15"/>
      <c r="AH4659" s="15"/>
      <c r="AI4659" s="15"/>
      <c r="AJ4659" s="15"/>
      <c r="AK4659" s="15"/>
      <c r="AL4659" s="15"/>
      <c r="AM4659" s="15"/>
      <c r="AN4659" s="15"/>
      <c r="AO4659" s="15"/>
      <c r="AP4659" s="15"/>
      <c r="AQ4659" s="15"/>
      <c r="AR4659" s="15"/>
      <c r="AS4659" s="15"/>
      <c r="AT4659" s="15"/>
      <c r="AU4659" s="15"/>
      <c r="AV4659" s="15"/>
      <c r="AW4659" s="15"/>
    </row>
    <row r="4660" spans="3:49" x14ac:dyDescent="0.2">
      <c r="C4660" s="15"/>
      <c r="D4660" s="15"/>
      <c r="E4660" s="15"/>
      <c r="F4660" s="15"/>
      <c r="G4660" s="15"/>
      <c r="H4660" s="15"/>
      <c r="I4660" s="15"/>
      <c r="J4660" s="15"/>
      <c r="K4660" s="15"/>
      <c r="L4660" s="28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  <c r="AA4660" s="15"/>
      <c r="AB4660" s="15"/>
      <c r="AC4660" s="15"/>
      <c r="AD4660" s="15"/>
      <c r="AE4660" s="15"/>
      <c r="AF4660" s="15"/>
      <c r="AG4660" s="15"/>
      <c r="AH4660" s="15"/>
      <c r="AI4660" s="15"/>
      <c r="AJ4660" s="15"/>
      <c r="AK4660" s="15"/>
      <c r="AL4660" s="15"/>
      <c r="AM4660" s="15"/>
      <c r="AN4660" s="15"/>
      <c r="AO4660" s="15"/>
      <c r="AP4660" s="15"/>
      <c r="AQ4660" s="15"/>
      <c r="AR4660" s="15"/>
      <c r="AS4660" s="15"/>
      <c r="AT4660" s="15"/>
      <c r="AU4660" s="15"/>
      <c r="AV4660" s="15"/>
      <c r="AW4660" s="15"/>
    </row>
    <row r="4661" spans="3:49" x14ac:dyDescent="0.2">
      <c r="C4661" s="15"/>
      <c r="D4661" s="15"/>
      <c r="E4661" s="15"/>
      <c r="F4661" s="15"/>
      <c r="G4661" s="15"/>
      <c r="H4661" s="15"/>
      <c r="I4661" s="15"/>
      <c r="J4661" s="15"/>
      <c r="K4661" s="15"/>
      <c r="L4661" s="28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  <c r="AA4661" s="15"/>
      <c r="AB4661" s="15"/>
      <c r="AC4661" s="15"/>
      <c r="AD4661" s="15"/>
      <c r="AE4661" s="15"/>
      <c r="AF4661" s="15"/>
      <c r="AG4661" s="15"/>
      <c r="AH4661" s="15"/>
      <c r="AI4661" s="15"/>
      <c r="AJ4661" s="15"/>
      <c r="AK4661" s="15"/>
      <c r="AL4661" s="15"/>
      <c r="AM4661" s="15"/>
      <c r="AN4661" s="15"/>
      <c r="AO4661" s="15"/>
      <c r="AP4661" s="15"/>
      <c r="AQ4661" s="15"/>
      <c r="AR4661" s="15"/>
      <c r="AS4661" s="15"/>
      <c r="AT4661" s="15"/>
      <c r="AU4661" s="15"/>
      <c r="AV4661" s="15"/>
      <c r="AW4661" s="15"/>
    </row>
    <row r="4662" spans="3:49" x14ac:dyDescent="0.2">
      <c r="C4662" s="15"/>
      <c r="D4662" s="15"/>
      <c r="E4662" s="15"/>
      <c r="F4662" s="15"/>
      <c r="G4662" s="15"/>
      <c r="H4662" s="15"/>
      <c r="I4662" s="15"/>
      <c r="J4662" s="15"/>
      <c r="K4662" s="15"/>
      <c r="L4662" s="28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  <c r="AA4662" s="15"/>
      <c r="AB4662" s="15"/>
      <c r="AC4662" s="15"/>
      <c r="AD4662" s="15"/>
      <c r="AE4662" s="15"/>
      <c r="AF4662" s="15"/>
      <c r="AG4662" s="15"/>
      <c r="AH4662" s="15"/>
      <c r="AI4662" s="15"/>
      <c r="AJ4662" s="15"/>
      <c r="AK4662" s="15"/>
      <c r="AL4662" s="15"/>
      <c r="AM4662" s="15"/>
      <c r="AN4662" s="15"/>
      <c r="AO4662" s="15"/>
      <c r="AP4662" s="15"/>
      <c r="AQ4662" s="15"/>
      <c r="AR4662" s="15"/>
      <c r="AS4662" s="15"/>
      <c r="AT4662" s="15"/>
      <c r="AU4662" s="15"/>
      <c r="AV4662" s="15"/>
      <c r="AW4662" s="15"/>
    </row>
    <row r="4663" spans="3:49" x14ac:dyDescent="0.2">
      <c r="C4663" s="15"/>
      <c r="D4663" s="15"/>
      <c r="E4663" s="15"/>
      <c r="F4663" s="15"/>
      <c r="G4663" s="15"/>
      <c r="H4663" s="15"/>
      <c r="I4663" s="15"/>
      <c r="J4663" s="15"/>
      <c r="K4663" s="15"/>
      <c r="L4663" s="28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  <c r="AA4663" s="15"/>
      <c r="AB4663" s="15"/>
      <c r="AC4663" s="15"/>
      <c r="AD4663" s="15"/>
      <c r="AE4663" s="15"/>
      <c r="AF4663" s="15"/>
      <c r="AG4663" s="15"/>
      <c r="AH4663" s="15"/>
      <c r="AI4663" s="15"/>
      <c r="AJ4663" s="15"/>
      <c r="AK4663" s="15"/>
      <c r="AL4663" s="15"/>
      <c r="AM4663" s="15"/>
      <c r="AN4663" s="15"/>
      <c r="AO4663" s="15"/>
      <c r="AP4663" s="15"/>
      <c r="AQ4663" s="15"/>
      <c r="AR4663" s="15"/>
      <c r="AS4663" s="15"/>
      <c r="AT4663" s="15"/>
      <c r="AU4663" s="15"/>
      <c r="AV4663" s="15"/>
      <c r="AW4663" s="15"/>
    </row>
    <row r="4664" spans="3:49" x14ac:dyDescent="0.2">
      <c r="C4664" s="15"/>
      <c r="D4664" s="15"/>
      <c r="E4664" s="15"/>
      <c r="F4664" s="15"/>
      <c r="G4664" s="15"/>
      <c r="H4664" s="15"/>
      <c r="I4664" s="15"/>
      <c r="J4664" s="15"/>
      <c r="K4664" s="15"/>
      <c r="L4664" s="28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  <c r="AA4664" s="15"/>
      <c r="AB4664" s="15"/>
      <c r="AC4664" s="15"/>
      <c r="AD4664" s="15"/>
      <c r="AE4664" s="15"/>
      <c r="AF4664" s="15"/>
      <c r="AG4664" s="15"/>
      <c r="AH4664" s="15"/>
      <c r="AI4664" s="15"/>
      <c r="AJ4664" s="15"/>
      <c r="AK4664" s="15"/>
      <c r="AL4664" s="15"/>
      <c r="AM4664" s="15"/>
      <c r="AN4664" s="15"/>
      <c r="AO4664" s="15"/>
      <c r="AP4664" s="15"/>
      <c r="AQ4664" s="15"/>
      <c r="AR4664" s="15"/>
      <c r="AS4664" s="15"/>
      <c r="AT4664" s="15"/>
      <c r="AU4664" s="15"/>
      <c r="AV4664" s="15"/>
      <c r="AW4664" s="15"/>
    </row>
    <row r="4665" spans="3:49" x14ac:dyDescent="0.2">
      <c r="C4665" s="15"/>
      <c r="D4665" s="15"/>
      <c r="E4665" s="15"/>
      <c r="F4665" s="15"/>
      <c r="G4665" s="15"/>
      <c r="H4665" s="15"/>
      <c r="I4665" s="15"/>
      <c r="J4665" s="15"/>
      <c r="K4665" s="15"/>
      <c r="L4665" s="28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  <c r="AA4665" s="15"/>
      <c r="AB4665" s="15"/>
      <c r="AC4665" s="15"/>
      <c r="AD4665" s="15"/>
      <c r="AE4665" s="15"/>
      <c r="AF4665" s="15"/>
      <c r="AG4665" s="15"/>
      <c r="AH4665" s="15"/>
      <c r="AI4665" s="15"/>
      <c r="AJ4665" s="15"/>
      <c r="AK4665" s="15"/>
      <c r="AL4665" s="15"/>
      <c r="AM4665" s="15"/>
      <c r="AN4665" s="15"/>
      <c r="AO4665" s="15"/>
      <c r="AP4665" s="15"/>
      <c r="AQ4665" s="15"/>
      <c r="AR4665" s="15"/>
      <c r="AS4665" s="15"/>
      <c r="AT4665" s="15"/>
      <c r="AU4665" s="15"/>
      <c r="AV4665" s="15"/>
      <c r="AW4665" s="15"/>
    </row>
    <row r="4666" spans="3:49" x14ac:dyDescent="0.2">
      <c r="C4666" s="15"/>
      <c r="D4666" s="15"/>
      <c r="E4666" s="15"/>
      <c r="F4666" s="15"/>
      <c r="G4666" s="15"/>
      <c r="H4666" s="15"/>
      <c r="I4666" s="15"/>
      <c r="J4666" s="15"/>
      <c r="K4666" s="15"/>
      <c r="L4666" s="28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  <c r="AA4666" s="15"/>
      <c r="AB4666" s="15"/>
      <c r="AC4666" s="15"/>
      <c r="AD4666" s="15"/>
      <c r="AE4666" s="15"/>
      <c r="AF4666" s="15"/>
      <c r="AG4666" s="15"/>
      <c r="AH4666" s="15"/>
      <c r="AI4666" s="15"/>
      <c r="AJ4666" s="15"/>
      <c r="AK4666" s="15"/>
      <c r="AL4666" s="15"/>
      <c r="AM4666" s="15"/>
      <c r="AN4666" s="15"/>
      <c r="AO4666" s="15"/>
      <c r="AP4666" s="15"/>
      <c r="AQ4666" s="15"/>
      <c r="AR4666" s="15"/>
      <c r="AS4666" s="15"/>
      <c r="AT4666" s="15"/>
      <c r="AU4666" s="15"/>
      <c r="AV4666" s="15"/>
      <c r="AW4666" s="15"/>
    </row>
    <row r="4667" spans="3:49" x14ac:dyDescent="0.2">
      <c r="C4667" s="15"/>
      <c r="D4667" s="15"/>
      <c r="E4667" s="15"/>
      <c r="F4667" s="15"/>
      <c r="G4667" s="15"/>
      <c r="H4667" s="15"/>
      <c r="I4667" s="15"/>
      <c r="J4667" s="15"/>
      <c r="K4667" s="15"/>
      <c r="L4667" s="28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  <c r="AA4667" s="15"/>
      <c r="AB4667" s="15"/>
      <c r="AC4667" s="15"/>
      <c r="AD4667" s="15"/>
      <c r="AE4667" s="15"/>
      <c r="AF4667" s="15"/>
      <c r="AG4667" s="15"/>
      <c r="AH4667" s="15"/>
      <c r="AI4667" s="15"/>
      <c r="AJ4667" s="15"/>
      <c r="AK4667" s="15"/>
      <c r="AL4667" s="15"/>
      <c r="AM4667" s="15"/>
      <c r="AN4667" s="15"/>
      <c r="AO4667" s="15"/>
      <c r="AP4667" s="15"/>
      <c r="AQ4667" s="15"/>
      <c r="AR4667" s="15"/>
      <c r="AS4667" s="15"/>
      <c r="AT4667" s="15"/>
      <c r="AU4667" s="15"/>
      <c r="AV4667" s="15"/>
      <c r="AW4667" s="15"/>
    </row>
    <row r="4668" spans="3:49" x14ac:dyDescent="0.2">
      <c r="C4668" s="15"/>
      <c r="D4668" s="15"/>
      <c r="E4668" s="15"/>
      <c r="F4668" s="15"/>
      <c r="G4668" s="15"/>
      <c r="H4668" s="15"/>
      <c r="I4668" s="15"/>
      <c r="J4668" s="15"/>
      <c r="K4668" s="15"/>
      <c r="L4668" s="28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  <c r="AA4668" s="15"/>
      <c r="AB4668" s="15"/>
      <c r="AC4668" s="15"/>
      <c r="AD4668" s="15"/>
      <c r="AE4668" s="15"/>
      <c r="AF4668" s="15"/>
      <c r="AG4668" s="15"/>
      <c r="AH4668" s="15"/>
      <c r="AI4668" s="15"/>
      <c r="AJ4668" s="15"/>
      <c r="AK4668" s="15"/>
      <c r="AL4668" s="15"/>
      <c r="AM4668" s="15"/>
      <c r="AN4668" s="15"/>
      <c r="AO4668" s="15"/>
      <c r="AP4668" s="15"/>
      <c r="AQ4668" s="15"/>
      <c r="AR4668" s="15"/>
      <c r="AS4668" s="15"/>
      <c r="AT4668" s="15"/>
      <c r="AU4668" s="15"/>
      <c r="AV4668" s="15"/>
      <c r="AW4668" s="15"/>
    </row>
    <row r="4669" spans="3:49" x14ac:dyDescent="0.2">
      <c r="C4669" s="15"/>
      <c r="D4669" s="15"/>
      <c r="E4669" s="15"/>
      <c r="F4669" s="15"/>
      <c r="G4669" s="15"/>
      <c r="H4669" s="15"/>
      <c r="I4669" s="15"/>
      <c r="J4669" s="15"/>
      <c r="K4669" s="15"/>
      <c r="L4669" s="28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  <c r="AA4669" s="15"/>
      <c r="AB4669" s="15"/>
      <c r="AC4669" s="15"/>
      <c r="AD4669" s="15"/>
      <c r="AE4669" s="15"/>
      <c r="AF4669" s="15"/>
      <c r="AG4669" s="15"/>
      <c r="AH4669" s="15"/>
      <c r="AI4669" s="15"/>
      <c r="AJ4669" s="15"/>
      <c r="AK4669" s="15"/>
      <c r="AL4669" s="15"/>
      <c r="AM4669" s="15"/>
      <c r="AN4669" s="15"/>
      <c r="AO4669" s="15"/>
      <c r="AP4669" s="15"/>
      <c r="AQ4669" s="15"/>
      <c r="AR4669" s="15"/>
      <c r="AS4669" s="15"/>
      <c r="AT4669" s="15"/>
      <c r="AU4669" s="15"/>
      <c r="AV4669" s="15"/>
      <c r="AW4669" s="15"/>
    </row>
    <row r="4670" spans="3:49" x14ac:dyDescent="0.2">
      <c r="C4670" s="15"/>
      <c r="D4670" s="15"/>
      <c r="E4670" s="15"/>
      <c r="F4670" s="15"/>
      <c r="G4670" s="15"/>
      <c r="H4670" s="15"/>
      <c r="I4670" s="15"/>
      <c r="J4670" s="15"/>
      <c r="K4670" s="15"/>
      <c r="L4670" s="28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  <c r="AA4670" s="15"/>
      <c r="AB4670" s="15"/>
      <c r="AC4670" s="15"/>
      <c r="AD4670" s="15"/>
      <c r="AE4670" s="15"/>
      <c r="AF4670" s="15"/>
      <c r="AG4670" s="15"/>
      <c r="AH4670" s="15"/>
      <c r="AI4670" s="15"/>
      <c r="AJ4670" s="15"/>
      <c r="AK4670" s="15"/>
      <c r="AL4670" s="15"/>
      <c r="AM4670" s="15"/>
      <c r="AN4670" s="15"/>
      <c r="AO4670" s="15"/>
      <c r="AP4670" s="15"/>
      <c r="AQ4670" s="15"/>
      <c r="AR4670" s="15"/>
      <c r="AS4670" s="15"/>
      <c r="AT4670" s="15"/>
      <c r="AU4670" s="15"/>
      <c r="AV4670" s="15"/>
      <c r="AW4670" s="15"/>
    </row>
    <row r="4671" spans="3:49" x14ac:dyDescent="0.2">
      <c r="C4671" s="15"/>
      <c r="D4671" s="15"/>
      <c r="E4671" s="15"/>
      <c r="F4671" s="15"/>
      <c r="G4671" s="15"/>
      <c r="H4671" s="15"/>
      <c r="I4671" s="15"/>
      <c r="J4671" s="15"/>
      <c r="K4671" s="15"/>
      <c r="L4671" s="28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  <c r="AA4671" s="15"/>
      <c r="AB4671" s="15"/>
      <c r="AC4671" s="15"/>
      <c r="AD4671" s="15"/>
      <c r="AE4671" s="15"/>
      <c r="AF4671" s="15"/>
      <c r="AG4671" s="15"/>
      <c r="AH4671" s="15"/>
      <c r="AI4671" s="15"/>
      <c r="AJ4671" s="15"/>
      <c r="AK4671" s="15"/>
      <c r="AL4671" s="15"/>
      <c r="AM4671" s="15"/>
      <c r="AN4671" s="15"/>
      <c r="AO4671" s="15"/>
      <c r="AP4671" s="15"/>
      <c r="AQ4671" s="15"/>
      <c r="AR4671" s="15"/>
      <c r="AS4671" s="15"/>
      <c r="AT4671" s="15"/>
      <c r="AU4671" s="15"/>
      <c r="AV4671" s="15"/>
      <c r="AW4671" s="15"/>
    </row>
    <row r="4672" spans="3:49" x14ac:dyDescent="0.2">
      <c r="C4672" s="15"/>
      <c r="D4672" s="15"/>
      <c r="E4672" s="15"/>
      <c r="F4672" s="15"/>
      <c r="G4672" s="15"/>
      <c r="H4672" s="15"/>
      <c r="I4672" s="15"/>
      <c r="J4672" s="15"/>
      <c r="K4672" s="15"/>
      <c r="L4672" s="28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  <c r="AA4672" s="15"/>
      <c r="AB4672" s="15"/>
      <c r="AC4672" s="15"/>
      <c r="AD4672" s="15"/>
      <c r="AE4672" s="15"/>
      <c r="AF4672" s="15"/>
      <c r="AG4672" s="15"/>
      <c r="AH4672" s="15"/>
      <c r="AI4672" s="15"/>
      <c r="AJ4672" s="15"/>
      <c r="AK4672" s="15"/>
      <c r="AL4672" s="15"/>
      <c r="AM4672" s="15"/>
      <c r="AN4672" s="15"/>
      <c r="AO4672" s="15"/>
      <c r="AP4672" s="15"/>
      <c r="AQ4672" s="15"/>
      <c r="AR4672" s="15"/>
      <c r="AS4672" s="15"/>
      <c r="AT4672" s="15"/>
      <c r="AU4672" s="15"/>
      <c r="AV4672" s="15"/>
      <c r="AW4672" s="15"/>
    </row>
    <row r="4673" spans="3:49" x14ac:dyDescent="0.2">
      <c r="C4673" s="15"/>
      <c r="D4673" s="15"/>
      <c r="E4673" s="15"/>
      <c r="F4673" s="15"/>
      <c r="G4673" s="15"/>
      <c r="H4673" s="15"/>
      <c r="I4673" s="15"/>
      <c r="J4673" s="15"/>
      <c r="K4673" s="15"/>
      <c r="L4673" s="28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  <c r="AA4673" s="15"/>
      <c r="AB4673" s="15"/>
      <c r="AC4673" s="15"/>
      <c r="AD4673" s="15"/>
      <c r="AE4673" s="15"/>
      <c r="AF4673" s="15"/>
      <c r="AG4673" s="15"/>
      <c r="AH4673" s="15"/>
      <c r="AI4673" s="15"/>
      <c r="AJ4673" s="15"/>
      <c r="AK4673" s="15"/>
      <c r="AL4673" s="15"/>
      <c r="AM4673" s="15"/>
      <c r="AN4673" s="15"/>
      <c r="AO4673" s="15"/>
      <c r="AP4673" s="15"/>
      <c r="AQ4673" s="15"/>
      <c r="AR4673" s="15"/>
      <c r="AS4673" s="15"/>
      <c r="AT4673" s="15"/>
      <c r="AU4673" s="15"/>
      <c r="AV4673" s="15"/>
      <c r="AW4673" s="15"/>
    </row>
    <row r="4674" spans="3:49" x14ac:dyDescent="0.2">
      <c r="C4674" s="15"/>
      <c r="D4674" s="15"/>
      <c r="E4674" s="15"/>
      <c r="F4674" s="15"/>
      <c r="G4674" s="15"/>
      <c r="H4674" s="15"/>
      <c r="I4674" s="15"/>
      <c r="J4674" s="15"/>
      <c r="K4674" s="15"/>
      <c r="L4674" s="28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  <c r="AA4674" s="15"/>
      <c r="AB4674" s="15"/>
      <c r="AC4674" s="15"/>
      <c r="AD4674" s="15"/>
      <c r="AE4674" s="15"/>
      <c r="AF4674" s="15"/>
      <c r="AG4674" s="15"/>
      <c r="AH4674" s="15"/>
      <c r="AI4674" s="15"/>
      <c r="AJ4674" s="15"/>
      <c r="AK4674" s="15"/>
      <c r="AL4674" s="15"/>
      <c r="AM4674" s="15"/>
      <c r="AN4674" s="15"/>
      <c r="AO4674" s="15"/>
      <c r="AP4674" s="15"/>
      <c r="AQ4674" s="15"/>
      <c r="AR4674" s="15"/>
      <c r="AS4674" s="15"/>
      <c r="AT4674" s="15"/>
      <c r="AU4674" s="15"/>
      <c r="AV4674" s="15"/>
      <c r="AW4674" s="15"/>
    </row>
    <row r="4675" spans="3:49" x14ac:dyDescent="0.2">
      <c r="C4675" s="15"/>
      <c r="D4675" s="15"/>
      <c r="E4675" s="15"/>
      <c r="F4675" s="15"/>
      <c r="G4675" s="15"/>
      <c r="H4675" s="15"/>
      <c r="I4675" s="15"/>
      <c r="J4675" s="15"/>
      <c r="K4675" s="15"/>
      <c r="L4675" s="28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  <c r="AA4675" s="15"/>
      <c r="AB4675" s="15"/>
      <c r="AC4675" s="15"/>
      <c r="AD4675" s="15"/>
      <c r="AE4675" s="15"/>
      <c r="AF4675" s="15"/>
      <c r="AG4675" s="15"/>
      <c r="AH4675" s="15"/>
      <c r="AI4675" s="15"/>
      <c r="AJ4675" s="15"/>
      <c r="AK4675" s="15"/>
      <c r="AL4675" s="15"/>
      <c r="AM4675" s="15"/>
      <c r="AN4675" s="15"/>
      <c r="AO4675" s="15"/>
      <c r="AP4675" s="15"/>
      <c r="AQ4675" s="15"/>
      <c r="AR4675" s="15"/>
      <c r="AS4675" s="15"/>
      <c r="AT4675" s="15"/>
      <c r="AU4675" s="15"/>
      <c r="AV4675" s="15"/>
      <c r="AW4675" s="15"/>
    </row>
    <row r="4676" spans="3:49" x14ac:dyDescent="0.2">
      <c r="C4676" s="15"/>
      <c r="D4676" s="15"/>
      <c r="E4676" s="15"/>
      <c r="F4676" s="15"/>
      <c r="G4676" s="15"/>
      <c r="H4676" s="15"/>
      <c r="I4676" s="15"/>
      <c r="J4676" s="15"/>
      <c r="K4676" s="15"/>
      <c r="L4676" s="28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  <c r="AA4676" s="15"/>
      <c r="AB4676" s="15"/>
      <c r="AC4676" s="15"/>
      <c r="AD4676" s="15"/>
      <c r="AE4676" s="15"/>
      <c r="AF4676" s="15"/>
      <c r="AG4676" s="15"/>
      <c r="AH4676" s="15"/>
      <c r="AI4676" s="15"/>
      <c r="AJ4676" s="15"/>
      <c r="AK4676" s="15"/>
      <c r="AL4676" s="15"/>
      <c r="AM4676" s="15"/>
      <c r="AN4676" s="15"/>
      <c r="AO4676" s="15"/>
      <c r="AP4676" s="15"/>
      <c r="AQ4676" s="15"/>
      <c r="AR4676" s="15"/>
      <c r="AS4676" s="15"/>
      <c r="AT4676" s="15"/>
      <c r="AU4676" s="15"/>
      <c r="AV4676" s="15"/>
      <c r="AW4676" s="15"/>
    </row>
    <row r="4677" spans="3:49" x14ac:dyDescent="0.2">
      <c r="C4677" s="15"/>
      <c r="D4677" s="15"/>
      <c r="E4677" s="15"/>
      <c r="F4677" s="15"/>
      <c r="G4677" s="15"/>
      <c r="H4677" s="15"/>
      <c r="I4677" s="15"/>
      <c r="J4677" s="15"/>
      <c r="K4677" s="15"/>
      <c r="L4677" s="28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  <c r="AA4677" s="15"/>
      <c r="AB4677" s="15"/>
      <c r="AC4677" s="15"/>
      <c r="AD4677" s="15"/>
      <c r="AE4677" s="15"/>
      <c r="AF4677" s="15"/>
      <c r="AG4677" s="15"/>
      <c r="AH4677" s="15"/>
      <c r="AI4677" s="15"/>
      <c r="AJ4677" s="15"/>
      <c r="AK4677" s="15"/>
      <c r="AL4677" s="15"/>
      <c r="AM4677" s="15"/>
      <c r="AN4677" s="15"/>
      <c r="AO4677" s="15"/>
      <c r="AP4677" s="15"/>
      <c r="AQ4677" s="15"/>
      <c r="AR4677" s="15"/>
      <c r="AS4677" s="15"/>
      <c r="AT4677" s="15"/>
      <c r="AU4677" s="15"/>
      <c r="AV4677" s="15"/>
      <c r="AW4677" s="15"/>
    </row>
    <row r="4678" spans="3:49" x14ac:dyDescent="0.2">
      <c r="C4678" s="15"/>
      <c r="D4678" s="15"/>
      <c r="E4678" s="15"/>
      <c r="F4678" s="15"/>
      <c r="G4678" s="15"/>
      <c r="H4678" s="15"/>
      <c r="I4678" s="15"/>
      <c r="J4678" s="15"/>
      <c r="K4678" s="15"/>
      <c r="L4678" s="28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  <c r="AA4678" s="15"/>
      <c r="AB4678" s="15"/>
      <c r="AC4678" s="15"/>
      <c r="AD4678" s="15"/>
      <c r="AE4678" s="15"/>
      <c r="AF4678" s="15"/>
      <c r="AG4678" s="15"/>
      <c r="AH4678" s="15"/>
      <c r="AI4678" s="15"/>
      <c r="AJ4678" s="15"/>
      <c r="AK4678" s="15"/>
      <c r="AL4678" s="15"/>
      <c r="AM4678" s="15"/>
      <c r="AN4678" s="15"/>
      <c r="AO4678" s="15"/>
      <c r="AP4678" s="15"/>
      <c r="AQ4678" s="15"/>
      <c r="AR4678" s="15"/>
      <c r="AS4678" s="15"/>
      <c r="AT4678" s="15"/>
      <c r="AU4678" s="15"/>
      <c r="AV4678" s="15"/>
      <c r="AW4678" s="15"/>
    </row>
    <row r="4679" spans="3:49" x14ac:dyDescent="0.2">
      <c r="C4679" s="15"/>
      <c r="D4679" s="15"/>
      <c r="E4679" s="15"/>
      <c r="F4679" s="15"/>
      <c r="G4679" s="15"/>
      <c r="H4679" s="15"/>
      <c r="I4679" s="15"/>
      <c r="J4679" s="15"/>
      <c r="K4679" s="15"/>
      <c r="L4679" s="28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  <c r="AA4679" s="15"/>
      <c r="AB4679" s="15"/>
      <c r="AC4679" s="15"/>
      <c r="AD4679" s="15"/>
      <c r="AE4679" s="15"/>
      <c r="AF4679" s="15"/>
      <c r="AG4679" s="15"/>
      <c r="AH4679" s="15"/>
      <c r="AI4679" s="15"/>
      <c r="AJ4679" s="15"/>
      <c r="AK4679" s="15"/>
      <c r="AL4679" s="15"/>
      <c r="AM4679" s="15"/>
      <c r="AN4679" s="15"/>
      <c r="AO4679" s="15"/>
      <c r="AP4679" s="15"/>
      <c r="AQ4679" s="15"/>
      <c r="AR4679" s="15"/>
      <c r="AS4679" s="15"/>
      <c r="AT4679" s="15"/>
      <c r="AU4679" s="15"/>
      <c r="AV4679" s="15"/>
      <c r="AW4679" s="15"/>
    </row>
    <row r="4680" spans="3:49" x14ac:dyDescent="0.2">
      <c r="C4680" s="15"/>
      <c r="D4680" s="15"/>
      <c r="E4680" s="15"/>
      <c r="F4680" s="15"/>
      <c r="G4680" s="15"/>
      <c r="H4680" s="15"/>
      <c r="I4680" s="15"/>
      <c r="J4680" s="15"/>
      <c r="K4680" s="15"/>
      <c r="L4680" s="28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  <c r="AA4680" s="15"/>
      <c r="AB4680" s="15"/>
      <c r="AC4680" s="15"/>
      <c r="AD4680" s="15"/>
      <c r="AE4680" s="15"/>
      <c r="AF4680" s="15"/>
      <c r="AG4680" s="15"/>
      <c r="AH4680" s="15"/>
      <c r="AI4680" s="15"/>
      <c r="AJ4680" s="15"/>
      <c r="AK4680" s="15"/>
      <c r="AL4680" s="15"/>
      <c r="AM4680" s="15"/>
      <c r="AN4680" s="15"/>
      <c r="AO4680" s="15"/>
      <c r="AP4680" s="15"/>
      <c r="AQ4680" s="15"/>
      <c r="AR4680" s="15"/>
      <c r="AS4680" s="15"/>
      <c r="AT4680" s="15"/>
      <c r="AU4680" s="15"/>
      <c r="AV4680" s="15"/>
      <c r="AW4680" s="15"/>
    </row>
    <row r="4681" spans="3:49" x14ac:dyDescent="0.2">
      <c r="C4681" s="15"/>
      <c r="D4681" s="15"/>
      <c r="E4681" s="15"/>
      <c r="F4681" s="15"/>
      <c r="G4681" s="15"/>
      <c r="H4681" s="15"/>
      <c r="I4681" s="15"/>
      <c r="J4681" s="15"/>
      <c r="K4681" s="15"/>
      <c r="L4681" s="28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  <c r="AA4681" s="15"/>
      <c r="AB4681" s="15"/>
      <c r="AC4681" s="15"/>
      <c r="AD4681" s="15"/>
      <c r="AE4681" s="15"/>
      <c r="AF4681" s="15"/>
      <c r="AG4681" s="15"/>
      <c r="AH4681" s="15"/>
      <c r="AI4681" s="15"/>
      <c r="AJ4681" s="15"/>
      <c r="AK4681" s="15"/>
      <c r="AL4681" s="15"/>
      <c r="AM4681" s="15"/>
      <c r="AN4681" s="15"/>
      <c r="AO4681" s="15"/>
      <c r="AP4681" s="15"/>
      <c r="AQ4681" s="15"/>
      <c r="AR4681" s="15"/>
      <c r="AS4681" s="15"/>
      <c r="AT4681" s="15"/>
      <c r="AU4681" s="15"/>
      <c r="AV4681" s="15"/>
      <c r="AW4681" s="15"/>
    </row>
    <row r="4682" spans="3:49" x14ac:dyDescent="0.2">
      <c r="C4682" s="15"/>
      <c r="D4682" s="15"/>
      <c r="E4682" s="15"/>
      <c r="F4682" s="15"/>
      <c r="G4682" s="15"/>
      <c r="H4682" s="15"/>
      <c r="I4682" s="15"/>
      <c r="J4682" s="15"/>
      <c r="K4682" s="15"/>
      <c r="L4682" s="28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  <c r="AA4682" s="15"/>
      <c r="AB4682" s="15"/>
      <c r="AC4682" s="15"/>
      <c r="AD4682" s="15"/>
      <c r="AE4682" s="15"/>
      <c r="AF4682" s="15"/>
      <c r="AG4682" s="15"/>
      <c r="AH4682" s="15"/>
      <c r="AI4682" s="15"/>
      <c r="AJ4682" s="15"/>
      <c r="AK4682" s="15"/>
      <c r="AL4682" s="15"/>
      <c r="AM4682" s="15"/>
      <c r="AN4682" s="15"/>
      <c r="AO4682" s="15"/>
      <c r="AP4682" s="15"/>
      <c r="AQ4682" s="15"/>
      <c r="AR4682" s="15"/>
      <c r="AS4682" s="15"/>
      <c r="AT4682" s="15"/>
      <c r="AU4682" s="15"/>
      <c r="AV4682" s="15"/>
      <c r="AW4682" s="15"/>
    </row>
    <row r="4683" spans="3:49" x14ac:dyDescent="0.2">
      <c r="C4683" s="15"/>
      <c r="D4683" s="15"/>
      <c r="E4683" s="15"/>
      <c r="F4683" s="15"/>
      <c r="G4683" s="15"/>
      <c r="H4683" s="15"/>
      <c r="I4683" s="15"/>
      <c r="J4683" s="15"/>
      <c r="K4683" s="15"/>
      <c r="L4683" s="28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  <c r="AA4683" s="15"/>
      <c r="AB4683" s="15"/>
      <c r="AC4683" s="15"/>
      <c r="AD4683" s="15"/>
      <c r="AE4683" s="15"/>
      <c r="AF4683" s="15"/>
      <c r="AG4683" s="15"/>
      <c r="AH4683" s="15"/>
      <c r="AI4683" s="15"/>
      <c r="AJ4683" s="15"/>
      <c r="AK4683" s="15"/>
      <c r="AL4683" s="15"/>
      <c r="AM4683" s="15"/>
      <c r="AN4683" s="15"/>
      <c r="AO4683" s="15"/>
      <c r="AP4683" s="15"/>
      <c r="AQ4683" s="15"/>
      <c r="AR4683" s="15"/>
      <c r="AS4683" s="15"/>
      <c r="AT4683" s="15"/>
      <c r="AU4683" s="15"/>
      <c r="AV4683" s="15"/>
      <c r="AW4683" s="15"/>
    </row>
    <row r="4684" spans="3:49" x14ac:dyDescent="0.2">
      <c r="C4684" s="15"/>
      <c r="D4684" s="15"/>
      <c r="E4684" s="15"/>
      <c r="F4684" s="15"/>
      <c r="G4684" s="15"/>
      <c r="H4684" s="15"/>
      <c r="I4684" s="15"/>
      <c r="J4684" s="15"/>
      <c r="K4684" s="15"/>
      <c r="L4684" s="28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  <c r="AA4684" s="15"/>
      <c r="AB4684" s="15"/>
      <c r="AC4684" s="15"/>
      <c r="AD4684" s="15"/>
      <c r="AE4684" s="15"/>
      <c r="AF4684" s="15"/>
      <c r="AG4684" s="15"/>
      <c r="AH4684" s="15"/>
      <c r="AI4684" s="15"/>
      <c r="AJ4684" s="15"/>
      <c r="AK4684" s="15"/>
      <c r="AL4684" s="15"/>
      <c r="AM4684" s="15"/>
      <c r="AN4684" s="15"/>
      <c r="AO4684" s="15"/>
      <c r="AP4684" s="15"/>
      <c r="AQ4684" s="15"/>
      <c r="AR4684" s="15"/>
      <c r="AS4684" s="15"/>
      <c r="AT4684" s="15"/>
      <c r="AU4684" s="15"/>
      <c r="AV4684" s="15"/>
      <c r="AW4684" s="15"/>
    </row>
    <row r="4685" spans="3:49" x14ac:dyDescent="0.2">
      <c r="C4685" s="15"/>
      <c r="D4685" s="15"/>
      <c r="E4685" s="15"/>
      <c r="F4685" s="15"/>
      <c r="G4685" s="15"/>
      <c r="H4685" s="15"/>
      <c r="I4685" s="15"/>
      <c r="J4685" s="15"/>
      <c r="K4685" s="15"/>
      <c r="L4685" s="28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  <c r="AA4685" s="15"/>
      <c r="AB4685" s="15"/>
      <c r="AC4685" s="15"/>
      <c r="AD4685" s="15"/>
      <c r="AE4685" s="15"/>
      <c r="AF4685" s="15"/>
      <c r="AG4685" s="15"/>
      <c r="AH4685" s="15"/>
      <c r="AI4685" s="15"/>
      <c r="AJ4685" s="15"/>
      <c r="AK4685" s="15"/>
      <c r="AL4685" s="15"/>
      <c r="AM4685" s="15"/>
      <c r="AN4685" s="15"/>
      <c r="AO4685" s="15"/>
      <c r="AP4685" s="15"/>
      <c r="AQ4685" s="15"/>
      <c r="AR4685" s="15"/>
      <c r="AS4685" s="15"/>
      <c r="AT4685" s="15"/>
      <c r="AU4685" s="15"/>
      <c r="AV4685" s="15"/>
      <c r="AW4685" s="15"/>
    </row>
    <row r="4686" spans="3:49" x14ac:dyDescent="0.2">
      <c r="C4686" s="15"/>
      <c r="D4686" s="15"/>
      <c r="E4686" s="15"/>
      <c r="F4686" s="15"/>
      <c r="G4686" s="15"/>
      <c r="H4686" s="15"/>
      <c r="I4686" s="15"/>
      <c r="J4686" s="15"/>
      <c r="K4686" s="15"/>
      <c r="L4686" s="28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  <c r="AA4686" s="15"/>
      <c r="AB4686" s="15"/>
      <c r="AC4686" s="15"/>
      <c r="AD4686" s="15"/>
      <c r="AE4686" s="15"/>
      <c r="AF4686" s="15"/>
      <c r="AG4686" s="15"/>
      <c r="AH4686" s="15"/>
      <c r="AI4686" s="15"/>
      <c r="AJ4686" s="15"/>
      <c r="AK4686" s="15"/>
      <c r="AL4686" s="15"/>
      <c r="AM4686" s="15"/>
      <c r="AN4686" s="15"/>
      <c r="AO4686" s="15"/>
      <c r="AP4686" s="15"/>
      <c r="AQ4686" s="15"/>
      <c r="AR4686" s="15"/>
      <c r="AS4686" s="15"/>
      <c r="AT4686" s="15"/>
      <c r="AU4686" s="15"/>
      <c r="AV4686" s="15"/>
      <c r="AW4686" s="15"/>
    </row>
    <row r="4687" spans="3:49" x14ac:dyDescent="0.2">
      <c r="C4687" s="15"/>
      <c r="D4687" s="15"/>
      <c r="E4687" s="15"/>
      <c r="F4687" s="15"/>
      <c r="G4687" s="15"/>
      <c r="H4687" s="15"/>
      <c r="I4687" s="15"/>
      <c r="J4687" s="15"/>
      <c r="K4687" s="15"/>
      <c r="L4687" s="28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  <c r="AA4687" s="15"/>
      <c r="AB4687" s="15"/>
      <c r="AC4687" s="15"/>
      <c r="AD4687" s="15"/>
      <c r="AE4687" s="15"/>
      <c r="AF4687" s="15"/>
      <c r="AG4687" s="15"/>
      <c r="AH4687" s="15"/>
      <c r="AI4687" s="15"/>
      <c r="AJ4687" s="15"/>
      <c r="AK4687" s="15"/>
      <c r="AL4687" s="15"/>
      <c r="AM4687" s="15"/>
      <c r="AN4687" s="15"/>
      <c r="AO4687" s="15"/>
      <c r="AP4687" s="15"/>
      <c r="AQ4687" s="15"/>
      <c r="AR4687" s="15"/>
      <c r="AS4687" s="15"/>
      <c r="AT4687" s="15"/>
      <c r="AU4687" s="15"/>
      <c r="AV4687" s="15"/>
      <c r="AW4687" s="15"/>
    </row>
    <row r="4688" spans="3:49" x14ac:dyDescent="0.2">
      <c r="C4688" s="15"/>
      <c r="D4688" s="15"/>
      <c r="E4688" s="15"/>
      <c r="F4688" s="15"/>
      <c r="G4688" s="15"/>
      <c r="H4688" s="15"/>
      <c r="I4688" s="15"/>
      <c r="J4688" s="15"/>
      <c r="K4688" s="15"/>
      <c r="L4688" s="28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  <c r="AA4688" s="15"/>
      <c r="AB4688" s="15"/>
      <c r="AC4688" s="15"/>
      <c r="AD4688" s="15"/>
      <c r="AE4688" s="15"/>
      <c r="AF4688" s="15"/>
      <c r="AG4688" s="15"/>
      <c r="AH4688" s="15"/>
      <c r="AI4688" s="15"/>
      <c r="AJ4688" s="15"/>
      <c r="AK4688" s="15"/>
      <c r="AL4688" s="15"/>
      <c r="AM4688" s="15"/>
      <c r="AN4688" s="15"/>
      <c r="AO4688" s="15"/>
      <c r="AP4688" s="15"/>
      <c r="AQ4688" s="15"/>
      <c r="AR4688" s="15"/>
      <c r="AS4688" s="15"/>
      <c r="AT4688" s="15"/>
      <c r="AU4688" s="15"/>
      <c r="AV4688" s="15"/>
      <c r="AW4688" s="15"/>
    </row>
    <row r="4689" spans="3:49" x14ac:dyDescent="0.2">
      <c r="C4689" s="15"/>
      <c r="D4689" s="15"/>
      <c r="E4689" s="15"/>
      <c r="F4689" s="15"/>
      <c r="G4689" s="15"/>
      <c r="H4689" s="15"/>
      <c r="I4689" s="15"/>
      <c r="J4689" s="15"/>
      <c r="K4689" s="15"/>
      <c r="L4689" s="28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  <c r="AA4689" s="15"/>
      <c r="AB4689" s="15"/>
      <c r="AC4689" s="15"/>
      <c r="AD4689" s="15"/>
      <c r="AE4689" s="15"/>
      <c r="AF4689" s="15"/>
      <c r="AG4689" s="15"/>
      <c r="AH4689" s="15"/>
      <c r="AI4689" s="15"/>
      <c r="AJ4689" s="15"/>
      <c r="AK4689" s="15"/>
      <c r="AL4689" s="15"/>
      <c r="AM4689" s="15"/>
      <c r="AN4689" s="15"/>
      <c r="AO4689" s="15"/>
      <c r="AP4689" s="15"/>
      <c r="AQ4689" s="15"/>
      <c r="AR4689" s="15"/>
      <c r="AS4689" s="15"/>
      <c r="AT4689" s="15"/>
      <c r="AU4689" s="15"/>
      <c r="AV4689" s="15"/>
      <c r="AW4689" s="15"/>
    </row>
    <row r="4690" spans="3:49" x14ac:dyDescent="0.2">
      <c r="C4690" s="15"/>
      <c r="D4690" s="15"/>
      <c r="E4690" s="15"/>
      <c r="F4690" s="15"/>
      <c r="G4690" s="15"/>
      <c r="H4690" s="15"/>
      <c r="I4690" s="15"/>
      <c r="J4690" s="15"/>
      <c r="K4690" s="15"/>
      <c r="L4690" s="28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  <c r="AA4690" s="15"/>
      <c r="AB4690" s="15"/>
      <c r="AC4690" s="15"/>
      <c r="AD4690" s="15"/>
      <c r="AE4690" s="15"/>
      <c r="AF4690" s="15"/>
      <c r="AG4690" s="15"/>
      <c r="AH4690" s="15"/>
      <c r="AI4690" s="15"/>
      <c r="AJ4690" s="15"/>
      <c r="AK4690" s="15"/>
      <c r="AL4690" s="15"/>
      <c r="AM4690" s="15"/>
      <c r="AN4690" s="15"/>
      <c r="AO4690" s="15"/>
      <c r="AP4690" s="15"/>
      <c r="AQ4690" s="15"/>
      <c r="AR4690" s="15"/>
      <c r="AS4690" s="15"/>
      <c r="AT4690" s="15"/>
      <c r="AU4690" s="15"/>
      <c r="AV4690" s="15"/>
      <c r="AW4690" s="15"/>
    </row>
    <row r="4691" spans="3:49" x14ac:dyDescent="0.2">
      <c r="C4691" s="15"/>
      <c r="D4691" s="15"/>
      <c r="E4691" s="15"/>
      <c r="F4691" s="15"/>
      <c r="G4691" s="15"/>
      <c r="H4691" s="15"/>
      <c r="I4691" s="15"/>
      <c r="J4691" s="15"/>
      <c r="K4691" s="15"/>
      <c r="L4691" s="28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  <c r="AA4691" s="15"/>
      <c r="AB4691" s="15"/>
      <c r="AC4691" s="15"/>
      <c r="AD4691" s="15"/>
      <c r="AE4691" s="15"/>
      <c r="AF4691" s="15"/>
      <c r="AG4691" s="15"/>
      <c r="AH4691" s="15"/>
      <c r="AI4691" s="15"/>
      <c r="AJ4691" s="15"/>
      <c r="AK4691" s="15"/>
      <c r="AL4691" s="15"/>
      <c r="AM4691" s="15"/>
      <c r="AN4691" s="15"/>
      <c r="AO4691" s="15"/>
      <c r="AP4691" s="15"/>
      <c r="AQ4691" s="15"/>
      <c r="AR4691" s="15"/>
      <c r="AS4691" s="15"/>
      <c r="AT4691" s="15"/>
      <c r="AU4691" s="15"/>
      <c r="AV4691" s="15"/>
      <c r="AW4691" s="15"/>
    </row>
    <row r="4692" spans="3:49" x14ac:dyDescent="0.2">
      <c r="C4692" s="15"/>
      <c r="D4692" s="15"/>
      <c r="E4692" s="15"/>
      <c r="F4692" s="15"/>
      <c r="G4692" s="15"/>
      <c r="H4692" s="15"/>
      <c r="I4692" s="15"/>
      <c r="J4692" s="15"/>
      <c r="K4692" s="15"/>
      <c r="L4692" s="28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  <c r="AA4692" s="15"/>
      <c r="AB4692" s="15"/>
      <c r="AC4692" s="15"/>
      <c r="AD4692" s="15"/>
      <c r="AE4692" s="15"/>
      <c r="AF4692" s="15"/>
      <c r="AG4692" s="15"/>
      <c r="AH4692" s="15"/>
      <c r="AI4692" s="15"/>
      <c r="AJ4692" s="15"/>
      <c r="AK4692" s="15"/>
      <c r="AL4692" s="15"/>
      <c r="AM4692" s="15"/>
      <c r="AN4692" s="15"/>
      <c r="AO4692" s="15"/>
      <c r="AP4692" s="15"/>
      <c r="AQ4692" s="15"/>
      <c r="AR4692" s="15"/>
      <c r="AS4692" s="15"/>
      <c r="AT4692" s="15"/>
      <c r="AU4692" s="15"/>
      <c r="AV4692" s="15"/>
      <c r="AW4692" s="15"/>
    </row>
    <row r="4693" spans="3:49" x14ac:dyDescent="0.2">
      <c r="C4693" s="15"/>
      <c r="D4693" s="15"/>
      <c r="E4693" s="15"/>
      <c r="F4693" s="15"/>
      <c r="G4693" s="15"/>
      <c r="H4693" s="15"/>
      <c r="I4693" s="15"/>
      <c r="J4693" s="15"/>
      <c r="K4693" s="15"/>
      <c r="L4693" s="28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  <c r="AA4693" s="15"/>
      <c r="AB4693" s="15"/>
      <c r="AC4693" s="15"/>
      <c r="AD4693" s="15"/>
      <c r="AE4693" s="15"/>
      <c r="AF4693" s="15"/>
      <c r="AG4693" s="15"/>
      <c r="AH4693" s="15"/>
      <c r="AI4693" s="15"/>
      <c r="AJ4693" s="15"/>
      <c r="AK4693" s="15"/>
      <c r="AL4693" s="15"/>
      <c r="AM4693" s="15"/>
      <c r="AN4693" s="15"/>
      <c r="AO4693" s="15"/>
      <c r="AP4693" s="15"/>
      <c r="AQ4693" s="15"/>
      <c r="AR4693" s="15"/>
      <c r="AS4693" s="15"/>
      <c r="AT4693" s="15"/>
      <c r="AU4693" s="15"/>
      <c r="AV4693" s="15"/>
      <c r="AW4693" s="15"/>
    </row>
    <row r="4694" spans="3:49" x14ac:dyDescent="0.2">
      <c r="C4694" s="15"/>
      <c r="D4694" s="15"/>
      <c r="E4694" s="15"/>
      <c r="F4694" s="15"/>
      <c r="G4694" s="15"/>
      <c r="H4694" s="15"/>
      <c r="I4694" s="15"/>
      <c r="J4694" s="15"/>
      <c r="K4694" s="15"/>
      <c r="L4694" s="28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  <c r="AA4694" s="15"/>
      <c r="AB4694" s="15"/>
      <c r="AC4694" s="15"/>
      <c r="AD4694" s="15"/>
      <c r="AE4694" s="15"/>
      <c r="AF4694" s="15"/>
      <c r="AG4694" s="15"/>
      <c r="AH4694" s="15"/>
      <c r="AI4694" s="15"/>
      <c r="AJ4694" s="15"/>
      <c r="AK4694" s="15"/>
      <c r="AL4694" s="15"/>
      <c r="AM4694" s="15"/>
      <c r="AN4694" s="15"/>
      <c r="AO4694" s="15"/>
      <c r="AP4694" s="15"/>
      <c r="AQ4694" s="15"/>
      <c r="AR4694" s="15"/>
      <c r="AS4694" s="15"/>
      <c r="AT4694" s="15"/>
      <c r="AU4694" s="15"/>
      <c r="AV4694" s="15"/>
      <c r="AW4694" s="15"/>
    </row>
    <row r="4695" spans="3:49" x14ac:dyDescent="0.2">
      <c r="C4695" s="15"/>
      <c r="D4695" s="15"/>
      <c r="E4695" s="15"/>
      <c r="F4695" s="15"/>
      <c r="G4695" s="15"/>
      <c r="H4695" s="15"/>
      <c r="I4695" s="15"/>
      <c r="J4695" s="15"/>
      <c r="K4695" s="15"/>
      <c r="L4695" s="28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  <c r="AA4695" s="15"/>
      <c r="AB4695" s="15"/>
      <c r="AC4695" s="15"/>
      <c r="AD4695" s="15"/>
      <c r="AE4695" s="15"/>
      <c r="AF4695" s="15"/>
      <c r="AG4695" s="15"/>
      <c r="AH4695" s="15"/>
      <c r="AI4695" s="15"/>
      <c r="AJ4695" s="15"/>
      <c r="AK4695" s="15"/>
      <c r="AL4695" s="15"/>
      <c r="AM4695" s="15"/>
      <c r="AN4695" s="15"/>
      <c r="AO4695" s="15"/>
      <c r="AP4695" s="15"/>
      <c r="AQ4695" s="15"/>
      <c r="AR4695" s="15"/>
      <c r="AS4695" s="15"/>
      <c r="AT4695" s="15"/>
      <c r="AU4695" s="15"/>
      <c r="AV4695" s="15"/>
      <c r="AW4695" s="15"/>
    </row>
    <row r="4696" spans="3:49" x14ac:dyDescent="0.2">
      <c r="C4696" s="15"/>
      <c r="D4696" s="15"/>
      <c r="E4696" s="15"/>
      <c r="F4696" s="15"/>
      <c r="G4696" s="15"/>
      <c r="H4696" s="15"/>
      <c r="I4696" s="15"/>
      <c r="J4696" s="15"/>
      <c r="K4696" s="15"/>
      <c r="L4696" s="28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  <c r="AA4696" s="15"/>
      <c r="AB4696" s="15"/>
      <c r="AC4696" s="15"/>
      <c r="AD4696" s="15"/>
      <c r="AE4696" s="15"/>
      <c r="AF4696" s="15"/>
      <c r="AG4696" s="15"/>
      <c r="AH4696" s="15"/>
      <c r="AI4696" s="15"/>
      <c r="AJ4696" s="15"/>
      <c r="AK4696" s="15"/>
      <c r="AL4696" s="15"/>
      <c r="AM4696" s="15"/>
      <c r="AN4696" s="15"/>
      <c r="AO4696" s="15"/>
      <c r="AP4696" s="15"/>
      <c r="AQ4696" s="15"/>
      <c r="AR4696" s="15"/>
      <c r="AS4696" s="15"/>
      <c r="AT4696" s="15"/>
      <c r="AU4696" s="15"/>
      <c r="AV4696" s="15"/>
      <c r="AW4696" s="15"/>
    </row>
    <row r="4697" spans="3:49" x14ac:dyDescent="0.2">
      <c r="C4697" s="15"/>
      <c r="D4697" s="15"/>
      <c r="E4697" s="15"/>
      <c r="F4697" s="15"/>
      <c r="G4697" s="15"/>
      <c r="H4697" s="15"/>
      <c r="I4697" s="15"/>
      <c r="J4697" s="15"/>
      <c r="K4697" s="15"/>
      <c r="L4697" s="28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  <c r="AA4697" s="15"/>
      <c r="AB4697" s="15"/>
      <c r="AC4697" s="15"/>
      <c r="AD4697" s="15"/>
      <c r="AE4697" s="15"/>
      <c r="AF4697" s="15"/>
      <c r="AG4697" s="15"/>
      <c r="AH4697" s="15"/>
      <c r="AI4697" s="15"/>
      <c r="AJ4697" s="15"/>
      <c r="AK4697" s="15"/>
      <c r="AL4697" s="15"/>
      <c r="AM4697" s="15"/>
      <c r="AN4697" s="15"/>
      <c r="AO4697" s="15"/>
      <c r="AP4697" s="15"/>
      <c r="AQ4697" s="15"/>
      <c r="AR4697" s="15"/>
      <c r="AS4697" s="15"/>
      <c r="AT4697" s="15"/>
      <c r="AU4697" s="15"/>
      <c r="AV4697" s="15"/>
      <c r="AW4697" s="15"/>
    </row>
    <row r="4698" spans="3:49" x14ac:dyDescent="0.2">
      <c r="C4698" s="15"/>
      <c r="D4698" s="15"/>
      <c r="E4698" s="15"/>
      <c r="F4698" s="15"/>
      <c r="G4698" s="15"/>
      <c r="H4698" s="15"/>
      <c r="I4698" s="15"/>
      <c r="J4698" s="15"/>
      <c r="K4698" s="15"/>
      <c r="L4698" s="28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  <c r="AA4698" s="15"/>
      <c r="AB4698" s="15"/>
      <c r="AC4698" s="15"/>
      <c r="AD4698" s="15"/>
      <c r="AE4698" s="15"/>
      <c r="AF4698" s="15"/>
      <c r="AG4698" s="15"/>
      <c r="AH4698" s="15"/>
      <c r="AI4698" s="15"/>
      <c r="AJ4698" s="15"/>
      <c r="AK4698" s="15"/>
      <c r="AL4698" s="15"/>
      <c r="AM4698" s="15"/>
      <c r="AN4698" s="15"/>
      <c r="AO4698" s="15"/>
      <c r="AP4698" s="15"/>
      <c r="AQ4698" s="15"/>
      <c r="AR4698" s="15"/>
      <c r="AS4698" s="15"/>
      <c r="AT4698" s="15"/>
      <c r="AU4698" s="15"/>
      <c r="AV4698" s="15"/>
      <c r="AW4698" s="15"/>
    </row>
    <row r="4699" spans="3:49" x14ac:dyDescent="0.2">
      <c r="C4699" s="15"/>
      <c r="D4699" s="15"/>
      <c r="E4699" s="15"/>
      <c r="F4699" s="15"/>
      <c r="G4699" s="15"/>
      <c r="H4699" s="15"/>
      <c r="I4699" s="15"/>
      <c r="J4699" s="15"/>
      <c r="K4699" s="15"/>
      <c r="L4699" s="28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  <c r="AA4699" s="15"/>
      <c r="AB4699" s="15"/>
      <c r="AC4699" s="15"/>
      <c r="AD4699" s="15"/>
      <c r="AE4699" s="15"/>
      <c r="AF4699" s="15"/>
      <c r="AG4699" s="15"/>
      <c r="AH4699" s="15"/>
      <c r="AI4699" s="15"/>
      <c r="AJ4699" s="15"/>
      <c r="AK4699" s="15"/>
      <c r="AL4699" s="15"/>
      <c r="AM4699" s="15"/>
      <c r="AN4699" s="15"/>
      <c r="AO4699" s="15"/>
      <c r="AP4699" s="15"/>
      <c r="AQ4699" s="15"/>
      <c r="AR4699" s="15"/>
      <c r="AS4699" s="15"/>
      <c r="AT4699" s="15"/>
      <c r="AU4699" s="15"/>
      <c r="AV4699" s="15"/>
      <c r="AW4699" s="15"/>
    </row>
    <row r="4700" spans="3:49" x14ac:dyDescent="0.2">
      <c r="C4700" s="15"/>
      <c r="D4700" s="15"/>
      <c r="E4700" s="15"/>
      <c r="F4700" s="15"/>
      <c r="G4700" s="15"/>
      <c r="H4700" s="15"/>
      <c r="I4700" s="15"/>
      <c r="J4700" s="15"/>
      <c r="K4700" s="15"/>
      <c r="L4700" s="28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  <c r="AA4700" s="15"/>
      <c r="AB4700" s="15"/>
      <c r="AC4700" s="15"/>
      <c r="AD4700" s="15"/>
      <c r="AE4700" s="15"/>
      <c r="AF4700" s="15"/>
      <c r="AG4700" s="15"/>
      <c r="AH4700" s="15"/>
      <c r="AI4700" s="15"/>
      <c r="AJ4700" s="15"/>
      <c r="AK4700" s="15"/>
      <c r="AL4700" s="15"/>
      <c r="AM4700" s="15"/>
      <c r="AN4700" s="15"/>
      <c r="AO4700" s="15"/>
      <c r="AP4700" s="15"/>
      <c r="AQ4700" s="15"/>
      <c r="AR4700" s="15"/>
      <c r="AS4700" s="15"/>
      <c r="AT4700" s="15"/>
      <c r="AU4700" s="15"/>
      <c r="AV4700" s="15"/>
      <c r="AW4700" s="15"/>
    </row>
    <row r="4701" spans="3:49" x14ac:dyDescent="0.2">
      <c r="C4701" s="15"/>
      <c r="D4701" s="15"/>
      <c r="E4701" s="15"/>
      <c r="F4701" s="15"/>
      <c r="G4701" s="15"/>
      <c r="H4701" s="15"/>
      <c r="I4701" s="15"/>
      <c r="J4701" s="15"/>
      <c r="K4701" s="15"/>
      <c r="L4701" s="28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  <c r="AA4701" s="15"/>
      <c r="AB4701" s="15"/>
      <c r="AC4701" s="15"/>
      <c r="AD4701" s="15"/>
      <c r="AE4701" s="15"/>
      <c r="AF4701" s="15"/>
      <c r="AG4701" s="15"/>
      <c r="AH4701" s="15"/>
      <c r="AI4701" s="15"/>
      <c r="AJ4701" s="15"/>
      <c r="AK4701" s="15"/>
      <c r="AL4701" s="15"/>
      <c r="AM4701" s="15"/>
      <c r="AN4701" s="15"/>
      <c r="AO4701" s="15"/>
      <c r="AP4701" s="15"/>
      <c r="AQ4701" s="15"/>
      <c r="AR4701" s="15"/>
      <c r="AS4701" s="15"/>
      <c r="AT4701" s="15"/>
      <c r="AU4701" s="15"/>
      <c r="AV4701" s="15"/>
      <c r="AW4701" s="15"/>
    </row>
    <row r="4702" spans="3:49" x14ac:dyDescent="0.2">
      <c r="C4702" s="15"/>
      <c r="D4702" s="15"/>
      <c r="E4702" s="15"/>
      <c r="F4702" s="15"/>
      <c r="G4702" s="15"/>
      <c r="H4702" s="15"/>
      <c r="I4702" s="15"/>
      <c r="J4702" s="15"/>
      <c r="K4702" s="15"/>
      <c r="L4702" s="28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  <c r="AA4702" s="15"/>
      <c r="AB4702" s="15"/>
      <c r="AC4702" s="15"/>
      <c r="AD4702" s="15"/>
      <c r="AE4702" s="15"/>
      <c r="AF4702" s="15"/>
      <c r="AG4702" s="15"/>
      <c r="AH4702" s="15"/>
      <c r="AI4702" s="15"/>
      <c r="AJ4702" s="15"/>
      <c r="AK4702" s="15"/>
      <c r="AL4702" s="15"/>
      <c r="AM4702" s="15"/>
      <c r="AN4702" s="15"/>
      <c r="AO4702" s="15"/>
      <c r="AP4702" s="15"/>
      <c r="AQ4702" s="15"/>
      <c r="AR4702" s="15"/>
      <c r="AS4702" s="15"/>
      <c r="AT4702" s="15"/>
      <c r="AU4702" s="15"/>
      <c r="AV4702" s="15"/>
      <c r="AW4702" s="15"/>
    </row>
    <row r="4703" spans="3:49" x14ac:dyDescent="0.2">
      <c r="C4703" s="15"/>
      <c r="D4703" s="15"/>
      <c r="E4703" s="15"/>
      <c r="F4703" s="15"/>
      <c r="G4703" s="15"/>
      <c r="H4703" s="15"/>
      <c r="I4703" s="15"/>
      <c r="J4703" s="15"/>
      <c r="K4703" s="15"/>
      <c r="L4703" s="28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  <c r="AA4703" s="15"/>
      <c r="AB4703" s="15"/>
      <c r="AC4703" s="15"/>
      <c r="AD4703" s="15"/>
      <c r="AE4703" s="15"/>
      <c r="AF4703" s="15"/>
      <c r="AG4703" s="15"/>
      <c r="AH4703" s="15"/>
      <c r="AI4703" s="15"/>
      <c r="AJ4703" s="15"/>
      <c r="AK4703" s="15"/>
      <c r="AL4703" s="15"/>
      <c r="AM4703" s="15"/>
      <c r="AN4703" s="15"/>
      <c r="AO4703" s="15"/>
      <c r="AP4703" s="15"/>
      <c r="AQ4703" s="15"/>
      <c r="AR4703" s="15"/>
      <c r="AS4703" s="15"/>
      <c r="AT4703" s="15"/>
      <c r="AU4703" s="15"/>
      <c r="AV4703" s="15"/>
      <c r="AW4703" s="15"/>
    </row>
    <row r="4704" spans="3:49" x14ac:dyDescent="0.2">
      <c r="C4704" s="15"/>
      <c r="D4704" s="15"/>
      <c r="E4704" s="15"/>
      <c r="F4704" s="15"/>
      <c r="G4704" s="15"/>
      <c r="H4704" s="15"/>
      <c r="I4704" s="15"/>
      <c r="J4704" s="15"/>
      <c r="K4704" s="15"/>
      <c r="L4704" s="28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  <c r="AA4704" s="15"/>
      <c r="AB4704" s="15"/>
      <c r="AC4704" s="15"/>
      <c r="AD4704" s="15"/>
      <c r="AE4704" s="15"/>
      <c r="AF4704" s="15"/>
      <c r="AG4704" s="15"/>
      <c r="AH4704" s="15"/>
      <c r="AI4704" s="15"/>
      <c r="AJ4704" s="15"/>
      <c r="AK4704" s="15"/>
      <c r="AL4704" s="15"/>
      <c r="AM4704" s="15"/>
      <c r="AN4704" s="15"/>
      <c r="AO4704" s="15"/>
      <c r="AP4704" s="15"/>
      <c r="AQ4704" s="15"/>
      <c r="AR4704" s="15"/>
      <c r="AS4704" s="15"/>
      <c r="AT4704" s="15"/>
      <c r="AU4704" s="15"/>
      <c r="AV4704" s="15"/>
      <c r="AW4704" s="15"/>
    </row>
    <row r="4705" spans="3:49" x14ac:dyDescent="0.2">
      <c r="C4705" s="15"/>
      <c r="D4705" s="15"/>
      <c r="E4705" s="15"/>
      <c r="F4705" s="15"/>
      <c r="G4705" s="15"/>
      <c r="H4705" s="15"/>
      <c r="I4705" s="15"/>
      <c r="J4705" s="15"/>
      <c r="K4705" s="15"/>
      <c r="L4705" s="28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  <c r="AA4705" s="15"/>
      <c r="AB4705" s="15"/>
      <c r="AC4705" s="15"/>
      <c r="AD4705" s="15"/>
      <c r="AE4705" s="15"/>
      <c r="AF4705" s="15"/>
      <c r="AG4705" s="15"/>
      <c r="AH4705" s="15"/>
      <c r="AI4705" s="15"/>
      <c r="AJ4705" s="15"/>
      <c r="AK4705" s="15"/>
      <c r="AL4705" s="15"/>
      <c r="AM4705" s="15"/>
      <c r="AN4705" s="15"/>
      <c r="AO4705" s="15"/>
      <c r="AP4705" s="15"/>
      <c r="AQ4705" s="15"/>
      <c r="AR4705" s="15"/>
      <c r="AS4705" s="15"/>
      <c r="AT4705" s="15"/>
      <c r="AU4705" s="15"/>
      <c r="AV4705" s="15"/>
      <c r="AW4705" s="15"/>
    </row>
    <row r="4706" spans="3:49" x14ac:dyDescent="0.2">
      <c r="C4706" s="15"/>
      <c r="D4706" s="15"/>
      <c r="E4706" s="15"/>
      <c r="F4706" s="15"/>
      <c r="G4706" s="15"/>
      <c r="H4706" s="15"/>
      <c r="I4706" s="15"/>
      <c r="J4706" s="15"/>
      <c r="K4706" s="15"/>
      <c r="L4706" s="28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  <c r="AA4706" s="15"/>
      <c r="AB4706" s="15"/>
      <c r="AC4706" s="15"/>
      <c r="AD4706" s="15"/>
      <c r="AE4706" s="15"/>
      <c r="AF4706" s="15"/>
      <c r="AG4706" s="15"/>
      <c r="AH4706" s="15"/>
      <c r="AI4706" s="15"/>
      <c r="AJ4706" s="15"/>
      <c r="AK4706" s="15"/>
      <c r="AL4706" s="15"/>
      <c r="AM4706" s="15"/>
      <c r="AN4706" s="15"/>
      <c r="AO4706" s="15"/>
      <c r="AP4706" s="15"/>
      <c r="AQ4706" s="15"/>
      <c r="AR4706" s="15"/>
      <c r="AS4706" s="15"/>
      <c r="AT4706" s="15"/>
      <c r="AU4706" s="15"/>
      <c r="AV4706" s="15"/>
      <c r="AW4706" s="15"/>
    </row>
    <row r="4707" spans="3:49" x14ac:dyDescent="0.2">
      <c r="C4707" s="15"/>
      <c r="D4707" s="15"/>
      <c r="E4707" s="15"/>
      <c r="F4707" s="15"/>
      <c r="G4707" s="15"/>
      <c r="H4707" s="15"/>
      <c r="I4707" s="15"/>
      <c r="J4707" s="15"/>
      <c r="K4707" s="15"/>
      <c r="L4707" s="28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  <c r="AA4707" s="15"/>
      <c r="AB4707" s="15"/>
      <c r="AC4707" s="15"/>
      <c r="AD4707" s="15"/>
      <c r="AE4707" s="15"/>
      <c r="AF4707" s="15"/>
      <c r="AG4707" s="15"/>
      <c r="AH4707" s="15"/>
      <c r="AI4707" s="15"/>
      <c r="AJ4707" s="15"/>
      <c r="AK4707" s="15"/>
      <c r="AL4707" s="15"/>
      <c r="AM4707" s="15"/>
      <c r="AN4707" s="15"/>
      <c r="AO4707" s="15"/>
      <c r="AP4707" s="15"/>
      <c r="AQ4707" s="15"/>
      <c r="AR4707" s="15"/>
      <c r="AS4707" s="15"/>
      <c r="AT4707" s="15"/>
      <c r="AU4707" s="15"/>
      <c r="AV4707" s="15"/>
      <c r="AW4707" s="15"/>
    </row>
    <row r="4708" spans="3:49" x14ac:dyDescent="0.2">
      <c r="C4708" s="15"/>
      <c r="D4708" s="15"/>
      <c r="E4708" s="15"/>
      <c r="F4708" s="15"/>
      <c r="G4708" s="15"/>
      <c r="H4708" s="15"/>
      <c r="I4708" s="15"/>
      <c r="J4708" s="15"/>
      <c r="K4708" s="15"/>
      <c r="L4708" s="28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  <c r="AA4708" s="15"/>
      <c r="AB4708" s="15"/>
      <c r="AC4708" s="15"/>
      <c r="AD4708" s="15"/>
      <c r="AE4708" s="15"/>
      <c r="AF4708" s="15"/>
      <c r="AG4708" s="15"/>
      <c r="AH4708" s="15"/>
      <c r="AI4708" s="15"/>
      <c r="AJ4708" s="15"/>
      <c r="AK4708" s="15"/>
      <c r="AL4708" s="15"/>
      <c r="AM4708" s="15"/>
      <c r="AN4708" s="15"/>
      <c r="AO4708" s="15"/>
      <c r="AP4708" s="15"/>
      <c r="AQ4708" s="15"/>
      <c r="AR4708" s="15"/>
      <c r="AS4708" s="15"/>
      <c r="AT4708" s="15"/>
      <c r="AU4708" s="15"/>
      <c r="AV4708" s="15"/>
      <c r="AW4708" s="15"/>
    </row>
    <row r="4709" spans="3:49" x14ac:dyDescent="0.2">
      <c r="C4709" s="15"/>
      <c r="D4709" s="15"/>
      <c r="E4709" s="15"/>
      <c r="F4709" s="15"/>
      <c r="G4709" s="15"/>
      <c r="H4709" s="15"/>
      <c r="I4709" s="15"/>
      <c r="J4709" s="15"/>
      <c r="K4709" s="15"/>
      <c r="L4709" s="28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  <c r="AA4709" s="15"/>
      <c r="AB4709" s="15"/>
      <c r="AC4709" s="15"/>
      <c r="AD4709" s="15"/>
      <c r="AE4709" s="15"/>
      <c r="AF4709" s="15"/>
      <c r="AG4709" s="15"/>
      <c r="AH4709" s="15"/>
      <c r="AI4709" s="15"/>
      <c r="AJ4709" s="15"/>
      <c r="AK4709" s="15"/>
      <c r="AL4709" s="15"/>
      <c r="AM4709" s="15"/>
      <c r="AN4709" s="15"/>
      <c r="AO4709" s="15"/>
      <c r="AP4709" s="15"/>
      <c r="AQ4709" s="15"/>
      <c r="AR4709" s="15"/>
      <c r="AS4709" s="15"/>
      <c r="AT4709" s="15"/>
      <c r="AU4709" s="15"/>
      <c r="AV4709" s="15"/>
      <c r="AW4709" s="15"/>
    </row>
    <row r="4710" spans="3:49" x14ac:dyDescent="0.2">
      <c r="C4710" s="15"/>
      <c r="D4710" s="15"/>
      <c r="E4710" s="15"/>
      <c r="F4710" s="15"/>
      <c r="G4710" s="15"/>
      <c r="H4710" s="15"/>
      <c r="I4710" s="15"/>
      <c r="J4710" s="15"/>
      <c r="K4710" s="15"/>
      <c r="L4710" s="28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  <c r="AA4710" s="15"/>
      <c r="AB4710" s="15"/>
      <c r="AC4710" s="15"/>
      <c r="AD4710" s="15"/>
      <c r="AE4710" s="15"/>
      <c r="AF4710" s="15"/>
      <c r="AG4710" s="15"/>
      <c r="AH4710" s="15"/>
      <c r="AI4710" s="15"/>
      <c r="AJ4710" s="15"/>
      <c r="AK4710" s="15"/>
      <c r="AL4710" s="15"/>
      <c r="AM4710" s="15"/>
      <c r="AN4710" s="15"/>
      <c r="AO4710" s="15"/>
      <c r="AP4710" s="15"/>
      <c r="AQ4710" s="15"/>
      <c r="AR4710" s="15"/>
      <c r="AS4710" s="15"/>
      <c r="AT4710" s="15"/>
      <c r="AU4710" s="15"/>
      <c r="AV4710" s="15"/>
      <c r="AW4710" s="15"/>
    </row>
    <row r="4711" spans="3:49" x14ac:dyDescent="0.2">
      <c r="C4711" s="15"/>
      <c r="D4711" s="15"/>
      <c r="E4711" s="15"/>
      <c r="F4711" s="15"/>
      <c r="G4711" s="15"/>
      <c r="H4711" s="15"/>
      <c r="I4711" s="15"/>
      <c r="J4711" s="15"/>
      <c r="K4711" s="15"/>
      <c r="L4711" s="28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  <c r="AA4711" s="15"/>
      <c r="AB4711" s="15"/>
      <c r="AC4711" s="15"/>
      <c r="AD4711" s="15"/>
      <c r="AE4711" s="15"/>
      <c r="AF4711" s="15"/>
      <c r="AG4711" s="15"/>
      <c r="AH4711" s="15"/>
      <c r="AI4711" s="15"/>
      <c r="AJ4711" s="15"/>
      <c r="AK4711" s="15"/>
      <c r="AL4711" s="15"/>
      <c r="AM4711" s="15"/>
      <c r="AN4711" s="15"/>
      <c r="AO4711" s="15"/>
      <c r="AP4711" s="15"/>
      <c r="AQ4711" s="15"/>
      <c r="AR4711" s="15"/>
      <c r="AS4711" s="15"/>
      <c r="AT4711" s="15"/>
      <c r="AU4711" s="15"/>
      <c r="AV4711" s="15"/>
      <c r="AW4711" s="15"/>
    </row>
    <row r="4712" spans="3:49" x14ac:dyDescent="0.2">
      <c r="C4712" s="15"/>
      <c r="D4712" s="15"/>
      <c r="E4712" s="15"/>
      <c r="F4712" s="15"/>
      <c r="G4712" s="15"/>
      <c r="H4712" s="15"/>
      <c r="I4712" s="15"/>
      <c r="J4712" s="15"/>
      <c r="K4712" s="15"/>
      <c r="L4712" s="28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  <c r="AA4712" s="15"/>
      <c r="AB4712" s="15"/>
      <c r="AC4712" s="15"/>
      <c r="AD4712" s="15"/>
      <c r="AE4712" s="15"/>
      <c r="AF4712" s="15"/>
      <c r="AG4712" s="15"/>
      <c r="AH4712" s="15"/>
      <c r="AI4712" s="15"/>
      <c r="AJ4712" s="15"/>
      <c r="AK4712" s="15"/>
      <c r="AL4712" s="15"/>
      <c r="AM4712" s="15"/>
      <c r="AN4712" s="15"/>
      <c r="AO4712" s="15"/>
      <c r="AP4712" s="15"/>
      <c r="AQ4712" s="15"/>
      <c r="AR4712" s="15"/>
      <c r="AS4712" s="15"/>
      <c r="AT4712" s="15"/>
      <c r="AU4712" s="15"/>
      <c r="AV4712" s="15"/>
      <c r="AW4712" s="15"/>
    </row>
    <row r="4713" spans="3:49" x14ac:dyDescent="0.2">
      <c r="C4713" s="15"/>
      <c r="D4713" s="15"/>
      <c r="E4713" s="15"/>
      <c r="F4713" s="15"/>
      <c r="G4713" s="15"/>
      <c r="H4713" s="15"/>
      <c r="I4713" s="15"/>
      <c r="J4713" s="15"/>
      <c r="K4713" s="15"/>
      <c r="L4713" s="28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  <c r="AA4713" s="15"/>
      <c r="AB4713" s="15"/>
      <c r="AC4713" s="15"/>
      <c r="AD4713" s="15"/>
      <c r="AE4713" s="15"/>
      <c r="AF4713" s="15"/>
      <c r="AG4713" s="15"/>
      <c r="AH4713" s="15"/>
      <c r="AI4713" s="15"/>
      <c r="AJ4713" s="15"/>
      <c r="AK4713" s="15"/>
      <c r="AL4713" s="15"/>
      <c r="AM4713" s="15"/>
      <c r="AN4713" s="15"/>
      <c r="AO4713" s="15"/>
      <c r="AP4713" s="15"/>
      <c r="AQ4713" s="15"/>
      <c r="AR4713" s="15"/>
      <c r="AS4713" s="15"/>
      <c r="AT4713" s="15"/>
      <c r="AU4713" s="15"/>
      <c r="AV4713" s="15"/>
      <c r="AW4713" s="15"/>
    </row>
    <row r="4714" spans="3:49" x14ac:dyDescent="0.2">
      <c r="C4714" s="15"/>
      <c r="D4714" s="15"/>
      <c r="E4714" s="15"/>
      <c r="F4714" s="15"/>
      <c r="G4714" s="15"/>
      <c r="H4714" s="15"/>
      <c r="I4714" s="15"/>
      <c r="J4714" s="15"/>
      <c r="K4714" s="15"/>
      <c r="L4714" s="28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  <c r="AA4714" s="15"/>
      <c r="AB4714" s="15"/>
      <c r="AC4714" s="15"/>
      <c r="AD4714" s="15"/>
      <c r="AE4714" s="15"/>
      <c r="AF4714" s="15"/>
      <c r="AG4714" s="15"/>
      <c r="AH4714" s="15"/>
      <c r="AI4714" s="15"/>
      <c r="AJ4714" s="15"/>
      <c r="AK4714" s="15"/>
      <c r="AL4714" s="15"/>
      <c r="AM4714" s="15"/>
      <c r="AN4714" s="15"/>
      <c r="AO4714" s="15"/>
      <c r="AP4714" s="15"/>
      <c r="AQ4714" s="15"/>
      <c r="AR4714" s="15"/>
      <c r="AS4714" s="15"/>
      <c r="AT4714" s="15"/>
      <c r="AU4714" s="15"/>
      <c r="AV4714" s="15"/>
      <c r="AW4714" s="15"/>
    </row>
    <row r="4715" spans="3:49" x14ac:dyDescent="0.2">
      <c r="C4715" s="15"/>
      <c r="D4715" s="15"/>
      <c r="E4715" s="15"/>
      <c r="F4715" s="15"/>
      <c r="G4715" s="15"/>
      <c r="H4715" s="15"/>
      <c r="I4715" s="15"/>
      <c r="J4715" s="15"/>
      <c r="K4715" s="15"/>
      <c r="L4715" s="28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  <c r="AA4715" s="15"/>
      <c r="AB4715" s="15"/>
      <c r="AC4715" s="15"/>
      <c r="AD4715" s="15"/>
      <c r="AE4715" s="15"/>
      <c r="AF4715" s="15"/>
      <c r="AG4715" s="15"/>
      <c r="AH4715" s="15"/>
      <c r="AI4715" s="15"/>
      <c r="AJ4715" s="15"/>
      <c r="AK4715" s="15"/>
      <c r="AL4715" s="15"/>
      <c r="AM4715" s="15"/>
      <c r="AN4715" s="15"/>
      <c r="AO4715" s="15"/>
      <c r="AP4715" s="15"/>
      <c r="AQ4715" s="15"/>
      <c r="AR4715" s="15"/>
      <c r="AS4715" s="15"/>
      <c r="AT4715" s="15"/>
      <c r="AU4715" s="15"/>
      <c r="AV4715" s="15"/>
      <c r="AW4715" s="15"/>
    </row>
    <row r="4716" spans="3:49" x14ac:dyDescent="0.2">
      <c r="C4716" s="15"/>
      <c r="D4716" s="15"/>
      <c r="E4716" s="15"/>
      <c r="F4716" s="15"/>
      <c r="G4716" s="15"/>
      <c r="H4716" s="15"/>
      <c r="I4716" s="15"/>
      <c r="J4716" s="15"/>
      <c r="K4716" s="15"/>
      <c r="L4716" s="28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  <c r="AA4716" s="15"/>
      <c r="AB4716" s="15"/>
      <c r="AC4716" s="15"/>
      <c r="AD4716" s="15"/>
      <c r="AE4716" s="15"/>
      <c r="AF4716" s="15"/>
      <c r="AG4716" s="15"/>
      <c r="AH4716" s="15"/>
      <c r="AI4716" s="15"/>
      <c r="AJ4716" s="15"/>
      <c r="AK4716" s="15"/>
      <c r="AL4716" s="15"/>
      <c r="AM4716" s="15"/>
      <c r="AN4716" s="15"/>
      <c r="AO4716" s="15"/>
      <c r="AP4716" s="15"/>
      <c r="AQ4716" s="15"/>
      <c r="AR4716" s="15"/>
      <c r="AS4716" s="15"/>
      <c r="AT4716" s="15"/>
      <c r="AU4716" s="15"/>
      <c r="AV4716" s="15"/>
      <c r="AW4716" s="15"/>
    </row>
    <row r="4717" spans="3:49" x14ac:dyDescent="0.2">
      <c r="C4717" s="15"/>
      <c r="D4717" s="15"/>
      <c r="E4717" s="15"/>
      <c r="F4717" s="15"/>
      <c r="G4717" s="15"/>
      <c r="H4717" s="15"/>
      <c r="I4717" s="15"/>
      <c r="J4717" s="15"/>
      <c r="K4717" s="15"/>
      <c r="L4717" s="28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  <c r="AA4717" s="15"/>
      <c r="AB4717" s="15"/>
      <c r="AC4717" s="15"/>
      <c r="AD4717" s="15"/>
      <c r="AE4717" s="15"/>
      <c r="AF4717" s="15"/>
      <c r="AG4717" s="15"/>
      <c r="AH4717" s="15"/>
      <c r="AI4717" s="15"/>
      <c r="AJ4717" s="15"/>
      <c r="AK4717" s="15"/>
      <c r="AL4717" s="15"/>
      <c r="AM4717" s="15"/>
      <c r="AN4717" s="15"/>
      <c r="AO4717" s="15"/>
      <c r="AP4717" s="15"/>
      <c r="AQ4717" s="15"/>
      <c r="AR4717" s="15"/>
      <c r="AS4717" s="15"/>
      <c r="AT4717" s="15"/>
      <c r="AU4717" s="15"/>
      <c r="AV4717" s="15"/>
      <c r="AW4717" s="15"/>
    </row>
    <row r="4718" spans="3:49" x14ac:dyDescent="0.2">
      <c r="C4718" s="15"/>
      <c r="D4718" s="15"/>
      <c r="E4718" s="15"/>
      <c r="F4718" s="15"/>
      <c r="G4718" s="15"/>
      <c r="H4718" s="15"/>
      <c r="I4718" s="15"/>
      <c r="J4718" s="15"/>
      <c r="K4718" s="15"/>
      <c r="L4718" s="28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  <c r="AA4718" s="15"/>
      <c r="AB4718" s="15"/>
      <c r="AC4718" s="15"/>
      <c r="AD4718" s="15"/>
      <c r="AE4718" s="15"/>
      <c r="AF4718" s="15"/>
      <c r="AG4718" s="15"/>
      <c r="AH4718" s="15"/>
      <c r="AI4718" s="15"/>
      <c r="AJ4718" s="15"/>
      <c r="AK4718" s="15"/>
      <c r="AL4718" s="15"/>
      <c r="AM4718" s="15"/>
      <c r="AN4718" s="15"/>
      <c r="AO4718" s="15"/>
      <c r="AP4718" s="15"/>
      <c r="AQ4718" s="15"/>
      <c r="AR4718" s="15"/>
      <c r="AS4718" s="15"/>
      <c r="AT4718" s="15"/>
      <c r="AU4718" s="15"/>
      <c r="AV4718" s="15"/>
      <c r="AW4718" s="15"/>
    </row>
    <row r="4719" spans="3:49" x14ac:dyDescent="0.2">
      <c r="C4719" s="15"/>
      <c r="D4719" s="15"/>
      <c r="E4719" s="15"/>
      <c r="F4719" s="15"/>
      <c r="G4719" s="15"/>
      <c r="H4719" s="15"/>
      <c r="I4719" s="15"/>
      <c r="J4719" s="15"/>
      <c r="K4719" s="15"/>
      <c r="L4719" s="28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  <c r="AA4719" s="15"/>
      <c r="AB4719" s="15"/>
      <c r="AC4719" s="15"/>
      <c r="AD4719" s="15"/>
      <c r="AE4719" s="15"/>
      <c r="AF4719" s="15"/>
      <c r="AG4719" s="15"/>
      <c r="AH4719" s="15"/>
      <c r="AI4719" s="15"/>
      <c r="AJ4719" s="15"/>
      <c r="AK4719" s="15"/>
      <c r="AL4719" s="15"/>
      <c r="AM4719" s="15"/>
      <c r="AN4719" s="15"/>
      <c r="AO4719" s="15"/>
      <c r="AP4719" s="15"/>
      <c r="AQ4719" s="15"/>
      <c r="AR4719" s="15"/>
      <c r="AS4719" s="15"/>
      <c r="AT4719" s="15"/>
      <c r="AU4719" s="15"/>
      <c r="AV4719" s="15"/>
      <c r="AW4719" s="15"/>
    </row>
    <row r="4720" spans="3:49" x14ac:dyDescent="0.2">
      <c r="C4720" s="15"/>
      <c r="D4720" s="15"/>
      <c r="E4720" s="15"/>
      <c r="F4720" s="15"/>
      <c r="G4720" s="15"/>
      <c r="H4720" s="15"/>
      <c r="I4720" s="15"/>
      <c r="J4720" s="15"/>
      <c r="K4720" s="15"/>
      <c r="L4720" s="28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  <c r="AA4720" s="15"/>
      <c r="AB4720" s="15"/>
      <c r="AC4720" s="15"/>
      <c r="AD4720" s="15"/>
      <c r="AE4720" s="15"/>
      <c r="AF4720" s="15"/>
      <c r="AG4720" s="15"/>
      <c r="AH4720" s="15"/>
      <c r="AI4720" s="15"/>
      <c r="AJ4720" s="15"/>
      <c r="AK4720" s="15"/>
      <c r="AL4720" s="15"/>
      <c r="AM4720" s="15"/>
      <c r="AN4720" s="15"/>
      <c r="AO4720" s="15"/>
      <c r="AP4720" s="15"/>
      <c r="AQ4720" s="15"/>
      <c r="AR4720" s="15"/>
      <c r="AS4720" s="15"/>
      <c r="AT4720" s="15"/>
      <c r="AU4720" s="15"/>
      <c r="AV4720" s="15"/>
      <c r="AW4720" s="15"/>
    </row>
    <row r="4721" spans="3:49" x14ac:dyDescent="0.2">
      <c r="C4721" s="15"/>
      <c r="D4721" s="15"/>
      <c r="E4721" s="15"/>
      <c r="F4721" s="15"/>
      <c r="G4721" s="15"/>
      <c r="H4721" s="15"/>
      <c r="I4721" s="15"/>
      <c r="J4721" s="15"/>
      <c r="K4721" s="15"/>
      <c r="L4721" s="28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  <c r="AA4721" s="15"/>
      <c r="AB4721" s="15"/>
      <c r="AC4721" s="15"/>
      <c r="AD4721" s="15"/>
      <c r="AE4721" s="15"/>
      <c r="AF4721" s="15"/>
      <c r="AG4721" s="15"/>
      <c r="AH4721" s="15"/>
      <c r="AI4721" s="15"/>
      <c r="AJ4721" s="15"/>
      <c r="AK4721" s="15"/>
      <c r="AL4721" s="15"/>
      <c r="AM4721" s="15"/>
      <c r="AN4721" s="15"/>
      <c r="AO4721" s="15"/>
      <c r="AP4721" s="15"/>
      <c r="AQ4721" s="15"/>
      <c r="AR4721" s="15"/>
      <c r="AS4721" s="15"/>
      <c r="AT4721" s="15"/>
      <c r="AU4721" s="15"/>
      <c r="AV4721" s="15"/>
      <c r="AW4721" s="15"/>
    </row>
    <row r="4722" spans="3:49" x14ac:dyDescent="0.2">
      <c r="C4722" s="15"/>
      <c r="D4722" s="15"/>
      <c r="E4722" s="15"/>
      <c r="F4722" s="15"/>
      <c r="G4722" s="15"/>
      <c r="H4722" s="15"/>
      <c r="I4722" s="15"/>
      <c r="J4722" s="15"/>
      <c r="K4722" s="15"/>
      <c r="L4722" s="28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  <c r="AA4722" s="15"/>
      <c r="AB4722" s="15"/>
      <c r="AC4722" s="15"/>
      <c r="AD4722" s="15"/>
      <c r="AE4722" s="15"/>
      <c r="AF4722" s="15"/>
      <c r="AG4722" s="15"/>
      <c r="AH4722" s="15"/>
      <c r="AI4722" s="15"/>
      <c r="AJ4722" s="15"/>
      <c r="AK4722" s="15"/>
      <c r="AL4722" s="15"/>
      <c r="AM4722" s="15"/>
      <c r="AN4722" s="15"/>
      <c r="AO4722" s="15"/>
      <c r="AP4722" s="15"/>
      <c r="AQ4722" s="15"/>
      <c r="AR4722" s="15"/>
      <c r="AS4722" s="15"/>
      <c r="AT4722" s="15"/>
      <c r="AU4722" s="15"/>
      <c r="AV4722" s="15"/>
      <c r="AW4722" s="15"/>
    </row>
    <row r="4723" spans="3:49" x14ac:dyDescent="0.2">
      <c r="C4723" s="15"/>
      <c r="D4723" s="15"/>
      <c r="E4723" s="15"/>
      <c r="F4723" s="15"/>
      <c r="G4723" s="15"/>
      <c r="H4723" s="15"/>
      <c r="I4723" s="15"/>
      <c r="J4723" s="15"/>
      <c r="K4723" s="15"/>
      <c r="L4723" s="28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  <c r="AA4723" s="15"/>
      <c r="AB4723" s="15"/>
      <c r="AC4723" s="15"/>
      <c r="AD4723" s="15"/>
      <c r="AE4723" s="15"/>
      <c r="AF4723" s="15"/>
      <c r="AG4723" s="15"/>
      <c r="AH4723" s="15"/>
      <c r="AI4723" s="15"/>
      <c r="AJ4723" s="15"/>
      <c r="AK4723" s="15"/>
      <c r="AL4723" s="15"/>
      <c r="AM4723" s="15"/>
      <c r="AN4723" s="15"/>
      <c r="AO4723" s="15"/>
      <c r="AP4723" s="15"/>
      <c r="AQ4723" s="15"/>
      <c r="AR4723" s="15"/>
      <c r="AS4723" s="15"/>
      <c r="AT4723" s="15"/>
      <c r="AU4723" s="15"/>
      <c r="AV4723" s="15"/>
      <c r="AW4723" s="15"/>
    </row>
    <row r="4724" spans="3:49" x14ac:dyDescent="0.2">
      <c r="C4724" s="15"/>
      <c r="D4724" s="15"/>
      <c r="E4724" s="15"/>
      <c r="F4724" s="15"/>
      <c r="G4724" s="15"/>
      <c r="H4724" s="15"/>
      <c r="I4724" s="15"/>
      <c r="J4724" s="15"/>
      <c r="K4724" s="15"/>
      <c r="L4724" s="28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  <c r="AA4724" s="15"/>
      <c r="AB4724" s="15"/>
      <c r="AC4724" s="15"/>
      <c r="AD4724" s="15"/>
      <c r="AE4724" s="15"/>
      <c r="AF4724" s="15"/>
      <c r="AG4724" s="15"/>
      <c r="AH4724" s="15"/>
      <c r="AI4724" s="15"/>
      <c r="AJ4724" s="15"/>
      <c r="AK4724" s="15"/>
      <c r="AL4724" s="15"/>
      <c r="AM4724" s="15"/>
      <c r="AN4724" s="15"/>
      <c r="AO4724" s="15"/>
      <c r="AP4724" s="15"/>
      <c r="AQ4724" s="15"/>
      <c r="AR4724" s="15"/>
      <c r="AS4724" s="15"/>
      <c r="AT4724" s="15"/>
      <c r="AU4724" s="15"/>
      <c r="AV4724" s="15"/>
      <c r="AW4724" s="15"/>
    </row>
    <row r="4725" spans="3:49" x14ac:dyDescent="0.2">
      <c r="C4725" s="15"/>
      <c r="D4725" s="15"/>
      <c r="E4725" s="15"/>
      <c r="F4725" s="15"/>
      <c r="G4725" s="15"/>
      <c r="H4725" s="15"/>
      <c r="I4725" s="15"/>
      <c r="J4725" s="15"/>
      <c r="K4725" s="15"/>
      <c r="L4725" s="28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  <c r="AA4725" s="15"/>
      <c r="AB4725" s="15"/>
      <c r="AC4725" s="15"/>
      <c r="AD4725" s="15"/>
      <c r="AE4725" s="15"/>
      <c r="AF4725" s="15"/>
      <c r="AG4725" s="15"/>
      <c r="AH4725" s="15"/>
      <c r="AI4725" s="15"/>
      <c r="AJ4725" s="15"/>
      <c r="AK4725" s="15"/>
      <c r="AL4725" s="15"/>
      <c r="AM4725" s="15"/>
      <c r="AN4725" s="15"/>
      <c r="AO4725" s="15"/>
      <c r="AP4725" s="15"/>
      <c r="AQ4725" s="15"/>
      <c r="AR4725" s="15"/>
      <c r="AS4725" s="15"/>
      <c r="AT4725" s="15"/>
      <c r="AU4725" s="15"/>
      <c r="AV4725" s="15"/>
      <c r="AW4725" s="15"/>
    </row>
    <row r="4726" spans="3:49" x14ac:dyDescent="0.2">
      <c r="C4726" s="15"/>
      <c r="D4726" s="15"/>
      <c r="E4726" s="15"/>
      <c r="F4726" s="15"/>
      <c r="G4726" s="15"/>
      <c r="H4726" s="15"/>
      <c r="I4726" s="15"/>
      <c r="J4726" s="15"/>
      <c r="K4726" s="15"/>
      <c r="L4726" s="28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  <c r="AA4726" s="15"/>
      <c r="AB4726" s="15"/>
      <c r="AC4726" s="15"/>
      <c r="AD4726" s="15"/>
      <c r="AE4726" s="15"/>
      <c r="AF4726" s="15"/>
      <c r="AG4726" s="15"/>
      <c r="AH4726" s="15"/>
      <c r="AI4726" s="15"/>
      <c r="AJ4726" s="15"/>
      <c r="AK4726" s="15"/>
      <c r="AL4726" s="15"/>
      <c r="AM4726" s="15"/>
      <c r="AN4726" s="15"/>
      <c r="AO4726" s="15"/>
      <c r="AP4726" s="15"/>
      <c r="AQ4726" s="15"/>
      <c r="AR4726" s="15"/>
      <c r="AS4726" s="15"/>
      <c r="AT4726" s="15"/>
      <c r="AU4726" s="15"/>
      <c r="AV4726" s="15"/>
      <c r="AW4726" s="15"/>
    </row>
    <row r="4727" spans="3:49" x14ac:dyDescent="0.2">
      <c r="C4727" s="15"/>
      <c r="D4727" s="15"/>
      <c r="E4727" s="15"/>
      <c r="F4727" s="15"/>
      <c r="G4727" s="15"/>
      <c r="H4727" s="15"/>
      <c r="I4727" s="15"/>
      <c r="J4727" s="15"/>
      <c r="K4727" s="15"/>
      <c r="L4727" s="28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  <c r="AA4727" s="15"/>
      <c r="AB4727" s="15"/>
      <c r="AC4727" s="15"/>
      <c r="AD4727" s="15"/>
      <c r="AE4727" s="15"/>
      <c r="AF4727" s="15"/>
      <c r="AG4727" s="15"/>
      <c r="AH4727" s="15"/>
      <c r="AI4727" s="15"/>
      <c r="AJ4727" s="15"/>
      <c r="AK4727" s="15"/>
      <c r="AL4727" s="15"/>
      <c r="AM4727" s="15"/>
      <c r="AN4727" s="15"/>
      <c r="AO4727" s="15"/>
      <c r="AP4727" s="15"/>
      <c r="AQ4727" s="15"/>
      <c r="AR4727" s="15"/>
      <c r="AS4727" s="15"/>
      <c r="AT4727" s="15"/>
      <c r="AU4727" s="15"/>
      <c r="AV4727" s="15"/>
      <c r="AW4727" s="15"/>
    </row>
    <row r="4728" spans="3:49" x14ac:dyDescent="0.2">
      <c r="C4728" s="15"/>
      <c r="D4728" s="15"/>
      <c r="E4728" s="15"/>
      <c r="F4728" s="15"/>
      <c r="G4728" s="15"/>
      <c r="H4728" s="15"/>
      <c r="I4728" s="15"/>
      <c r="J4728" s="15"/>
      <c r="K4728" s="15"/>
      <c r="L4728" s="28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  <c r="AA4728" s="15"/>
      <c r="AB4728" s="15"/>
      <c r="AC4728" s="15"/>
      <c r="AD4728" s="15"/>
      <c r="AE4728" s="15"/>
      <c r="AF4728" s="15"/>
      <c r="AG4728" s="15"/>
      <c r="AH4728" s="15"/>
      <c r="AI4728" s="15"/>
      <c r="AJ4728" s="15"/>
      <c r="AK4728" s="15"/>
      <c r="AL4728" s="15"/>
      <c r="AM4728" s="15"/>
      <c r="AN4728" s="15"/>
      <c r="AO4728" s="15"/>
      <c r="AP4728" s="15"/>
      <c r="AQ4728" s="15"/>
      <c r="AR4728" s="15"/>
      <c r="AS4728" s="15"/>
      <c r="AT4728" s="15"/>
      <c r="AU4728" s="15"/>
      <c r="AV4728" s="15"/>
      <c r="AW4728" s="15"/>
    </row>
    <row r="4729" spans="3:49" x14ac:dyDescent="0.2">
      <c r="C4729" s="15"/>
      <c r="D4729" s="15"/>
      <c r="E4729" s="15"/>
      <c r="F4729" s="15"/>
      <c r="G4729" s="15"/>
      <c r="H4729" s="15"/>
      <c r="I4729" s="15"/>
      <c r="J4729" s="15"/>
      <c r="K4729" s="15"/>
      <c r="L4729" s="28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  <c r="AA4729" s="15"/>
      <c r="AB4729" s="15"/>
      <c r="AC4729" s="15"/>
      <c r="AD4729" s="15"/>
      <c r="AE4729" s="15"/>
      <c r="AF4729" s="15"/>
      <c r="AG4729" s="15"/>
      <c r="AH4729" s="15"/>
      <c r="AI4729" s="15"/>
      <c r="AJ4729" s="15"/>
      <c r="AK4729" s="15"/>
      <c r="AL4729" s="15"/>
      <c r="AM4729" s="15"/>
      <c r="AN4729" s="15"/>
      <c r="AO4729" s="15"/>
      <c r="AP4729" s="15"/>
      <c r="AQ4729" s="15"/>
      <c r="AR4729" s="15"/>
      <c r="AS4729" s="15"/>
      <c r="AT4729" s="15"/>
      <c r="AU4729" s="15"/>
      <c r="AV4729" s="15"/>
      <c r="AW4729" s="15"/>
    </row>
    <row r="4730" spans="3:49" x14ac:dyDescent="0.2">
      <c r="C4730" s="15"/>
      <c r="D4730" s="15"/>
      <c r="E4730" s="15"/>
      <c r="F4730" s="15"/>
      <c r="G4730" s="15"/>
      <c r="H4730" s="15"/>
      <c r="I4730" s="15"/>
      <c r="J4730" s="15"/>
      <c r="K4730" s="15"/>
      <c r="L4730" s="28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  <c r="AA4730" s="15"/>
      <c r="AB4730" s="15"/>
      <c r="AC4730" s="15"/>
      <c r="AD4730" s="15"/>
      <c r="AE4730" s="15"/>
      <c r="AF4730" s="15"/>
      <c r="AG4730" s="15"/>
      <c r="AH4730" s="15"/>
      <c r="AI4730" s="15"/>
      <c r="AJ4730" s="15"/>
      <c r="AK4730" s="15"/>
      <c r="AL4730" s="15"/>
      <c r="AM4730" s="15"/>
      <c r="AN4730" s="15"/>
      <c r="AO4730" s="15"/>
      <c r="AP4730" s="15"/>
      <c r="AQ4730" s="15"/>
      <c r="AR4730" s="15"/>
      <c r="AS4730" s="15"/>
      <c r="AT4730" s="15"/>
      <c r="AU4730" s="15"/>
      <c r="AV4730" s="15"/>
      <c r="AW4730" s="15"/>
    </row>
    <row r="4731" spans="3:49" x14ac:dyDescent="0.2">
      <c r="C4731" s="15"/>
      <c r="D4731" s="15"/>
      <c r="E4731" s="15"/>
      <c r="F4731" s="15"/>
      <c r="G4731" s="15"/>
      <c r="H4731" s="15"/>
      <c r="I4731" s="15"/>
      <c r="J4731" s="15"/>
      <c r="K4731" s="15"/>
      <c r="L4731" s="28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  <c r="AA4731" s="15"/>
      <c r="AB4731" s="15"/>
      <c r="AC4731" s="15"/>
      <c r="AD4731" s="15"/>
      <c r="AE4731" s="15"/>
      <c r="AF4731" s="15"/>
      <c r="AG4731" s="15"/>
      <c r="AH4731" s="15"/>
      <c r="AI4731" s="15"/>
      <c r="AJ4731" s="15"/>
      <c r="AK4731" s="15"/>
      <c r="AL4731" s="15"/>
      <c r="AM4731" s="15"/>
      <c r="AN4731" s="15"/>
      <c r="AO4731" s="15"/>
      <c r="AP4731" s="15"/>
      <c r="AQ4731" s="15"/>
      <c r="AR4731" s="15"/>
      <c r="AS4731" s="15"/>
      <c r="AT4731" s="15"/>
      <c r="AU4731" s="15"/>
      <c r="AV4731" s="15"/>
      <c r="AW4731" s="15"/>
    </row>
    <row r="4732" spans="3:49" x14ac:dyDescent="0.2">
      <c r="C4732" s="15"/>
      <c r="D4732" s="15"/>
      <c r="E4732" s="15"/>
      <c r="F4732" s="15"/>
      <c r="G4732" s="15"/>
      <c r="H4732" s="15"/>
      <c r="I4732" s="15"/>
      <c r="J4732" s="15"/>
      <c r="K4732" s="15"/>
      <c r="L4732" s="28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  <c r="AA4732" s="15"/>
      <c r="AB4732" s="15"/>
      <c r="AC4732" s="15"/>
      <c r="AD4732" s="15"/>
      <c r="AE4732" s="15"/>
      <c r="AF4732" s="15"/>
      <c r="AG4732" s="15"/>
      <c r="AH4732" s="15"/>
      <c r="AI4732" s="15"/>
      <c r="AJ4732" s="15"/>
      <c r="AK4732" s="15"/>
      <c r="AL4732" s="15"/>
      <c r="AM4732" s="15"/>
      <c r="AN4732" s="15"/>
      <c r="AO4732" s="15"/>
      <c r="AP4732" s="15"/>
      <c r="AQ4732" s="15"/>
      <c r="AR4732" s="15"/>
      <c r="AS4732" s="15"/>
      <c r="AT4732" s="15"/>
      <c r="AU4732" s="15"/>
      <c r="AV4732" s="15"/>
      <c r="AW4732" s="15"/>
    </row>
    <row r="4733" spans="3:49" x14ac:dyDescent="0.2">
      <c r="C4733" s="15"/>
      <c r="D4733" s="15"/>
      <c r="E4733" s="15"/>
      <c r="F4733" s="15"/>
      <c r="G4733" s="15"/>
      <c r="H4733" s="15"/>
      <c r="I4733" s="15"/>
      <c r="J4733" s="15"/>
      <c r="K4733" s="15"/>
      <c r="L4733" s="28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  <c r="AA4733" s="15"/>
      <c r="AB4733" s="15"/>
      <c r="AC4733" s="15"/>
      <c r="AD4733" s="15"/>
      <c r="AE4733" s="15"/>
      <c r="AF4733" s="15"/>
      <c r="AG4733" s="15"/>
      <c r="AH4733" s="15"/>
      <c r="AI4733" s="15"/>
      <c r="AJ4733" s="15"/>
      <c r="AK4733" s="15"/>
      <c r="AL4733" s="15"/>
      <c r="AM4733" s="15"/>
      <c r="AN4733" s="15"/>
      <c r="AO4733" s="15"/>
      <c r="AP4733" s="15"/>
      <c r="AQ4733" s="15"/>
      <c r="AR4733" s="15"/>
      <c r="AS4733" s="15"/>
      <c r="AT4733" s="15"/>
      <c r="AU4733" s="15"/>
      <c r="AV4733" s="15"/>
      <c r="AW4733" s="15"/>
    </row>
    <row r="4734" spans="3:49" x14ac:dyDescent="0.2">
      <c r="C4734" s="15"/>
      <c r="D4734" s="15"/>
      <c r="E4734" s="15"/>
      <c r="F4734" s="15"/>
      <c r="G4734" s="15"/>
      <c r="H4734" s="15"/>
      <c r="I4734" s="15"/>
      <c r="J4734" s="15"/>
      <c r="K4734" s="15"/>
      <c r="L4734" s="28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  <c r="AA4734" s="15"/>
      <c r="AB4734" s="15"/>
      <c r="AC4734" s="15"/>
      <c r="AD4734" s="15"/>
      <c r="AE4734" s="15"/>
      <c r="AF4734" s="15"/>
      <c r="AG4734" s="15"/>
      <c r="AH4734" s="15"/>
      <c r="AI4734" s="15"/>
      <c r="AJ4734" s="15"/>
      <c r="AK4734" s="15"/>
      <c r="AL4734" s="15"/>
      <c r="AM4734" s="15"/>
      <c r="AN4734" s="15"/>
      <c r="AO4734" s="15"/>
      <c r="AP4734" s="15"/>
      <c r="AQ4734" s="15"/>
      <c r="AR4734" s="15"/>
      <c r="AS4734" s="15"/>
      <c r="AT4734" s="15"/>
      <c r="AU4734" s="15"/>
      <c r="AV4734" s="15"/>
      <c r="AW4734" s="15"/>
    </row>
    <row r="4735" spans="3:49" x14ac:dyDescent="0.2">
      <c r="C4735" s="15"/>
      <c r="D4735" s="15"/>
      <c r="E4735" s="15"/>
      <c r="F4735" s="15"/>
      <c r="G4735" s="15"/>
      <c r="H4735" s="15"/>
      <c r="I4735" s="15"/>
      <c r="J4735" s="15"/>
      <c r="K4735" s="15"/>
      <c r="L4735" s="28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  <c r="AA4735" s="15"/>
      <c r="AB4735" s="15"/>
      <c r="AC4735" s="15"/>
      <c r="AD4735" s="15"/>
      <c r="AE4735" s="15"/>
      <c r="AF4735" s="15"/>
      <c r="AG4735" s="15"/>
      <c r="AH4735" s="15"/>
      <c r="AI4735" s="15"/>
      <c r="AJ4735" s="15"/>
      <c r="AK4735" s="15"/>
      <c r="AL4735" s="15"/>
      <c r="AM4735" s="15"/>
      <c r="AN4735" s="15"/>
      <c r="AO4735" s="15"/>
      <c r="AP4735" s="15"/>
      <c r="AQ4735" s="15"/>
      <c r="AR4735" s="15"/>
      <c r="AS4735" s="15"/>
      <c r="AT4735" s="15"/>
      <c r="AU4735" s="15"/>
      <c r="AV4735" s="15"/>
      <c r="AW4735" s="15"/>
    </row>
    <row r="4736" spans="3:49" x14ac:dyDescent="0.2">
      <c r="C4736" s="15"/>
      <c r="D4736" s="15"/>
      <c r="E4736" s="15"/>
      <c r="F4736" s="15"/>
      <c r="G4736" s="15"/>
      <c r="H4736" s="15"/>
      <c r="I4736" s="15"/>
      <c r="J4736" s="15"/>
      <c r="K4736" s="15"/>
      <c r="L4736" s="28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  <c r="AA4736" s="15"/>
      <c r="AB4736" s="15"/>
      <c r="AC4736" s="15"/>
      <c r="AD4736" s="15"/>
      <c r="AE4736" s="15"/>
      <c r="AF4736" s="15"/>
      <c r="AG4736" s="15"/>
      <c r="AH4736" s="15"/>
      <c r="AI4736" s="15"/>
      <c r="AJ4736" s="15"/>
      <c r="AK4736" s="15"/>
      <c r="AL4736" s="15"/>
      <c r="AM4736" s="15"/>
      <c r="AN4736" s="15"/>
      <c r="AO4736" s="15"/>
      <c r="AP4736" s="15"/>
      <c r="AQ4736" s="15"/>
      <c r="AR4736" s="15"/>
      <c r="AS4736" s="15"/>
      <c r="AT4736" s="15"/>
      <c r="AU4736" s="15"/>
      <c r="AV4736" s="15"/>
      <c r="AW4736" s="15"/>
    </row>
    <row r="4737" spans="3:49" x14ac:dyDescent="0.2">
      <c r="C4737" s="15"/>
      <c r="D4737" s="15"/>
      <c r="E4737" s="15"/>
      <c r="F4737" s="15"/>
      <c r="G4737" s="15"/>
      <c r="H4737" s="15"/>
      <c r="I4737" s="15"/>
      <c r="J4737" s="15"/>
      <c r="K4737" s="15"/>
      <c r="L4737" s="28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  <c r="AA4737" s="15"/>
      <c r="AB4737" s="15"/>
      <c r="AC4737" s="15"/>
      <c r="AD4737" s="15"/>
      <c r="AE4737" s="15"/>
      <c r="AF4737" s="15"/>
      <c r="AG4737" s="15"/>
      <c r="AH4737" s="15"/>
      <c r="AI4737" s="15"/>
      <c r="AJ4737" s="15"/>
      <c r="AK4737" s="15"/>
      <c r="AL4737" s="15"/>
      <c r="AM4737" s="15"/>
      <c r="AN4737" s="15"/>
      <c r="AO4737" s="15"/>
      <c r="AP4737" s="15"/>
      <c r="AQ4737" s="15"/>
      <c r="AR4737" s="15"/>
      <c r="AS4737" s="15"/>
      <c r="AT4737" s="15"/>
      <c r="AU4737" s="15"/>
      <c r="AV4737" s="15"/>
      <c r="AW4737" s="15"/>
    </row>
    <row r="4738" spans="3:49" x14ac:dyDescent="0.2">
      <c r="C4738" s="15"/>
      <c r="D4738" s="15"/>
      <c r="E4738" s="15"/>
      <c r="F4738" s="15"/>
      <c r="G4738" s="15"/>
      <c r="H4738" s="15"/>
      <c r="I4738" s="15"/>
      <c r="J4738" s="15"/>
      <c r="K4738" s="15"/>
      <c r="L4738" s="28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  <c r="AA4738" s="15"/>
      <c r="AB4738" s="15"/>
      <c r="AC4738" s="15"/>
      <c r="AD4738" s="15"/>
      <c r="AE4738" s="15"/>
      <c r="AF4738" s="15"/>
      <c r="AG4738" s="15"/>
      <c r="AH4738" s="15"/>
      <c r="AI4738" s="15"/>
      <c r="AJ4738" s="15"/>
      <c r="AK4738" s="15"/>
      <c r="AL4738" s="15"/>
      <c r="AM4738" s="15"/>
      <c r="AN4738" s="15"/>
      <c r="AO4738" s="15"/>
      <c r="AP4738" s="15"/>
      <c r="AQ4738" s="15"/>
      <c r="AR4738" s="15"/>
      <c r="AS4738" s="15"/>
      <c r="AT4738" s="15"/>
      <c r="AU4738" s="15"/>
      <c r="AV4738" s="15"/>
      <c r="AW4738" s="15"/>
    </row>
    <row r="4739" spans="3:49" x14ac:dyDescent="0.2">
      <c r="C4739" s="15"/>
      <c r="D4739" s="15"/>
      <c r="E4739" s="15"/>
      <c r="F4739" s="15"/>
      <c r="G4739" s="15"/>
      <c r="H4739" s="15"/>
      <c r="I4739" s="15"/>
      <c r="J4739" s="15"/>
      <c r="K4739" s="15"/>
      <c r="L4739" s="28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  <c r="AA4739" s="15"/>
      <c r="AB4739" s="15"/>
      <c r="AC4739" s="15"/>
      <c r="AD4739" s="15"/>
      <c r="AE4739" s="15"/>
      <c r="AF4739" s="15"/>
      <c r="AG4739" s="15"/>
      <c r="AH4739" s="15"/>
      <c r="AI4739" s="15"/>
      <c r="AJ4739" s="15"/>
      <c r="AK4739" s="15"/>
      <c r="AL4739" s="15"/>
      <c r="AM4739" s="15"/>
      <c r="AN4739" s="15"/>
      <c r="AO4739" s="15"/>
      <c r="AP4739" s="15"/>
      <c r="AQ4739" s="15"/>
      <c r="AR4739" s="15"/>
      <c r="AS4739" s="15"/>
      <c r="AT4739" s="15"/>
      <c r="AU4739" s="15"/>
      <c r="AV4739" s="15"/>
      <c r="AW4739" s="15"/>
    </row>
    <row r="4740" spans="3:49" x14ac:dyDescent="0.2">
      <c r="C4740" s="15"/>
      <c r="D4740" s="15"/>
      <c r="E4740" s="15"/>
      <c r="F4740" s="15"/>
      <c r="G4740" s="15"/>
      <c r="H4740" s="15"/>
      <c r="I4740" s="15"/>
      <c r="J4740" s="15"/>
      <c r="K4740" s="15"/>
      <c r="L4740" s="28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  <c r="AA4740" s="15"/>
      <c r="AB4740" s="15"/>
      <c r="AC4740" s="15"/>
      <c r="AD4740" s="15"/>
      <c r="AE4740" s="15"/>
      <c r="AF4740" s="15"/>
      <c r="AG4740" s="15"/>
      <c r="AH4740" s="15"/>
      <c r="AI4740" s="15"/>
      <c r="AJ4740" s="15"/>
      <c r="AK4740" s="15"/>
      <c r="AL4740" s="15"/>
      <c r="AM4740" s="15"/>
      <c r="AN4740" s="15"/>
      <c r="AO4740" s="15"/>
      <c r="AP4740" s="15"/>
      <c r="AQ4740" s="15"/>
      <c r="AR4740" s="15"/>
      <c r="AS4740" s="15"/>
      <c r="AT4740" s="15"/>
      <c r="AU4740" s="15"/>
      <c r="AV4740" s="15"/>
      <c r="AW4740" s="15"/>
    </row>
    <row r="4741" spans="3:49" x14ac:dyDescent="0.2">
      <c r="C4741" s="15"/>
      <c r="D4741" s="15"/>
      <c r="E4741" s="15"/>
      <c r="F4741" s="15"/>
      <c r="G4741" s="15"/>
      <c r="H4741" s="15"/>
      <c r="I4741" s="15"/>
      <c r="J4741" s="15"/>
      <c r="K4741" s="15"/>
      <c r="L4741" s="28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  <c r="AA4741" s="15"/>
      <c r="AB4741" s="15"/>
      <c r="AC4741" s="15"/>
      <c r="AD4741" s="15"/>
      <c r="AE4741" s="15"/>
      <c r="AF4741" s="15"/>
      <c r="AG4741" s="15"/>
      <c r="AH4741" s="15"/>
      <c r="AI4741" s="15"/>
      <c r="AJ4741" s="15"/>
      <c r="AK4741" s="15"/>
      <c r="AL4741" s="15"/>
      <c r="AM4741" s="15"/>
      <c r="AN4741" s="15"/>
      <c r="AO4741" s="15"/>
      <c r="AP4741" s="15"/>
      <c r="AQ4741" s="15"/>
      <c r="AR4741" s="15"/>
      <c r="AS4741" s="15"/>
      <c r="AT4741" s="15"/>
      <c r="AU4741" s="15"/>
      <c r="AV4741" s="15"/>
      <c r="AW4741" s="15"/>
    </row>
    <row r="4742" spans="3:49" x14ac:dyDescent="0.2">
      <c r="C4742" s="15"/>
      <c r="D4742" s="15"/>
      <c r="E4742" s="15"/>
      <c r="F4742" s="15"/>
      <c r="G4742" s="15"/>
      <c r="H4742" s="15"/>
      <c r="I4742" s="15"/>
      <c r="J4742" s="15"/>
      <c r="K4742" s="15"/>
      <c r="L4742" s="28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  <c r="AA4742" s="15"/>
      <c r="AB4742" s="15"/>
      <c r="AC4742" s="15"/>
      <c r="AD4742" s="15"/>
      <c r="AE4742" s="15"/>
      <c r="AF4742" s="15"/>
      <c r="AG4742" s="15"/>
      <c r="AH4742" s="15"/>
      <c r="AI4742" s="15"/>
      <c r="AJ4742" s="15"/>
      <c r="AK4742" s="15"/>
      <c r="AL4742" s="15"/>
      <c r="AM4742" s="15"/>
      <c r="AN4742" s="15"/>
      <c r="AO4742" s="15"/>
      <c r="AP4742" s="15"/>
      <c r="AQ4742" s="15"/>
      <c r="AR4742" s="15"/>
      <c r="AS4742" s="15"/>
      <c r="AT4742" s="15"/>
      <c r="AU4742" s="15"/>
      <c r="AV4742" s="15"/>
      <c r="AW4742" s="15"/>
    </row>
    <row r="4743" spans="3:49" x14ac:dyDescent="0.2">
      <c r="C4743" s="15"/>
      <c r="D4743" s="15"/>
      <c r="E4743" s="15"/>
      <c r="F4743" s="15"/>
      <c r="G4743" s="15"/>
      <c r="H4743" s="15"/>
      <c r="I4743" s="15"/>
      <c r="J4743" s="15"/>
      <c r="K4743" s="15"/>
      <c r="L4743" s="28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  <c r="AA4743" s="15"/>
      <c r="AB4743" s="15"/>
      <c r="AC4743" s="15"/>
      <c r="AD4743" s="15"/>
      <c r="AE4743" s="15"/>
      <c r="AF4743" s="15"/>
      <c r="AG4743" s="15"/>
      <c r="AH4743" s="15"/>
      <c r="AI4743" s="15"/>
      <c r="AJ4743" s="15"/>
      <c r="AK4743" s="15"/>
      <c r="AL4743" s="15"/>
      <c r="AM4743" s="15"/>
      <c r="AN4743" s="15"/>
      <c r="AO4743" s="15"/>
      <c r="AP4743" s="15"/>
      <c r="AQ4743" s="15"/>
      <c r="AR4743" s="15"/>
      <c r="AS4743" s="15"/>
      <c r="AT4743" s="15"/>
      <c r="AU4743" s="15"/>
      <c r="AV4743" s="15"/>
      <c r="AW4743" s="15"/>
    </row>
    <row r="4744" spans="3:49" x14ac:dyDescent="0.2">
      <c r="C4744" s="15"/>
      <c r="D4744" s="15"/>
      <c r="E4744" s="15"/>
      <c r="F4744" s="15"/>
      <c r="G4744" s="15"/>
      <c r="H4744" s="15"/>
      <c r="I4744" s="15"/>
      <c r="J4744" s="15"/>
      <c r="K4744" s="15"/>
      <c r="L4744" s="28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  <c r="AA4744" s="15"/>
      <c r="AB4744" s="15"/>
      <c r="AC4744" s="15"/>
      <c r="AD4744" s="15"/>
      <c r="AE4744" s="15"/>
      <c r="AF4744" s="15"/>
      <c r="AG4744" s="15"/>
      <c r="AH4744" s="15"/>
      <c r="AI4744" s="15"/>
      <c r="AJ4744" s="15"/>
      <c r="AK4744" s="15"/>
      <c r="AL4744" s="15"/>
      <c r="AM4744" s="15"/>
      <c r="AN4744" s="15"/>
      <c r="AO4744" s="15"/>
      <c r="AP4744" s="15"/>
      <c r="AQ4744" s="15"/>
      <c r="AR4744" s="15"/>
      <c r="AS4744" s="15"/>
      <c r="AT4744" s="15"/>
      <c r="AU4744" s="15"/>
      <c r="AV4744" s="15"/>
      <c r="AW4744" s="15"/>
    </row>
    <row r="4745" spans="3:49" x14ac:dyDescent="0.2">
      <c r="C4745" s="15"/>
      <c r="D4745" s="15"/>
      <c r="E4745" s="15"/>
      <c r="F4745" s="15"/>
      <c r="G4745" s="15"/>
      <c r="H4745" s="15"/>
      <c r="I4745" s="15"/>
      <c r="J4745" s="15"/>
      <c r="K4745" s="15"/>
      <c r="L4745" s="28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  <c r="AA4745" s="15"/>
      <c r="AB4745" s="15"/>
      <c r="AC4745" s="15"/>
      <c r="AD4745" s="15"/>
      <c r="AE4745" s="15"/>
      <c r="AF4745" s="15"/>
      <c r="AG4745" s="15"/>
      <c r="AH4745" s="15"/>
      <c r="AI4745" s="15"/>
      <c r="AJ4745" s="15"/>
      <c r="AK4745" s="15"/>
      <c r="AL4745" s="15"/>
      <c r="AM4745" s="15"/>
      <c r="AN4745" s="15"/>
      <c r="AO4745" s="15"/>
      <c r="AP4745" s="15"/>
      <c r="AQ4745" s="15"/>
      <c r="AR4745" s="15"/>
      <c r="AS4745" s="15"/>
      <c r="AT4745" s="15"/>
      <c r="AU4745" s="15"/>
      <c r="AV4745" s="15"/>
      <c r="AW4745" s="15"/>
    </row>
    <row r="4746" spans="3:49" x14ac:dyDescent="0.2">
      <c r="C4746" s="15"/>
      <c r="D4746" s="15"/>
      <c r="E4746" s="15"/>
      <c r="F4746" s="15"/>
      <c r="G4746" s="15"/>
      <c r="H4746" s="15"/>
      <c r="I4746" s="15"/>
      <c r="J4746" s="15"/>
      <c r="K4746" s="15"/>
      <c r="L4746" s="28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  <c r="AA4746" s="15"/>
      <c r="AB4746" s="15"/>
      <c r="AC4746" s="15"/>
      <c r="AD4746" s="15"/>
      <c r="AE4746" s="15"/>
      <c r="AF4746" s="15"/>
      <c r="AG4746" s="15"/>
      <c r="AH4746" s="15"/>
      <c r="AI4746" s="15"/>
      <c r="AJ4746" s="15"/>
      <c r="AK4746" s="15"/>
      <c r="AL4746" s="15"/>
      <c r="AM4746" s="15"/>
      <c r="AN4746" s="15"/>
      <c r="AO4746" s="15"/>
      <c r="AP4746" s="15"/>
      <c r="AQ4746" s="15"/>
      <c r="AR4746" s="15"/>
      <c r="AS4746" s="15"/>
      <c r="AT4746" s="15"/>
      <c r="AU4746" s="15"/>
      <c r="AV4746" s="15"/>
      <c r="AW4746" s="15"/>
    </row>
    <row r="4747" spans="3:49" x14ac:dyDescent="0.2">
      <c r="C4747" s="15"/>
      <c r="D4747" s="15"/>
      <c r="E4747" s="15"/>
      <c r="F4747" s="15"/>
      <c r="G4747" s="15"/>
      <c r="H4747" s="15"/>
      <c r="I4747" s="15"/>
      <c r="J4747" s="15"/>
      <c r="K4747" s="15"/>
      <c r="L4747" s="28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  <c r="AA4747" s="15"/>
      <c r="AB4747" s="15"/>
      <c r="AC4747" s="15"/>
      <c r="AD4747" s="15"/>
      <c r="AE4747" s="15"/>
      <c r="AF4747" s="15"/>
      <c r="AG4747" s="15"/>
      <c r="AH4747" s="15"/>
      <c r="AI4747" s="15"/>
      <c r="AJ4747" s="15"/>
      <c r="AK4747" s="15"/>
      <c r="AL4747" s="15"/>
      <c r="AM4747" s="15"/>
      <c r="AN4747" s="15"/>
      <c r="AO4747" s="15"/>
      <c r="AP4747" s="15"/>
      <c r="AQ4747" s="15"/>
      <c r="AR4747" s="15"/>
      <c r="AS4747" s="15"/>
      <c r="AT4747" s="15"/>
      <c r="AU4747" s="15"/>
      <c r="AV4747" s="15"/>
      <c r="AW4747" s="15"/>
    </row>
    <row r="4748" spans="3:49" x14ac:dyDescent="0.2">
      <c r="C4748" s="15"/>
      <c r="D4748" s="15"/>
      <c r="E4748" s="15"/>
      <c r="F4748" s="15"/>
      <c r="G4748" s="15"/>
      <c r="H4748" s="15"/>
      <c r="I4748" s="15"/>
      <c r="J4748" s="15"/>
      <c r="K4748" s="15"/>
      <c r="L4748" s="28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  <c r="AA4748" s="15"/>
      <c r="AB4748" s="15"/>
      <c r="AC4748" s="15"/>
      <c r="AD4748" s="15"/>
      <c r="AE4748" s="15"/>
      <c r="AF4748" s="15"/>
      <c r="AG4748" s="15"/>
      <c r="AH4748" s="15"/>
      <c r="AI4748" s="15"/>
      <c r="AJ4748" s="15"/>
      <c r="AK4748" s="15"/>
      <c r="AL4748" s="15"/>
      <c r="AM4748" s="15"/>
      <c r="AN4748" s="15"/>
      <c r="AO4748" s="15"/>
      <c r="AP4748" s="15"/>
      <c r="AQ4748" s="15"/>
      <c r="AR4748" s="15"/>
      <c r="AS4748" s="15"/>
      <c r="AT4748" s="15"/>
      <c r="AU4748" s="15"/>
      <c r="AV4748" s="15"/>
      <c r="AW4748" s="15"/>
    </row>
    <row r="4749" spans="3:49" x14ac:dyDescent="0.2">
      <c r="C4749" s="15"/>
      <c r="D4749" s="15"/>
      <c r="E4749" s="15"/>
      <c r="F4749" s="15"/>
      <c r="G4749" s="15"/>
      <c r="H4749" s="15"/>
      <c r="I4749" s="15"/>
      <c r="J4749" s="15"/>
      <c r="K4749" s="15"/>
      <c r="L4749" s="28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  <c r="AA4749" s="15"/>
      <c r="AB4749" s="15"/>
      <c r="AC4749" s="15"/>
      <c r="AD4749" s="15"/>
      <c r="AE4749" s="15"/>
      <c r="AF4749" s="15"/>
      <c r="AG4749" s="15"/>
      <c r="AH4749" s="15"/>
      <c r="AI4749" s="15"/>
      <c r="AJ4749" s="15"/>
      <c r="AK4749" s="15"/>
      <c r="AL4749" s="15"/>
      <c r="AM4749" s="15"/>
      <c r="AN4749" s="15"/>
      <c r="AO4749" s="15"/>
      <c r="AP4749" s="15"/>
      <c r="AQ4749" s="15"/>
      <c r="AR4749" s="15"/>
      <c r="AS4749" s="15"/>
      <c r="AT4749" s="15"/>
      <c r="AU4749" s="15"/>
      <c r="AV4749" s="15"/>
      <c r="AW4749" s="15"/>
    </row>
    <row r="4750" spans="3:49" x14ac:dyDescent="0.2">
      <c r="C4750" s="15"/>
      <c r="D4750" s="15"/>
      <c r="E4750" s="15"/>
      <c r="F4750" s="15"/>
      <c r="G4750" s="15"/>
      <c r="H4750" s="15"/>
      <c r="I4750" s="15"/>
      <c r="J4750" s="15"/>
      <c r="K4750" s="15"/>
      <c r="L4750" s="28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  <c r="AA4750" s="15"/>
      <c r="AB4750" s="15"/>
      <c r="AC4750" s="15"/>
      <c r="AD4750" s="15"/>
      <c r="AE4750" s="15"/>
      <c r="AF4750" s="15"/>
      <c r="AG4750" s="15"/>
      <c r="AH4750" s="15"/>
      <c r="AI4750" s="15"/>
      <c r="AJ4750" s="15"/>
      <c r="AK4750" s="15"/>
      <c r="AL4750" s="15"/>
      <c r="AM4750" s="15"/>
      <c r="AN4750" s="15"/>
      <c r="AO4750" s="15"/>
      <c r="AP4750" s="15"/>
      <c r="AQ4750" s="15"/>
      <c r="AR4750" s="15"/>
      <c r="AS4750" s="15"/>
      <c r="AT4750" s="15"/>
      <c r="AU4750" s="15"/>
      <c r="AV4750" s="15"/>
      <c r="AW4750" s="15"/>
    </row>
    <row r="4751" spans="3:49" x14ac:dyDescent="0.2">
      <c r="C4751" s="15"/>
      <c r="D4751" s="15"/>
      <c r="E4751" s="15"/>
      <c r="F4751" s="15"/>
      <c r="G4751" s="15"/>
      <c r="H4751" s="15"/>
      <c r="I4751" s="15"/>
      <c r="J4751" s="15"/>
      <c r="K4751" s="15"/>
      <c r="L4751" s="28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  <c r="AA4751" s="15"/>
      <c r="AB4751" s="15"/>
      <c r="AC4751" s="15"/>
      <c r="AD4751" s="15"/>
      <c r="AE4751" s="15"/>
      <c r="AF4751" s="15"/>
      <c r="AG4751" s="15"/>
      <c r="AH4751" s="15"/>
      <c r="AI4751" s="15"/>
      <c r="AJ4751" s="15"/>
      <c r="AK4751" s="15"/>
      <c r="AL4751" s="15"/>
      <c r="AM4751" s="15"/>
      <c r="AN4751" s="15"/>
      <c r="AO4751" s="15"/>
      <c r="AP4751" s="15"/>
      <c r="AQ4751" s="15"/>
      <c r="AR4751" s="15"/>
      <c r="AS4751" s="15"/>
      <c r="AT4751" s="15"/>
      <c r="AU4751" s="15"/>
      <c r="AV4751" s="15"/>
      <c r="AW4751" s="15"/>
    </row>
    <row r="4752" spans="3:49" x14ac:dyDescent="0.2">
      <c r="C4752" s="15"/>
      <c r="D4752" s="15"/>
      <c r="E4752" s="15"/>
      <c r="F4752" s="15"/>
      <c r="G4752" s="15"/>
      <c r="H4752" s="15"/>
      <c r="I4752" s="15"/>
      <c r="J4752" s="15"/>
      <c r="K4752" s="15"/>
      <c r="L4752" s="28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  <c r="AA4752" s="15"/>
      <c r="AB4752" s="15"/>
      <c r="AC4752" s="15"/>
      <c r="AD4752" s="15"/>
      <c r="AE4752" s="15"/>
      <c r="AF4752" s="15"/>
      <c r="AG4752" s="15"/>
      <c r="AH4752" s="15"/>
      <c r="AI4752" s="15"/>
      <c r="AJ4752" s="15"/>
      <c r="AK4752" s="15"/>
      <c r="AL4752" s="15"/>
      <c r="AM4752" s="15"/>
      <c r="AN4752" s="15"/>
      <c r="AO4752" s="15"/>
      <c r="AP4752" s="15"/>
      <c r="AQ4752" s="15"/>
      <c r="AR4752" s="15"/>
      <c r="AS4752" s="15"/>
      <c r="AT4752" s="15"/>
      <c r="AU4752" s="15"/>
      <c r="AV4752" s="15"/>
      <c r="AW4752" s="15"/>
    </row>
    <row r="4753" spans="3:49" x14ac:dyDescent="0.2">
      <c r="C4753" s="15"/>
      <c r="D4753" s="15"/>
      <c r="E4753" s="15"/>
      <c r="F4753" s="15"/>
      <c r="G4753" s="15"/>
      <c r="H4753" s="15"/>
      <c r="I4753" s="15"/>
      <c r="J4753" s="15"/>
      <c r="K4753" s="15"/>
      <c r="L4753" s="28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  <c r="AA4753" s="15"/>
      <c r="AB4753" s="15"/>
      <c r="AC4753" s="15"/>
      <c r="AD4753" s="15"/>
      <c r="AE4753" s="15"/>
      <c r="AF4753" s="15"/>
      <c r="AG4753" s="15"/>
      <c r="AH4753" s="15"/>
      <c r="AI4753" s="15"/>
      <c r="AJ4753" s="15"/>
      <c r="AK4753" s="15"/>
      <c r="AL4753" s="15"/>
      <c r="AM4753" s="15"/>
      <c r="AN4753" s="15"/>
      <c r="AO4753" s="15"/>
      <c r="AP4753" s="15"/>
      <c r="AQ4753" s="15"/>
      <c r="AR4753" s="15"/>
      <c r="AS4753" s="15"/>
      <c r="AT4753" s="15"/>
      <c r="AU4753" s="15"/>
      <c r="AV4753" s="15"/>
      <c r="AW4753" s="15"/>
    </row>
    <row r="4754" spans="3:49" x14ac:dyDescent="0.2">
      <c r="C4754" s="15"/>
      <c r="D4754" s="15"/>
      <c r="E4754" s="15"/>
      <c r="F4754" s="15"/>
      <c r="G4754" s="15"/>
      <c r="H4754" s="15"/>
      <c r="I4754" s="15"/>
      <c r="J4754" s="15"/>
      <c r="K4754" s="15"/>
      <c r="L4754" s="28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  <c r="AA4754" s="15"/>
      <c r="AB4754" s="15"/>
      <c r="AC4754" s="15"/>
      <c r="AD4754" s="15"/>
      <c r="AE4754" s="15"/>
      <c r="AF4754" s="15"/>
      <c r="AG4754" s="15"/>
      <c r="AH4754" s="15"/>
      <c r="AI4754" s="15"/>
      <c r="AJ4754" s="15"/>
      <c r="AK4754" s="15"/>
      <c r="AL4754" s="15"/>
      <c r="AM4754" s="15"/>
      <c r="AN4754" s="15"/>
      <c r="AO4754" s="15"/>
      <c r="AP4754" s="15"/>
      <c r="AQ4754" s="15"/>
      <c r="AR4754" s="15"/>
      <c r="AS4754" s="15"/>
      <c r="AT4754" s="15"/>
      <c r="AU4754" s="15"/>
      <c r="AV4754" s="15"/>
      <c r="AW4754" s="15"/>
    </row>
    <row r="4755" spans="3:49" x14ac:dyDescent="0.2">
      <c r="C4755" s="15"/>
      <c r="D4755" s="15"/>
      <c r="E4755" s="15"/>
      <c r="F4755" s="15"/>
      <c r="G4755" s="15"/>
      <c r="H4755" s="15"/>
      <c r="I4755" s="15"/>
      <c r="J4755" s="15"/>
      <c r="K4755" s="15"/>
      <c r="L4755" s="28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  <c r="AA4755" s="15"/>
      <c r="AB4755" s="15"/>
      <c r="AC4755" s="15"/>
      <c r="AD4755" s="15"/>
      <c r="AE4755" s="15"/>
      <c r="AF4755" s="15"/>
      <c r="AG4755" s="15"/>
      <c r="AH4755" s="15"/>
      <c r="AI4755" s="15"/>
      <c r="AJ4755" s="15"/>
      <c r="AK4755" s="15"/>
      <c r="AL4755" s="15"/>
      <c r="AM4755" s="15"/>
      <c r="AN4755" s="15"/>
      <c r="AO4755" s="15"/>
      <c r="AP4755" s="15"/>
      <c r="AQ4755" s="15"/>
      <c r="AR4755" s="15"/>
      <c r="AS4755" s="15"/>
      <c r="AT4755" s="15"/>
      <c r="AU4755" s="15"/>
      <c r="AV4755" s="15"/>
      <c r="AW4755" s="15"/>
    </row>
    <row r="4756" spans="3:49" x14ac:dyDescent="0.2">
      <c r="C4756" s="15"/>
      <c r="D4756" s="15"/>
      <c r="E4756" s="15"/>
      <c r="F4756" s="15"/>
      <c r="G4756" s="15"/>
      <c r="H4756" s="15"/>
      <c r="I4756" s="15"/>
      <c r="J4756" s="15"/>
      <c r="K4756" s="15"/>
      <c r="L4756" s="28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  <c r="AA4756" s="15"/>
      <c r="AB4756" s="15"/>
      <c r="AC4756" s="15"/>
      <c r="AD4756" s="15"/>
      <c r="AE4756" s="15"/>
      <c r="AF4756" s="15"/>
      <c r="AG4756" s="15"/>
      <c r="AH4756" s="15"/>
      <c r="AI4756" s="15"/>
      <c r="AJ4756" s="15"/>
      <c r="AK4756" s="15"/>
      <c r="AL4756" s="15"/>
      <c r="AM4756" s="15"/>
      <c r="AN4756" s="15"/>
      <c r="AO4756" s="15"/>
      <c r="AP4756" s="15"/>
      <c r="AQ4756" s="15"/>
      <c r="AR4756" s="15"/>
      <c r="AS4756" s="15"/>
      <c r="AT4756" s="15"/>
      <c r="AU4756" s="15"/>
      <c r="AV4756" s="15"/>
      <c r="AW4756" s="15"/>
    </row>
    <row r="4757" spans="3:49" x14ac:dyDescent="0.2">
      <c r="C4757" s="15"/>
      <c r="D4757" s="15"/>
      <c r="E4757" s="15"/>
      <c r="F4757" s="15"/>
      <c r="G4757" s="15"/>
      <c r="H4757" s="15"/>
      <c r="I4757" s="15"/>
      <c r="J4757" s="15"/>
      <c r="K4757" s="15"/>
      <c r="L4757" s="28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  <c r="AA4757" s="15"/>
      <c r="AB4757" s="15"/>
      <c r="AC4757" s="15"/>
      <c r="AD4757" s="15"/>
      <c r="AE4757" s="15"/>
      <c r="AF4757" s="15"/>
      <c r="AG4757" s="15"/>
      <c r="AH4757" s="15"/>
      <c r="AI4757" s="15"/>
      <c r="AJ4757" s="15"/>
      <c r="AK4757" s="15"/>
      <c r="AL4757" s="15"/>
      <c r="AM4757" s="15"/>
      <c r="AN4757" s="15"/>
      <c r="AO4757" s="15"/>
      <c r="AP4757" s="15"/>
      <c r="AQ4757" s="15"/>
      <c r="AR4757" s="15"/>
      <c r="AS4757" s="15"/>
      <c r="AT4757" s="15"/>
      <c r="AU4757" s="15"/>
      <c r="AV4757" s="15"/>
      <c r="AW4757" s="15"/>
    </row>
    <row r="4758" spans="3:49" x14ac:dyDescent="0.2">
      <c r="C4758" s="15"/>
      <c r="D4758" s="15"/>
      <c r="E4758" s="15"/>
      <c r="F4758" s="15"/>
      <c r="G4758" s="15"/>
      <c r="H4758" s="15"/>
      <c r="I4758" s="15"/>
      <c r="J4758" s="15"/>
      <c r="K4758" s="15"/>
      <c r="L4758" s="28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  <c r="AA4758" s="15"/>
      <c r="AB4758" s="15"/>
      <c r="AC4758" s="15"/>
      <c r="AD4758" s="15"/>
      <c r="AE4758" s="15"/>
      <c r="AF4758" s="15"/>
      <c r="AG4758" s="15"/>
      <c r="AH4758" s="15"/>
      <c r="AI4758" s="15"/>
      <c r="AJ4758" s="15"/>
      <c r="AK4758" s="15"/>
      <c r="AL4758" s="15"/>
      <c r="AM4758" s="15"/>
      <c r="AN4758" s="15"/>
      <c r="AO4758" s="15"/>
      <c r="AP4758" s="15"/>
      <c r="AQ4758" s="15"/>
      <c r="AR4758" s="15"/>
      <c r="AS4758" s="15"/>
      <c r="AT4758" s="15"/>
      <c r="AU4758" s="15"/>
      <c r="AV4758" s="15"/>
      <c r="AW4758" s="15"/>
    </row>
    <row r="4759" spans="3:49" x14ac:dyDescent="0.2">
      <c r="C4759" s="15"/>
      <c r="D4759" s="15"/>
      <c r="E4759" s="15"/>
      <c r="F4759" s="15"/>
      <c r="G4759" s="15"/>
      <c r="H4759" s="15"/>
      <c r="I4759" s="15"/>
      <c r="J4759" s="15"/>
      <c r="K4759" s="15"/>
      <c r="L4759" s="28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  <c r="AA4759" s="15"/>
      <c r="AB4759" s="15"/>
      <c r="AC4759" s="15"/>
      <c r="AD4759" s="15"/>
      <c r="AE4759" s="15"/>
      <c r="AF4759" s="15"/>
      <c r="AG4759" s="15"/>
      <c r="AH4759" s="15"/>
      <c r="AI4759" s="15"/>
      <c r="AJ4759" s="15"/>
      <c r="AK4759" s="15"/>
      <c r="AL4759" s="15"/>
      <c r="AM4759" s="15"/>
      <c r="AN4759" s="15"/>
      <c r="AO4759" s="15"/>
      <c r="AP4759" s="15"/>
      <c r="AQ4759" s="15"/>
      <c r="AR4759" s="15"/>
      <c r="AS4759" s="15"/>
      <c r="AT4759" s="15"/>
      <c r="AU4759" s="15"/>
      <c r="AV4759" s="15"/>
      <c r="AW4759" s="15"/>
    </row>
    <row r="4760" spans="3:49" x14ac:dyDescent="0.2">
      <c r="C4760" s="15"/>
      <c r="D4760" s="15"/>
      <c r="E4760" s="15"/>
      <c r="F4760" s="15"/>
      <c r="G4760" s="15"/>
      <c r="H4760" s="15"/>
      <c r="I4760" s="15"/>
      <c r="J4760" s="15"/>
      <c r="K4760" s="15"/>
      <c r="L4760" s="28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  <c r="AA4760" s="15"/>
      <c r="AB4760" s="15"/>
      <c r="AC4760" s="15"/>
      <c r="AD4760" s="15"/>
      <c r="AE4760" s="15"/>
      <c r="AF4760" s="15"/>
      <c r="AG4760" s="15"/>
      <c r="AH4760" s="15"/>
      <c r="AI4760" s="15"/>
      <c r="AJ4760" s="15"/>
      <c r="AK4760" s="15"/>
      <c r="AL4760" s="15"/>
      <c r="AM4760" s="15"/>
      <c r="AN4760" s="15"/>
      <c r="AO4760" s="15"/>
      <c r="AP4760" s="15"/>
      <c r="AQ4760" s="15"/>
      <c r="AR4760" s="15"/>
      <c r="AS4760" s="15"/>
      <c r="AT4760" s="15"/>
      <c r="AU4760" s="15"/>
      <c r="AV4760" s="15"/>
      <c r="AW4760" s="15"/>
    </row>
    <row r="4761" spans="3:49" x14ac:dyDescent="0.2">
      <c r="C4761" s="15"/>
      <c r="D4761" s="15"/>
      <c r="E4761" s="15"/>
      <c r="F4761" s="15"/>
      <c r="G4761" s="15"/>
      <c r="H4761" s="15"/>
      <c r="I4761" s="15"/>
      <c r="J4761" s="15"/>
      <c r="K4761" s="15"/>
      <c r="L4761" s="28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  <c r="AA4761" s="15"/>
      <c r="AB4761" s="15"/>
      <c r="AC4761" s="15"/>
      <c r="AD4761" s="15"/>
      <c r="AE4761" s="15"/>
      <c r="AF4761" s="15"/>
      <c r="AG4761" s="15"/>
      <c r="AH4761" s="15"/>
      <c r="AI4761" s="15"/>
      <c r="AJ4761" s="15"/>
      <c r="AK4761" s="15"/>
      <c r="AL4761" s="15"/>
      <c r="AM4761" s="15"/>
      <c r="AN4761" s="15"/>
      <c r="AO4761" s="15"/>
      <c r="AP4761" s="15"/>
      <c r="AQ4761" s="15"/>
      <c r="AR4761" s="15"/>
      <c r="AS4761" s="15"/>
      <c r="AT4761" s="15"/>
      <c r="AU4761" s="15"/>
      <c r="AV4761" s="15"/>
      <c r="AW4761" s="15"/>
    </row>
    <row r="4762" spans="3:49" x14ac:dyDescent="0.2">
      <c r="C4762" s="15"/>
      <c r="D4762" s="15"/>
      <c r="E4762" s="15"/>
      <c r="F4762" s="15"/>
      <c r="G4762" s="15"/>
      <c r="H4762" s="15"/>
      <c r="I4762" s="15"/>
      <c r="J4762" s="15"/>
      <c r="K4762" s="15"/>
      <c r="L4762" s="28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  <c r="AA4762" s="15"/>
      <c r="AB4762" s="15"/>
      <c r="AC4762" s="15"/>
      <c r="AD4762" s="15"/>
      <c r="AE4762" s="15"/>
      <c r="AF4762" s="15"/>
      <c r="AG4762" s="15"/>
      <c r="AH4762" s="15"/>
      <c r="AI4762" s="15"/>
      <c r="AJ4762" s="15"/>
      <c r="AK4762" s="15"/>
      <c r="AL4762" s="15"/>
      <c r="AM4762" s="15"/>
      <c r="AN4762" s="15"/>
      <c r="AO4762" s="15"/>
      <c r="AP4762" s="15"/>
      <c r="AQ4762" s="15"/>
      <c r="AR4762" s="15"/>
      <c r="AS4762" s="15"/>
      <c r="AT4762" s="15"/>
      <c r="AU4762" s="15"/>
      <c r="AV4762" s="15"/>
      <c r="AW4762" s="15"/>
    </row>
    <row r="4763" spans="3:49" x14ac:dyDescent="0.2">
      <c r="C4763" s="15"/>
      <c r="D4763" s="15"/>
      <c r="E4763" s="15"/>
      <c r="F4763" s="15"/>
      <c r="G4763" s="15"/>
      <c r="H4763" s="15"/>
      <c r="I4763" s="15"/>
      <c r="J4763" s="15"/>
      <c r="K4763" s="15"/>
      <c r="L4763" s="28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  <c r="AA4763" s="15"/>
      <c r="AB4763" s="15"/>
      <c r="AC4763" s="15"/>
      <c r="AD4763" s="15"/>
      <c r="AE4763" s="15"/>
      <c r="AF4763" s="15"/>
      <c r="AG4763" s="15"/>
      <c r="AH4763" s="15"/>
      <c r="AI4763" s="15"/>
      <c r="AJ4763" s="15"/>
      <c r="AK4763" s="15"/>
      <c r="AL4763" s="15"/>
      <c r="AM4763" s="15"/>
      <c r="AN4763" s="15"/>
      <c r="AO4763" s="15"/>
      <c r="AP4763" s="15"/>
      <c r="AQ4763" s="15"/>
      <c r="AR4763" s="15"/>
      <c r="AS4763" s="15"/>
      <c r="AT4763" s="15"/>
      <c r="AU4763" s="15"/>
      <c r="AV4763" s="15"/>
      <c r="AW4763" s="15"/>
    </row>
    <row r="4764" spans="3:49" x14ac:dyDescent="0.2">
      <c r="C4764" s="15"/>
      <c r="D4764" s="15"/>
      <c r="E4764" s="15"/>
      <c r="F4764" s="15"/>
      <c r="G4764" s="15"/>
      <c r="H4764" s="15"/>
      <c r="I4764" s="15"/>
      <c r="J4764" s="15"/>
      <c r="K4764" s="15"/>
      <c r="L4764" s="28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  <c r="AA4764" s="15"/>
      <c r="AB4764" s="15"/>
      <c r="AC4764" s="15"/>
      <c r="AD4764" s="15"/>
      <c r="AE4764" s="15"/>
      <c r="AF4764" s="15"/>
      <c r="AG4764" s="15"/>
      <c r="AH4764" s="15"/>
      <c r="AI4764" s="15"/>
      <c r="AJ4764" s="15"/>
      <c r="AK4764" s="15"/>
      <c r="AL4764" s="15"/>
      <c r="AM4764" s="15"/>
      <c r="AN4764" s="15"/>
      <c r="AO4764" s="15"/>
      <c r="AP4764" s="15"/>
      <c r="AQ4764" s="15"/>
      <c r="AR4764" s="15"/>
      <c r="AS4764" s="15"/>
      <c r="AT4764" s="15"/>
      <c r="AU4764" s="15"/>
      <c r="AV4764" s="15"/>
      <c r="AW4764" s="15"/>
    </row>
    <row r="4765" spans="3:49" x14ac:dyDescent="0.2">
      <c r="C4765" s="15"/>
      <c r="D4765" s="15"/>
      <c r="E4765" s="15"/>
      <c r="F4765" s="15"/>
      <c r="G4765" s="15"/>
      <c r="H4765" s="15"/>
      <c r="I4765" s="15"/>
      <c r="J4765" s="15"/>
      <c r="K4765" s="15"/>
      <c r="L4765" s="28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  <c r="AA4765" s="15"/>
      <c r="AB4765" s="15"/>
      <c r="AC4765" s="15"/>
      <c r="AD4765" s="15"/>
      <c r="AE4765" s="15"/>
      <c r="AF4765" s="15"/>
      <c r="AG4765" s="15"/>
      <c r="AH4765" s="15"/>
      <c r="AI4765" s="15"/>
      <c r="AJ4765" s="15"/>
      <c r="AK4765" s="15"/>
      <c r="AL4765" s="15"/>
      <c r="AM4765" s="15"/>
      <c r="AN4765" s="15"/>
      <c r="AO4765" s="15"/>
      <c r="AP4765" s="15"/>
      <c r="AQ4765" s="15"/>
      <c r="AR4765" s="15"/>
      <c r="AS4765" s="15"/>
      <c r="AT4765" s="15"/>
      <c r="AU4765" s="15"/>
      <c r="AV4765" s="15"/>
      <c r="AW4765" s="15"/>
    </row>
    <row r="4766" spans="3:49" x14ac:dyDescent="0.2">
      <c r="C4766" s="15"/>
      <c r="D4766" s="15"/>
      <c r="E4766" s="15"/>
      <c r="F4766" s="15"/>
      <c r="G4766" s="15"/>
      <c r="H4766" s="15"/>
      <c r="I4766" s="15"/>
      <c r="J4766" s="15"/>
      <c r="K4766" s="15"/>
      <c r="L4766" s="28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  <c r="AA4766" s="15"/>
      <c r="AB4766" s="15"/>
      <c r="AC4766" s="15"/>
      <c r="AD4766" s="15"/>
      <c r="AE4766" s="15"/>
      <c r="AF4766" s="15"/>
      <c r="AG4766" s="15"/>
      <c r="AH4766" s="15"/>
      <c r="AI4766" s="15"/>
      <c r="AJ4766" s="15"/>
      <c r="AK4766" s="15"/>
      <c r="AL4766" s="15"/>
      <c r="AM4766" s="15"/>
      <c r="AN4766" s="15"/>
      <c r="AO4766" s="15"/>
      <c r="AP4766" s="15"/>
      <c r="AQ4766" s="15"/>
      <c r="AR4766" s="15"/>
      <c r="AS4766" s="15"/>
      <c r="AT4766" s="15"/>
      <c r="AU4766" s="15"/>
      <c r="AV4766" s="15"/>
      <c r="AW4766" s="15"/>
    </row>
    <row r="4767" spans="3:49" x14ac:dyDescent="0.2">
      <c r="C4767" s="15"/>
      <c r="D4767" s="15"/>
      <c r="E4767" s="15"/>
      <c r="F4767" s="15"/>
      <c r="G4767" s="15"/>
      <c r="H4767" s="15"/>
      <c r="I4767" s="15"/>
      <c r="J4767" s="15"/>
      <c r="K4767" s="15"/>
      <c r="L4767" s="28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  <c r="AA4767" s="15"/>
      <c r="AB4767" s="15"/>
      <c r="AC4767" s="15"/>
      <c r="AD4767" s="15"/>
      <c r="AE4767" s="15"/>
      <c r="AF4767" s="15"/>
      <c r="AG4767" s="15"/>
      <c r="AH4767" s="15"/>
      <c r="AI4767" s="15"/>
      <c r="AJ4767" s="15"/>
      <c r="AK4767" s="15"/>
      <c r="AL4767" s="15"/>
      <c r="AM4767" s="15"/>
      <c r="AN4767" s="15"/>
      <c r="AO4767" s="15"/>
      <c r="AP4767" s="15"/>
      <c r="AQ4767" s="15"/>
      <c r="AR4767" s="15"/>
      <c r="AS4767" s="15"/>
      <c r="AT4767" s="15"/>
      <c r="AU4767" s="15"/>
      <c r="AV4767" s="15"/>
      <c r="AW4767" s="15"/>
    </row>
    <row r="4768" spans="3:49" x14ac:dyDescent="0.2">
      <c r="C4768" s="15"/>
      <c r="D4768" s="15"/>
      <c r="E4768" s="15"/>
      <c r="F4768" s="15"/>
      <c r="G4768" s="15"/>
      <c r="H4768" s="15"/>
      <c r="I4768" s="15"/>
      <c r="J4768" s="15"/>
      <c r="K4768" s="15"/>
      <c r="L4768" s="28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  <c r="AA4768" s="15"/>
      <c r="AB4768" s="15"/>
      <c r="AC4768" s="15"/>
      <c r="AD4768" s="15"/>
      <c r="AE4768" s="15"/>
      <c r="AF4768" s="15"/>
      <c r="AG4768" s="15"/>
      <c r="AH4768" s="15"/>
      <c r="AI4768" s="15"/>
      <c r="AJ4768" s="15"/>
      <c r="AK4768" s="15"/>
      <c r="AL4768" s="15"/>
      <c r="AM4768" s="15"/>
      <c r="AN4768" s="15"/>
      <c r="AO4768" s="15"/>
      <c r="AP4768" s="15"/>
      <c r="AQ4768" s="15"/>
      <c r="AR4768" s="15"/>
      <c r="AS4768" s="15"/>
      <c r="AT4768" s="15"/>
      <c r="AU4768" s="15"/>
      <c r="AV4768" s="15"/>
      <c r="AW4768" s="15"/>
    </row>
    <row r="4769" spans="3:49" x14ac:dyDescent="0.2">
      <c r="C4769" s="15"/>
      <c r="D4769" s="15"/>
      <c r="E4769" s="15"/>
      <c r="F4769" s="15"/>
      <c r="G4769" s="15"/>
      <c r="H4769" s="15"/>
      <c r="I4769" s="15"/>
      <c r="J4769" s="15"/>
      <c r="K4769" s="15"/>
      <c r="L4769" s="28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  <c r="AA4769" s="15"/>
      <c r="AB4769" s="15"/>
      <c r="AC4769" s="15"/>
      <c r="AD4769" s="15"/>
      <c r="AE4769" s="15"/>
      <c r="AF4769" s="15"/>
      <c r="AG4769" s="15"/>
      <c r="AH4769" s="15"/>
      <c r="AI4769" s="15"/>
      <c r="AJ4769" s="15"/>
      <c r="AK4769" s="15"/>
      <c r="AL4769" s="15"/>
      <c r="AM4769" s="15"/>
      <c r="AN4769" s="15"/>
      <c r="AO4769" s="15"/>
      <c r="AP4769" s="15"/>
      <c r="AQ4769" s="15"/>
      <c r="AR4769" s="15"/>
      <c r="AS4769" s="15"/>
      <c r="AT4769" s="15"/>
      <c r="AU4769" s="15"/>
      <c r="AV4769" s="15"/>
      <c r="AW4769" s="15"/>
    </row>
    <row r="4770" spans="3:49" x14ac:dyDescent="0.2">
      <c r="C4770" s="15"/>
      <c r="D4770" s="15"/>
      <c r="E4770" s="15"/>
      <c r="F4770" s="15"/>
      <c r="G4770" s="15"/>
      <c r="H4770" s="15"/>
      <c r="I4770" s="15"/>
      <c r="J4770" s="15"/>
      <c r="K4770" s="15"/>
      <c r="L4770" s="28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  <c r="AA4770" s="15"/>
      <c r="AB4770" s="15"/>
      <c r="AC4770" s="15"/>
      <c r="AD4770" s="15"/>
      <c r="AE4770" s="15"/>
      <c r="AF4770" s="15"/>
      <c r="AG4770" s="15"/>
      <c r="AH4770" s="15"/>
      <c r="AI4770" s="15"/>
      <c r="AJ4770" s="15"/>
      <c r="AK4770" s="15"/>
      <c r="AL4770" s="15"/>
      <c r="AM4770" s="15"/>
      <c r="AN4770" s="15"/>
      <c r="AO4770" s="15"/>
      <c r="AP4770" s="15"/>
      <c r="AQ4770" s="15"/>
      <c r="AR4770" s="15"/>
      <c r="AS4770" s="15"/>
      <c r="AT4770" s="15"/>
      <c r="AU4770" s="15"/>
      <c r="AV4770" s="15"/>
      <c r="AW4770" s="15"/>
    </row>
    <row r="4771" spans="3:49" x14ac:dyDescent="0.2">
      <c r="C4771" s="15"/>
      <c r="D4771" s="15"/>
      <c r="E4771" s="15"/>
      <c r="F4771" s="15"/>
      <c r="G4771" s="15"/>
      <c r="H4771" s="15"/>
      <c r="I4771" s="15"/>
      <c r="J4771" s="15"/>
      <c r="K4771" s="15"/>
      <c r="L4771" s="28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  <c r="AA4771" s="15"/>
      <c r="AB4771" s="15"/>
      <c r="AC4771" s="15"/>
      <c r="AD4771" s="15"/>
      <c r="AE4771" s="15"/>
      <c r="AF4771" s="15"/>
      <c r="AG4771" s="15"/>
      <c r="AH4771" s="15"/>
      <c r="AI4771" s="15"/>
      <c r="AJ4771" s="15"/>
      <c r="AK4771" s="15"/>
      <c r="AL4771" s="15"/>
      <c r="AM4771" s="15"/>
      <c r="AN4771" s="15"/>
      <c r="AO4771" s="15"/>
      <c r="AP4771" s="15"/>
      <c r="AQ4771" s="15"/>
      <c r="AR4771" s="15"/>
      <c r="AS4771" s="15"/>
      <c r="AT4771" s="15"/>
      <c r="AU4771" s="15"/>
      <c r="AV4771" s="15"/>
      <c r="AW4771" s="15"/>
    </row>
    <row r="4772" spans="3:49" x14ac:dyDescent="0.2">
      <c r="C4772" s="15"/>
      <c r="D4772" s="15"/>
      <c r="E4772" s="15"/>
      <c r="F4772" s="15"/>
      <c r="G4772" s="15"/>
      <c r="H4772" s="15"/>
      <c r="I4772" s="15"/>
      <c r="J4772" s="15"/>
      <c r="K4772" s="15"/>
      <c r="L4772" s="28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  <c r="AA4772" s="15"/>
      <c r="AB4772" s="15"/>
      <c r="AC4772" s="15"/>
      <c r="AD4772" s="15"/>
      <c r="AE4772" s="15"/>
      <c r="AF4772" s="15"/>
      <c r="AG4772" s="15"/>
      <c r="AH4772" s="15"/>
      <c r="AI4772" s="15"/>
      <c r="AJ4772" s="15"/>
      <c r="AK4772" s="15"/>
      <c r="AL4772" s="15"/>
      <c r="AM4772" s="15"/>
      <c r="AN4772" s="15"/>
      <c r="AO4772" s="15"/>
      <c r="AP4772" s="15"/>
      <c r="AQ4772" s="15"/>
      <c r="AR4772" s="15"/>
      <c r="AS4772" s="15"/>
      <c r="AT4772" s="15"/>
      <c r="AU4772" s="15"/>
      <c r="AV4772" s="15"/>
      <c r="AW4772" s="15"/>
    </row>
    <row r="4773" spans="3:49" x14ac:dyDescent="0.2">
      <c r="C4773" s="15"/>
      <c r="D4773" s="15"/>
      <c r="E4773" s="15"/>
      <c r="F4773" s="15"/>
      <c r="G4773" s="15"/>
      <c r="H4773" s="15"/>
      <c r="I4773" s="15"/>
      <c r="J4773" s="15"/>
      <c r="K4773" s="15"/>
      <c r="L4773" s="28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  <c r="AA4773" s="15"/>
      <c r="AB4773" s="15"/>
      <c r="AC4773" s="15"/>
      <c r="AD4773" s="15"/>
      <c r="AE4773" s="15"/>
      <c r="AF4773" s="15"/>
      <c r="AG4773" s="15"/>
      <c r="AH4773" s="15"/>
      <c r="AI4773" s="15"/>
      <c r="AJ4773" s="15"/>
      <c r="AK4773" s="15"/>
      <c r="AL4773" s="15"/>
      <c r="AM4773" s="15"/>
      <c r="AN4773" s="15"/>
      <c r="AO4773" s="15"/>
      <c r="AP4773" s="15"/>
      <c r="AQ4773" s="15"/>
      <c r="AR4773" s="15"/>
      <c r="AS4773" s="15"/>
      <c r="AT4773" s="15"/>
      <c r="AU4773" s="15"/>
      <c r="AV4773" s="15"/>
      <c r="AW4773" s="15"/>
    </row>
    <row r="4774" spans="3:49" x14ac:dyDescent="0.2">
      <c r="C4774" s="15"/>
      <c r="D4774" s="15"/>
      <c r="E4774" s="15"/>
      <c r="F4774" s="15"/>
      <c r="G4774" s="15"/>
      <c r="H4774" s="15"/>
      <c r="I4774" s="15"/>
      <c r="J4774" s="15"/>
      <c r="K4774" s="15"/>
      <c r="L4774" s="28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  <c r="AA4774" s="15"/>
      <c r="AB4774" s="15"/>
      <c r="AC4774" s="15"/>
      <c r="AD4774" s="15"/>
      <c r="AE4774" s="15"/>
      <c r="AF4774" s="15"/>
      <c r="AG4774" s="15"/>
      <c r="AH4774" s="15"/>
      <c r="AI4774" s="15"/>
      <c r="AJ4774" s="15"/>
      <c r="AK4774" s="15"/>
      <c r="AL4774" s="15"/>
      <c r="AM4774" s="15"/>
      <c r="AN4774" s="15"/>
      <c r="AO4774" s="15"/>
      <c r="AP4774" s="15"/>
      <c r="AQ4774" s="15"/>
      <c r="AR4774" s="15"/>
      <c r="AS4774" s="15"/>
      <c r="AT4774" s="15"/>
      <c r="AU4774" s="15"/>
      <c r="AV4774" s="15"/>
      <c r="AW4774" s="15"/>
    </row>
    <row r="4775" spans="3:49" x14ac:dyDescent="0.2">
      <c r="C4775" s="15"/>
      <c r="D4775" s="15"/>
      <c r="E4775" s="15"/>
      <c r="F4775" s="15"/>
      <c r="G4775" s="15"/>
      <c r="H4775" s="15"/>
      <c r="I4775" s="15"/>
      <c r="J4775" s="15"/>
      <c r="K4775" s="15"/>
      <c r="L4775" s="28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  <c r="AA4775" s="15"/>
      <c r="AB4775" s="15"/>
      <c r="AC4775" s="15"/>
      <c r="AD4775" s="15"/>
      <c r="AE4775" s="15"/>
      <c r="AF4775" s="15"/>
      <c r="AG4775" s="15"/>
      <c r="AH4775" s="15"/>
      <c r="AI4775" s="15"/>
      <c r="AJ4775" s="15"/>
      <c r="AK4775" s="15"/>
      <c r="AL4775" s="15"/>
      <c r="AM4775" s="15"/>
      <c r="AN4775" s="15"/>
      <c r="AO4775" s="15"/>
      <c r="AP4775" s="15"/>
      <c r="AQ4775" s="15"/>
      <c r="AR4775" s="15"/>
      <c r="AS4775" s="15"/>
      <c r="AT4775" s="15"/>
      <c r="AU4775" s="15"/>
      <c r="AV4775" s="15"/>
      <c r="AW4775" s="15"/>
    </row>
    <row r="4776" spans="3:49" x14ac:dyDescent="0.2">
      <c r="C4776" s="15"/>
      <c r="D4776" s="15"/>
      <c r="E4776" s="15"/>
      <c r="F4776" s="15"/>
      <c r="G4776" s="15"/>
      <c r="H4776" s="15"/>
      <c r="I4776" s="15"/>
      <c r="J4776" s="15"/>
      <c r="K4776" s="15"/>
      <c r="L4776" s="28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  <c r="AA4776" s="15"/>
      <c r="AB4776" s="15"/>
      <c r="AC4776" s="15"/>
      <c r="AD4776" s="15"/>
      <c r="AE4776" s="15"/>
      <c r="AF4776" s="15"/>
      <c r="AG4776" s="15"/>
      <c r="AH4776" s="15"/>
      <c r="AI4776" s="15"/>
      <c r="AJ4776" s="15"/>
      <c r="AK4776" s="15"/>
      <c r="AL4776" s="15"/>
      <c r="AM4776" s="15"/>
      <c r="AN4776" s="15"/>
      <c r="AO4776" s="15"/>
      <c r="AP4776" s="15"/>
      <c r="AQ4776" s="15"/>
      <c r="AR4776" s="15"/>
      <c r="AS4776" s="15"/>
      <c r="AT4776" s="15"/>
      <c r="AU4776" s="15"/>
      <c r="AV4776" s="15"/>
      <c r="AW4776" s="15"/>
    </row>
    <row r="4777" spans="3:49" x14ac:dyDescent="0.2">
      <c r="C4777" s="15"/>
      <c r="D4777" s="15"/>
      <c r="E4777" s="15"/>
      <c r="F4777" s="15"/>
      <c r="G4777" s="15"/>
      <c r="H4777" s="15"/>
      <c r="I4777" s="15"/>
      <c r="J4777" s="15"/>
      <c r="K4777" s="15"/>
      <c r="L4777" s="28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  <c r="AA4777" s="15"/>
      <c r="AB4777" s="15"/>
      <c r="AC4777" s="15"/>
      <c r="AD4777" s="15"/>
      <c r="AE4777" s="15"/>
      <c r="AF4777" s="15"/>
      <c r="AG4777" s="15"/>
      <c r="AH4777" s="15"/>
      <c r="AI4777" s="15"/>
      <c r="AJ4777" s="15"/>
      <c r="AK4777" s="15"/>
      <c r="AL4777" s="15"/>
      <c r="AM4777" s="15"/>
      <c r="AN4777" s="15"/>
      <c r="AO4777" s="15"/>
      <c r="AP4777" s="15"/>
      <c r="AQ4777" s="15"/>
      <c r="AR4777" s="15"/>
      <c r="AS4777" s="15"/>
      <c r="AT4777" s="15"/>
      <c r="AU4777" s="15"/>
      <c r="AV4777" s="15"/>
      <c r="AW4777" s="15"/>
    </row>
    <row r="4778" spans="3:49" x14ac:dyDescent="0.2">
      <c r="C4778" s="15"/>
      <c r="D4778" s="15"/>
      <c r="E4778" s="15"/>
      <c r="F4778" s="15"/>
      <c r="G4778" s="15"/>
      <c r="H4778" s="15"/>
      <c r="I4778" s="15"/>
      <c r="J4778" s="15"/>
      <c r="K4778" s="15"/>
      <c r="L4778" s="28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  <c r="AA4778" s="15"/>
      <c r="AB4778" s="15"/>
      <c r="AC4778" s="15"/>
      <c r="AD4778" s="15"/>
      <c r="AE4778" s="15"/>
      <c r="AF4778" s="15"/>
      <c r="AG4778" s="15"/>
      <c r="AH4778" s="15"/>
      <c r="AI4778" s="15"/>
      <c r="AJ4778" s="15"/>
      <c r="AK4778" s="15"/>
      <c r="AL4778" s="15"/>
      <c r="AM4778" s="15"/>
      <c r="AN4778" s="15"/>
      <c r="AO4778" s="15"/>
      <c r="AP4778" s="15"/>
      <c r="AQ4778" s="15"/>
      <c r="AR4778" s="15"/>
      <c r="AS4778" s="15"/>
      <c r="AT4778" s="15"/>
      <c r="AU4778" s="15"/>
      <c r="AV4778" s="15"/>
      <c r="AW4778" s="15"/>
    </row>
    <row r="4779" spans="3:49" x14ac:dyDescent="0.2">
      <c r="C4779" s="15"/>
      <c r="D4779" s="15"/>
      <c r="E4779" s="15"/>
      <c r="F4779" s="15"/>
      <c r="G4779" s="15"/>
      <c r="H4779" s="15"/>
      <c r="I4779" s="15"/>
      <c r="J4779" s="15"/>
      <c r="K4779" s="15"/>
      <c r="L4779" s="28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  <c r="AA4779" s="15"/>
      <c r="AB4779" s="15"/>
      <c r="AC4779" s="15"/>
      <c r="AD4779" s="15"/>
      <c r="AE4779" s="15"/>
      <c r="AF4779" s="15"/>
      <c r="AG4779" s="15"/>
      <c r="AH4779" s="15"/>
      <c r="AI4779" s="15"/>
      <c r="AJ4779" s="15"/>
      <c r="AK4779" s="15"/>
      <c r="AL4779" s="15"/>
      <c r="AM4779" s="15"/>
      <c r="AN4779" s="15"/>
      <c r="AO4779" s="15"/>
      <c r="AP4779" s="15"/>
      <c r="AQ4779" s="15"/>
      <c r="AR4779" s="15"/>
      <c r="AS4779" s="15"/>
      <c r="AT4779" s="15"/>
      <c r="AU4779" s="15"/>
      <c r="AV4779" s="15"/>
      <c r="AW4779" s="15"/>
    </row>
    <row r="4780" spans="3:49" x14ac:dyDescent="0.2">
      <c r="C4780" s="15"/>
      <c r="D4780" s="15"/>
      <c r="E4780" s="15"/>
      <c r="F4780" s="15"/>
      <c r="G4780" s="15"/>
      <c r="H4780" s="15"/>
      <c r="I4780" s="15"/>
      <c r="J4780" s="15"/>
      <c r="K4780" s="15"/>
      <c r="L4780" s="28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  <c r="AA4780" s="15"/>
      <c r="AB4780" s="15"/>
      <c r="AC4780" s="15"/>
      <c r="AD4780" s="15"/>
      <c r="AE4780" s="15"/>
      <c r="AF4780" s="15"/>
      <c r="AG4780" s="15"/>
      <c r="AH4780" s="15"/>
      <c r="AI4780" s="15"/>
      <c r="AJ4780" s="15"/>
      <c r="AK4780" s="15"/>
      <c r="AL4780" s="15"/>
      <c r="AM4780" s="15"/>
      <c r="AN4780" s="15"/>
      <c r="AO4780" s="15"/>
      <c r="AP4780" s="15"/>
      <c r="AQ4780" s="15"/>
      <c r="AR4780" s="15"/>
      <c r="AS4780" s="15"/>
      <c r="AT4780" s="15"/>
      <c r="AU4780" s="15"/>
      <c r="AV4780" s="15"/>
      <c r="AW4780" s="15"/>
    </row>
    <row r="4781" spans="3:49" x14ac:dyDescent="0.2">
      <c r="C4781" s="15"/>
      <c r="D4781" s="15"/>
      <c r="E4781" s="15"/>
      <c r="F4781" s="15"/>
      <c r="G4781" s="15"/>
      <c r="H4781" s="15"/>
      <c r="I4781" s="15"/>
      <c r="J4781" s="15"/>
      <c r="K4781" s="15"/>
      <c r="L4781" s="28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  <c r="AA4781" s="15"/>
      <c r="AB4781" s="15"/>
      <c r="AC4781" s="15"/>
      <c r="AD4781" s="15"/>
      <c r="AE4781" s="15"/>
      <c r="AF4781" s="15"/>
      <c r="AG4781" s="15"/>
      <c r="AH4781" s="15"/>
      <c r="AI4781" s="15"/>
      <c r="AJ4781" s="15"/>
      <c r="AK4781" s="15"/>
      <c r="AL4781" s="15"/>
      <c r="AM4781" s="15"/>
      <c r="AN4781" s="15"/>
      <c r="AO4781" s="15"/>
      <c r="AP4781" s="15"/>
      <c r="AQ4781" s="15"/>
      <c r="AR4781" s="15"/>
      <c r="AS4781" s="15"/>
      <c r="AT4781" s="15"/>
      <c r="AU4781" s="15"/>
      <c r="AV4781" s="15"/>
      <c r="AW4781" s="15"/>
    </row>
    <row r="4782" spans="3:49" x14ac:dyDescent="0.2">
      <c r="C4782" s="15"/>
      <c r="D4782" s="15"/>
      <c r="E4782" s="15"/>
      <c r="F4782" s="15"/>
      <c r="G4782" s="15"/>
      <c r="H4782" s="15"/>
      <c r="I4782" s="15"/>
      <c r="J4782" s="15"/>
      <c r="K4782" s="15"/>
      <c r="L4782" s="28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  <c r="AA4782" s="15"/>
      <c r="AB4782" s="15"/>
      <c r="AC4782" s="15"/>
      <c r="AD4782" s="15"/>
      <c r="AE4782" s="15"/>
      <c r="AF4782" s="15"/>
      <c r="AG4782" s="15"/>
      <c r="AH4782" s="15"/>
      <c r="AI4782" s="15"/>
      <c r="AJ4782" s="15"/>
      <c r="AK4782" s="15"/>
      <c r="AL4782" s="15"/>
      <c r="AM4782" s="15"/>
      <c r="AN4782" s="15"/>
      <c r="AO4782" s="15"/>
      <c r="AP4782" s="15"/>
      <c r="AQ4782" s="15"/>
      <c r="AR4782" s="15"/>
      <c r="AS4782" s="15"/>
      <c r="AT4782" s="15"/>
      <c r="AU4782" s="15"/>
      <c r="AV4782" s="15"/>
      <c r="AW4782" s="15"/>
    </row>
    <row r="4783" spans="3:49" x14ac:dyDescent="0.2">
      <c r="C4783" s="15"/>
      <c r="D4783" s="15"/>
      <c r="E4783" s="15"/>
      <c r="F4783" s="15"/>
      <c r="G4783" s="15"/>
      <c r="H4783" s="15"/>
      <c r="I4783" s="15"/>
      <c r="J4783" s="15"/>
      <c r="K4783" s="15"/>
      <c r="L4783" s="28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  <c r="AA4783" s="15"/>
      <c r="AB4783" s="15"/>
      <c r="AC4783" s="15"/>
      <c r="AD4783" s="15"/>
      <c r="AE4783" s="15"/>
      <c r="AF4783" s="15"/>
      <c r="AG4783" s="15"/>
      <c r="AH4783" s="15"/>
      <c r="AI4783" s="15"/>
      <c r="AJ4783" s="15"/>
      <c r="AK4783" s="15"/>
      <c r="AL4783" s="15"/>
      <c r="AM4783" s="15"/>
      <c r="AN4783" s="15"/>
      <c r="AO4783" s="15"/>
      <c r="AP4783" s="15"/>
      <c r="AQ4783" s="15"/>
      <c r="AR4783" s="15"/>
      <c r="AS4783" s="15"/>
      <c r="AT4783" s="15"/>
      <c r="AU4783" s="15"/>
      <c r="AV4783" s="15"/>
      <c r="AW4783" s="15"/>
    </row>
    <row r="4784" spans="3:49" x14ac:dyDescent="0.2">
      <c r="C4784" s="15"/>
      <c r="D4784" s="15"/>
      <c r="E4784" s="15"/>
      <c r="F4784" s="15"/>
      <c r="G4784" s="15"/>
      <c r="H4784" s="15"/>
      <c r="I4784" s="15"/>
      <c r="J4784" s="15"/>
      <c r="K4784" s="15"/>
      <c r="L4784" s="28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  <c r="AA4784" s="15"/>
      <c r="AB4784" s="15"/>
      <c r="AC4784" s="15"/>
      <c r="AD4784" s="15"/>
      <c r="AE4784" s="15"/>
      <c r="AF4784" s="15"/>
      <c r="AG4784" s="15"/>
      <c r="AH4784" s="15"/>
      <c r="AI4784" s="15"/>
      <c r="AJ4784" s="15"/>
      <c r="AK4784" s="15"/>
      <c r="AL4784" s="15"/>
      <c r="AM4784" s="15"/>
      <c r="AN4784" s="15"/>
      <c r="AO4784" s="15"/>
      <c r="AP4784" s="15"/>
      <c r="AQ4784" s="15"/>
      <c r="AR4784" s="15"/>
      <c r="AS4784" s="15"/>
      <c r="AT4784" s="15"/>
      <c r="AU4784" s="15"/>
      <c r="AV4784" s="15"/>
      <c r="AW4784" s="15"/>
    </row>
    <row r="4785" spans="3:49" x14ac:dyDescent="0.2">
      <c r="C4785" s="15"/>
      <c r="D4785" s="15"/>
      <c r="E4785" s="15"/>
      <c r="F4785" s="15"/>
      <c r="G4785" s="15"/>
      <c r="H4785" s="15"/>
      <c r="I4785" s="15"/>
      <c r="J4785" s="15"/>
      <c r="K4785" s="15"/>
      <c r="L4785" s="28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  <c r="AA4785" s="15"/>
      <c r="AB4785" s="15"/>
      <c r="AC4785" s="15"/>
      <c r="AD4785" s="15"/>
      <c r="AE4785" s="15"/>
      <c r="AF4785" s="15"/>
      <c r="AG4785" s="15"/>
      <c r="AH4785" s="15"/>
      <c r="AI4785" s="15"/>
      <c r="AJ4785" s="15"/>
      <c r="AK4785" s="15"/>
      <c r="AL4785" s="15"/>
      <c r="AM4785" s="15"/>
      <c r="AN4785" s="15"/>
      <c r="AO4785" s="15"/>
      <c r="AP4785" s="15"/>
      <c r="AQ4785" s="15"/>
      <c r="AR4785" s="15"/>
      <c r="AS4785" s="15"/>
      <c r="AT4785" s="15"/>
      <c r="AU4785" s="15"/>
      <c r="AV4785" s="15"/>
      <c r="AW4785" s="15"/>
    </row>
    <row r="4786" spans="3:49" x14ac:dyDescent="0.2">
      <c r="C4786" s="15"/>
      <c r="D4786" s="15"/>
      <c r="E4786" s="15"/>
      <c r="F4786" s="15"/>
      <c r="G4786" s="15"/>
      <c r="H4786" s="15"/>
      <c r="I4786" s="15"/>
      <c r="J4786" s="15"/>
      <c r="K4786" s="15"/>
      <c r="L4786" s="28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  <c r="AA4786" s="15"/>
      <c r="AB4786" s="15"/>
      <c r="AC4786" s="15"/>
      <c r="AD4786" s="15"/>
      <c r="AE4786" s="15"/>
      <c r="AF4786" s="15"/>
      <c r="AG4786" s="15"/>
      <c r="AH4786" s="15"/>
      <c r="AI4786" s="15"/>
      <c r="AJ4786" s="15"/>
      <c r="AK4786" s="15"/>
      <c r="AL4786" s="15"/>
      <c r="AM4786" s="15"/>
      <c r="AN4786" s="15"/>
      <c r="AO4786" s="15"/>
      <c r="AP4786" s="15"/>
      <c r="AQ4786" s="15"/>
      <c r="AR4786" s="15"/>
      <c r="AS4786" s="15"/>
      <c r="AT4786" s="15"/>
      <c r="AU4786" s="15"/>
      <c r="AV4786" s="15"/>
      <c r="AW4786" s="15"/>
    </row>
    <row r="4787" spans="3:49" x14ac:dyDescent="0.2">
      <c r="C4787" s="15"/>
      <c r="D4787" s="15"/>
      <c r="E4787" s="15"/>
      <c r="F4787" s="15"/>
      <c r="G4787" s="15"/>
      <c r="H4787" s="15"/>
      <c r="I4787" s="15"/>
      <c r="J4787" s="15"/>
      <c r="K4787" s="15"/>
      <c r="L4787" s="28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  <c r="AA4787" s="15"/>
      <c r="AB4787" s="15"/>
      <c r="AC4787" s="15"/>
      <c r="AD4787" s="15"/>
      <c r="AE4787" s="15"/>
      <c r="AF4787" s="15"/>
      <c r="AG4787" s="15"/>
      <c r="AH4787" s="15"/>
      <c r="AI4787" s="15"/>
      <c r="AJ4787" s="15"/>
      <c r="AK4787" s="15"/>
      <c r="AL4787" s="15"/>
      <c r="AM4787" s="15"/>
      <c r="AN4787" s="15"/>
      <c r="AO4787" s="15"/>
      <c r="AP4787" s="15"/>
      <c r="AQ4787" s="15"/>
      <c r="AR4787" s="15"/>
      <c r="AS4787" s="15"/>
      <c r="AT4787" s="15"/>
      <c r="AU4787" s="15"/>
      <c r="AV4787" s="15"/>
      <c r="AW4787" s="15"/>
    </row>
    <row r="4788" spans="3:49" x14ac:dyDescent="0.2">
      <c r="C4788" s="15"/>
      <c r="D4788" s="15"/>
      <c r="E4788" s="15"/>
      <c r="F4788" s="15"/>
      <c r="G4788" s="15"/>
      <c r="H4788" s="15"/>
      <c r="I4788" s="15"/>
      <c r="J4788" s="15"/>
      <c r="K4788" s="15"/>
      <c r="L4788" s="28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  <c r="AA4788" s="15"/>
      <c r="AB4788" s="15"/>
      <c r="AC4788" s="15"/>
      <c r="AD4788" s="15"/>
      <c r="AE4788" s="15"/>
      <c r="AF4788" s="15"/>
      <c r="AG4788" s="15"/>
      <c r="AH4788" s="15"/>
      <c r="AI4788" s="15"/>
      <c r="AJ4788" s="15"/>
      <c r="AK4788" s="15"/>
      <c r="AL4788" s="15"/>
      <c r="AM4788" s="15"/>
      <c r="AN4788" s="15"/>
      <c r="AO4788" s="15"/>
      <c r="AP4788" s="15"/>
      <c r="AQ4788" s="15"/>
      <c r="AR4788" s="15"/>
      <c r="AS4788" s="15"/>
      <c r="AT4788" s="15"/>
      <c r="AU4788" s="15"/>
      <c r="AV4788" s="15"/>
      <c r="AW4788" s="15"/>
    </row>
    <row r="4789" spans="3:49" x14ac:dyDescent="0.2">
      <c r="C4789" s="15"/>
      <c r="D4789" s="15"/>
      <c r="E4789" s="15"/>
      <c r="F4789" s="15"/>
      <c r="G4789" s="15"/>
      <c r="H4789" s="15"/>
      <c r="I4789" s="15"/>
      <c r="J4789" s="15"/>
      <c r="K4789" s="15"/>
      <c r="L4789" s="28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  <c r="AA4789" s="15"/>
      <c r="AB4789" s="15"/>
      <c r="AC4789" s="15"/>
      <c r="AD4789" s="15"/>
      <c r="AE4789" s="15"/>
      <c r="AF4789" s="15"/>
      <c r="AG4789" s="15"/>
      <c r="AH4789" s="15"/>
      <c r="AI4789" s="15"/>
      <c r="AJ4789" s="15"/>
      <c r="AK4789" s="15"/>
      <c r="AL4789" s="15"/>
      <c r="AM4789" s="15"/>
      <c r="AN4789" s="15"/>
      <c r="AO4789" s="15"/>
      <c r="AP4789" s="15"/>
      <c r="AQ4789" s="15"/>
      <c r="AR4789" s="15"/>
      <c r="AS4789" s="15"/>
      <c r="AT4789" s="15"/>
      <c r="AU4789" s="15"/>
      <c r="AV4789" s="15"/>
      <c r="AW4789" s="15"/>
    </row>
    <row r="4790" spans="3:49" x14ac:dyDescent="0.2">
      <c r="C4790" s="15"/>
      <c r="D4790" s="15"/>
      <c r="E4790" s="15"/>
      <c r="F4790" s="15"/>
      <c r="G4790" s="15"/>
      <c r="H4790" s="15"/>
      <c r="I4790" s="15"/>
      <c r="J4790" s="15"/>
      <c r="K4790" s="15"/>
      <c r="L4790" s="28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  <c r="AA4790" s="15"/>
      <c r="AB4790" s="15"/>
      <c r="AC4790" s="15"/>
      <c r="AD4790" s="15"/>
      <c r="AE4790" s="15"/>
      <c r="AF4790" s="15"/>
      <c r="AG4790" s="15"/>
      <c r="AH4790" s="15"/>
      <c r="AI4790" s="15"/>
      <c r="AJ4790" s="15"/>
      <c r="AK4790" s="15"/>
      <c r="AL4790" s="15"/>
      <c r="AM4790" s="15"/>
      <c r="AN4790" s="15"/>
      <c r="AO4790" s="15"/>
      <c r="AP4790" s="15"/>
      <c r="AQ4790" s="15"/>
      <c r="AR4790" s="15"/>
      <c r="AS4790" s="15"/>
      <c r="AT4790" s="15"/>
      <c r="AU4790" s="15"/>
      <c r="AV4790" s="15"/>
      <c r="AW4790" s="15"/>
    </row>
    <row r="4791" spans="3:49" x14ac:dyDescent="0.2">
      <c r="C4791" s="15"/>
      <c r="D4791" s="15"/>
      <c r="E4791" s="15"/>
      <c r="F4791" s="15"/>
      <c r="G4791" s="15"/>
      <c r="H4791" s="15"/>
      <c r="I4791" s="15"/>
      <c r="J4791" s="15"/>
      <c r="K4791" s="15"/>
      <c r="L4791" s="28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  <c r="AA4791" s="15"/>
      <c r="AB4791" s="15"/>
      <c r="AC4791" s="15"/>
      <c r="AD4791" s="15"/>
      <c r="AE4791" s="15"/>
      <c r="AF4791" s="15"/>
      <c r="AG4791" s="15"/>
      <c r="AH4791" s="15"/>
      <c r="AI4791" s="15"/>
      <c r="AJ4791" s="15"/>
      <c r="AK4791" s="15"/>
      <c r="AL4791" s="15"/>
      <c r="AM4791" s="15"/>
      <c r="AN4791" s="15"/>
      <c r="AO4791" s="15"/>
      <c r="AP4791" s="15"/>
      <c r="AQ4791" s="15"/>
      <c r="AR4791" s="15"/>
      <c r="AS4791" s="15"/>
      <c r="AT4791" s="15"/>
      <c r="AU4791" s="15"/>
      <c r="AV4791" s="15"/>
      <c r="AW4791" s="15"/>
    </row>
    <row r="4792" spans="3:49" x14ac:dyDescent="0.2">
      <c r="C4792" s="15"/>
      <c r="D4792" s="15"/>
      <c r="E4792" s="15"/>
      <c r="F4792" s="15"/>
      <c r="G4792" s="15"/>
      <c r="H4792" s="15"/>
      <c r="I4792" s="15"/>
      <c r="J4792" s="15"/>
      <c r="K4792" s="15"/>
      <c r="L4792" s="28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  <c r="AA4792" s="15"/>
      <c r="AB4792" s="15"/>
      <c r="AC4792" s="15"/>
      <c r="AD4792" s="15"/>
      <c r="AE4792" s="15"/>
      <c r="AF4792" s="15"/>
      <c r="AG4792" s="15"/>
      <c r="AH4792" s="15"/>
      <c r="AI4792" s="15"/>
      <c r="AJ4792" s="15"/>
      <c r="AK4792" s="15"/>
      <c r="AL4792" s="15"/>
      <c r="AM4792" s="15"/>
      <c r="AN4792" s="15"/>
      <c r="AO4792" s="15"/>
      <c r="AP4792" s="15"/>
      <c r="AQ4792" s="15"/>
      <c r="AR4792" s="15"/>
      <c r="AS4792" s="15"/>
      <c r="AT4792" s="15"/>
      <c r="AU4792" s="15"/>
      <c r="AV4792" s="15"/>
      <c r="AW4792" s="15"/>
    </row>
    <row r="4793" spans="3:49" x14ac:dyDescent="0.2">
      <c r="C4793" s="15"/>
      <c r="D4793" s="15"/>
      <c r="E4793" s="15"/>
      <c r="F4793" s="15"/>
      <c r="G4793" s="15"/>
      <c r="H4793" s="15"/>
      <c r="I4793" s="15"/>
      <c r="J4793" s="15"/>
      <c r="K4793" s="15"/>
      <c r="L4793" s="28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  <c r="AA4793" s="15"/>
      <c r="AB4793" s="15"/>
      <c r="AC4793" s="15"/>
      <c r="AD4793" s="15"/>
      <c r="AE4793" s="15"/>
      <c r="AF4793" s="15"/>
      <c r="AG4793" s="15"/>
      <c r="AH4793" s="15"/>
      <c r="AI4793" s="15"/>
      <c r="AJ4793" s="15"/>
      <c r="AK4793" s="15"/>
      <c r="AL4793" s="15"/>
      <c r="AM4793" s="15"/>
      <c r="AN4793" s="15"/>
      <c r="AO4793" s="15"/>
      <c r="AP4793" s="15"/>
      <c r="AQ4793" s="15"/>
      <c r="AR4793" s="15"/>
      <c r="AS4793" s="15"/>
      <c r="AT4793" s="15"/>
      <c r="AU4793" s="15"/>
      <c r="AV4793" s="15"/>
      <c r="AW4793" s="15"/>
    </row>
    <row r="4794" spans="3:49" x14ac:dyDescent="0.2">
      <c r="C4794" s="15"/>
      <c r="D4794" s="15"/>
      <c r="E4794" s="15"/>
      <c r="F4794" s="15"/>
      <c r="G4794" s="15"/>
      <c r="H4794" s="15"/>
      <c r="I4794" s="15"/>
      <c r="J4794" s="15"/>
      <c r="K4794" s="15"/>
      <c r="L4794" s="28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  <c r="AA4794" s="15"/>
      <c r="AB4794" s="15"/>
      <c r="AC4794" s="15"/>
      <c r="AD4794" s="15"/>
      <c r="AE4794" s="15"/>
      <c r="AF4794" s="15"/>
      <c r="AG4794" s="15"/>
      <c r="AH4794" s="15"/>
      <c r="AI4794" s="15"/>
      <c r="AJ4794" s="15"/>
      <c r="AK4794" s="15"/>
      <c r="AL4794" s="15"/>
      <c r="AM4794" s="15"/>
      <c r="AN4794" s="15"/>
      <c r="AO4794" s="15"/>
      <c r="AP4794" s="15"/>
      <c r="AQ4794" s="15"/>
      <c r="AR4794" s="15"/>
      <c r="AS4794" s="15"/>
      <c r="AT4794" s="15"/>
      <c r="AU4794" s="15"/>
      <c r="AV4794" s="15"/>
      <c r="AW4794" s="15"/>
    </row>
    <row r="4795" spans="3:49" x14ac:dyDescent="0.2">
      <c r="C4795" s="15"/>
      <c r="D4795" s="15"/>
      <c r="E4795" s="15"/>
      <c r="F4795" s="15"/>
      <c r="G4795" s="15"/>
      <c r="H4795" s="15"/>
      <c r="I4795" s="15"/>
      <c r="J4795" s="15"/>
      <c r="K4795" s="15"/>
      <c r="L4795" s="28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  <c r="AA4795" s="15"/>
      <c r="AB4795" s="15"/>
      <c r="AC4795" s="15"/>
      <c r="AD4795" s="15"/>
      <c r="AE4795" s="15"/>
      <c r="AF4795" s="15"/>
      <c r="AG4795" s="15"/>
      <c r="AH4795" s="15"/>
      <c r="AI4795" s="15"/>
      <c r="AJ4795" s="15"/>
      <c r="AK4795" s="15"/>
      <c r="AL4795" s="15"/>
      <c r="AM4795" s="15"/>
      <c r="AN4795" s="15"/>
      <c r="AO4795" s="15"/>
      <c r="AP4795" s="15"/>
      <c r="AQ4795" s="15"/>
      <c r="AR4795" s="15"/>
      <c r="AS4795" s="15"/>
      <c r="AT4795" s="15"/>
      <c r="AU4795" s="15"/>
      <c r="AV4795" s="15"/>
      <c r="AW4795" s="15"/>
    </row>
    <row r="4796" spans="3:49" x14ac:dyDescent="0.2">
      <c r="C4796" s="15"/>
      <c r="D4796" s="15"/>
      <c r="E4796" s="15"/>
      <c r="F4796" s="15"/>
      <c r="G4796" s="15"/>
      <c r="H4796" s="15"/>
      <c r="I4796" s="15"/>
      <c r="J4796" s="15"/>
      <c r="K4796" s="15"/>
      <c r="L4796" s="28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  <c r="AA4796" s="15"/>
      <c r="AB4796" s="15"/>
      <c r="AC4796" s="15"/>
      <c r="AD4796" s="15"/>
      <c r="AE4796" s="15"/>
      <c r="AF4796" s="15"/>
      <c r="AG4796" s="15"/>
      <c r="AH4796" s="15"/>
      <c r="AI4796" s="15"/>
      <c r="AJ4796" s="15"/>
      <c r="AK4796" s="15"/>
      <c r="AL4796" s="15"/>
      <c r="AM4796" s="15"/>
      <c r="AN4796" s="15"/>
      <c r="AO4796" s="15"/>
      <c r="AP4796" s="15"/>
      <c r="AQ4796" s="15"/>
      <c r="AR4796" s="15"/>
      <c r="AS4796" s="15"/>
      <c r="AT4796" s="15"/>
      <c r="AU4796" s="15"/>
      <c r="AV4796" s="15"/>
      <c r="AW4796" s="15"/>
    </row>
    <row r="4797" spans="3:49" x14ac:dyDescent="0.2">
      <c r="C4797" s="15"/>
      <c r="D4797" s="15"/>
      <c r="E4797" s="15"/>
      <c r="F4797" s="15"/>
      <c r="G4797" s="15"/>
      <c r="H4797" s="15"/>
      <c r="I4797" s="15"/>
      <c r="J4797" s="15"/>
      <c r="K4797" s="15"/>
      <c r="L4797" s="28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  <c r="AA4797" s="15"/>
      <c r="AB4797" s="15"/>
      <c r="AC4797" s="15"/>
      <c r="AD4797" s="15"/>
      <c r="AE4797" s="15"/>
      <c r="AF4797" s="15"/>
      <c r="AG4797" s="15"/>
      <c r="AH4797" s="15"/>
      <c r="AI4797" s="15"/>
      <c r="AJ4797" s="15"/>
      <c r="AK4797" s="15"/>
      <c r="AL4797" s="15"/>
      <c r="AM4797" s="15"/>
      <c r="AN4797" s="15"/>
      <c r="AO4797" s="15"/>
      <c r="AP4797" s="15"/>
      <c r="AQ4797" s="15"/>
      <c r="AR4797" s="15"/>
      <c r="AS4797" s="15"/>
      <c r="AT4797" s="15"/>
      <c r="AU4797" s="15"/>
      <c r="AV4797" s="15"/>
      <c r="AW4797" s="15"/>
    </row>
    <row r="4798" spans="3:49" x14ac:dyDescent="0.2">
      <c r="C4798" s="15"/>
      <c r="D4798" s="15"/>
      <c r="E4798" s="15"/>
      <c r="F4798" s="15"/>
      <c r="G4798" s="15"/>
      <c r="H4798" s="15"/>
      <c r="I4798" s="15"/>
      <c r="J4798" s="15"/>
      <c r="K4798" s="15"/>
      <c r="L4798" s="28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  <c r="AA4798" s="15"/>
      <c r="AB4798" s="15"/>
      <c r="AC4798" s="15"/>
      <c r="AD4798" s="15"/>
      <c r="AE4798" s="15"/>
      <c r="AF4798" s="15"/>
      <c r="AG4798" s="15"/>
      <c r="AH4798" s="15"/>
      <c r="AI4798" s="15"/>
      <c r="AJ4798" s="15"/>
      <c r="AK4798" s="15"/>
      <c r="AL4798" s="15"/>
      <c r="AM4798" s="15"/>
      <c r="AN4798" s="15"/>
      <c r="AO4798" s="15"/>
      <c r="AP4798" s="15"/>
      <c r="AQ4798" s="15"/>
      <c r="AR4798" s="15"/>
      <c r="AS4798" s="15"/>
      <c r="AT4798" s="15"/>
      <c r="AU4798" s="15"/>
      <c r="AV4798" s="15"/>
      <c r="AW4798" s="15"/>
    </row>
    <row r="4799" spans="3:49" x14ac:dyDescent="0.2">
      <c r="C4799" s="15"/>
      <c r="D4799" s="15"/>
      <c r="E4799" s="15"/>
      <c r="F4799" s="15"/>
      <c r="G4799" s="15"/>
      <c r="H4799" s="15"/>
      <c r="I4799" s="15"/>
      <c r="J4799" s="15"/>
      <c r="K4799" s="15"/>
      <c r="L4799" s="28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  <c r="AA4799" s="15"/>
      <c r="AB4799" s="15"/>
      <c r="AC4799" s="15"/>
      <c r="AD4799" s="15"/>
      <c r="AE4799" s="15"/>
      <c r="AF4799" s="15"/>
      <c r="AG4799" s="15"/>
      <c r="AH4799" s="15"/>
      <c r="AI4799" s="15"/>
      <c r="AJ4799" s="15"/>
      <c r="AK4799" s="15"/>
      <c r="AL4799" s="15"/>
      <c r="AM4799" s="15"/>
      <c r="AN4799" s="15"/>
      <c r="AO4799" s="15"/>
      <c r="AP4799" s="15"/>
      <c r="AQ4799" s="15"/>
      <c r="AR4799" s="15"/>
      <c r="AS4799" s="15"/>
      <c r="AT4799" s="15"/>
      <c r="AU4799" s="15"/>
      <c r="AV4799" s="15"/>
      <c r="AW4799" s="15"/>
    </row>
    <row r="4800" spans="3:49" x14ac:dyDescent="0.2">
      <c r="C4800" s="15"/>
      <c r="D4800" s="15"/>
      <c r="E4800" s="15"/>
      <c r="F4800" s="15"/>
      <c r="G4800" s="15"/>
      <c r="H4800" s="15"/>
      <c r="I4800" s="15"/>
      <c r="J4800" s="15"/>
      <c r="K4800" s="15"/>
      <c r="L4800" s="28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  <c r="AA4800" s="15"/>
      <c r="AB4800" s="15"/>
      <c r="AC4800" s="15"/>
      <c r="AD4800" s="15"/>
      <c r="AE4800" s="15"/>
      <c r="AF4800" s="15"/>
      <c r="AG4800" s="15"/>
      <c r="AH4800" s="15"/>
      <c r="AI4800" s="15"/>
      <c r="AJ4800" s="15"/>
      <c r="AK4800" s="15"/>
      <c r="AL4800" s="15"/>
      <c r="AM4800" s="15"/>
      <c r="AN4800" s="15"/>
      <c r="AO4800" s="15"/>
      <c r="AP4800" s="15"/>
      <c r="AQ4800" s="15"/>
      <c r="AR4800" s="15"/>
      <c r="AS4800" s="15"/>
      <c r="AT4800" s="15"/>
      <c r="AU4800" s="15"/>
      <c r="AV4800" s="15"/>
      <c r="AW4800" s="15"/>
    </row>
    <row r="4801" spans="3:49" x14ac:dyDescent="0.2">
      <c r="C4801" s="15"/>
      <c r="D4801" s="15"/>
      <c r="E4801" s="15"/>
      <c r="F4801" s="15"/>
      <c r="G4801" s="15"/>
      <c r="H4801" s="15"/>
      <c r="I4801" s="15"/>
      <c r="J4801" s="15"/>
      <c r="K4801" s="15"/>
      <c r="L4801" s="28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  <c r="AA4801" s="15"/>
      <c r="AB4801" s="15"/>
      <c r="AC4801" s="15"/>
      <c r="AD4801" s="15"/>
      <c r="AE4801" s="15"/>
      <c r="AF4801" s="15"/>
      <c r="AG4801" s="15"/>
      <c r="AH4801" s="15"/>
      <c r="AI4801" s="15"/>
      <c r="AJ4801" s="15"/>
      <c r="AK4801" s="15"/>
      <c r="AL4801" s="15"/>
      <c r="AM4801" s="15"/>
      <c r="AN4801" s="15"/>
      <c r="AO4801" s="15"/>
      <c r="AP4801" s="15"/>
      <c r="AQ4801" s="15"/>
      <c r="AR4801" s="15"/>
      <c r="AS4801" s="15"/>
      <c r="AT4801" s="15"/>
      <c r="AU4801" s="15"/>
      <c r="AV4801" s="15"/>
      <c r="AW4801" s="15"/>
    </row>
    <row r="4802" spans="3:49" x14ac:dyDescent="0.2">
      <c r="C4802" s="15"/>
      <c r="D4802" s="15"/>
      <c r="E4802" s="15"/>
      <c r="F4802" s="15"/>
      <c r="G4802" s="15"/>
      <c r="H4802" s="15"/>
      <c r="I4802" s="15"/>
      <c r="J4802" s="15"/>
      <c r="K4802" s="15"/>
      <c r="L4802" s="28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  <c r="AA4802" s="15"/>
      <c r="AB4802" s="15"/>
      <c r="AC4802" s="15"/>
      <c r="AD4802" s="15"/>
      <c r="AE4802" s="15"/>
      <c r="AF4802" s="15"/>
      <c r="AG4802" s="15"/>
      <c r="AH4802" s="15"/>
      <c r="AI4802" s="15"/>
      <c r="AJ4802" s="15"/>
      <c r="AK4802" s="15"/>
      <c r="AL4802" s="15"/>
      <c r="AM4802" s="15"/>
      <c r="AN4802" s="15"/>
      <c r="AO4802" s="15"/>
      <c r="AP4802" s="15"/>
      <c r="AQ4802" s="15"/>
      <c r="AR4802" s="15"/>
      <c r="AS4802" s="15"/>
      <c r="AT4802" s="15"/>
      <c r="AU4802" s="15"/>
      <c r="AV4802" s="15"/>
      <c r="AW4802" s="15"/>
    </row>
    <row r="4803" spans="3:49" x14ac:dyDescent="0.2">
      <c r="C4803" s="15"/>
      <c r="D4803" s="15"/>
      <c r="E4803" s="15"/>
      <c r="F4803" s="15"/>
      <c r="G4803" s="15"/>
      <c r="H4803" s="15"/>
      <c r="I4803" s="15"/>
      <c r="J4803" s="15"/>
      <c r="K4803" s="15"/>
      <c r="L4803" s="28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  <c r="AA4803" s="15"/>
      <c r="AB4803" s="15"/>
      <c r="AC4803" s="15"/>
      <c r="AD4803" s="15"/>
      <c r="AE4803" s="15"/>
      <c r="AF4803" s="15"/>
      <c r="AG4803" s="15"/>
      <c r="AH4803" s="15"/>
      <c r="AI4803" s="15"/>
      <c r="AJ4803" s="15"/>
      <c r="AK4803" s="15"/>
      <c r="AL4803" s="15"/>
      <c r="AM4803" s="15"/>
      <c r="AN4803" s="15"/>
      <c r="AO4803" s="15"/>
      <c r="AP4803" s="15"/>
      <c r="AQ4803" s="15"/>
      <c r="AR4803" s="15"/>
      <c r="AS4803" s="15"/>
      <c r="AT4803" s="15"/>
      <c r="AU4803" s="15"/>
      <c r="AV4803" s="15"/>
      <c r="AW4803" s="15"/>
    </row>
    <row r="4804" spans="3:49" x14ac:dyDescent="0.2">
      <c r="C4804" s="15"/>
      <c r="D4804" s="15"/>
      <c r="E4804" s="15"/>
      <c r="F4804" s="15"/>
      <c r="G4804" s="15"/>
      <c r="H4804" s="15"/>
      <c r="I4804" s="15"/>
      <c r="J4804" s="15"/>
      <c r="K4804" s="15"/>
      <c r="L4804" s="28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  <c r="AA4804" s="15"/>
      <c r="AB4804" s="15"/>
      <c r="AC4804" s="15"/>
      <c r="AD4804" s="15"/>
      <c r="AE4804" s="15"/>
      <c r="AF4804" s="15"/>
      <c r="AG4804" s="15"/>
      <c r="AH4804" s="15"/>
      <c r="AI4804" s="15"/>
      <c r="AJ4804" s="15"/>
      <c r="AK4804" s="15"/>
      <c r="AL4804" s="15"/>
      <c r="AM4804" s="15"/>
      <c r="AN4804" s="15"/>
      <c r="AO4804" s="15"/>
      <c r="AP4804" s="15"/>
      <c r="AQ4804" s="15"/>
      <c r="AR4804" s="15"/>
      <c r="AS4804" s="15"/>
      <c r="AT4804" s="15"/>
      <c r="AU4804" s="15"/>
      <c r="AV4804" s="15"/>
      <c r="AW4804" s="15"/>
    </row>
    <row r="4805" spans="3:49" x14ac:dyDescent="0.2">
      <c r="C4805" s="15"/>
      <c r="D4805" s="15"/>
      <c r="E4805" s="15"/>
      <c r="F4805" s="15"/>
      <c r="G4805" s="15"/>
      <c r="H4805" s="15"/>
      <c r="I4805" s="15"/>
      <c r="J4805" s="15"/>
      <c r="K4805" s="15"/>
      <c r="L4805" s="28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  <c r="AA4805" s="15"/>
      <c r="AB4805" s="15"/>
      <c r="AC4805" s="15"/>
      <c r="AD4805" s="15"/>
      <c r="AE4805" s="15"/>
      <c r="AF4805" s="15"/>
      <c r="AG4805" s="15"/>
      <c r="AH4805" s="15"/>
      <c r="AI4805" s="15"/>
      <c r="AJ4805" s="15"/>
      <c r="AK4805" s="15"/>
      <c r="AL4805" s="15"/>
      <c r="AM4805" s="15"/>
      <c r="AN4805" s="15"/>
      <c r="AO4805" s="15"/>
      <c r="AP4805" s="15"/>
      <c r="AQ4805" s="15"/>
      <c r="AR4805" s="15"/>
      <c r="AS4805" s="15"/>
      <c r="AT4805" s="15"/>
      <c r="AU4805" s="15"/>
      <c r="AV4805" s="15"/>
      <c r="AW4805" s="15"/>
    </row>
    <row r="4806" spans="3:49" x14ac:dyDescent="0.2">
      <c r="C4806" s="15"/>
      <c r="D4806" s="15"/>
      <c r="E4806" s="15"/>
      <c r="F4806" s="15"/>
      <c r="G4806" s="15"/>
      <c r="H4806" s="15"/>
      <c r="I4806" s="15"/>
      <c r="J4806" s="15"/>
      <c r="K4806" s="15"/>
      <c r="L4806" s="28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  <c r="AA4806" s="15"/>
      <c r="AB4806" s="15"/>
      <c r="AC4806" s="15"/>
      <c r="AD4806" s="15"/>
      <c r="AE4806" s="15"/>
      <c r="AF4806" s="15"/>
      <c r="AG4806" s="15"/>
      <c r="AH4806" s="15"/>
      <c r="AI4806" s="15"/>
      <c r="AJ4806" s="15"/>
      <c r="AK4806" s="15"/>
      <c r="AL4806" s="15"/>
      <c r="AM4806" s="15"/>
      <c r="AN4806" s="15"/>
      <c r="AO4806" s="15"/>
      <c r="AP4806" s="15"/>
      <c r="AQ4806" s="15"/>
      <c r="AR4806" s="15"/>
      <c r="AS4806" s="15"/>
      <c r="AT4806" s="15"/>
      <c r="AU4806" s="15"/>
      <c r="AV4806" s="15"/>
      <c r="AW4806" s="15"/>
    </row>
    <row r="4807" spans="3:49" x14ac:dyDescent="0.2">
      <c r="C4807" s="15"/>
      <c r="D4807" s="15"/>
      <c r="E4807" s="15"/>
      <c r="F4807" s="15"/>
      <c r="G4807" s="15"/>
      <c r="H4807" s="15"/>
      <c r="I4807" s="15"/>
      <c r="J4807" s="15"/>
      <c r="K4807" s="15"/>
      <c r="L4807" s="28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  <c r="AA4807" s="15"/>
      <c r="AB4807" s="15"/>
      <c r="AC4807" s="15"/>
      <c r="AD4807" s="15"/>
      <c r="AE4807" s="15"/>
      <c r="AF4807" s="15"/>
      <c r="AG4807" s="15"/>
      <c r="AH4807" s="15"/>
      <c r="AI4807" s="15"/>
      <c r="AJ4807" s="15"/>
      <c r="AK4807" s="15"/>
      <c r="AL4807" s="15"/>
      <c r="AM4807" s="15"/>
      <c r="AN4807" s="15"/>
      <c r="AO4807" s="15"/>
      <c r="AP4807" s="15"/>
      <c r="AQ4807" s="15"/>
      <c r="AR4807" s="15"/>
      <c r="AS4807" s="15"/>
      <c r="AT4807" s="15"/>
      <c r="AU4807" s="15"/>
      <c r="AV4807" s="15"/>
      <c r="AW4807" s="15"/>
    </row>
    <row r="4808" spans="3:49" x14ac:dyDescent="0.2">
      <c r="C4808" s="15"/>
      <c r="D4808" s="15"/>
      <c r="E4808" s="15"/>
      <c r="F4808" s="15"/>
      <c r="G4808" s="15"/>
      <c r="H4808" s="15"/>
      <c r="I4808" s="15"/>
      <c r="J4808" s="15"/>
      <c r="K4808" s="15"/>
      <c r="L4808" s="28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  <c r="AA4808" s="15"/>
      <c r="AB4808" s="15"/>
      <c r="AC4808" s="15"/>
      <c r="AD4808" s="15"/>
      <c r="AE4808" s="15"/>
      <c r="AF4808" s="15"/>
      <c r="AG4808" s="15"/>
      <c r="AH4808" s="15"/>
      <c r="AI4808" s="15"/>
      <c r="AJ4808" s="15"/>
      <c r="AK4808" s="15"/>
      <c r="AL4808" s="15"/>
      <c r="AM4808" s="15"/>
      <c r="AN4808" s="15"/>
      <c r="AO4808" s="15"/>
      <c r="AP4808" s="15"/>
      <c r="AQ4808" s="15"/>
      <c r="AR4808" s="15"/>
      <c r="AS4808" s="15"/>
      <c r="AT4808" s="15"/>
      <c r="AU4808" s="15"/>
      <c r="AV4808" s="15"/>
      <c r="AW4808" s="15"/>
    </row>
    <row r="4809" spans="3:49" x14ac:dyDescent="0.2">
      <c r="C4809" s="15"/>
      <c r="D4809" s="15"/>
      <c r="E4809" s="15"/>
      <c r="F4809" s="15"/>
      <c r="G4809" s="15"/>
      <c r="H4809" s="15"/>
      <c r="I4809" s="15"/>
      <c r="J4809" s="15"/>
      <c r="K4809" s="15"/>
      <c r="L4809" s="28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  <c r="AA4809" s="15"/>
      <c r="AB4809" s="15"/>
      <c r="AC4809" s="15"/>
      <c r="AD4809" s="15"/>
      <c r="AE4809" s="15"/>
      <c r="AF4809" s="15"/>
      <c r="AG4809" s="15"/>
      <c r="AH4809" s="15"/>
      <c r="AI4809" s="15"/>
      <c r="AJ4809" s="15"/>
      <c r="AK4809" s="15"/>
      <c r="AL4809" s="15"/>
      <c r="AM4809" s="15"/>
      <c r="AN4809" s="15"/>
      <c r="AO4809" s="15"/>
      <c r="AP4809" s="15"/>
      <c r="AQ4809" s="15"/>
      <c r="AR4809" s="15"/>
      <c r="AS4809" s="15"/>
      <c r="AT4809" s="15"/>
      <c r="AU4809" s="15"/>
      <c r="AV4809" s="15"/>
      <c r="AW4809" s="15"/>
    </row>
    <row r="4810" spans="3:49" x14ac:dyDescent="0.2">
      <c r="C4810" s="15"/>
      <c r="D4810" s="15"/>
      <c r="E4810" s="15"/>
      <c r="F4810" s="15"/>
      <c r="G4810" s="15"/>
      <c r="H4810" s="15"/>
      <c r="I4810" s="15"/>
      <c r="J4810" s="15"/>
      <c r="K4810" s="15"/>
      <c r="L4810" s="28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  <c r="AA4810" s="15"/>
      <c r="AB4810" s="15"/>
      <c r="AC4810" s="15"/>
      <c r="AD4810" s="15"/>
      <c r="AE4810" s="15"/>
      <c r="AF4810" s="15"/>
      <c r="AG4810" s="15"/>
      <c r="AH4810" s="15"/>
      <c r="AI4810" s="15"/>
      <c r="AJ4810" s="15"/>
      <c r="AK4810" s="15"/>
      <c r="AL4810" s="15"/>
      <c r="AM4810" s="15"/>
      <c r="AN4810" s="15"/>
      <c r="AO4810" s="15"/>
      <c r="AP4810" s="15"/>
      <c r="AQ4810" s="15"/>
      <c r="AR4810" s="15"/>
      <c r="AS4810" s="15"/>
      <c r="AT4810" s="15"/>
      <c r="AU4810" s="15"/>
      <c r="AV4810" s="15"/>
      <c r="AW4810" s="15"/>
    </row>
    <row r="4811" spans="3:49" x14ac:dyDescent="0.2">
      <c r="C4811" s="15"/>
      <c r="D4811" s="15"/>
      <c r="E4811" s="15"/>
      <c r="F4811" s="15"/>
      <c r="G4811" s="15"/>
      <c r="H4811" s="15"/>
      <c r="I4811" s="15"/>
      <c r="J4811" s="15"/>
      <c r="K4811" s="15"/>
      <c r="L4811" s="28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  <c r="AA4811" s="15"/>
      <c r="AB4811" s="15"/>
      <c r="AC4811" s="15"/>
      <c r="AD4811" s="15"/>
      <c r="AE4811" s="15"/>
      <c r="AF4811" s="15"/>
      <c r="AG4811" s="15"/>
      <c r="AH4811" s="15"/>
      <c r="AI4811" s="15"/>
      <c r="AJ4811" s="15"/>
      <c r="AK4811" s="15"/>
      <c r="AL4811" s="15"/>
      <c r="AM4811" s="15"/>
      <c r="AN4811" s="15"/>
      <c r="AO4811" s="15"/>
      <c r="AP4811" s="15"/>
      <c r="AQ4811" s="15"/>
      <c r="AR4811" s="15"/>
      <c r="AS4811" s="15"/>
      <c r="AT4811" s="15"/>
      <c r="AU4811" s="15"/>
      <c r="AV4811" s="15"/>
      <c r="AW4811" s="15"/>
    </row>
    <row r="4812" spans="3:49" x14ac:dyDescent="0.2">
      <c r="C4812" s="15"/>
      <c r="D4812" s="15"/>
      <c r="E4812" s="15"/>
      <c r="F4812" s="15"/>
      <c r="G4812" s="15"/>
      <c r="H4812" s="15"/>
      <c r="I4812" s="15"/>
      <c r="J4812" s="15"/>
      <c r="K4812" s="15"/>
      <c r="L4812" s="28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  <c r="AA4812" s="15"/>
      <c r="AB4812" s="15"/>
      <c r="AC4812" s="15"/>
      <c r="AD4812" s="15"/>
      <c r="AE4812" s="15"/>
      <c r="AF4812" s="15"/>
      <c r="AG4812" s="15"/>
      <c r="AH4812" s="15"/>
      <c r="AI4812" s="15"/>
      <c r="AJ4812" s="15"/>
      <c r="AK4812" s="15"/>
      <c r="AL4812" s="15"/>
      <c r="AM4812" s="15"/>
      <c r="AN4812" s="15"/>
      <c r="AO4812" s="15"/>
      <c r="AP4812" s="15"/>
      <c r="AQ4812" s="15"/>
      <c r="AR4812" s="15"/>
      <c r="AS4812" s="15"/>
      <c r="AT4812" s="15"/>
      <c r="AU4812" s="15"/>
      <c r="AV4812" s="15"/>
      <c r="AW4812" s="15"/>
    </row>
    <row r="4813" spans="3:49" x14ac:dyDescent="0.2">
      <c r="C4813" s="15"/>
      <c r="D4813" s="15"/>
      <c r="E4813" s="15"/>
      <c r="F4813" s="15"/>
      <c r="G4813" s="15"/>
      <c r="H4813" s="15"/>
      <c r="I4813" s="15"/>
      <c r="J4813" s="15"/>
      <c r="K4813" s="15"/>
      <c r="L4813" s="28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  <c r="AA4813" s="15"/>
      <c r="AB4813" s="15"/>
      <c r="AC4813" s="15"/>
      <c r="AD4813" s="15"/>
      <c r="AE4813" s="15"/>
      <c r="AF4813" s="15"/>
      <c r="AG4813" s="15"/>
      <c r="AH4813" s="15"/>
      <c r="AI4813" s="15"/>
      <c r="AJ4813" s="15"/>
      <c r="AK4813" s="15"/>
      <c r="AL4813" s="15"/>
      <c r="AM4813" s="15"/>
      <c r="AN4813" s="15"/>
      <c r="AO4813" s="15"/>
      <c r="AP4813" s="15"/>
      <c r="AQ4813" s="15"/>
      <c r="AR4813" s="15"/>
      <c r="AS4813" s="15"/>
      <c r="AT4813" s="15"/>
      <c r="AU4813" s="15"/>
      <c r="AV4813" s="15"/>
      <c r="AW4813" s="15"/>
    </row>
    <row r="4814" spans="3:49" x14ac:dyDescent="0.2">
      <c r="C4814" s="15"/>
      <c r="D4814" s="15"/>
      <c r="E4814" s="15"/>
      <c r="F4814" s="15"/>
      <c r="G4814" s="15"/>
      <c r="H4814" s="15"/>
      <c r="I4814" s="15"/>
      <c r="J4814" s="15"/>
      <c r="K4814" s="15"/>
      <c r="L4814" s="28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  <c r="AA4814" s="15"/>
      <c r="AB4814" s="15"/>
      <c r="AC4814" s="15"/>
      <c r="AD4814" s="15"/>
      <c r="AE4814" s="15"/>
      <c r="AF4814" s="15"/>
      <c r="AG4814" s="15"/>
      <c r="AH4814" s="15"/>
      <c r="AI4814" s="15"/>
      <c r="AJ4814" s="15"/>
      <c r="AK4814" s="15"/>
      <c r="AL4814" s="15"/>
      <c r="AM4814" s="15"/>
      <c r="AN4814" s="15"/>
      <c r="AO4814" s="15"/>
      <c r="AP4814" s="15"/>
      <c r="AQ4814" s="15"/>
      <c r="AR4814" s="15"/>
      <c r="AS4814" s="15"/>
      <c r="AT4814" s="15"/>
      <c r="AU4814" s="15"/>
      <c r="AV4814" s="15"/>
      <c r="AW4814" s="15"/>
    </row>
    <row r="4815" spans="3:49" x14ac:dyDescent="0.2">
      <c r="C4815" s="15"/>
      <c r="D4815" s="15"/>
      <c r="E4815" s="15"/>
      <c r="F4815" s="15"/>
      <c r="G4815" s="15"/>
      <c r="H4815" s="15"/>
      <c r="I4815" s="15"/>
      <c r="J4815" s="15"/>
      <c r="K4815" s="15"/>
      <c r="L4815" s="28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  <c r="AA4815" s="15"/>
      <c r="AB4815" s="15"/>
      <c r="AC4815" s="15"/>
      <c r="AD4815" s="15"/>
      <c r="AE4815" s="15"/>
      <c r="AF4815" s="15"/>
      <c r="AG4815" s="15"/>
      <c r="AH4815" s="15"/>
      <c r="AI4815" s="15"/>
      <c r="AJ4815" s="15"/>
      <c r="AK4815" s="15"/>
      <c r="AL4815" s="15"/>
      <c r="AM4815" s="15"/>
      <c r="AN4815" s="15"/>
      <c r="AO4815" s="15"/>
      <c r="AP4815" s="15"/>
      <c r="AQ4815" s="15"/>
      <c r="AR4815" s="15"/>
      <c r="AS4815" s="15"/>
      <c r="AT4815" s="15"/>
      <c r="AU4815" s="15"/>
      <c r="AV4815" s="15"/>
      <c r="AW4815" s="15"/>
    </row>
    <row r="4816" spans="3:49" x14ac:dyDescent="0.2">
      <c r="C4816" s="15"/>
      <c r="D4816" s="15"/>
      <c r="E4816" s="15"/>
      <c r="F4816" s="15"/>
      <c r="G4816" s="15"/>
      <c r="H4816" s="15"/>
      <c r="I4816" s="15"/>
      <c r="J4816" s="15"/>
      <c r="K4816" s="15"/>
      <c r="L4816" s="28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  <c r="AA4816" s="15"/>
      <c r="AB4816" s="15"/>
      <c r="AC4816" s="15"/>
      <c r="AD4816" s="15"/>
      <c r="AE4816" s="15"/>
      <c r="AF4816" s="15"/>
      <c r="AG4816" s="15"/>
      <c r="AH4816" s="15"/>
      <c r="AI4816" s="15"/>
      <c r="AJ4816" s="15"/>
      <c r="AK4816" s="15"/>
      <c r="AL4816" s="15"/>
      <c r="AM4816" s="15"/>
      <c r="AN4816" s="15"/>
      <c r="AO4816" s="15"/>
      <c r="AP4816" s="15"/>
      <c r="AQ4816" s="15"/>
      <c r="AR4816" s="15"/>
      <c r="AS4816" s="15"/>
      <c r="AT4816" s="15"/>
      <c r="AU4816" s="15"/>
      <c r="AV4816" s="15"/>
      <c r="AW4816" s="15"/>
    </row>
    <row r="4817" spans="3:49" x14ac:dyDescent="0.2">
      <c r="C4817" s="15"/>
      <c r="D4817" s="15"/>
      <c r="E4817" s="15"/>
      <c r="F4817" s="15"/>
      <c r="G4817" s="15"/>
      <c r="H4817" s="15"/>
      <c r="I4817" s="15"/>
      <c r="J4817" s="15"/>
      <c r="K4817" s="15"/>
      <c r="L4817" s="28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  <c r="AA4817" s="15"/>
      <c r="AB4817" s="15"/>
      <c r="AC4817" s="15"/>
      <c r="AD4817" s="15"/>
      <c r="AE4817" s="15"/>
      <c r="AF4817" s="15"/>
      <c r="AG4817" s="15"/>
      <c r="AH4817" s="15"/>
      <c r="AI4817" s="15"/>
      <c r="AJ4817" s="15"/>
      <c r="AK4817" s="15"/>
      <c r="AL4817" s="15"/>
      <c r="AM4817" s="15"/>
      <c r="AN4817" s="15"/>
      <c r="AO4817" s="15"/>
      <c r="AP4817" s="15"/>
      <c r="AQ4817" s="15"/>
      <c r="AR4817" s="15"/>
      <c r="AS4817" s="15"/>
      <c r="AT4817" s="15"/>
      <c r="AU4817" s="15"/>
      <c r="AV4817" s="15"/>
      <c r="AW4817" s="15"/>
    </row>
    <row r="4818" spans="3:49" x14ac:dyDescent="0.2">
      <c r="C4818" s="15"/>
      <c r="D4818" s="15"/>
      <c r="E4818" s="15"/>
      <c r="F4818" s="15"/>
      <c r="G4818" s="15"/>
      <c r="H4818" s="15"/>
      <c r="I4818" s="15"/>
      <c r="J4818" s="15"/>
      <c r="K4818" s="15"/>
      <c r="L4818" s="28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  <c r="AA4818" s="15"/>
      <c r="AB4818" s="15"/>
      <c r="AC4818" s="15"/>
      <c r="AD4818" s="15"/>
      <c r="AE4818" s="15"/>
      <c r="AF4818" s="15"/>
      <c r="AG4818" s="15"/>
      <c r="AH4818" s="15"/>
      <c r="AI4818" s="15"/>
      <c r="AJ4818" s="15"/>
      <c r="AK4818" s="15"/>
      <c r="AL4818" s="15"/>
      <c r="AM4818" s="15"/>
      <c r="AN4818" s="15"/>
      <c r="AO4818" s="15"/>
      <c r="AP4818" s="15"/>
      <c r="AQ4818" s="15"/>
      <c r="AR4818" s="15"/>
      <c r="AS4818" s="15"/>
      <c r="AT4818" s="15"/>
      <c r="AU4818" s="15"/>
      <c r="AV4818" s="15"/>
      <c r="AW4818" s="15"/>
    </row>
    <row r="4819" spans="3:49" x14ac:dyDescent="0.2">
      <c r="C4819" s="15"/>
      <c r="D4819" s="15"/>
      <c r="E4819" s="15"/>
      <c r="F4819" s="15"/>
      <c r="G4819" s="15"/>
      <c r="H4819" s="15"/>
      <c r="I4819" s="15"/>
      <c r="J4819" s="15"/>
      <c r="K4819" s="15"/>
      <c r="L4819" s="28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  <c r="AA4819" s="15"/>
      <c r="AB4819" s="15"/>
      <c r="AC4819" s="15"/>
      <c r="AD4819" s="15"/>
      <c r="AE4819" s="15"/>
      <c r="AF4819" s="15"/>
      <c r="AG4819" s="15"/>
      <c r="AH4819" s="15"/>
      <c r="AI4819" s="15"/>
      <c r="AJ4819" s="15"/>
      <c r="AK4819" s="15"/>
      <c r="AL4819" s="15"/>
      <c r="AM4819" s="15"/>
      <c r="AN4819" s="15"/>
      <c r="AO4819" s="15"/>
      <c r="AP4819" s="15"/>
      <c r="AQ4819" s="15"/>
      <c r="AR4819" s="15"/>
      <c r="AS4819" s="15"/>
      <c r="AT4819" s="15"/>
      <c r="AU4819" s="15"/>
      <c r="AV4819" s="15"/>
      <c r="AW4819" s="15"/>
    </row>
    <row r="4820" spans="3:49" x14ac:dyDescent="0.2">
      <c r="C4820" s="15"/>
      <c r="D4820" s="15"/>
      <c r="E4820" s="15"/>
      <c r="F4820" s="15"/>
      <c r="G4820" s="15"/>
      <c r="H4820" s="15"/>
      <c r="I4820" s="15"/>
      <c r="J4820" s="15"/>
      <c r="K4820" s="15"/>
      <c r="L4820" s="28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  <c r="AA4820" s="15"/>
      <c r="AB4820" s="15"/>
      <c r="AC4820" s="15"/>
      <c r="AD4820" s="15"/>
      <c r="AE4820" s="15"/>
      <c r="AF4820" s="15"/>
      <c r="AG4820" s="15"/>
      <c r="AH4820" s="15"/>
      <c r="AI4820" s="15"/>
      <c r="AJ4820" s="15"/>
      <c r="AK4820" s="15"/>
      <c r="AL4820" s="15"/>
      <c r="AM4820" s="15"/>
      <c r="AN4820" s="15"/>
      <c r="AO4820" s="15"/>
      <c r="AP4820" s="15"/>
      <c r="AQ4820" s="15"/>
      <c r="AR4820" s="15"/>
      <c r="AS4820" s="15"/>
      <c r="AT4820" s="15"/>
      <c r="AU4820" s="15"/>
      <c r="AV4820" s="15"/>
      <c r="AW4820" s="15"/>
    </row>
    <row r="4821" spans="3:49" x14ac:dyDescent="0.2">
      <c r="C4821" s="15"/>
      <c r="D4821" s="15"/>
      <c r="E4821" s="15"/>
      <c r="F4821" s="15"/>
      <c r="G4821" s="15"/>
      <c r="H4821" s="15"/>
      <c r="I4821" s="15"/>
      <c r="J4821" s="15"/>
      <c r="K4821" s="15"/>
      <c r="L4821" s="28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  <c r="AA4821" s="15"/>
      <c r="AB4821" s="15"/>
      <c r="AC4821" s="15"/>
      <c r="AD4821" s="15"/>
      <c r="AE4821" s="15"/>
      <c r="AF4821" s="15"/>
      <c r="AG4821" s="15"/>
      <c r="AH4821" s="15"/>
      <c r="AI4821" s="15"/>
      <c r="AJ4821" s="15"/>
      <c r="AK4821" s="15"/>
      <c r="AL4821" s="15"/>
      <c r="AM4821" s="15"/>
      <c r="AN4821" s="15"/>
      <c r="AO4821" s="15"/>
      <c r="AP4821" s="15"/>
      <c r="AQ4821" s="15"/>
      <c r="AR4821" s="15"/>
      <c r="AS4821" s="15"/>
      <c r="AT4821" s="15"/>
      <c r="AU4821" s="15"/>
      <c r="AV4821" s="15"/>
      <c r="AW4821" s="15"/>
    </row>
    <row r="4822" spans="3:49" x14ac:dyDescent="0.2">
      <c r="C4822" s="15"/>
      <c r="D4822" s="15"/>
      <c r="E4822" s="15"/>
      <c r="F4822" s="15"/>
      <c r="G4822" s="15"/>
      <c r="H4822" s="15"/>
      <c r="I4822" s="15"/>
      <c r="J4822" s="15"/>
      <c r="K4822" s="15"/>
      <c r="L4822" s="28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  <c r="AA4822" s="15"/>
      <c r="AB4822" s="15"/>
      <c r="AC4822" s="15"/>
      <c r="AD4822" s="15"/>
      <c r="AE4822" s="15"/>
      <c r="AF4822" s="15"/>
      <c r="AG4822" s="15"/>
      <c r="AH4822" s="15"/>
      <c r="AI4822" s="15"/>
      <c r="AJ4822" s="15"/>
      <c r="AK4822" s="15"/>
      <c r="AL4822" s="15"/>
      <c r="AM4822" s="15"/>
      <c r="AN4822" s="15"/>
      <c r="AO4822" s="15"/>
      <c r="AP4822" s="15"/>
      <c r="AQ4822" s="15"/>
      <c r="AR4822" s="15"/>
      <c r="AS4822" s="15"/>
      <c r="AT4822" s="15"/>
      <c r="AU4822" s="15"/>
      <c r="AV4822" s="15"/>
      <c r="AW4822" s="15"/>
    </row>
    <row r="4823" spans="3:49" x14ac:dyDescent="0.2">
      <c r="C4823" s="15"/>
      <c r="D4823" s="15"/>
      <c r="E4823" s="15"/>
      <c r="F4823" s="15"/>
      <c r="G4823" s="15"/>
      <c r="H4823" s="15"/>
      <c r="I4823" s="15"/>
      <c r="J4823" s="15"/>
      <c r="K4823" s="15"/>
      <c r="L4823" s="28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  <c r="AA4823" s="15"/>
      <c r="AB4823" s="15"/>
      <c r="AC4823" s="15"/>
      <c r="AD4823" s="15"/>
      <c r="AE4823" s="15"/>
      <c r="AF4823" s="15"/>
      <c r="AG4823" s="15"/>
      <c r="AH4823" s="15"/>
      <c r="AI4823" s="15"/>
      <c r="AJ4823" s="15"/>
      <c r="AK4823" s="15"/>
      <c r="AL4823" s="15"/>
      <c r="AM4823" s="15"/>
      <c r="AN4823" s="15"/>
      <c r="AO4823" s="15"/>
      <c r="AP4823" s="15"/>
      <c r="AQ4823" s="15"/>
      <c r="AR4823" s="15"/>
      <c r="AS4823" s="15"/>
      <c r="AT4823" s="15"/>
      <c r="AU4823" s="15"/>
      <c r="AV4823" s="15"/>
      <c r="AW4823" s="15"/>
    </row>
    <row r="4824" spans="3:49" x14ac:dyDescent="0.2">
      <c r="C4824" s="15"/>
      <c r="D4824" s="15"/>
      <c r="E4824" s="15"/>
      <c r="F4824" s="15"/>
      <c r="G4824" s="15"/>
      <c r="H4824" s="15"/>
      <c r="I4824" s="15"/>
      <c r="J4824" s="15"/>
      <c r="K4824" s="15"/>
      <c r="L4824" s="28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  <c r="AA4824" s="15"/>
      <c r="AB4824" s="15"/>
      <c r="AC4824" s="15"/>
      <c r="AD4824" s="15"/>
      <c r="AE4824" s="15"/>
      <c r="AF4824" s="15"/>
      <c r="AG4824" s="15"/>
      <c r="AH4824" s="15"/>
      <c r="AI4824" s="15"/>
      <c r="AJ4824" s="15"/>
      <c r="AK4824" s="15"/>
      <c r="AL4824" s="15"/>
      <c r="AM4824" s="15"/>
      <c r="AN4824" s="15"/>
      <c r="AO4824" s="15"/>
      <c r="AP4824" s="15"/>
      <c r="AQ4824" s="15"/>
      <c r="AR4824" s="15"/>
      <c r="AS4824" s="15"/>
      <c r="AT4824" s="15"/>
      <c r="AU4824" s="15"/>
      <c r="AV4824" s="15"/>
      <c r="AW4824" s="15"/>
    </row>
    <row r="4825" spans="3:49" x14ac:dyDescent="0.2">
      <c r="C4825" s="15"/>
      <c r="D4825" s="15"/>
      <c r="E4825" s="15"/>
      <c r="F4825" s="15"/>
      <c r="G4825" s="15"/>
      <c r="H4825" s="15"/>
      <c r="I4825" s="15"/>
      <c r="J4825" s="15"/>
      <c r="K4825" s="15"/>
      <c r="L4825" s="28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  <c r="AA4825" s="15"/>
      <c r="AB4825" s="15"/>
      <c r="AC4825" s="15"/>
      <c r="AD4825" s="15"/>
      <c r="AE4825" s="15"/>
      <c r="AF4825" s="15"/>
      <c r="AG4825" s="15"/>
      <c r="AH4825" s="15"/>
      <c r="AI4825" s="15"/>
      <c r="AJ4825" s="15"/>
      <c r="AK4825" s="15"/>
      <c r="AL4825" s="15"/>
      <c r="AM4825" s="15"/>
      <c r="AN4825" s="15"/>
      <c r="AO4825" s="15"/>
      <c r="AP4825" s="15"/>
      <c r="AQ4825" s="15"/>
      <c r="AR4825" s="15"/>
      <c r="AS4825" s="15"/>
      <c r="AT4825" s="15"/>
      <c r="AU4825" s="15"/>
      <c r="AV4825" s="15"/>
      <c r="AW4825" s="15"/>
    </row>
    <row r="4826" spans="3:49" x14ac:dyDescent="0.2">
      <c r="C4826" s="15"/>
      <c r="D4826" s="15"/>
      <c r="E4826" s="15"/>
      <c r="F4826" s="15"/>
      <c r="G4826" s="15"/>
      <c r="H4826" s="15"/>
      <c r="I4826" s="15"/>
      <c r="J4826" s="15"/>
      <c r="K4826" s="15"/>
      <c r="L4826" s="28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  <c r="AA4826" s="15"/>
      <c r="AB4826" s="15"/>
      <c r="AC4826" s="15"/>
      <c r="AD4826" s="15"/>
      <c r="AE4826" s="15"/>
      <c r="AF4826" s="15"/>
      <c r="AG4826" s="15"/>
      <c r="AH4826" s="15"/>
      <c r="AI4826" s="15"/>
      <c r="AJ4826" s="15"/>
      <c r="AK4826" s="15"/>
      <c r="AL4826" s="15"/>
      <c r="AM4826" s="15"/>
      <c r="AN4826" s="15"/>
      <c r="AO4826" s="15"/>
      <c r="AP4826" s="15"/>
      <c r="AQ4826" s="15"/>
      <c r="AR4826" s="15"/>
      <c r="AS4826" s="15"/>
      <c r="AT4826" s="15"/>
      <c r="AU4826" s="15"/>
      <c r="AV4826" s="15"/>
      <c r="AW4826" s="15"/>
    </row>
    <row r="4827" spans="3:49" x14ac:dyDescent="0.2">
      <c r="C4827" s="15"/>
      <c r="D4827" s="15"/>
      <c r="E4827" s="15"/>
      <c r="F4827" s="15"/>
      <c r="G4827" s="15"/>
      <c r="H4827" s="15"/>
      <c r="I4827" s="15"/>
      <c r="J4827" s="15"/>
      <c r="K4827" s="15"/>
      <c r="L4827" s="28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  <c r="AA4827" s="15"/>
      <c r="AB4827" s="15"/>
      <c r="AC4827" s="15"/>
      <c r="AD4827" s="15"/>
      <c r="AE4827" s="15"/>
      <c r="AF4827" s="15"/>
      <c r="AG4827" s="15"/>
      <c r="AH4827" s="15"/>
      <c r="AI4827" s="15"/>
      <c r="AJ4827" s="15"/>
      <c r="AK4827" s="15"/>
      <c r="AL4827" s="15"/>
      <c r="AM4827" s="15"/>
      <c r="AN4827" s="15"/>
      <c r="AO4827" s="15"/>
      <c r="AP4827" s="15"/>
      <c r="AQ4827" s="15"/>
      <c r="AR4827" s="15"/>
      <c r="AS4827" s="15"/>
      <c r="AT4827" s="15"/>
      <c r="AU4827" s="15"/>
      <c r="AV4827" s="15"/>
      <c r="AW4827" s="15"/>
    </row>
    <row r="4828" spans="3:49" x14ac:dyDescent="0.2">
      <c r="C4828" s="15"/>
      <c r="D4828" s="15"/>
      <c r="E4828" s="15"/>
      <c r="F4828" s="15"/>
      <c r="G4828" s="15"/>
      <c r="H4828" s="15"/>
      <c r="I4828" s="15"/>
      <c r="J4828" s="15"/>
      <c r="K4828" s="15"/>
      <c r="L4828" s="28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  <c r="AA4828" s="15"/>
      <c r="AB4828" s="15"/>
      <c r="AC4828" s="15"/>
      <c r="AD4828" s="15"/>
      <c r="AE4828" s="15"/>
      <c r="AF4828" s="15"/>
      <c r="AG4828" s="15"/>
      <c r="AH4828" s="15"/>
      <c r="AI4828" s="15"/>
      <c r="AJ4828" s="15"/>
      <c r="AK4828" s="15"/>
      <c r="AL4828" s="15"/>
      <c r="AM4828" s="15"/>
      <c r="AN4828" s="15"/>
      <c r="AO4828" s="15"/>
      <c r="AP4828" s="15"/>
      <c r="AQ4828" s="15"/>
      <c r="AR4828" s="15"/>
      <c r="AS4828" s="15"/>
      <c r="AT4828" s="15"/>
      <c r="AU4828" s="15"/>
      <c r="AV4828" s="15"/>
      <c r="AW4828" s="15"/>
    </row>
    <row r="4829" spans="3:49" x14ac:dyDescent="0.2">
      <c r="C4829" s="15"/>
      <c r="D4829" s="15"/>
      <c r="E4829" s="15"/>
      <c r="F4829" s="15"/>
      <c r="G4829" s="15"/>
      <c r="H4829" s="15"/>
      <c r="I4829" s="15"/>
      <c r="J4829" s="15"/>
      <c r="K4829" s="15"/>
      <c r="L4829" s="28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  <c r="AA4829" s="15"/>
      <c r="AB4829" s="15"/>
      <c r="AC4829" s="15"/>
      <c r="AD4829" s="15"/>
      <c r="AE4829" s="15"/>
      <c r="AF4829" s="15"/>
      <c r="AG4829" s="15"/>
      <c r="AH4829" s="15"/>
      <c r="AI4829" s="15"/>
      <c r="AJ4829" s="15"/>
      <c r="AK4829" s="15"/>
      <c r="AL4829" s="15"/>
      <c r="AM4829" s="15"/>
      <c r="AN4829" s="15"/>
      <c r="AO4829" s="15"/>
      <c r="AP4829" s="15"/>
      <c r="AQ4829" s="15"/>
      <c r="AR4829" s="15"/>
      <c r="AS4829" s="15"/>
      <c r="AT4829" s="15"/>
      <c r="AU4829" s="15"/>
      <c r="AV4829" s="15"/>
      <c r="AW4829" s="15"/>
    </row>
    <row r="4830" spans="3:49" x14ac:dyDescent="0.2">
      <c r="C4830" s="15"/>
      <c r="D4830" s="15"/>
      <c r="E4830" s="15"/>
      <c r="F4830" s="15"/>
      <c r="G4830" s="15"/>
      <c r="H4830" s="15"/>
      <c r="I4830" s="15"/>
      <c r="J4830" s="15"/>
      <c r="K4830" s="15"/>
      <c r="L4830" s="28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  <c r="AA4830" s="15"/>
      <c r="AB4830" s="15"/>
      <c r="AC4830" s="15"/>
      <c r="AD4830" s="15"/>
      <c r="AE4830" s="15"/>
      <c r="AF4830" s="15"/>
      <c r="AG4830" s="15"/>
      <c r="AH4830" s="15"/>
      <c r="AI4830" s="15"/>
      <c r="AJ4830" s="15"/>
      <c r="AK4830" s="15"/>
      <c r="AL4830" s="15"/>
      <c r="AM4830" s="15"/>
      <c r="AN4830" s="15"/>
      <c r="AO4830" s="15"/>
      <c r="AP4830" s="15"/>
      <c r="AQ4830" s="15"/>
      <c r="AR4830" s="15"/>
      <c r="AS4830" s="15"/>
      <c r="AT4830" s="15"/>
      <c r="AU4830" s="15"/>
      <c r="AV4830" s="15"/>
      <c r="AW4830" s="15"/>
    </row>
    <row r="4831" spans="3:49" x14ac:dyDescent="0.2">
      <c r="C4831" s="15"/>
      <c r="D4831" s="15"/>
      <c r="E4831" s="15"/>
      <c r="F4831" s="15"/>
      <c r="G4831" s="15"/>
      <c r="H4831" s="15"/>
      <c r="I4831" s="15"/>
      <c r="J4831" s="15"/>
      <c r="K4831" s="15"/>
      <c r="L4831" s="28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  <c r="AA4831" s="15"/>
      <c r="AB4831" s="15"/>
      <c r="AC4831" s="15"/>
      <c r="AD4831" s="15"/>
      <c r="AE4831" s="15"/>
      <c r="AF4831" s="15"/>
      <c r="AG4831" s="15"/>
      <c r="AH4831" s="15"/>
      <c r="AI4831" s="15"/>
      <c r="AJ4831" s="15"/>
      <c r="AK4831" s="15"/>
      <c r="AL4831" s="15"/>
      <c r="AM4831" s="15"/>
      <c r="AN4831" s="15"/>
      <c r="AO4831" s="15"/>
      <c r="AP4831" s="15"/>
      <c r="AQ4831" s="15"/>
      <c r="AR4831" s="15"/>
      <c r="AS4831" s="15"/>
      <c r="AT4831" s="15"/>
      <c r="AU4831" s="15"/>
      <c r="AV4831" s="15"/>
      <c r="AW4831" s="15"/>
    </row>
    <row r="4832" spans="3:49" x14ac:dyDescent="0.2">
      <c r="C4832" s="15"/>
      <c r="D4832" s="15"/>
      <c r="E4832" s="15"/>
      <c r="F4832" s="15"/>
      <c r="G4832" s="15"/>
      <c r="H4832" s="15"/>
      <c r="I4832" s="15"/>
      <c r="J4832" s="15"/>
      <c r="K4832" s="15"/>
      <c r="L4832" s="28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  <c r="AA4832" s="15"/>
      <c r="AB4832" s="15"/>
      <c r="AC4832" s="15"/>
      <c r="AD4832" s="15"/>
      <c r="AE4832" s="15"/>
      <c r="AF4832" s="15"/>
      <c r="AG4832" s="15"/>
      <c r="AH4832" s="15"/>
      <c r="AI4832" s="15"/>
      <c r="AJ4832" s="15"/>
      <c r="AK4832" s="15"/>
      <c r="AL4832" s="15"/>
      <c r="AM4832" s="15"/>
      <c r="AN4832" s="15"/>
      <c r="AO4832" s="15"/>
      <c r="AP4832" s="15"/>
      <c r="AQ4832" s="15"/>
      <c r="AR4832" s="15"/>
      <c r="AS4832" s="15"/>
      <c r="AT4832" s="15"/>
      <c r="AU4832" s="15"/>
      <c r="AV4832" s="15"/>
      <c r="AW4832" s="15"/>
    </row>
    <row r="4833" spans="3:49" x14ac:dyDescent="0.2">
      <c r="C4833" s="15"/>
      <c r="D4833" s="15"/>
      <c r="E4833" s="15"/>
      <c r="F4833" s="15"/>
      <c r="G4833" s="15"/>
      <c r="H4833" s="15"/>
      <c r="I4833" s="15"/>
      <c r="J4833" s="15"/>
      <c r="K4833" s="15"/>
      <c r="L4833" s="28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  <c r="AA4833" s="15"/>
      <c r="AB4833" s="15"/>
      <c r="AC4833" s="15"/>
      <c r="AD4833" s="15"/>
      <c r="AE4833" s="15"/>
      <c r="AF4833" s="15"/>
      <c r="AG4833" s="15"/>
      <c r="AH4833" s="15"/>
      <c r="AI4833" s="15"/>
      <c r="AJ4833" s="15"/>
      <c r="AK4833" s="15"/>
      <c r="AL4833" s="15"/>
      <c r="AM4833" s="15"/>
      <c r="AN4833" s="15"/>
      <c r="AO4833" s="15"/>
      <c r="AP4833" s="15"/>
      <c r="AQ4833" s="15"/>
      <c r="AR4833" s="15"/>
      <c r="AS4833" s="15"/>
      <c r="AT4833" s="15"/>
      <c r="AU4833" s="15"/>
      <c r="AV4833" s="15"/>
      <c r="AW4833" s="15"/>
    </row>
    <row r="4834" spans="3:49" x14ac:dyDescent="0.2">
      <c r="C4834" s="15"/>
      <c r="D4834" s="15"/>
      <c r="E4834" s="15"/>
      <c r="F4834" s="15"/>
      <c r="G4834" s="15"/>
      <c r="H4834" s="15"/>
      <c r="I4834" s="15"/>
      <c r="J4834" s="15"/>
      <c r="K4834" s="15"/>
      <c r="L4834" s="28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  <c r="AA4834" s="15"/>
      <c r="AB4834" s="15"/>
      <c r="AC4834" s="15"/>
      <c r="AD4834" s="15"/>
      <c r="AE4834" s="15"/>
      <c r="AF4834" s="15"/>
      <c r="AG4834" s="15"/>
      <c r="AH4834" s="15"/>
      <c r="AI4834" s="15"/>
      <c r="AJ4834" s="15"/>
      <c r="AK4834" s="15"/>
      <c r="AL4834" s="15"/>
      <c r="AM4834" s="15"/>
      <c r="AN4834" s="15"/>
      <c r="AO4834" s="15"/>
      <c r="AP4834" s="15"/>
      <c r="AQ4834" s="15"/>
      <c r="AR4834" s="15"/>
      <c r="AS4834" s="15"/>
      <c r="AT4834" s="15"/>
      <c r="AU4834" s="15"/>
      <c r="AV4834" s="15"/>
      <c r="AW4834" s="15"/>
    </row>
    <row r="4835" spans="3:49" x14ac:dyDescent="0.2">
      <c r="C4835" s="15"/>
      <c r="D4835" s="15"/>
      <c r="E4835" s="15"/>
      <c r="F4835" s="15"/>
      <c r="G4835" s="15"/>
      <c r="H4835" s="15"/>
      <c r="I4835" s="15"/>
      <c r="J4835" s="15"/>
      <c r="K4835" s="15"/>
      <c r="L4835" s="28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  <c r="AA4835" s="15"/>
      <c r="AB4835" s="15"/>
      <c r="AC4835" s="15"/>
      <c r="AD4835" s="15"/>
      <c r="AE4835" s="15"/>
      <c r="AF4835" s="15"/>
      <c r="AG4835" s="15"/>
      <c r="AH4835" s="15"/>
      <c r="AI4835" s="15"/>
      <c r="AJ4835" s="15"/>
      <c r="AK4835" s="15"/>
      <c r="AL4835" s="15"/>
      <c r="AM4835" s="15"/>
      <c r="AN4835" s="15"/>
      <c r="AO4835" s="15"/>
      <c r="AP4835" s="15"/>
      <c r="AQ4835" s="15"/>
      <c r="AR4835" s="15"/>
      <c r="AS4835" s="15"/>
      <c r="AT4835" s="15"/>
      <c r="AU4835" s="15"/>
      <c r="AV4835" s="15"/>
      <c r="AW4835" s="15"/>
    </row>
    <row r="4836" spans="3:49" x14ac:dyDescent="0.2">
      <c r="C4836" s="15"/>
      <c r="D4836" s="15"/>
      <c r="E4836" s="15"/>
      <c r="F4836" s="15"/>
      <c r="G4836" s="15"/>
      <c r="H4836" s="15"/>
      <c r="I4836" s="15"/>
      <c r="J4836" s="15"/>
      <c r="K4836" s="15"/>
      <c r="L4836" s="28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  <c r="AA4836" s="15"/>
      <c r="AB4836" s="15"/>
      <c r="AC4836" s="15"/>
      <c r="AD4836" s="15"/>
      <c r="AE4836" s="15"/>
      <c r="AF4836" s="15"/>
      <c r="AG4836" s="15"/>
      <c r="AH4836" s="15"/>
      <c r="AI4836" s="15"/>
      <c r="AJ4836" s="15"/>
      <c r="AK4836" s="15"/>
      <c r="AL4836" s="15"/>
      <c r="AM4836" s="15"/>
      <c r="AN4836" s="15"/>
      <c r="AO4836" s="15"/>
      <c r="AP4836" s="15"/>
      <c r="AQ4836" s="15"/>
      <c r="AR4836" s="15"/>
      <c r="AS4836" s="15"/>
      <c r="AT4836" s="15"/>
      <c r="AU4836" s="15"/>
      <c r="AV4836" s="15"/>
      <c r="AW4836" s="15"/>
    </row>
    <row r="4837" spans="3:49" x14ac:dyDescent="0.2">
      <c r="C4837" s="15"/>
      <c r="D4837" s="15"/>
      <c r="E4837" s="15"/>
      <c r="F4837" s="15"/>
      <c r="G4837" s="15"/>
      <c r="H4837" s="15"/>
      <c r="I4837" s="15"/>
      <c r="J4837" s="15"/>
      <c r="K4837" s="15"/>
      <c r="L4837" s="28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  <c r="AA4837" s="15"/>
      <c r="AB4837" s="15"/>
      <c r="AC4837" s="15"/>
      <c r="AD4837" s="15"/>
      <c r="AE4837" s="15"/>
      <c r="AF4837" s="15"/>
      <c r="AG4837" s="15"/>
      <c r="AH4837" s="15"/>
      <c r="AI4837" s="15"/>
      <c r="AJ4837" s="15"/>
      <c r="AK4837" s="15"/>
      <c r="AL4837" s="15"/>
      <c r="AM4837" s="15"/>
      <c r="AN4837" s="15"/>
      <c r="AO4837" s="15"/>
      <c r="AP4837" s="15"/>
      <c r="AQ4837" s="15"/>
      <c r="AR4837" s="15"/>
      <c r="AS4837" s="15"/>
      <c r="AT4837" s="15"/>
      <c r="AU4837" s="15"/>
      <c r="AV4837" s="15"/>
      <c r="AW4837" s="15"/>
    </row>
    <row r="4838" spans="3:49" x14ac:dyDescent="0.2">
      <c r="C4838" s="15"/>
      <c r="D4838" s="15"/>
      <c r="E4838" s="15"/>
      <c r="F4838" s="15"/>
      <c r="G4838" s="15"/>
      <c r="H4838" s="15"/>
      <c r="I4838" s="15"/>
      <c r="J4838" s="15"/>
      <c r="K4838" s="15"/>
      <c r="L4838" s="28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  <c r="AA4838" s="15"/>
      <c r="AB4838" s="15"/>
      <c r="AC4838" s="15"/>
      <c r="AD4838" s="15"/>
      <c r="AE4838" s="15"/>
      <c r="AF4838" s="15"/>
      <c r="AG4838" s="15"/>
      <c r="AH4838" s="15"/>
      <c r="AI4838" s="15"/>
      <c r="AJ4838" s="15"/>
      <c r="AK4838" s="15"/>
      <c r="AL4838" s="15"/>
      <c r="AM4838" s="15"/>
      <c r="AN4838" s="15"/>
      <c r="AO4838" s="15"/>
      <c r="AP4838" s="15"/>
      <c r="AQ4838" s="15"/>
      <c r="AR4838" s="15"/>
      <c r="AS4838" s="15"/>
      <c r="AT4838" s="15"/>
      <c r="AU4838" s="15"/>
      <c r="AV4838" s="15"/>
      <c r="AW4838" s="15"/>
    </row>
    <row r="4839" spans="3:49" x14ac:dyDescent="0.2">
      <c r="C4839" s="15"/>
      <c r="D4839" s="15"/>
      <c r="E4839" s="15"/>
      <c r="F4839" s="15"/>
      <c r="G4839" s="15"/>
      <c r="H4839" s="15"/>
      <c r="I4839" s="15"/>
      <c r="J4839" s="15"/>
      <c r="K4839" s="15"/>
      <c r="L4839" s="28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  <c r="AA4839" s="15"/>
      <c r="AB4839" s="15"/>
      <c r="AC4839" s="15"/>
      <c r="AD4839" s="15"/>
      <c r="AE4839" s="15"/>
      <c r="AF4839" s="15"/>
      <c r="AG4839" s="15"/>
      <c r="AH4839" s="15"/>
      <c r="AI4839" s="15"/>
      <c r="AJ4839" s="15"/>
      <c r="AK4839" s="15"/>
      <c r="AL4839" s="15"/>
      <c r="AM4839" s="15"/>
      <c r="AN4839" s="15"/>
      <c r="AO4839" s="15"/>
      <c r="AP4839" s="15"/>
      <c r="AQ4839" s="15"/>
      <c r="AR4839" s="15"/>
      <c r="AS4839" s="15"/>
      <c r="AT4839" s="15"/>
      <c r="AU4839" s="15"/>
      <c r="AV4839" s="15"/>
      <c r="AW4839" s="15"/>
    </row>
    <row r="4840" spans="3:49" x14ac:dyDescent="0.2">
      <c r="C4840" s="15"/>
      <c r="D4840" s="15"/>
      <c r="E4840" s="15"/>
      <c r="F4840" s="15"/>
      <c r="G4840" s="15"/>
      <c r="H4840" s="15"/>
      <c r="I4840" s="15"/>
      <c r="J4840" s="15"/>
      <c r="K4840" s="15"/>
      <c r="L4840" s="28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  <c r="AA4840" s="15"/>
      <c r="AB4840" s="15"/>
      <c r="AC4840" s="15"/>
      <c r="AD4840" s="15"/>
      <c r="AE4840" s="15"/>
      <c r="AF4840" s="15"/>
      <c r="AG4840" s="15"/>
      <c r="AH4840" s="15"/>
      <c r="AI4840" s="15"/>
      <c r="AJ4840" s="15"/>
      <c r="AK4840" s="15"/>
      <c r="AL4840" s="15"/>
      <c r="AM4840" s="15"/>
      <c r="AN4840" s="15"/>
      <c r="AO4840" s="15"/>
      <c r="AP4840" s="15"/>
      <c r="AQ4840" s="15"/>
      <c r="AR4840" s="15"/>
      <c r="AS4840" s="15"/>
      <c r="AT4840" s="15"/>
      <c r="AU4840" s="15"/>
      <c r="AV4840" s="15"/>
      <c r="AW4840" s="15"/>
    </row>
    <row r="4841" spans="3:49" x14ac:dyDescent="0.2">
      <c r="C4841" s="15"/>
      <c r="D4841" s="15"/>
      <c r="E4841" s="15"/>
      <c r="F4841" s="15"/>
      <c r="G4841" s="15"/>
      <c r="H4841" s="15"/>
      <c r="I4841" s="15"/>
      <c r="J4841" s="15"/>
      <c r="K4841" s="15"/>
      <c r="L4841" s="28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  <c r="AA4841" s="15"/>
      <c r="AB4841" s="15"/>
      <c r="AC4841" s="15"/>
      <c r="AD4841" s="15"/>
      <c r="AE4841" s="15"/>
      <c r="AF4841" s="15"/>
      <c r="AG4841" s="15"/>
      <c r="AH4841" s="15"/>
      <c r="AI4841" s="15"/>
      <c r="AJ4841" s="15"/>
      <c r="AK4841" s="15"/>
      <c r="AL4841" s="15"/>
      <c r="AM4841" s="15"/>
      <c r="AN4841" s="15"/>
      <c r="AO4841" s="15"/>
      <c r="AP4841" s="15"/>
      <c r="AQ4841" s="15"/>
      <c r="AR4841" s="15"/>
      <c r="AS4841" s="15"/>
      <c r="AT4841" s="15"/>
      <c r="AU4841" s="15"/>
      <c r="AV4841" s="15"/>
      <c r="AW4841" s="15"/>
    </row>
    <row r="4842" spans="3:49" x14ac:dyDescent="0.2">
      <c r="C4842" s="15"/>
      <c r="D4842" s="15"/>
      <c r="E4842" s="15"/>
      <c r="F4842" s="15"/>
      <c r="G4842" s="15"/>
      <c r="H4842" s="15"/>
      <c r="I4842" s="15"/>
      <c r="J4842" s="15"/>
      <c r="K4842" s="15"/>
      <c r="L4842" s="28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  <c r="AA4842" s="15"/>
      <c r="AB4842" s="15"/>
      <c r="AC4842" s="15"/>
      <c r="AD4842" s="15"/>
      <c r="AE4842" s="15"/>
      <c r="AF4842" s="15"/>
      <c r="AG4842" s="15"/>
      <c r="AH4842" s="15"/>
      <c r="AI4842" s="15"/>
      <c r="AJ4842" s="15"/>
      <c r="AK4842" s="15"/>
      <c r="AL4842" s="15"/>
      <c r="AM4842" s="15"/>
      <c r="AN4842" s="15"/>
      <c r="AO4842" s="15"/>
      <c r="AP4842" s="15"/>
      <c r="AQ4842" s="15"/>
      <c r="AR4842" s="15"/>
      <c r="AS4842" s="15"/>
      <c r="AT4842" s="15"/>
      <c r="AU4842" s="15"/>
      <c r="AV4842" s="15"/>
      <c r="AW4842" s="15"/>
    </row>
    <row r="4843" spans="3:49" x14ac:dyDescent="0.2">
      <c r="C4843" s="15"/>
      <c r="D4843" s="15"/>
      <c r="E4843" s="15"/>
      <c r="F4843" s="15"/>
      <c r="G4843" s="15"/>
      <c r="H4843" s="15"/>
      <c r="I4843" s="15"/>
      <c r="J4843" s="15"/>
      <c r="K4843" s="15"/>
      <c r="L4843" s="28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  <c r="AA4843" s="15"/>
      <c r="AB4843" s="15"/>
      <c r="AC4843" s="15"/>
      <c r="AD4843" s="15"/>
      <c r="AE4843" s="15"/>
      <c r="AF4843" s="15"/>
      <c r="AG4843" s="15"/>
      <c r="AH4843" s="15"/>
      <c r="AI4843" s="15"/>
      <c r="AJ4843" s="15"/>
      <c r="AK4843" s="15"/>
      <c r="AL4843" s="15"/>
      <c r="AM4843" s="15"/>
      <c r="AN4843" s="15"/>
      <c r="AO4843" s="15"/>
      <c r="AP4843" s="15"/>
      <c r="AQ4843" s="15"/>
      <c r="AR4843" s="15"/>
      <c r="AS4843" s="15"/>
      <c r="AT4843" s="15"/>
      <c r="AU4843" s="15"/>
      <c r="AV4843" s="15"/>
      <c r="AW4843" s="15"/>
    </row>
    <row r="4844" spans="3:49" x14ac:dyDescent="0.2">
      <c r="C4844" s="15"/>
      <c r="D4844" s="15"/>
      <c r="E4844" s="15"/>
      <c r="F4844" s="15"/>
      <c r="G4844" s="15"/>
      <c r="H4844" s="15"/>
      <c r="I4844" s="15"/>
      <c r="J4844" s="15"/>
      <c r="K4844" s="15"/>
      <c r="L4844" s="28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  <c r="AA4844" s="15"/>
      <c r="AB4844" s="15"/>
      <c r="AC4844" s="15"/>
      <c r="AD4844" s="15"/>
      <c r="AE4844" s="15"/>
      <c r="AF4844" s="15"/>
      <c r="AG4844" s="15"/>
      <c r="AH4844" s="15"/>
      <c r="AI4844" s="15"/>
      <c r="AJ4844" s="15"/>
      <c r="AK4844" s="15"/>
      <c r="AL4844" s="15"/>
      <c r="AM4844" s="15"/>
      <c r="AN4844" s="15"/>
      <c r="AO4844" s="15"/>
      <c r="AP4844" s="15"/>
      <c r="AQ4844" s="15"/>
      <c r="AR4844" s="15"/>
      <c r="AS4844" s="15"/>
      <c r="AT4844" s="15"/>
      <c r="AU4844" s="15"/>
      <c r="AV4844" s="15"/>
      <c r="AW4844" s="15"/>
    </row>
    <row r="4845" spans="3:49" x14ac:dyDescent="0.2">
      <c r="C4845" s="15"/>
      <c r="D4845" s="15"/>
      <c r="E4845" s="15"/>
      <c r="F4845" s="15"/>
      <c r="G4845" s="15"/>
      <c r="H4845" s="15"/>
      <c r="I4845" s="15"/>
      <c r="J4845" s="15"/>
      <c r="K4845" s="15"/>
      <c r="L4845" s="28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  <c r="AA4845" s="15"/>
      <c r="AB4845" s="15"/>
      <c r="AC4845" s="15"/>
      <c r="AD4845" s="15"/>
      <c r="AE4845" s="15"/>
      <c r="AF4845" s="15"/>
      <c r="AG4845" s="15"/>
      <c r="AH4845" s="15"/>
      <c r="AI4845" s="15"/>
      <c r="AJ4845" s="15"/>
      <c r="AK4845" s="15"/>
      <c r="AL4845" s="15"/>
      <c r="AM4845" s="15"/>
      <c r="AN4845" s="15"/>
      <c r="AO4845" s="15"/>
      <c r="AP4845" s="15"/>
      <c r="AQ4845" s="15"/>
      <c r="AR4845" s="15"/>
      <c r="AS4845" s="15"/>
      <c r="AT4845" s="15"/>
      <c r="AU4845" s="15"/>
      <c r="AV4845" s="15"/>
      <c r="AW4845" s="15"/>
    </row>
    <row r="4846" spans="3:49" x14ac:dyDescent="0.2">
      <c r="C4846" s="15"/>
      <c r="D4846" s="15"/>
      <c r="E4846" s="15"/>
      <c r="F4846" s="15"/>
      <c r="G4846" s="15"/>
      <c r="H4846" s="15"/>
      <c r="I4846" s="15"/>
      <c r="J4846" s="15"/>
      <c r="K4846" s="15"/>
      <c r="L4846" s="28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  <c r="AA4846" s="15"/>
      <c r="AB4846" s="15"/>
      <c r="AC4846" s="15"/>
      <c r="AD4846" s="15"/>
      <c r="AE4846" s="15"/>
      <c r="AF4846" s="15"/>
      <c r="AG4846" s="15"/>
      <c r="AH4846" s="15"/>
      <c r="AI4846" s="15"/>
      <c r="AJ4846" s="15"/>
      <c r="AK4846" s="15"/>
      <c r="AL4846" s="15"/>
      <c r="AM4846" s="15"/>
      <c r="AN4846" s="15"/>
      <c r="AO4846" s="15"/>
      <c r="AP4846" s="15"/>
      <c r="AQ4846" s="15"/>
      <c r="AR4846" s="15"/>
      <c r="AS4846" s="15"/>
      <c r="AT4846" s="15"/>
      <c r="AU4846" s="15"/>
      <c r="AV4846" s="15"/>
      <c r="AW4846" s="15"/>
    </row>
    <row r="4847" spans="3:49" x14ac:dyDescent="0.2">
      <c r="C4847" s="15"/>
      <c r="D4847" s="15"/>
      <c r="E4847" s="15"/>
      <c r="F4847" s="15"/>
      <c r="G4847" s="15"/>
      <c r="H4847" s="15"/>
      <c r="I4847" s="15"/>
      <c r="J4847" s="15"/>
      <c r="K4847" s="15"/>
      <c r="L4847" s="28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  <c r="AA4847" s="15"/>
      <c r="AB4847" s="15"/>
      <c r="AC4847" s="15"/>
      <c r="AD4847" s="15"/>
      <c r="AE4847" s="15"/>
      <c r="AF4847" s="15"/>
      <c r="AG4847" s="15"/>
      <c r="AH4847" s="15"/>
      <c r="AI4847" s="15"/>
      <c r="AJ4847" s="15"/>
      <c r="AK4847" s="15"/>
      <c r="AL4847" s="15"/>
      <c r="AM4847" s="15"/>
      <c r="AN4847" s="15"/>
      <c r="AO4847" s="15"/>
      <c r="AP4847" s="15"/>
      <c r="AQ4847" s="15"/>
      <c r="AR4847" s="15"/>
      <c r="AS4847" s="15"/>
      <c r="AT4847" s="15"/>
      <c r="AU4847" s="15"/>
      <c r="AV4847" s="15"/>
      <c r="AW4847" s="15"/>
    </row>
    <row r="4848" spans="3:49" x14ac:dyDescent="0.2">
      <c r="C4848" s="15"/>
      <c r="D4848" s="15"/>
      <c r="E4848" s="15"/>
      <c r="F4848" s="15"/>
      <c r="G4848" s="15"/>
      <c r="H4848" s="15"/>
      <c r="I4848" s="15"/>
      <c r="J4848" s="15"/>
      <c r="K4848" s="15"/>
      <c r="L4848" s="28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  <c r="AA4848" s="15"/>
      <c r="AB4848" s="15"/>
      <c r="AC4848" s="15"/>
      <c r="AD4848" s="15"/>
      <c r="AE4848" s="15"/>
      <c r="AF4848" s="15"/>
      <c r="AG4848" s="15"/>
      <c r="AH4848" s="15"/>
      <c r="AI4848" s="15"/>
      <c r="AJ4848" s="15"/>
      <c r="AK4848" s="15"/>
      <c r="AL4848" s="15"/>
      <c r="AM4848" s="15"/>
      <c r="AN4848" s="15"/>
      <c r="AO4848" s="15"/>
      <c r="AP4848" s="15"/>
      <c r="AQ4848" s="15"/>
      <c r="AR4848" s="15"/>
      <c r="AS4848" s="15"/>
      <c r="AT4848" s="15"/>
      <c r="AU4848" s="15"/>
      <c r="AV4848" s="15"/>
      <c r="AW4848" s="15"/>
    </row>
    <row r="4849" spans="3:49" x14ac:dyDescent="0.2">
      <c r="C4849" s="15"/>
      <c r="D4849" s="15"/>
      <c r="E4849" s="15"/>
      <c r="F4849" s="15"/>
      <c r="G4849" s="15"/>
      <c r="H4849" s="15"/>
      <c r="I4849" s="15"/>
      <c r="J4849" s="15"/>
      <c r="K4849" s="15"/>
      <c r="L4849" s="28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  <c r="AA4849" s="15"/>
      <c r="AB4849" s="15"/>
      <c r="AC4849" s="15"/>
      <c r="AD4849" s="15"/>
      <c r="AE4849" s="15"/>
      <c r="AF4849" s="15"/>
      <c r="AG4849" s="15"/>
      <c r="AH4849" s="15"/>
      <c r="AI4849" s="15"/>
      <c r="AJ4849" s="15"/>
      <c r="AK4849" s="15"/>
      <c r="AL4849" s="15"/>
      <c r="AM4849" s="15"/>
      <c r="AN4849" s="15"/>
      <c r="AO4849" s="15"/>
      <c r="AP4849" s="15"/>
      <c r="AQ4849" s="15"/>
      <c r="AR4849" s="15"/>
      <c r="AS4849" s="15"/>
      <c r="AT4849" s="15"/>
      <c r="AU4849" s="15"/>
      <c r="AV4849" s="15"/>
      <c r="AW4849" s="15"/>
    </row>
    <row r="4850" spans="3:49" x14ac:dyDescent="0.2">
      <c r="C4850" s="15"/>
      <c r="D4850" s="15"/>
      <c r="E4850" s="15"/>
      <c r="F4850" s="15"/>
      <c r="G4850" s="15"/>
      <c r="H4850" s="15"/>
      <c r="I4850" s="15"/>
      <c r="J4850" s="15"/>
      <c r="K4850" s="15"/>
      <c r="L4850" s="28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  <c r="AA4850" s="15"/>
      <c r="AB4850" s="15"/>
      <c r="AC4850" s="15"/>
      <c r="AD4850" s="15"/>
      <c r="AE4850" s="15"/>
      <c r="AF4850" s="15"/>
      <c r="AG4850" s="15"/>
      <c r="AH4850" s="15"/>
      <c r="AI4850" s="15"/>
      <c r="AJ4850" s="15"/>
      <c r="AK4850" s="15"/>
      <c r="AL4850" s="15"/>
      <c r="AM4850" s="15"/>
      <c r="AN4850" s="15"/>
      <c r="AO4850" s="15"/>
      <c r="AP4850" s="15"/>
      <c r="AQ4850" s="15"/>
      <c r="AR4850" s="15"/>
      <c r="AS4850" s="15"/>
      <c r="AT4850" s="15"/>
      <c r="AU4850" s="15"/>
      <c r="AV4850" s="15"/>
      <c r="AW4850" s="15"/>
    </row>
    <row r="4851" spans="3:49" x14ac:dyDescent="0.2">
      <c r="C4851" s="15"/>
      <c r="D4851" s="15"/>
      <c r="E4851" s="15"/>
      <c r="F4851" s="15"/>
      <c r="G4851" s="15"/>
      <c r="H4851" s="15"/>
      <c r="I4851" s="15"/>
      <c r="J4851" s="15"/>
      <c r="K4851" s="15"/>
      <c r="L4851" s="28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  <c r="AA4851" s="15"/>
      <c r="AB4851" s="15"/>
      <c r="AC4851" s="15"/>
      <c r="AD4851" s="15"/>
      <c r="AE4851" s="15"/>
      <c r="AF4851" s="15"/>
      <c r="AG4851" s="15"/>
      <c r="AH4851" s="15"/>
      <c r="AI4851" s="15"/>
      <c r="AJ4851" s="15"/>
      <c r="AK4851" s="15"/>
      <c r="AL4851" s="15"/>
      <c r="AM4851" s="15"/>
      <c r="AN4851" s="15"/>
      <c r="AO4851" s="15"/>
      <c r="AP4851" s="15"/>
      <c r="AQ4851" s="15"/>
      <c r="AR4851" s="15"/>
      <c r="AS4851" s="15"/>
      <c r="AT4851" s="15"/>
      <c r="AU4851" s="15"/>
      <c r="AV4851" s="15"/>
      <c r="AW4851" s="15"/>
    </row>
    <row r="4852" spans="3:49" x14ac:dyDescent="0.2">
      <c r="C4852" s="15"/>
      <c r="D4852" s="15"/>
      <c r="E4852" s="15"/>
      <c r="F4852" s="15"/>
      <c r="G4852" s="15"/>
      <c r="H4852" s="15"/>
      <c r="I4852" s="15"/>
      <c r="J4852" s="15"/>
      <c r="K4852" s="15"/>
      <c r="L4852" s="28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  <c r="AA4852" s="15"/>
      <c r="AB4852" s="15"/>
      <c r="AC4852" s="15"/>
      <c r="AD4852" s="15"/>
      <c r="AE4852" s="15"/>
      <c r="AF4852" s="15"/>
      <c r="AG4852" s="15"/>
      <c r="AH4852" s="15"/>
      <c r="AI4852" s="15"/>
      <c r="AJ4852" s="15"/>
      <c r="AK4852" s="15"/>
      <c r="AL4852" s="15"/>
      <c r="AM4852" s="15"/>
      <c r="AN4852" s="15"/>
      <c r="AO4852" s="15"/>
      <c r="AP4852" s="15"/>
      <c r="AQ4852" s="15"/>
      <c r="AR4852" s="15"/>
      <c r="AS4852" s="15"/>
      <c r="AT4852" s="15"/>
      <c r="AU4852" s="15"/>
      <c r="AV4852" s="15"/>
      <c r="AW4852" s="15"/>
    </row>
    <row r="4853" spans="3:49" x14ac:dyDescent="0.2">
      <c r="C4853" s="15"/>
      <c r="D4853" s="15"/>
      <c r="E4853" s="15"/>
      <c r="F4853" s="15"/>
      <c r="G4853" s="15"/>
      <c r="H4853" s="15"/>
      <c r="I4853" s="15"/>
      <c r="J4853" s="15"/>
      <c r="K4853" s="15"/>
      <c r="L4853" s="28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  <c r="AA4853" s="15"/>
      <c r="AB4853" s="15"/>
      <c r="AC4853" s="15"/>
      <c r="AD4853" s="15"/>
      <c r="AE4853" s="15"/>
      <c r="AF4853" s="15"/>
      <c r="AG4853" s="15"/>
      <c r="AH4853" s="15"/>
      <c r="AI4853" s="15"/>
      <c r="AJ4853" s="15"/>
      <c r="AK4853" s="15"/>
      <c r="AL4853" s="15"/>
      <c r="AM4853" s="15"/>
      <c r="AN4853" s="15"/>
      <c r="AO4853" s="15"/>
      <c r="AP4853" s="15"/>
      <c r="AQ4853" s="15"/>
      <c r="AR4853" s="15"/>
      <c r="AS4853" s="15"/>
      <c r="AT4853" s="15"/>
      <c r="AU4853" s="15"/>
      <c r="AV4853" s="15"/>
      <c r="AW4853" s="15"/>
    </row>
    <row r="4854" spans="3:49" x14ac:dyDescent="0.2">
      <c r="C4854" s="15"/>
      <c r="D4854" s="15"/>
      <c r="E4854" s="15"/>
      <c r="F4854" s="15"/>
      <c r="G4854" s="15"/>
      <c r="H4854" s="15"/>
      <c r="I4854" s="15"/>
      <c r="J4854" s="15"/>
      <c r="K4854" s="15"/>
      <c r="L4854" s="28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  <c r="AA4854" s="15"/>
      <c r="AB4854" s="15"/>
      <c r="AC4854" s="15"/>
      <c r="AD4854" s="15"/>
      <c r="AE4854" s="15"/>
      <c r="AF4854" s="15"/>
      <c r="AG4854" s="15"/>
      <c r="AH4854" s="15"/>
      <c r="AI4854" s="15"/>
      <c r="AJ4854" s="15"/>
      <c r="AK4854" s="15"/>
      <c r="AL4854" s="15"/>
      <c r="AM4854" s="15"/>
      <c r="AN4854" s="15"/>
      <c r="AO4854" s="15"/>
      <c r="AP4854" s="15"/>
      <c r="AQ4854" s="15"/>
      <c r="AR4854" s="15"/>
      <c r="AS4854" s="15"/>
      <c r="AT4854" s="15"/>
      <c r="AU4854" s="15"/>
      <c r="AV4854" s="15"/>
      <c r="AW4854" s="15"/>
    </row>
    <row r="4855" spans="3:49" x14ac:dyDescent="0.2">
      <c r="C4855" s="15"/>
      <c r="D4855" s="15"/>
      <c r="E4855" s="15"/>
      <c r="F4855" s="15"/>
      <c r="G4855" s="15"/>
      <c r="H4855" s="15"/>
      <c r="I4855" s="15"/>
      <c r="J4855" s="15"/>
      <c r="K4855" s="15"/>
      <c r="L4855" s="28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  <c r="AA4855" s="15"/>
      <c r="AB4855" s="15"/>
      <c r="AC4855" s="15"/>
      <c r="AD4855" s="15"/>
      <c r="AE4855" s="15"/>
      <c r="AF4855" s="15"/>
      <c r="AG4855" s="15"/>
      <c r="AH4855" s="15"/>
      <c r="AI4855" s="15"/>
      <c r="AJ4855" s="15"/>
      <c r="AK4855" s="15"/>
      <c r="AL4855" s="15"/>
      <c r="AM4855" s="15"/>
      <c r="AN4855" s="15"/>
      <c r="AO4855" s="15"/>
      <c r="AP4855" s="15"/>
      <c r="AQ4855" s="15"/>
      <c r="AR4855" s="15"/>
      <c r="AS4855" s="15"/>
      <c r="AT4855" s="15"/>
      <c r="AU4855" s="15"/>
      <c r="AV4855" s="15"/>
      <c r="AW4855" s="15"/>
    </row>
    <row r="4856" spans="3:49" x14ac:dyDescent="0.2">
      <c r="C4856" s="15"/>
      <c r="D4856" s="15"/>
      <c r="E4856" s="15"/>
      <c r="F4856" s="15"/>
      <c r="G4856" s="15"/>
      <c r="H4856" s="15"/>
      <c r="I4856" s="15"/>
      <c r="J4856" s="15"/>
      <c r="K4856" s="15"/>
      <c r="L4856" s="28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  <c r="AA4856" s="15"/>
      <c r="AB4856" s="15"/>
      <c r="AC4856" s="15"/>
      <c r="AD4856" s="15"/>
      <c r="AE4856" s="15"/>
      <c r="AF4856" s="15"/>
      <c r="AG4856" s="15"/>
      <c r="AH4856" s="15"/>
      <c r="AI4856" s="15"/>
      <c r="AJ4856" s="15"/>
      <c r="AK4856" s="15"/>
      <c r="AL4856" s="15"/>
      <c r="AM4856" s="15"/>
      <c r="AN4856" s="15"/>
      <c r="AO4856" s="15"/>
      <c r="AP4856" s="15"/>
      <c r="AQ4856" s="15"/>
      <c r="AR4856" s="15"/>
      <c r="AS4856" s="15"/>
      <c r="AT4856" s="15"/>
      <c r="AU4856" s="15"/>
      <c r="AV4856" s="15"/>
      <c r="AW4856" s="15"/>
    </row>
    <row r="4857" spans="3:49" x14ac:dyDescent="0.2">
      <c r="C4857" s="15"/>
      <c r="D4857" s="15"/>
      <c r="E4857" s="15"/>
      <c r="F4857" s="15"/>
      <c r="G4857" s="15"/>
      <c r="H4857" s="15"/>
      <c r="I4857" s="15"/>
      <c r="J4857" s="15"/>
      <c r="K4857" s="15"/>
      <c r="L4857" s="28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  <c r="AA4857" s="15"/>
      <c r="AB4857" s="15"/>
      <c r="AC4857" s="15"/>
      <c r="AD4857" s="15"/>
      <c r="AE4857" s="15"/>
      <c r="AF4857" s="15"/>
      <c r="AG4857" s="15"/>
      <c r="AH4857" s="15"/>
      <c r="AI4857" s="15"/>
      <c r="AJ4857" s="15"/>
      <c r="AK4857" s="15"/>
      <c r="AL4857" s="15"/>
      <c r="AM4857" s="15"/>
      <c r="AN4857" s="15"/>
      <c r="AO4857" s="15"/>
      <c r="AP4857" s="15"/>
      <c r="AQ4857" s="15"/>
      <c r="AR4857" s="15"/>
      <c r="AS4857" s="15"/>
      <c r="AT4857" s="15"/>
      <c r="AU4857" s="15"/>
      <c r="AV4857" s="15"/>
      <c r="AW4857" s="15"/>
    </row>
    <row r="4858" spans="3:49" x14ac:dyDescent="0.2">
      <c r="C4858" s="15"/>
      <c r="D4858" s="15"/>
      <c r="E4858" s="15"/>
      <c r="F4858" s="15"/>
      <c r="G4858" s="15"/>
      <c r="H4858" s="15"/>
      <c r="I4858" s="15"/>
      <c r="J4858" s="15"/>
      <c r="K4858" s="15"/>
      <c r="L4858" s="28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  <c r="AA4858" s="15"/>
      <c r="AB4858" s="15"/>
      <c r="AC4858" s="15"/>
      <c r="AD4858" s="15"/>
      <c r="AE4858" s="15"/>
      <c r="AF4858" s="15"/>
      <c r="AG4858" s="15"/>
      <c r="AH4858" s="15"/>
      <c r="AI4858" s="15"/>
      <c r="AJ4858" s="15"/>
      <c r="AK4858" s="15"/>
      <c r="AL4858" s="15"/>
      <c r="AM4858" s="15"/>
      <c r="AN4858" s="15"/>
      <c r="AO4858" s="15"/>
      <c r="AP4858" s="15"/>
      <c r="AQ4858" s="15"/>
      <c r="AR4858" s="15"/>
      <c r="AS4858" s="15"/>
      <c r="AT4858" s="15"/>
      <c r="AU4858" s="15"/>
      <c r="AV4858" s="15"/>
      <c r="AW4858" s="15"/>
    </row>
    <row r="4859" spans="3:49" x14ac:dyDescent="0.2">
      <c r="C4859" s="15"/>
      <c r="D4859" s="15"/>
      <c r="E4859" s="15"/>
      <c r="F4859" s="15"/>
      <c r="G4859" s="15"/>
      <c r="H4859" s="15"/>
      <c r="I4859" s="15"/>
      <c r="J4859" s="15"/>
      <c r="K4859" s="15"/>
      <c r="L4859" s="28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  <c r="AA4859" s="15"/>
      <c r="AB4859" s="15"/>
      <c r="AC4859" s="15"/>
      <c r="AD4859" s="15"/>
      <c r="AE4859" s="15"/>
      <c r="AF4859" s="15"/>
      <c r="AG4859" s="15"/>
      <c r="AH4859" s="15"/>
      <c r="AI4859" s="15"/>
      <c r="AJ4859" s="15"/>
      <c r="AK4859" s="15"/>
      <c r="AL4859" s="15"/>
      <c r="AM4859" s="15"/>
      <c r="AN4859" s="15"/>
      <c r="AO4859" s="15"/>
      <c r="AP4859" s="15"/>
      <c r="AQ4859" s="15"/>
      <c r="AR4859" s="15"/>
      <c r="AS4859" s="15"/>
      <c r="AT4859" s="15"/>
      <c r="AU4859" s="15"/>
      <c r="AV4859" s="15"/>
      <c r="AW4859" s="15"/>
    </row>
    <row r="4860" spans="3:49" x14ac:dyDescent="0.2">
      <c r="C4860" s="15"/>
      <c r="D4860" s="15"/>
      <c r="E4860" s="15"/>
      <c r="F4860" s="15"/>
      <c r="G4860" s="15"/>
      <c r="H4860" s="15"/>
      <c r="I4860" s="15"/>
      <c r="J4860" s="15"/>
      <c r="K4860" s="15"/>
      <c r="L4860" s="28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  <c r="AA4860" s="15"/>
      <c r="AB4860" s="15"/>
      <c r="AC4860" s="15"/>
      <c r="AD4860" s="15"/>
      <c r="AE4860" s="15"/>
      <c r="AF4860" s="15"/>
      <c r="AG4860" s="15"/>
      <c r="AH4860" s="15"/>
      <c r="AI4860" s="15"/>
      <c r="AJ4860" s="15"/>
      <c r="AK4860" s="15"/>
      <c r="AL4860" s="15"/>
      <c r="AM4860" s="15"/>
      <c r="AN4860" s="15"/>
      <c r="AO4860" s="15"/>
      <c r="AP4860" s="15"/>
      <c r="AQ4860" s="15"/>
      <c r="AR4860" s="15"/>
      <c r="AS4860" s="15"/>
      <c r="AT4860" s="15"/>
      <c r="AU4860" s="15"/>
      <c r="AV4860" s="15"/>
      <c r="AW4860" s="15"/>
    </row>
    <row r="4861" spans="3:49" x14ac:dyDescent="0.2">
      <c r="C4861" s="15"/>
      <c r="D4861" s="15"/>
      <c r="E4861" s="15"/>
      <c r="F4861" s="15"/>
      <c r="G4861" s="15"/>
      <c r="H4861" s="15"/>
      <c r="I4861" s="15"/>
      <c r="J4861" s="15"/>
      <c r="K4861" s="15"/>
      <c r="L4861" s="28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  <c r="AA4861" s="15"/>
      <c r="AB4861" s="15"/>
      <c r="AC4861" s="15"/>
      <c r="AD4861" s="15"/>
      <c r="AE4861" s="15"/>
      <c r="AF4861" s="15"/>
      <c r="AG4861" s="15"/>
      <c r="AH4861" s="15"/>
      <c r="AI4861" s="15"/>
      <c r="AJ4861" s="15"/>
      <c r="AK4861" s="15"/>
      <c r="AL4861" s="15"/>
      <c r="AM4861" s="15"/>
      <c r="AN4861" s="15"/>
      <c r="AO4861" s="15"/>
      <c r="AP4861" s="15"/>
      <c r="AQ4861" s="15"/>
      <c r="AR4861" s="15"/>
      <c r="AS4861" s="15"/>
      <c r="AT4861" s="15"/>
      <c r="AU4861" s="15"/>
      <c r="AV4861" s="15"/>
      <c r="AW4861" s="15"/>
    </row>
    <row r="4862" spans="3:49" x14ac:dyDescent="0.2">
      <c r="C4862" s="15"/>
      <c r="D4862" s="15"/>
      <c r="E4862" s="15"/>
      <c r="F4862" s="15"/>
      <c r="G4862" s="15"/>
      <c r="H4862" s="15"/>
      <c r="I4862" s="15"/>
      <c r="J4862" s="15"/>
      <c r="K4862" s="15"/>
      <c r="L4862" s="28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  <c r="AA4862" s="15"/>
      <c r="AB4862" s="15"/>
      <c r="AC4862" s="15"/>
      <c r="AD4862" s="15"/>
      <c r="AE4862" s="15"/>
      <c r="AF4862" s="15"/>
      <c r="AG4862" s="15"/>
      <c r="AH4862" s="15"/>
      <c r="AI4862" s="15"/>
      <c r="AJ4862" s="15"/>
      <c r="AK4862" s="15"/>
      <c r="AL4862" s="15"/>
      <c r="AM4862" s="15"/>
      <c r="AN4862" s="15"/>
      <c r="AO4862" s="15"/>
      <c r="AP4862" s="15"/>
      <c r="AQ4862" s="15"/>
      <c r="AR4862" s="15"/>
      <c r="AS4862" s="15"/>
      <c r="AT4862" s="15"/>
      <c r="AU4862" s="15"/>
      <c r="AV4862" s="15"/>
      <c r="AW4862" s="15"/>
    </row>
    <row r="4863" spans="3:49" x14ac:dyDescent="0.2">
      <c r="C4863" s="15"/>
      <c r="D4863" s="15"/>
      <c r="E4863" s="15"/>
      <c r="F4863" s="15"/>
      <c r="G4863" s="15"/>
      <c r="H4863" s="15"/>
      <c r="I4863" s="15"/>
      <c r="J4863" s="15"/>
      <c r="K4863" s="15"/>
      <c r="L4863" s="28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  <c r="AA4863" s="15"/>
      <c r="AB4863" s="15"/>
      <c r="AC4863" s="15"/>
      <c r="AD4863" s="15"/>
      <c r="AE4863" s="15"/>
      <c r="AF4863" s="15"/>
      <c r="AG4863" s="15"/>
      <c r="AH4863" s="15"/>
      <c r="AI4863" s="15"/>
      <c r="AJ4863" s="15"/>
      <c r="AK4863" s="15"/>
      <c r="AL4863" s="15"/>
      <c r="AM4863" s="15"/>
      <c r="AN4863" s="15"/>
      <c r="AO4863" s="15"/>
      <c r="AP4863" s="15"/>
      <c r="AQ4863" s="15"/>
      <c r="AR4863" s="15"/>
      <c r="AS4863" s="15"/>
      <c r="AT4863" s="15"/>
      <c r="AU4863" s="15"/>
      <c r="AV4863" s="15"/>
      <c r="AW4863" s="15"/>
    </row>
    <row r="4864" spans="3:49" x14ac:dyDescent="0.2">
      <c r="C4864" s="15"/>
      <c r="D4864" s="15"/>
      <c r="E4864" s="15"/>
      <c r="F4864" s="15"/>
      <c r="G4864" s="15"/>
      <c r="H4864" s="15"/>
      <c r="I4864" s="15"/>
      <c r="J4864" s="15"/>
      <c r="K4864" s="15"/>
      <c r="L4864" s="28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  <c r="AA4864" s="15"/>
      <c r="AB4864" s="15"/>
      <c r="AC4864" s="15"/>
      <c r="AD4864" s="15"/>
      <c r="AE4864" s="15"/>
      <c r="AF4864" s="15"/>
      <c r="AG4864" s="15"/>
      <c r="AH4864" s="15"/>
      <c r="AI4864" s="15"/>
      <c r="AJ4864" s="15"/>
      <c r="AK4864" s="15"/>
      <c r="AL4864" s="15"/>
      <c r="AM4864" s="15"/>
      <c r="AN4864" s="15"/>
      <c r="AO4864" s="15"/>
      <c r="AP4864" s="15"/>
      <c r="AQ4864" s="15"/>
      <c r="AR4864" s="15"/>
      <c r="AS4864" s="15"/>
      <c r="AT4864" s="15"/>
      <c r="AU4864" s="15"/>
      <c r="AV4864" s="15"/>
      <c r="AW4864" s="15"/>
    </row>
    <row r="4865" spans="3:49" x14ac:dyDescent="0.2">
      <c r="C4865" s="15"/>
      <c r="D4865" s="15"/>
      <c r="E4865" s="15"/>
      <c r="F4865" s="15"/>
      <c r="G4865" s="15"/>
      <c r="H4865" s="15"/>
      <c r="I4865" s="15"/>
      <c r="J4865" s="15"/>
      <c r="K4865" s="15"/>
      <c r="L4865" s="28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  <c r="AA4865" s="15"/>
      <c r="AB4865" s="15"/>
      <c r="AC4865" s="15"/>
      <c r="AD4865" s="15"/>
      <c r="AE4865" s="15"/>
      <c r="AF4865" s="15"/>
      <c r="AG4865" s="15"/>
      <c r="AH4865" s="15"/>
      <c r="AI4865" s="15"/>
      <c r="AJ4865" s="15"/>
      <c r="AK4865" s="15"/>
      <c r="AL4865" s="15"/>
      <c r="AM4865" s="15"/>
      <c r="AN4865" s="15"/>
      <c r="AO4865" s="15"/>
      <c r="AP4865" s="15"/>
      <c r="AQ4865" s="15"/>
      <c r="AR4865" s="15"/>
      <c r="AS4865" s="15"/>
      <c r="AT4865" s="15"/>
      <c r="AU4865" s="15"/>
      <c r="AV4865" s="15"/>
      <c r="AW4865" s="15"/>
    </row>
    <row r="4866" spans="3:49" x14ac:dyDescent="0.2">
      <c r="C4866" s="15"/>
      <c r="D4866" s="15"/>
      <c r="E4866" s="15"/>
      <c r="F4866" s="15"/>
      <c r="G4866" s="15"/>
      <c r="H4866" s="15"/>
      <c r="I4866" s="15"/>
      <c r="J4866" s="15"/>
      <c r="K4866" s="15"/>
      <c r="L4866" s="28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  <c r="AA4866" s="15"/>
      <c r="AB4866" s="15"/>
      <c r="AC4866" s="15"/>
      <c r="AD4866" s="15"/>
      <c r="AE4866" s="15"/>
      <c r="AF4866" s="15"/>
      <c r="AG4866" s="15"/>
      <c r="AH4866" s="15"/>
      <c r="AI4866" s="15"/>
      <c r="AJ4866" s="15"/>
      <c r="AK4866" s="15"/>
      <c r="AL4866" s="15"/>
      <c r="AM4866" s="15"/>
      <c r="AN4866" s="15"/>
      <c r="AO4866" s="15"/>
      <c r="AP4866" s="15"/>
      <c r="AQ4866" s="15"/>
      <c r="AR4866" s="15"/>
      <c r="AS4866" s="15"/>
      <c r="AT4866" s="15"/>
      <c r="AU4866" s="15"/>
      <c r="AV4866" s="15"/>
      <c r="AW4866" s="15"/>
    </row>
    <row r="4867" spans="3:49" x14ac:dyDescent="0.2">
      <c r="C4867" s="15"/>
      <c r="D4867" s="15"/>
      <c r="E4867" s="15"/>
      <c r="F4867" s="15"/>
      <c r="G4867" s="15"/>
      <c r="H4867" s="15"/>
      <c r="I4867" s="15"/>
      <c r="J4867" s="15"/>
      <c r="K4867" s="15"/>
      <c r="L4867" s="28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  <c r="AA4867" s="15"/>
      <c r="AB4867" s="15"/>
      <c r="AC4867" s="15"/>
      <c r="AD4867" s="15"/>
      <c r="AE4867" s="15"/>
      <c r="AF4867" s="15"/>
      <c r="AG4867" s="15"/>
      <c r="AH4867" s="15"/>
      <c r="AI4867" s="15"/>
      <c r="AJ4867" s="15"/>
      <c r="AK4867" s="15"/>
      <c r="AL4867" s="15"/>
      <c r="AM4867" s="15"/>
      <c r="AN4867" s="15"/>
      <c r="AO4867" s="15"/>
      <c r="AP4867" s="15"/>
      <c r="AQ4867" s="15"/>
      <c r="AR4867" s="15"/>
      <c r="AS4867" s="15"/>
      <c r="AT4867" s="15"/>
      <c r="AU4867" s="15"/>
      <c r="AV4867" s="15"/>
      <c r="AW4867" s="15"/>
    </row>
    <row r="4868" spans="3:49" x14ac:dyDescent="0.2">
      <c r="C4868" s="15"/>
      <c r="D4868" s="15"/>
      <c r="E4868" s="15"/>
      <c r="F4868" s="15"/>
      <c r="G4868" s="15"/>
      <c r="H4868" s="15"/>
      <c r="I4868" s="15"/>
      <c r="J4868" s="15"/>
      <c r="K4868" s="15"/>
      <c r="L4868" s="28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  <c r="AA4868" s="15"/>
      <c r="AB4868" s="15"/>
      <c r="AC4868" s="15"/>
      <c r="AD4868" s="15"/>
      <c r="AE4868" s="15"/>
      <c r="AF4868" s="15"/>
      <c r="AG4868" s="15"/>
      <c r="AH4868" s="15"/>
      <c r="AI4868" s="15"/>
      <c r="AJ4868" s="15"/>
      <c r="AK4868" s="15"/>
      <c r="AL4868" s="15"/>
      <c r="AM4868" s="15"/>
      <c r="AN4868" s="15"/>
      <c r="AO4868" s="15"/>
      <c r="AP4868" s="15"/>
      <c r="AQ4868" s="15"/>
      <c r="AR4868" s="15"/>
      <c r="AS4868" s="15"/>
      <c r="AT4868" s="15"/>
      <c r="AU4868" s="15"/>
      <c r="AV4868" s="15"/>
      <c r="AW4868" s="15"/>
    </row>
    <row r="4869" spans="3:49" x14ac:dyDescent="0.2">
      <c r="C4869" s="15"/>
      <c r="D4869" s="15"/>
      <c r="E4869" s="15"/>
      <c r="F4869" s="15"/>
      <c r="G4869" s="15"/>
      <c r="H4869" s="15"/>
      <c r="I4869" s="15"/>
      <c r="J4869" s="15"/>
      <c r="K4869" s="15"/>
      <c r="L4869" s="28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  <c r="AA4869" s="15"/>
      <c r="AB4869" s="15"/>
      <c r="AC4869" s="15"/>
      <c r="AD4869" s="15"/>
      <c r="AE4869" s="15"/>
      <c r="AF4869" s="15"/>
      <c r="AG4869" s="15"/>
      <c r="AH4869" s="15"/>
      <c r="AI4869" s="15"/>
      <c r="AJ4869" s="15"/>
      <c r="AK4869" s="15"/>
      <c r="AL4869" s="15"/>
      <c r="AM4869" s="15"/>
      <c r="AN4869" s="15"/>
      <c r="AO4869" s="15"/>
      <c r="AP4869" s="15"/>
      <c r="AQ4869" s="15"/>
      <c r="AR4869" s="15"/>
      <c r="AS4869" s="15"/>
      <c r="AT4869" s="15"/>
      <c r="AU4869" s="15"/>
      <c r="AV4869" s="15"/>
      <c r="AW4869" s="15"/>
    </row>
    <row r="4870" spans="3:49" x14ac:dyDescent="0.2">
      <c r="C4870" s="15"/>
      <c r="D4870" s="15"/>
      <c r="E4870" s="15"/>
      <c r="F4870" s="15"/>
      <c r="G4870" s="15"/>
      <c r="H4870" s="15"/>
      <c r="I4870" s="15"/>
      <c r="J4870" s="15"/>
      <c r="K4870" s="15"/>
      <c r="L4870" s="28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  <c r="AA4870" s="15"/>
      <c r="AB4870" s="15"/>
      <c r="AC4870" s="15"/>
      <c r="AD4870" s="15"/>
      <c r="AE4870" s="15"/>
      <c r="AF4870" s="15"/>
      <c r="AG4870" s="15"/>
      <c r="AH4870" s="15"/>
      <c r="AI4870" s="15"/>
      <c r="AJ4870" s="15"/>
      <c r="AK4870" s="15"/>
      <c r="AL4870" s="15"/>
      <c r="AM4870" s="15"/>
      <c r="AN4870" s="15"/>
      <c r="AO4870" s="15"/>
      <c r="AP4870" s="15"/>
      <c r="AQ4870" s="15"/>
      <c r="AR4870" s="15"/>
      <c r="AS4870" s="15"/>
      <c r="AT4870" s="15"/>
      <c r="AU4870" s="15"/>
      <c r="AV4870" s="15"/>
      <c r="AW4870" s="15"/>
    </row>
    <row r="4871" spans="3:49" x14ac:dyDescent="0.2">
      <c r="C4871" s="15"/>
      <c r="D4871" s="15"/>
      <c r="E4871" s="15"/>
      <c r="F4871" s="15"/>
      <c r="G4871" s="15"/>
      <c r="H4871" s="15"/>
      <c r="I4871" s="15"/>
      <c r="J4871" s="15"/>
      <c r="K4871" s="15"/>
      <c r="L4871" s="28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  <c r="AA4871" s="15"/>
      <c r="AB4871" s="15"/>
      <c r="AC4871" s="15"/>
      <c r="AD4871" s="15"/>
      <c r="AE4871" s="15"/>
      <c r="AF4871" s="15"/>
      <c r="AG4871" s="15"/>
      <c r="AH4871" s="15"/>
      <c r="AI4871" s="15"/>
      <c r="AJ4871" s="15"/>
      <c r="AK4871" s="15"/>
      <c r="AL4871" s="15"/>
      <c r="AM4871" s="15"/>
      <c r="AN4871" s="15"/>
      <c r="AO4871" s="15"/>
      <c r="AP4871" s="15"/>
      <c r="AQ4871" s="15"/>
      <c r="AR4871" s="15"/>
      <c r="AS4871" s="15"/>
      <c r="AT4871" s="15"/>
      <c r="AU4871" s="15"/>
      <c r="AV4871" s="15"/>
      <c r="AW4871" s="15"/>
    </row>
    <row r="4872" spans="3:49" x14ac:dyDescent="0.2">
      <c r="C4872" s="15"/>
      <c r="D4872" s="15"/>
      <c r="E4872" s="15"/>
      <c r="F4872" s="15"/>
      <c r="G4872" s="15"/>
      <c r="H4872" s="15"/>
      <c r="I4872" s="15"/>
      <c r="J4872" s="15"/>
      <c r="K4872" s="15"/>
      <c r="L4872" s="28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  <c r="AA4872" s="15"/>
      <c r="AB4872" s="15"/>
      <c r="AC4872" s="15"/>
      <c r="AD4872" s="15"/>
      <c r="AE4872" s="15"/>
      <c r="AF4872" s="15"/>
      <c r="AG4872" s="15"/>
      <c r="AH4872" s="15"/>
      <c r="AI4872" s="15"/>
      <c r="AJ4872" s="15"/>
      <c r="AK4872" s="15"/>
      <c r="AL4872" s="15"/>
      <c r="AM4872" s="15"/>
      <c r="AN4872" s="15"/>
      <c r="AO4872" s="15"/>
      <c r="AP4872" s="15"/>
      <c r="AQ4872" s="15"/>
      <c r="AR4872" s="15"/>
      <c r="AS4872" s="15"/>
      <c r="AT4872" s="15"/>
      <c r="AU4872" s="15"/>
      <c r="AV4872" s="15"/>
      <c r="AW4872" s="15"/>
    </row>
    <row r="4873" spans="3:49" x14ac:dyDescent="0.2">
      <c r="C4873" s="15"/>
      <c r="D4873" s="15"/>
      <c r="E4873" s="15"/>
      <c r="F4873" s="15"/>
      <c r="G4873" s="15"/>
      <c r="H4873" s="15"/>
      <c r="I4873" s="15"/>
      <c r="J4873" s="15"/>
      <c r="K4873" s="15"/>
      <c r="L4873" s="28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  <c r="AA4873" s="15"/>
      <c r="AB4873" s="15"/>
      <c r="AC4873" s="15"/>
      <c r="AD4873" s="15"/>
      <c r="AE4873" s="15"/>
      <c r="AF4873" s="15"/>
      <c r="AG4873" s="15"/>
      <c r="AH4873" s="15"/>
      <c r="AI4873" s="15"/>
      <c r="AJ4873" s="15"/>
      <c r="AK4873" s="15"/>
      <c r="AL4873" s="15"/>
      <c r="AM4873" s="15"/>
      <c r="AN4873" s="15"/>
      <c r="AO4873" s="15"/>
      <c r="AP4873" s="15"/>
      <c r="AQ4873" s="15"/>
      <c r="AR4873" s="15"/>
      <c r="AS4873" s="15"/>
      <c r="AT4873" s="15"/>
      <c r="AU4873" s="15"/>
      <c r="AV4873" s="15"/>
      <c r="AW4873" s="15"/>
    </row>
    <row r="4874" spans="3:49" x14ac:dyDescent="0.2">
      <c r="C4874" s="15"/>
      <c r="D4874" s="15"/>
      <c r="E4874" s="15"/>
      <c r="F4874" s="15"/>
      <c r="G4874" s="15"/>
      <c r="H4874" s="15"/>
      <c r="I4874" s="15"/>
      <c r="J4874" s="15"/>
      <c r="K4874" s="15"/>
      <c r="L4874" s="28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  <c r="AA4874" s="15"/>
      <c r="AB4874" s="15"/>
      <c r="AC4874" s="15"/>
      <c r="AD4874" s="15"/>
      <c r="AE4874" s="15"/>
      <c r="AF4874" s="15"/>
      <c r="AG4874" s="15"/>
      <c r="AH4874" s="15"/>
      <c r="AI4874" s="15"/>
      <c r="AJ4874" s="15"/>
      <c r="AK4874" s="15"/>
      <c r="AL4874" s="15"/>
      <c r="AM4874" s="15"/>
      <c r="AN4874" s="15"/>
      <c r="AO4874" s="15"/>
      <c r="AP4874" s="15"/>
      <c r="AQ4874" s="15"/>
      <c r="AR4874" s="15"/>
      <c r="AS4874" s="15"/>
      <c r="AT4874" s="15"/>
      <c r="AU4874" s="15"/>
      <c r="AV4874" s="15"/>
      <c r="AW4874" s="15"/>
    </row>
    <row r="4875" spans="3:49" x14ac:dyDescent="0.2">
      <c r="C4875" s="15"/>
      <c r="D4875" s="15"/>
      <c r="E4875" s="15"/>
      <c r="F4875" s="15"/>
      <c r="G4875" s="15"/>
      <c r="H4875" s="15"/>
      <c r="I4875" s="15"/>
      <c r="J4875" s="15"/>
      <c r="K4875" s="15"/>
      <c r="L4875" s="28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  <c r="AA4875" s="15"/>
      <c r="AB4875" s="15"/>
      <c r="AC4875" s="15"/>
      <c r="AD4875" s="15"/>
      <c r="AE4875" s="15"/>
      <c r="AF4875" s="15"/>
      <c r="AG4875" s="15"/>
      <c r="AH4875" s="15"/>
      <c r="AI4875" s="15"/>
      <c r="AJ4875" s="15"/>
      <c r="AK4875" s="15"/>
      <c r="AL4875" s="15"/>
      <c r="AM4875" s="15"/>
      <c r="AN4875" s="15"/>
      <c r="AO4875" s="15"/>
      <c r="AP4875" s="15"/>
      <c r="AQ4875" s="15"/>
      <c r="AR4875" s="15"/>
      <c r="AS4875" s="15"/>
      <c r="AT4875" s="15"/>
      <c r="AU4875" s="15"/>
      <c r="AV4875" s="15"/>
      <c r="AW4875" s="15"/>
    </row>
    <row r="4876" spans="3:49" x14ac:dyDescent="0.2">
      <c r="C4876" s="15"/>
      <c r="D4876" s="15"/>
      <c r="E4876" s="15"/>
      <c r="F4876" s="15"/>
      <c r="G4876" s="15"/>
      <c r="H4876" s="15"/>
      <c r="I4876" s="15"/>
      <c r="J4876" s="15"/>
      <c r="K4876" s="15"/>
      <c r="L4876" s="28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  <c r="AA4876" s="15"/>
      <c r="AB4876" s="15"/>
      <c r="AC4876" s="15"/>
      <c r="AD4876" s="15"/>
      <c r="AE4876" s="15"/>
      <c r="AF4876" s="15"/>
      <c r="AG4876" s="15"/>
      <c r="AH4876" s="15"/>
      <c r="AI4876" s="15"/>
      <c r="AJ4876" s="15"/>
      <c r="AK4876" s="15"/>
      <c r="AL4876" s="15"/>
      <c r="AM4876" s="15"/>
      <c r="AN4876" s="15"/>
      <c r="AO4876" s="15"/>
      <c r="AP4876" s="15"/>
      <c r="AQ4876" s="15"/>
      <c r="AR4876" s="15"/>
      <c r="AS4876" s="15"/>
      <c r="AT4876" s="15"/>
      <c r="AU4876" s="15"/>
      <c r="AV4876" s="15"/>
      <c r="AW4876" s="15"/>
    </row>
    <row r="4877" spans="3:49" x14ac:dyDescent="0.2">
      <c r="C4877" s="15"/>
      <c r="D4877" s="15"/>
      <c r="E4877" s="15"/>
      <c r="F4877" s="15"/>
      <c r="G4877" s="15"/>
      <c r="H4877" s="15"/>
      <c r="I4877" s="15"/>
      <c r="J4877" s="15"/>
      <c r="K4877" s="15"/>
      <c r="L4877" s="28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  <c r="AA4877" s="15"/>
      <c r="AB4877" s="15"/>
      <c r="AC4877" s="15"/>
      <c r="AD4877" s="15"/>
      <c r="AE4877" s="15"/>
      <c r="AF4877" s="15"/>
      <c r="AG4877" s="15"/>
      <c r="AH4877" s="15"/>
      <c r="AI4877" s="15"/>
      <c r="AJ4877" s="15"/>
      <c r="AK4877" s="15"/>
      <c r="AL4877" s="15"/>
      <c r="AM4877" s="15"/>
      <c r="AN4877" s="15"/>
      <c r="AO4877" s="15"/>
      <c r="AP4877" s="15"/>
      <c r="AQ4877" s="15"/>
      <c r="AR4877" s="15"/>
      <c r="AS4877" s="15"/>
      <c r="AT4877" s="15"/>
      <c r="AU4877" s="15"/>
      <c r="AV4877" s="15"/>
      <c r="AW4877" s="15"/>
    </row>
    <row r="4878" spans="3:49" x14ac:dyDescent="0.2">
      <c r="C4878" s="15"/>
      <c r="D4878" s="15"/>
      <c r="E4878" s="15"/>
      <c r="F4878" s="15"/>
      <c r="G4878" s="15"/>
      <c r="H4878" s="15"/>
      <c r="I4878" s="15"/>
      <c r="J4878" s="15"/>
      <c r="K4878" s="15"/>
      <c r="L4878" s="28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  <c r="AA4878" s="15"/>
      <c r="AB4878" s="15"/>
      <c r="AC4878" s="15"/>
      <c r="AD4878" s="15"/>
      <c r="AE4878" s="15"/>
      <c r="AF4878" s="15"/>
      <c r="AG4878" s="15"/>
      <c r="AH4878" s="15"/>
      <c r="AI4878" s="15"/>
      <c r="AJ4878" s="15"/>
      <c r="AK4878" s="15"/>
      <c r="AL4878" s="15"/>
      <c r="AM4878" s="15"/>
      <c r="AN4878" s="15"/>
      <c r="AO4878" s="15"/>
      <c r="AP4878" s="15"/>
      <c r="AQ4878" s="15"/>
      <c r="AR4878" s="15"/>
      <c r="AS4878" s="15"/>
      <c r="AT4878" s="15"/>
      <c r="AU4878" s="15"/>
      <c r="AV4878" s="15"/>
      <c r="AW4878" s="15"/>
    </row>
    <row r="4879" spans="3:49" x14ac:dyDescent="0.2">
      <c r="C4879" s="15"/>
      <c r="D4879" s="15"/>
      <c r="E4879" s="15"/>
      <c r="F4879" s="15"/>
      <c r="G4879" s="15"/>
      <c r="H4879" s="15"/>
      <c r="I4879" s="15"/>
      <c r="J4879" s="15"/>
      <c r="K4879" s="15"/>
      <c r="L4879" s="28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  <c r="AA4879" s="15"/>
      <c r="AB4879" s="15"/>
      <c r="AC4879" s="15"/>
      <c r="AD4879" s="15"/>
      <c r="AE4879" s="15"/>
      <c r="AF4879" s="15"/>
      <c r="AG4879" s="15"/>
      <c r="AH4879" s="15"/>
      <c r="AI4879" s="15"/>
      <c r="AJ4879" s="15"/>
      <c r="AK4879" s="15"/>
      <c r="AL4879" s="15"/>
      <c r="AM4879" s="15"/>
      <c r="AN4879" s="15"/>
      <c r="AO4879" s="15"/>
      <c r="AP4879" s="15"/>
      <c r="AQ4879" s="15"/>
      <c r="AR4879" s="15"/>
      <c r="AS4879" s="15"/>
      <c r="AT4879" s="15"/>
      <c r="AU4879" s="15"/>
      <c r="AV4879" s="15"/>
      <c r="AW4879" s="15"/>
    </row>
    <row r="4880" spans="3:49" x14ac:dyDescent="0.2">
      <c r="C4880" s="15"/>
      <c r="D4880" s="15"/>
      <c r="E4880" s="15"/>
      <c r="F4880" s="15"/>
      <c r="G4880" s="15"/>
      <c r="H4880" s="15"/>
      <c r="I4880" s="15"/>
      <c r="J4880" s="15"/>
      <c r="K4880" s="15"/>
      <c r="L4880" s="28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  <c r="AA4880" s="15"/>
      <c r="AB4880" s="15"/>
      <c r="AC4880" s="15"/>
      <c r="AD4880" s="15"/>
      <c r="AE4880" s="15"/>
      <c r="AF4880" s="15"/>
      <c r="AG4880" s="15"/>
      <c r="AH4880" s="15"/>
      <c r="AI4880" s="15"/>
      <c r="AJ4880" s="15"/>
      <c r="AK4880" s="15"/>
      <c r="AL4880" s="15"/>
      <c r="AM4880" s="15"/>
      <c r="AN4880" s="15"/>
      <c r="AO4880" s="15"/>
      <c r="AP4880" s="15"/>
      <c r="AQ4880" s="15"/>
      <c r="AR4880" s="15"/>
      <c r="AS4880" s="15"/>
      <c r="AT4880" s="15"/>
      <c r="AU4880" s="15"/>
      <c r="AV4880" s="15"/>
      <c r="AW4880" s="15"/>
    </row>
    <row r="4881" spans="3:49" x14ac:dyDescent="0.2">
      <c r="C4881" s="15"/>
      <c r="D4881" s="15"/>
      <c r="E4881" s="15"/>
      <c r="F4881" s="15"/>
      <c r="G4881" s="15"/>
      <c r="H4881" s="15"/>
      <c r="I4881" s="15"/>
      <c r="J4881" s="15"/>
      <c r="K4881" s="15"/>
      <c r="L4881" s="28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  <c r="AA4881" s="15"/>
      <c r="AB4881" s="15"/>
      <c r="AC4881" s="15"/>
      <c r="AD4881" s="15"/>
      <c r="AE4881" s="15"/>
      <c r="AF4881" s="15"/>
      <c r="AG4881" s="15"/>
      <c r="AH4881" s="15"/>
      <c r="AI4881" s="15"/>
      <c r="AJ4881" s="15"/>
      <c r="AK4881" s="15"/>
      <c r="AL4881" s="15"/>
      <c r="AM4881" s="15"/>
      <c r="AN4881" s="15"/>
      <c r="AO4881" s="15"/>
      <c r="AP4881" s="15"/>
      <c r="AQ4881" s="15"/>
      <c r="AR4881" s="15"/>
      <c r="AS4881" s="15"/>
      <c r="AT4881" s="15"/>
      <c r="AU4881" s="15"/>
      <c r="AV4881" s="15"/>
      <c r="AW4881" s="15"/>
    </row>
    <row r="4882" spans="3:49" x14ac:dyDescent="0.2">
      <c r="C4882" s="15"/>
      <c r="D4882" s="15"/>
      <c r="E4882" s="15"/>
      <c r="F4882" s="15"/>
      <c r="G4882" s="15"/>
      <c r="H4882" s="15"/>
      <c r="I4882" s="15"/>
      <c r="J4882" s="15"/>
      <c r="K4882" s="15"/>
      <c r="L4882" s="28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  <c r="AA4882" s="15"/>
      <c r="AB4882" s="15"/>
      <c r="AC4882" s="15"/>
      <c r="AD4882" s="15"/>
      <c r="AE4882" s="15"/>
      <c r="AF4882" s="15"/>
      <c r="AG4882" s="15"/>
      <c r="AH4882" s="15"/>
      <c r="AI4882" s="15"/>
      <c r="AJ4882" s="15"/>
      <c r="AK4882" s="15"/>
      <c r="AL4882" s="15"/>
      <c r="AM4882" s="15"/>
      <c r="AN4882" s="15"/>
      <c r="AO4882" s="15"/>
      <c r="AP4882" s="15"/>
      <c r="AQ4882" s="15"/>
      <c r="AR4882" s="15"/>
      <c r="AS4882" s="15"/>
      <c r="AT4882" s="15"/>
      <c r="AU4882" s="15"/>
      <c r="AV4882" s="15"/>
      <c r="AW4882" s="15"/>
    </row>
    <row r="4883" spans="3:49" x14ac:dyDescent="0.2">
      <c r="C4883" s="15"/>
      <c r="D4883" s="15"/>
      <c r="E4883" s="15"/>
      <c r="F4883" s="15"/>
      <c r="G4883" s="15"/>
      <c r="H4883" s="15"/>
      <c r="I4883" s="15"/>
      <c r="J4883" s="15"/>
      <c r="K4883" s="15"/>
      <c r="L4883" s="28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  <c r="AA4883" s="15"/>
      <c r="AB4883" s="15"/>
      <c r="AC4883" s="15"/>
      <c r="AD4883" s="15"/>
      <c r="AE4883" s="15"/>
      <c r="AF4883" s="15"/>
      <c r="AG4883" s="15"/>
      <c r="AH4883" s="15"/>
      <c r="AI4883" s="15"/>
      <c r="AJ4883" s="15"/>
      <c r="AK4883" s="15"/>
      <c r="AL4883" s="15"/>
      <c r="AM4883" s="15"/>
      <c r="AN4883" s="15"/>
      <c r="AO4883" s="15"/>
      <c r="AP4883" s="15"/>
      <c r="AQ4883" s="15"/>
      <c r="AR4883" s="15"/>
      <c r="AS4883" s="15"/>
      <c r="AT4883" s="15"/>
      <c r="AU4883" s="15"/>
      <c r="AV4883" s="15"/>
      <c r="AW4883" s="15"/>
    </row>
    <row r="4884" spans="3:49" x14ac:dyDescent="0.2">
      <c r="C4884" s="15"/>
      <c r="D4884" s="15"/>
      <c r="E4884" s="15"/>
      <c r="F4884" s="15"/>
      <c r="G4884" s="15"/>
      <c r="H4884" s="15"/>
      <c r="I4884" s="15"/>
      <c r="J4884" s="15"/>
      <c r="K4884" s="15"/>
      <c r="L4884" s="28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  <c r="AA4884" s="15"/>
      <c r="AB4884" s="15"/>
      <c r="AC4884" s="15"/>
      <c r="AD4884" s="15"/>
      <c r="AE4884" s="15"/>
      <c r="AF4884" s="15"/>
      <c r="AG4884" s="15"/>
      <c r="AH4884" s="15"/>
      <c r="AI4884" s="15"/>
      <c r="AJ4884" s="15"/>
      <c r="AK4884" s="15"/>
      <c r="AL4884" s="15"/>
      <c r="AM4884" s="15"/>
      <c r="AN4884" s="15"/>
      <c r="AO4884" s="15"/>
      <c r="AP4884" s="15"/>
      <c r="AQ4884" s="15"/>
      <c r="AR4884" s="15"/>
      <c r="AS4884" s="15"/>
      <c r="AT4884" s="15"/>
      <c r="AU4884" s="15"/>
      <c r="AV4884" s="15"/>
      <c r="AW4884" s="15"/>
    </row>
    <row r="4885" spans="3:49" x14ac:dyDescent="0.2">
      <c r="C4885" s="15"/>
      <c r="D4885" s="15"/>
      <c r="E4885" s="15"/>
      <c r="F4885" s="15"/>
      <c r="G4885" s="15"/>
      <c r="H4885" s="15"/>
      <c r="I4885" s="15"/>
      <c r="J4885" s="15"/>
      <c r="K4885" s="15"/>
      <c r="L4885" s="28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  <c r="AA4885" s="15"/>
      <c r="AB4885" s="15"/>
      <c r="AC4885" s="15"/>
      <c r="AD4885" s="15"/>
      <c r="AE4885" s="15"/>
      <c r="AF4885" s="15"/>
      <c r="AG4885" s="15"/>
      <c r="AH4885" s="15"/>
      <c r="AI4885" s="15"/>
      <c r="AJ4885" s="15"/>
      <c r="AK4885" s="15"/>
      <c r="AL4885" s="15"/>
      <c r="AM4885" s="15"/>
      <c r="AN4885" s="15"/>
      <c r="AO4885" s="15"/>
      <c r="AP4885" s="15"/>
      <c r="AQ4885" s="15"/>
      <c r="AR4885" s="15"/>
      <c r="AS4885" s="15"/>
      <c r="AT4885" s="15"/>
      <c r="AU4885" s="15"/>
      <c r="AV4885" s="15"/>
      <c r="AW4885" s="15"/>
    </row>
    <row r="4886" spans="3:49" x14ac:dyDescent="0.2">
      <c r="C4886" s="15"/>
      <c r="D4886" s="15"/>
      <c r="E4886" s="15"/>
      <c r="F4886" s="15"/>
      <c r="G4886" s="15"/>
      <c r="H4886" s="15"/>
      <c r="I4886" s="15"/>
      <c r="J4886" s="15"/>
      <c r="K4886" s="15"/>
      <c r="L4886" s="28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  <c r="AA4886" s="15"/>
      <c r="AB4886" s="15"/>
      <c r="AC4886" s="15"/>
      <c r="AD4886" s="15"/>
      <c r="AE4886" s="15"/>
      <c r="AF4886" s="15"/>
      <c r="AG4886" s="15"/>
      <c r="AH4886" s="15"/>
      <c r="AI4886" s="15"/>
      <c r="AJ4886" s="15"/>
      <c r="AK4886" s="15"/>
      <c r="AL4886" s="15"/>
      <c r="AM4886" s="15"/>
      <c r="AN4886" s="15"/>
      <c r="AO4886" s="15"/>
      <c r="AP4886" s="15"/>
      <c r="AQ4886" s="15"/>
      <c r="AR4886" s="15"/>
      <c r="AS4886" s="15"/>
      <c r="AT4886" s="15"/>
      <c r="AU4886" s="15"/>
      <c r="AV4886" s="15"/>
      <c r="AW4886" s="15"/>
    </row>
    <row r="4887" spans="3:49" x14ac:dyDescent="0.2">
      <c r="C4887" s="15"/>
      <c r="D4887" s="15"/>
      <c r="E4887" s="15"/>
      <c r="F4887" s="15"/>
      <c r="G4887" s="15"/>
      <c r="H4887" s="15"/>
      <c r="I4887" s="15"/>
      <c r="J4887" s="15"/>
      <c r="K4887" s="15"/>
      <c r="L4887" s="28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  <c r="AA4887" s="15"/>
      <c r="AB4887" s="15"/>
      <c r="AC4887" s="15"/>
      <c r="AD4887" s="15"/>
      <c r="AE4887" s="15"/>
      <c r="AF4887" s="15"/>
      <c r="AG4887" s="15"/>
      <c r="AH4887" s="15"/>
      <c r="AI4887" s="15"/>
      <c r="AJ4887" s="15"/>
      <c r="AK4887" s="15"/>
      <c r="AL4887" s="15"/>
      <c r="AM4887" s="15"/>
      <c r="AN4887" s="15"/>
      <c r="AO4887" s="15"/>
      <c r="AP4887" s="15"/>
      <c r="AQ4887" s="15"/>
      <c r="AR4887" s="15"/>
      <c r="AS4887" s="15"/>
      <c r="AT4887" s="15"/>
      <c r="AU4887" s="15"/>
      <c r="AV4887" s="15"/>
      <c r="AW4887" s="15"/>
    </row>
    <row r="4888" spans="3:49" x14ac:dyDescent="0.2">
      <c r="C4888" s="15"/>
      <c r="D4888" s="15"/>
      <c r="E4888" s="15"/>
      <c r="F4888" s="15"/>
      <c r="G4888" s="15"/>
      <c r="H4888" s="15"/>
      <c r="I4888" s="15"/>
      <c r="J4888" s="15"/>
      <c r="K4888" s="15"/>
      <c r="L4888" s="28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  <c r="AA4888" s="15"/>
      <c r="AB4888" s="15"/>
      <c r="AC4888" s="15"/>
      <c r="AD4888" s="15"/>
      <c r="AE4888" s="15"/>
      <c r="AF4888" s="15"/>
      <c r="AG4888" s="15"/>
      <c r="AH4888" s="15"/>
      <c r="AI4888" s="15"/>
      <c r="AJ4888" s="15"/>
      <c r="AK4888" s="15"/>
      <c r="AL4888" s="15"/>
      <c r="AM4888" s="15"/>
      <c r="AN4888" s="15"/>
      <c r="AO4888" s="15"/>
      <c r="AP4888" s="15"/>
      <c r="AQ4888" s="15"/>
      <c r="AR4888" s="15"/>
      <c r="AS4888" s="15"/>
      <c r="AT4888" s="15"/>
      <c r="AU4888" s="15"/>
      <c r="AV4888" s="15"/>
      <c r="AW4888" s="15"/>
    </row>
    <row r="4889" spans="3:49" x14ac:dyDescent="0.2">
      <c r="C4889" s="15"/>
      <c r="D4889" s="15"/>
      <c r="E4889" s="15"/>
      <c r="F4889" s="15"/>
      <c r="G4889" s="15"/>
      <c r="H4889" s="15"/>
      <c r="I4889" s="15"/>
      <c r="J4889" s="15"/>
      <c r="K4889" s="15"/>
      <c r="L4889" s="28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  <c r="AA4889" s="15"/>
      <c r="AB4889" s="15"/>
      <c r="AC4889" s="15"/>
      <c r="AD4889" s="15"/>
      <c r="AE4889" s="15"/>
      <c r="AF4889" s="15"/>
      <c r="AG4889" s="15"/>
      <c r="AH4889" s="15"/>
      <c r="AI4889" s="15"/>
      <c r="AJ4889" s="15"/>
      <c r="AK4889" s="15"/>
      <c r="AL4889" s="15"/>
      <c r="AM4889" s="15"/>
      <c r="AN4889" s="15"/>
      <c r="AO4889" s="15"/>
      <c r="AP4889" s="15"/>
      <c r="AQ4889" s="15"/>
      <c r="AR4889" s="15"/>
      <c r="AS4889" s="15"/>
      <c r="AT4889" s="15"/>
      <c r="AU4889" s="15"/>
      <c r="AV4889" s="15"/>
      <c r="AW4889" s="15"/>
    </row>
    <row r="4890" spans="3:49" x14ac:dyDescent="0.2">
      <c r="C4890" s="15"/>
      <c r="D4890" s="15"/>
      <c r="E4890" s="15"/>
      <c r="F4890" s="15"/>
      <c r="G4890" s="15"/>
      <c r="H4890" s="15"/>
      <c r="I4890" s="15"/>
      <c r="J4890" s="15"/>
      <c r="K4890" s="15"/>
      <c r="L4890" s="28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  <c r="AA4890" s="15"/>
      <c r="AB4890" s="15"/>
      <c r="AC4890" s="15"/>
      <c r="AD4890" s="15"/>
      <c r="AE4890" s="15"/>
      <c r="AF4890" s="15"/>
      <c r="AG4890" s="15"/>
      <c r="AH4890" s="15"/>
      <c r="AI4890" s="15"/>
      <c r="AJ4890" s="15"/>
      <c r="AK4890" s="15"/>
      <c r="AL4890" s="15"/>
      <c r="AM4890" s="15"/>
      <c r="AN4890" s="15"/>
      <c r="AO4890" s="15"/>
      <c r="AP4890" s="15"/>
      <c r="AQ4890" s="15"/>
      <c r="AR4890" s="15"/>
      <c r="AS4890" s="15"/>
      <c r="AT4890" s="15"/>
      <c r="AU4890" s="15"/>
      <c r="AV4890" s="15"/>
      <c r="AW4890" s="15"/>
    </row>
    <row r="4891" spans="3:49" x14ac:dyDescent="0.2">
      <c r="C4891" s="15"/>
      <c r="D4891" s="15"/>
      <c r="E4891" s="15"/>
      <c r="F4891" s="15"/>
      <c r="G4891" s="15"/>
      <c r="H4891" s="15"/>
      <c r="I4891" s="15"/>
      <c r="J4891" s="15"/>
      <c r="K4891" s="15"/>
      <c r="L4891" s="28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  <c r="AA4891" s="15"/>
      <c r="AB4891" s="15"/>
      <c r="AC4891" s="15"/>
      <c r="AD4891" s="15"/>
      <c r="AE4891" s="15"/>
      <c r="AF4891" s="15"/>
      <c r="AG4891" s="15"/>
      <c r="AH4891" s="15"/>
      <c r="AI4891" s="15"/>
      <c r="AJ4891" s="15"/>
      <c r="AK4891" s="15"/>
      <c r="AL4891" s="15"/>
      <c r="AM4891" s="15"/>
      <c r="AN4891" s="15"/>
      <c r="AO4891" s="15"/>
      <c r="AP4891" s="15"/>
      <c r="AQ4891" s="15"/>
      <c r="AR4891" s="15"/>
      <c r="AS4891" s="15"/>
      <c r="AT4891" s="15"/>
      <c r="AU4891" s="15"/>
      <c r="AV4891" s="15"/>
      <c r="AW4891" s="15"/>
    </row>
    <row r="4892" spans="3:49" x14ac:dyDescent="0.2">
      <c r="C4892" s="15"/>
      <c r="D4892" s="15"/>
      <c r="E4892" s="15"/>
      <c r="F4892" s="15"/>
      <c r="G4892" s="15"/>
      <c r="H4892" s="15"/>
      <c r="I4892" s="15"/>
      <c r="J4892" s="15"/>
      <c r="K4892" s="15"/>
      <c r="L4892" s="28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  <c r="AA4892" s="15"/>
      <c r="AB4892" s="15"/>
      <c r="AC4892" s="15"/>
      <c r="AD4892" s="15"/>
      <c r="AE4892" s="15"/>
      <c r="AF4892" s="15"/>
      <c r="AG4892" s="15"/>
      <c r="AH4892" s="15"/>
      <c r="AI4892" s="15"/>
      <c r="AJ4892" s="15"/>
      <c r="AK4892" s="15"/>
      <c r="AL4892" s="15"/>
      <c r="AM4892" s="15"/>
      <c r="AN4892" s="15"/>
      <c r="AO4892" s="15"/>
      <c r="AP4892" s="15"/>
      <c r="AQ4892" s="15"/>
      <c r="AR4892" s="15"/>
      <c r="AS4892" s="15"/>
      <c r="AT4892" s="15"/>
      <c r="AU4892" s="15"/>
      <c r="AV4892" s="15"/>
      <c r="AW4892" s="15"/>
    </row>
    <row r="4893" spans="3:49" x14ac:dyDescent="0.2">
      <c r="C4893" s="15"/>
      <c r="D4893" s="15"/>
      <c r="E4893" s="15"/>
      <c r="F4893" s="15"/>
      <c r="G4893" s="15"/>
      <c r="H4893" s="15"/>
      <c r="I4893" s="15"/>
      <c r="J4893" s="15"/>
      <c r="K4893" s="15"/>
      <c r="L4893" s="28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  <c r="AA4893" s="15"/>
      <c r="AB4893" s="15"/>
      <c r="AC4893" s="15"/>
      <c r="AD4893" s="15"/>
      <c r="AE4893" s="15"/>
      <c r="AF4893" s="15"/>
      <c r="AG4893" s="15"/>
      <c r="AH4893" s="15"/>
      <c r="AI4893" s="15"/>
      <c r="AJ4893" s="15"/>
      <c r="AK4893" s="15"/>
      <c r="AL4893" s="15"/>
      <c r="AM4893" s="15"/>
      <c r="AN4893" s="15"/>
      <c r="AO4893" s="15"/>
      <c r="AP4893" s="15"/>
      <c r="AQ4893" s="15"/>
      <c r="AR4893" s="15"/>
      <c r="AS4893" s="15"/>
      <c r="AT4893" s="15"/>
      <c r="AU4893" s="15"/>
      <c r="AV4893" s="15"/>
      <c r="AW4893" s="15"/>
    </row>
    <row r="4894" spans="3:49" x14ac:dyDescent="0.2">
      <c r="C4894" s="15"/>
      <c r="D4894" s="15"/>
      <c r="E4894" s="15"/>
      <c r="F4894" s="15"/>
      <c r="G4894" s="15"/>
      <c r="H4894" s="15"/>
      <c r="I4894" s="15"/>
      <c r="J4894" s="15"/>
      <c r="K4894" s="15"/>
      <c r="L4894" s="28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  <c r="AA4894" s="15"/>
      <c r="AB4894" s="15"/>
      <c r="AC4894" s="15"/>
      <c r="AD4894" s="15"/>
      <c r="AE4894" s="15"/>
      <c r="AF4894" s="15"/>
      <c r="AG4894" s="15"/>
      <c r="AH4894" s="15"/>
      <c r="AI4894" s="15"/>
      <c r="AJ4894" s="15"/>
      <c r="AK4894" s="15"/>
      <c r="AL4894" s="15"/>
      <c r="AM4894" s="15"/>
      <c r="AN4894" s="15"/>
      <c r="AO4894" s="15"/>
      <c r="AP4894" s="15"/>
      <c r="AQ4894" s="15"/>
      <c r="AR4894" s="15"/>
      <c r="AS4894" s="15"/>
      <c r="AT4894" s="15"/>
      <c r="AU4894" s="15"/>
      <c r="AV4894" s="15"/>
      <c r="AW4894" s="15"/>
    </row>
    <row r="4895" spans="3:49" x14ac:dyDescent="0.2">
      <c r="C4895" s="15"/>
      <c r="D4895" s="15"/>
      <c r="E4895" s="15"/>
      <c r="F4895" s="15"/>
      <c r="G4895" s="15"/>
      <c r="H4895" s="15"/>
      <c r="I4895" s="15"/>
      <c r="J4895" s="15"/>
      <c r="K4895" s="15"/>
      <c r="L4895" s="28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  <c r="AA4895" s="15"/>
      <c r="AB4895" s="15"/>
      <c r="AC4895" s="15"/>
      <c r="AD4895" s="15"/>
      <c r="AE4895" s="15"/>
      <c r="AF4895" s="15"/>
      <c r="AG4895" s="15"/>
      <c r="AH4895" s="15"/>
      <c r="AI4895" s="15"/>
      <c r="AJ4895" s="15"/>
      <c r="AK4895" s="15"/>
      <c r="AL4895" s="15"/>
      <c r="AM4895" s="15"/>
      <c r="AN4895" s="15"/>
      <c r="AO4895" s="15"/>
      <c r="AP4895" s="15"/>
      <c r="AQ4895" s="15"/>
      <c r="AR4895" s="15"/>
      <c r="AS4895" s="15"/>
      <c r="AT4895" s="15"/>
      <c r="AU4895" s="15"/>
      <c r="AV4895" s="15"/>
      <c r="AW4895" s="15"/>
    </row>
    <row r="4896" spans="3:49" x14ac:dyDescent="0.2">
      <c r="C4896" s="15"/>
      <c r="D4896" s="15"/>
      <c r="E4896" s="15"/>
      <c r="F4896" s="15"/>
      <c r="G4896" s="15"/>
      <c r="H4896" s="15"/>
      <c r="I4896" s="15"/>
      <c r="J4896" s="15"/>
      <c r="K4896" s="15"/>
      <c r="L4896" s="28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  <c r="AA4896" s="15"/>
      <c r="AB4896" s="15"/>
      <c r="AC4896" s="15"/>
      <c r="AD4896" s="15"/>
      <c r="AE4896" s="15"/>
      <c r="AF4896" s="15"/>
      <c r="AG4896" s="15"/>
      <c r="AH4896" s="15"/>
      <c r="AI4896" s="15"/>
      <c r="AJ4896" s="15"/>
      <c r="AK4896" s="15"/>
      <c r="AL4896" s="15"/>
      <c r="AM4896" s="15"/>
      <c r="AN4896" s="15"/>
      <c r="AO4896" s="15"/>
      <c r="AP4896" s="15"/>
      <c r="AQ4896" s="15"/>
      <c r="AR4896" s="15"/>
      <c r="AS4896" s="15"/>
      <c r="AT4896" s="15"/>
      <c r="AU4896" s="15"/>
      <c r="AV4896" s="15"/>
      <c r="AW4896" s="15"/>
    </row>
    <row r="4897" spans="3:49" x14ac:dyDescent="0.2">
      <c r="C4897" s="15"/>
      <c r="D4897" s="15"/>
      <c r="E4897" s="15"/>
      <c r="F4897" s="15"/>
      <c r="G4897" s="15"/>
      <c r="H4897" s="15"/>
      <c r="I4897" s="15"/>
      <c r="J4897" s="15"/>
      <c r="K4897" s="15"/>
      <c r="L4897" s="28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  <c r="AA4897" s="15"/>
      <c r="AB4897" s="15"/>
      <c r="AC4897" s="15"/>
      <c r="AD4897" s="15"/>
      <c r="AE4897" s="15"/>
      <c r="AF4897" s="15"/>
      <c r="AG4897" s="15"/>
      <c r="AH4897" s="15"/>
      <c r="AI4897" s="15"/>
      <c r="AJ4897" s="15"/>
      <c r="AK4897" s="15"/>
      <c r="AL4897" s="15"/>
      <c r="AM4897" s="15"/>
      <c r="AN4897" s="15"/>
      <c r="AO4897" s="15"/>
      <c r="AP4897" s="15"/>
      <c r="AQ4897" s="15"/>
      <c r="AR4897" s="15"/>
      <c r="AS4897" s="15"/>
      <c r="AT4897" s="15"/>
      <c r="AU4897" s="15"/>
      <c r="AV4897" s="15"/>
      <c r="AW4897" s="15"/>
    </row>
    <row r="4898" spans="3:49" x14ac:dyDescent="0.2">
      <c r="C4898" s="15"/>
      <c r="D4898" s="15"/>
      <c r="E4898" s="15"/>
      <c r="F4898" s="15"/>
      <c r="G4898" s="15"/>
      <c r="H4898" s="15"/>
      <c r="I4898" s="15"/>
      <c r="J4898" s="15"/>
      <c r="K4898" s="15"/>
      <c r="L4898" s="28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  <c r="AA4898" s="15"/>
      <c r="AB4898" s="15"/>
      <c r="AC4898" s="15"/>
      <c r="AD4898" s="15"/>
      <c r="AE4898" s="15"/>
      <c r="AF4898" s="15"/>
      <c r="AG4898" s="15"/>
      <c r="AH4898" s="15"/>
      <c r="AI4898" s="15"/>
      <c r="AJ4898" s="15"/>
      <c r="AK4898" s="15"/>
      <c r="AL4898" s="15"/>
      <c r="AM4898" s="15"/>
      <c r="AN4898" s="15"/>
      <c r="AO4898" s="15"/>
      <c r="AP4898" s="15"/>
      <c r="AQ4898" s="15"/>
      <c r="AR4898" s="15"/>
      <c r="AS4898" s="15"/>
      <c r="AT4898" s="15"/>
      <c r="AU4898" s="15"/>
      <c r="AV4898" s="15"/>
      <c r="AW4898" s="15"/>
    </row>
    <row r="4899" spans="3:49" x14ac:dyDescent="0.2">
      <c r="C4899" s="15"/>
      <c r="D4899" s="15"/>
      <c r="E4899" s="15"/>
      <c r="F4899" s="15"/>
      <c r="G4899" s="15"/>
      <c r="H4899" s="15"/>
      <c r="I4899" s="15"/>
      <c r="J4899" s="15"/>
      <c r="K4899" s="15"/>
      <c r="L4899" s="28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  <c r="AA4899" s="15"/>
      <c r="AB4899" s="15"/>
      <c r="AC4899" s="15"/>
      <c r="AD4899" s="15"/>
      <c r="AE4899" s="15"/>
      <c r="AF4899" s="15"/>
      <c r="AG4899" s="15"/>
      <c r="AH4899" s="15"/>
      <c r="AI4899" s="15"/>
      <c r="AJ4899" s="15"/>
      <c r="AK4899" s="15"/>
      <c r="AL4899" s="15"/>
      <c r="AM4899" s="15"/>
      <c r="AN4899" s="15"/>
      <c r="AO4899" s="15"/>
      <c r="AP4899" s="15"/>
      <c r="AQ4899" s="15"/>
      <c r="AR4899" s="15"/>
      <c r="AS4899" s="15"/>
      <c r="AT4899" s="15"/>
      <c r="AU4899" s="15"/>
      <c r="AV4899" s="15"/>
      <c r="AW4899" s="15"/>
    </row>
    <row r="4900" spans="3:49" x14ac:dyDescent="0.2">
      <c r="C4900" s="15"/>
      <c r="D4900" s="15"/>
      <c r="E4900" s="15"/>
      <c r="F4900" s="15"/>
      <c r="G4900" s="15"/>
      <c r="H4900" s="15"/>
      <c r="I4900" s="15"/>
      <c r="J4900" s="15"/>
      <c r="K4900" s="15"/>
      <c r="L4900" s="28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  <c r="AA4900" s="15"/>
      <c r="AB4900" s="15"/>
      <c r="AC4900" s="15"/>
      <c r="AD4900" s="15"/>
      <c r="AE4900" s="15"/>
      <c r="AF4900" s="15"/>
      <c r="AG4900" s="15"/>
      <c r="AH4900" s="15"/>
      <c r="AI4900" s="15"/>
      <c r="AJ4900" s="15"/>
      <c r="AK4900" s="15"/>
      <c r="AL4900" s="15"/>
      <c r="AM4900" s="15"/>
      <c r="AN4900" s="15"/>
      <c r="AO4900" s="15"/>
      <c r="AP4900" s="15"/>
      <c r="AQ4900" s="15"/>
      <c r="AR4900" s="15"/>
      <c r="AS4900" s="15"/>
      <c r="AT4900" s="15"/>
      <c r="AU4900" s="15"/>
      <c r="AV4900" s="15"/>
      <c r="AW4900" s="15"/>
    </row>
    <row r="4901" spans="3:49" x14ac:dyDescent="0.2">
      <c r="C4901" s="15"/>
      <c r="D4901" s="15"/>
      <c r="E4901" s="15"/>
      <c r="F4901" s="15"/>
      <c r="G4901" s="15"/>
      <c r="H4901" s="15"/>
      <c r="I4901" s="15"/>
      <c r="J4901" s="15"/>
      <c r="K4901" s="15"/>
      <c r="L4901" s="28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  <c r="AA4901" s="15"/>
      <c r="AB4901" s="15"/>
      <c r="AC4901" s="15"/>
      <c r="AD4901" s="15"/>
      <c r="AE4901" s="15"/>
      <c r="AF4901" s="15"/>
      <c r="AG4901" s="15"/>
      <c r="AH4901" s="15"/>
      <c r="AI4901" s="15"/>
      <c r="AJ4901" s="15"/>
      <c r="AK4901" s="15"/>
      <c r="AL4901" s="15"/>
      <c r="AM4901" s="15"/>
      <c r="AN4901" s="15"/>
      <c r="AO4901" s="15"/>
      <c r="AP4901" s="15"/>
      <c r="AQ4901" s="15"/>
      <c r="AR4901" s="15"/>
      <c r="AS4901" s="15"/>
      <c r="AT4901" s="15"/>
      <c r="AU4901" s="15"/>
      <c r="AV4901" s="15"/>
      <c r="AW4901" s="15"/>
    </row>
    <row r="4902" spans="3:49" x14ac:dyDescent="0.2">
      <c r="C4902" s="15"/>
      <c r="D4902" s="15"/>
      <c r="E4902" s="15"/>
      <c r="F4902" s="15"/>
      <c r="G4902" s="15"/>
      <c r="H4902" s="15"/>
      <c r="I4902" s="15"/>
      <c r="J4902" s="15"/>
      <c r="K4902" s="15"/>
      <c r="L4902" s="28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  <c r="AA4902" s="15"/>
      <c r="AB4902" s="15"/>
      <c r="AC4902" s="15"/>
      <c r="AD4902" s="15"/>
      <c r="AE4902" s="15"/>
      <c r="AF4902" s="15"/>
      <c r="AG4902" s="15"/>
      <c r="AH4902" s="15"/>
      <c r="AI4902" s="15"/>
      <c r="AJ4902" s="15"/>
      <c r="AK4902" s="15"/>
      <c r="AL4902" s="15"/>
      <c r="AM4902" s="15"/>
      <c r="AN4902" s="15"/>
      <c r="AO4902" s="15"/>
      <c r="AP4902" s="15"/>
      <c r="AQ4902" s="15"/>
      <c r="AR4902" s="15"/>
      <c r="AS4902" s="15"/>
      <c r="AT4902" s="15"/>
      <c r="AU4902" s="15"/>
      <c r="AV4902" s="15"/>
      <c r="AW4902" s="15"/>
    </row>
    <row r="4903" spans="3:49" x14ac:dyDescent="0.2">
      <c r="C4903" s="15"/>
      <c r="D4903" s="15"/>
      <c r="E4903" s="15"/>
      <c r="F4903" s="15"/>
      <c r="G4903" s="15"/>
      <c r="H4903" s="15"/>
      <c r="I4903" s="15"/>
      <c r="J4903" s="15"/>
      <c r="K4903" s="15"/>
      <c r="L4903" s="28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  <c r="AA4903" s="15"/>
      <c r="AB4903" s="15"/>
      <c r="AC4903" s="15"/>
      <c r="AD4903" s="15"/>
      <c r="AE4903" s="15"/>
      <c r="AF4903" s="15"/>
      <c r="AG4903" s="15"/>
      <c r="AH4903" s="15"/>
      <c r="AI4903" s="15"/>
      <c r="AJ4903" s="15"/>
      <c r="AK4903" s="15"/>
      <c r="AL4903" s="15"/>
      <c r="AM4903" s="15"/>
      <c r="AN4903" s="15"/>
      <c r="AO4903" s="15"/>
      <c r="AP4903" s="15"/>
      <c r="AQ4903" s="15"/>
      <c r="AR4903" s="15"/>
      <c r="AS4903" s="15"/>
      <c r="AT4903" s="15"/>
      <c r="AU4903" s="15"/>
      <c r="AV4903" s="15"/>
      <c r="AW4903" s="15"/>
    </row>
    <row r="4904" spans="3:49" x14ac:dyDescent="0.2">
      <c r="C4904" s="15"/>
      <c r="D4904" s="15"/>
      <c r="E4904" s="15"/>
      <c r="F4904" s="15"/>
      <c r="G4904" s="15"/>
      <c r="H4904" s="15"/>
      <c r="I4904" s="15"/>
      <c r="J4904" s="15"/>
      <c r="K4904" s="15"/>
      <c r="L4904" s="28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  <c r="AA4904" s="15"/>
      <c r="AB4904" s="15"/>
      <c r="AC4904" s="15"/>
      <c r="AD4904" s="15"/>
      <c r="AE4904" s="15"/>
      <c r="AF4904" s="15"/>
      <c r="AG4904" s="15"/>
      <c r="AH4904" s="15"/>
      <c r="AI4904" s="15"/>
      <c r="AJ4904" s="15"/>
      <c r="AK4904" s="15"/>
      <c r="AL4904" s="15"/>
      <c r="AM4904" s="15"/>
      <c r="AN4904" s="15"/>
      <c r="AO4904" s="15"/>
      <c r="AP4904" s="15"/>
      <c r="AQ4904" s="15"/>
      <c r="AR4904" s="15"/>
      <c r="AS4904" s="15"/>
      <c r="AT4904" s="15"/>
      <c r="AU4904" s="15"/>
      <c r="AV4904" s="15"/>
      <c r="AW4904" s="15"/>
    </row>
    <row r="4905" spans="3:49" x14ac:dyDescent="0.2">
      <c r="C4905" s="15"/>
      <c r="D4905" s="15"/>
      <c r="E4905" s="15"/>
      <c r="F4905" s="15"/>
      <c r="G4905" s="15"/>
      <c r="H4905" s="15"/>
      <c r="I4905" s="15"/>
      <c r="J4905" s="15"/>
      <c r="K4905" s="15"/>
      <c r="L4905" s="28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  <c r="AA4905" s="15"/>
      <c r="AB4905" s="15"/>
      <c r="AC4905" s="15"/>
      <c r="AD4905" s="15"/>
      <c r="AE4905" s="15"/>
      <c r="AF4905" s="15"/>
      <c r="AG4905" s="15"/>
      <c r="AH4905" s="15"/>
      <c r="AI4905" s="15"/>
      <c r="AJ4905" s="15"/>
      <c r="AK4905" s="15"/>
      <c r="AL4905" s="15"/>
      <c r="AM4905" s="15"/>
      <c r="AN4905" s="15"/>
      <c r="AO4905" s="15"/>
      <c r="AP4905" s="15"/>
      <c r="AQ4905" s="15"/>
      <c r="AR4905" s="15"/>
      <c r="AS4905" s="15"/>
      <c r="AT4905" s="15"/>
      <c r="AU4905" s="15"/>
      <c r="AV4905" s="15"/>
      <c r="AW4905" s="15"/>
    </row>
    <row r="4906" spans="3:49" x14ac:dyDescent="0.2">
      <c r="C4906" s="15"/>
      <c r="D4906" s="15"/>
      <c r="E4906" s="15"/>
      <c r="F4906" s="15"/>
      <c r="G4906" s="15"/>
      <c r="H4906" s="15"/>
      <c r="I4906" s="15"/>
      <c r="J4906" s="15"/>
      <c r="K4906" s="15"/>
      <c r="L4906" s="28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  <c r="AA4906" s="15"/>
      <c r="AB4906" s="15"/>
      <c r="AC4906" s="15"/>
      <c r="AD4906" s="15"/>
      <c r="AE4906" s="15"/>
      <c r="AF4906" s="15"/>
      <c r="AG4906" s="15"/>
      <c r="AH4906" s="15"/>
      <c r="AI4906" s="15"/>
      <c r="AJ4906" s="15"/>
      <c r="AK4906" s="15"/>
      <c r="AL4906" s="15"/>
      <c r="AM4906" s="15"/>
      <c r="AN4906" s="15"/>
      <c r="AO4906" s="15"/>
      <c r="AP4906" s="15"/>
      <c r="AQ4906" s="15"/>
      <c r="AR4906" s="15"/>
      <c r="AS4906" s="15"/>
      <c r="AT4906" s="15"/>
      <c r="AU4906" s="15"/>
      <c r="AV4906" s="15"/>
      <c r="AW4906" s="15"/>
    </row>
    <row r="4907" spans="3:49" x14ac:dyDescent="0.2">
      <c r="C4907" s="15"/>
      <c r="D4907" s="15"/>
      <c r="E4907" s="15"/>
      <c r="F4907" s="15"/>
      <c r="G4907" s="15"/>
      <c r="H4907" s="15"/>
      <c r="I4907" s="15"/>
      <c r="J4907" s="15"/>
      <c r="K4907" s="15"/>
      <c r="L4907" s="28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  <c r="AA4907" s="15"/>
      <c r="AB4907" s="15"/>
      <c r="AC4907" s="15"/>
      <c r="AD4907" s="15"/>
      <c r="AE4907" s="15"/>
      <c r="AF4907" s="15"/>
      <c r="AG4907" s="15"/>
      <c r="AH4907" s="15"/>
      <c r="AI4907" s="15"/>
      <c r="AJ4907" s="15"/>
      <c r="AK4907" s="15"/>
      <c r="AL4907" s="15"/>
      <c r="AM4907" s="15"/>
      <c r="AN4907" s="15"/>
      <c r="AO4907" s="15"/>
      <c r="AP4907" s="15"/>
      <c r="AQ4907" s="15"/>
      <c r="AR4907" s="15"/>
      <c r="AS4907" s="15"/>
      <c r="AT4907" s="15"/>
      <c r="AU4907" s="15"/>
      <c r="AV4907" s="15"/>
      <c r="AW4907" s="15"/>
    </row>
    <row r="4908" spans="3:49" x14ac:dyDescent="0.2">
      <c r="C4908" s="15"/>
      <c r="D4908" s="15"/>
      <c r="E4908" s="15"/>
      <c r="F4908" s="15"/>
      <c r="G4908" s="15"/>
      <c r="H4908" s="15"/>
      <c r="I4908" s="15"/>
      <c r="J4908" s="15"/>
      <c r="K4908" s="15"/>
      <c r="L4908" s="28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  <c r="AA4908" s="15"/>
      <c r="AB4908" s="15"/>
      <c r="AC4908" s="15"/>
      <c r="AD4908" s="15"/>
      <c r="AE4908" s="15"/>
      <c r="AF4908" s="15"/>
      <c r="AG4908" s="15"/>
      <c r="AH4908" s="15"/>
      <c r="AI4908" s="15"/>
      <c r="AJ4908" s="15"/>
      <c r="AK4908" s="15"/>
      <c r="AL4908" s="15"/>
      <c r="AM4908" s="15"/>
      <c r="AN4908" s="15"/>
      <c r="AO4908" s="15"/>
      <c r="AP4908" s="15"/>
      <c r="AQ4908" s="15"/>
      <c r="AR4908" s="15"/>
      <c r="AS4908" s="15"/>
      <c r="AT4908" s="15"/>
      <c r="AU4908" s="15"/>
      <c r="AV4908" s="15"/>
      <c r="AW4908" s="15"/>
    </row>
    <row r="4909" spans="3:49" x14ac:dyDescent="0.2">
      <c r="C4909" s="15"/>
      <c r="D4909" s="15"/>
      <c r="E4909" s="15"/>
      <c r="F4909" s="15"/>
      <c r="G4909" s="15"/>
      <c r="H4909" s="15"/>
      <c r="I4909" s="15"/>
      <c r="J4909" s="15"/>
      <c r="K4909" s="15"/>
      <c r="L4909" s="28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  <c r="AA4909" s="15"/>
      <c r="AB4909" s="15"/>
      <c r="AC4909" s="15"/>
      <c r="AD4909" s="15"/>
      <c r="AE4909" s="15"/>
      <c r="AF4909" s="15"/>
      <c r="AG4909" s="15"/>
      <c r="AH4909" s="15"/>
      <c r="AI4909" s="15"/>
      <c r="AJ4909" s="15"/>
      <c r="AK4909" s="15"/>
      <c r="AL4909" s="15"/>
      <c r="AM4909" s="15"/>
      <c r="AN4909" s="15"/>
      <c r="AO4909" s="15"/>
      <c r="AP4909" s="15"/>
      <c r="AQ4909" s="15"/>
      <c r="AR4909" s="15"/>
      <c r="AS4909" s="15"/>
      <c r="AT4909" s="15"/>
      <c r="AU4909" s="15"/>
      <c r="AV4909" s="15"/>
      <c r="AW4909" s="15"/>
    </row>
    <row r="4910" spans="3:49" x14ac:dyDescent="0.2">
      <c r="C4910" s="15"/>
      <c r="D4910" s="15"/>
      <c r="E4910" s="15"/>
      <c r="F4910" s="15"/>
      <c r="G4910" s="15"/>
      <c r="H4910" s="15"/>
      <c r="I4910" s="15"/>
      <c r="J4910" s="15"/>
      <c r="K4910" s="15"/>
      <c r="L4910" s="28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  <c r="AA4910" s="15"/>
      <c r="AB4910" s="15"/>
      <c r="AC4910" s="15"/>
      <c r="AD4910" s="15"/>
      <c r="AE4910" s="15"/>
      <c r="AF4910" s="15"/>
      <c r="AG4910" s="15"/>
      <c r="AH4910" s="15"/>
      <c r="AI4910" s="15"/>
      <c r="AJ4910" s="15"/>
      <c r="AK4910" s="15"/>
      <c r="AL4910" s="15"/>
      <c r="AM4910" s="15"/>
      <c r="AN4910" s="15"/>
      <c r="AO4910" s="15"/>
      <c r="AP4910" s="15"/>
      <c r="AQ4910" s="15"/>
      <c r="AR4910" s="15"/>
      <c r="AS4910" s="15"/>
      <c r="AT4910" s="15"/>
      <c r="AU4910" s="15"/>
      <c r="AV4910" s="15"/>
      <c r="AW4910" s="15"/>
    </row>
    <row r="4911" spans="3:49" x14ac:dyDescent="0.2">
      <c r="C4911" s="15"/>
      <c r="D4911" s="15"/>
      <c r="E4911" s="15"/>
      <c r="F4911" s="15"/>
      <c r="G4911" s="15"/>
      <c r="H4911" s="15"/>
      <c r="I4911" s="15"/>
      <c r="J4911" s="15"/>
      <c r="K4911" s="15"/>
      <c r="L4911" s="28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  <c r="AA4911" s="15"/>
      <c r="AB4911" s="15"/>
      <c r="AC4911" s="15"/>
      <c r="AD4911" s="15"/>
      <c r="AE4911" s="15"/>
      <c r="AF4911" s="15"/>
      <c r="AG4911" s="15"/>
      <c r="AH4911" s="15"/>
      <c r="AI4911" s="15"/>
      <c r="AJ4911" s="15"/>
      <c r="AK4911" s="15"/>
      <c r="AL4911" s="15"/>
      <c r="AM4911" s="15"/>
      <c r="AN4911" s="15"/>
      <c r="AO4911" s="15"/>
      <c r="AP4911" s="15"/>
      <c r="AQ4911" s="15"/>
      <c r="AR4911" s="15"/>
      <c r="AS4911" s="15"/>
      <c r="AT4911" s="15"/>
      <c r="AU4911" s="15"/>
      <c r="AV4911" s="15"/>
      <c r="AW4911" s="15"/>
    </row>
    <row r="4912" spans="3:49" x14ac:dyDescent="0.2">
      <c r="C4912" s="15"/>
      <c r="D4912" s="15"/>
      <c r="E4912" s="15"/>
      <c r="F4912" s="15"/>
      <c r="G4912" s="15"/>
      <c r="H4912" s="15"/>
      <c r="I4912" s="15"/>
      <c r="J4912" s="15"/>
      <c r="K4912" s="15"/>
      <c r="L4912" s="28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  <c r="AA4912" s="15"/>
      <c r="AB4912" s="15"/>
      <c r="AC4912" s="15"/>
      <c r="AD4912" s="15"/>
      <c r="AE4912" s="15"/>
      <c r="AF4912" s="15"/>
      <c r="AG4912" s="15"/>
      <c r="AH4912" s="15"/>
      <c r="AI4912" s="15"/>
      <c r="AJ4912" s="15"/>
      <c r="AK4912" s="15"/>
      <c r="AL4912" s="15"/>
      <c r="AM4912" s="15"/>
      <c r="AN4912" s="15"/>
      <c r="AO4912" s="15"/>
      <c r="AP4912" s="15"/>
      <c r="AQ4912" s="15"/>
      <c r="AR4912" s="15"/>
      <c r="AS4912" s="15"/>
      <c r="AT4912" s="15"/>
      <c r="AU4912" s="15"/>
      <c r="AV4912" s="15"/>
      <c r="AW4912" s="15"/>
    </row>
    <row r="4913" spans="3:49" x14ac:dyDescent="0.2">
      <c r="C4913" s="15"/>
      <c r="D4913" s="15"/>
      <c r="E4913" s="15"/>
      <c r="F4913" s="15"/>
      <c r="G4913" s="15"/>
      <c r="H4913" s="15"/>
      <c r="I4913" s="15"/>
      <c r="J4913" s="15"/>
      <c r="K4913" s="15"/>
      <c r="L4913" s="28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  <c r="AA4913" s="15"/>
      <c r="AB4913" s="15"/>
      <c r="AC4913" s="15"/>
      <c r="AD4913" s="15"/>
      <c r="AE4913" s="15"/>
      <c r="AF4913" s="15"/>
      <c r="AG4913" s="15"/>
      <c r="AH4913" s="15"/>
      <c r="AI4913" s="15"/>
      <c r="AJ4913" s="15"/>
      <c r="AK4913" s="15"/>
      <c r="AL4913" s="15"/>
      <c r="AM4913" s="15"/>
      <c r="AN4913" s="15"/>
      <c r="AO4913" s="15"/>
      <c r="AP4913" s="15"/>
      <c r="AQ4913" s="15"/>
      <c r="AR4913" s="15"/>
      <c r="AS4913" s="15"/>
      <c r="AT4913" s="15"/>
      <c r="AU4913" s="15"/>
      <c r="AV4913" s="15"/>
      <c r="AW4913" s="15"/>
    </row>
    <row r="4914" spans="3:49" x14ac:dyDescent="0.2">
      <c r="C4914" s="15"/>
      <c r="D4914" s="15"/>
      <c r="E4914" s="15"/>
      <c r="F4914" s="15"/>
      <c r="G4914" s="15"/>
      <c r="H4914" s="15"/>
      <c r="I4914" s="15"/>
      <c r="J4914" s="15"/>
      <c r="K4914" s="15"/>
      <c r="L4914" s="28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  <c r="AA4914" s="15"/>
      <c r="AB4914" s="15"/>
      <c r="AC4914" s="15"/>
      <c r="AD4914" s="15"/>
      <c r="AE4914" s="15"/>
      <c r="AF4914" s="15"/>
      <c r="AG4914" s="15"/>
      <c r="AH4914" s="15"/>
      <c r="AI4914" s="15"/>
      <c r="AJ4914" s="15"/>
      <c r="AK4914" s="15"/>
      <c r="AL4914" s="15"/>
      <c r="AM4914" s="15"/>
      <c r="AN4914" s="15"/>
      <c r="AO4914" s="15"/>
      <c r="AP4914" s="15"/>
      <c r="AQ4914" s="15"/>
      <c r="AR4914" s="15"/>
      <c r="AS4914" s="15"/>
      <c r="AT4914" s="15"/>
      <c r="AU4914" s="15"/>
      <c r="AV4914" s="15"/>
      <c r="AW4914" s="15"/>
    </row>
    <row r="4915" spans="3:49" x14ac:dyDescent="0.2">
      <c r="C4915" s="15"/>
      <c r="D4915" s="15"/>
      <c r="E4915" s="15"/>
      <c r="F4915" s="15"/>
      <c r="G4915" s="15"/>
      <c r="H4915" s="15"/>
      <c r="I4915" s="15"/>
      <c r="J4915" s="15"/>
      <c r="K4915" s="15"/>
      <c r="L4915" s="28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  <c r="AA4915" s="15"/>
      <c r="AB4915" s="15"/>
      <c r="AC4915" s="15"/>
      <c r="AD4915" s="15"/>
      <c r="AE4915" s="15"/>
      <c r="AF4915" s="15"/>
      <c r="AG4915" s="15"/>
      <c r="AH4915" s="15"/>
      <c r="AI4915" s="15"/>
      <c r="AJ4915" s="15"/>
      <c r="AK4915" s="15"/>
      <c r="AL4915" s="15"/>
      <c r="AM4915" s="15"/>
      <c r="AN4915" s="15"/>
      <c r="AO4915" s="15"/>
      <c r="AP4915" s="15"/>
      <c r="AQ4915" s="15"/>
      <c r="AR4915" s="15"/>
      <c r="AS4915" s="15"/>
      <c r="AT4915" s="15"/>
      <c r="AU4915" s="15"/>
      <c r="AV4915" s="15"/>
      <c r="AW4915" s="15"/>
    </row>
    <row r="4916" spans="3:49" x14ac:dyDescent="0.2">
      <c r="C4916" s="15"/>
      <c r="D4916" s="15"/>
      <c r="E4916" s="15"/>
      <c r="F4916" s="15"/>
      <c r="G4916" s="15"/>
      <c r="H4916" s="15"/>
      <c r="I4916" s="15"/>
      <c r="J4916" s="15"/>
      <c r="K4916" s="15"/>
      <c r="L4916" s="28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  <c r="AA4916" s="15"/>
      <c r="AB4916" s="15"/>
      <c r="AC4916" s="15"/>
      <c r="AD4916" s="15"/>
      <c r="AE4916" s="15"/>
      <c r="AF4916" s="15"/>
      <c r="AG4916" s="15"/>
      <c r="AH4916" s="15"/>
      <c r="AI4916" s="15"/>
      <c r="AJ4916" s="15"/>
      <c r="AK4916" s="15"/>
      <c r="AL4916" s="15"/>
      <c r="AM4916" s="15"/>
      <c r="AN4916" s="15"/>
      <c r="AO4916" s="15"/>
      <c r="AP4916" s="15"/>
      <c r="AQ4916" s="15"/>
      <c r="AR4916" s="15"/>
      <c r="AS4916" s="15"/>
      <c r="AT4916" s="15"/>
      <c r="AU4916" s="15"/>
      <c r="AV4916" s="15"/>
      <c r="AW4916" s="15"/>
    </row>
    <row r="4917" spans="3:49" x14ac:dyDescent="0.2">
      <c r="C4917" s="15"/>
      <c r="D4917" s="15"/>
      <c r="E4917" s="15"/>
      <c r="F4917" s="15"/>
      <c r="G4917" s="15"/>
      <c r="H4917" s="15"/>
      <c r="I4917" s="15"/>
      <c r="J4917" s="15"/>
      <c r="K4917" s="15"/>
      <c r="L4917" s="28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  <c r="AA4917" s="15"/>
      <c r="AB4917" s="15"/>
      <c r="AC4917" s="15"/>
      <c r="AD4917" s="15"/>
      <c r="AE4917" s="15"/>
      <c r="AF4917" s="15"/>
      <c r="AG4917" s="15"/>
      <c r="AH4917" s="15"/>
      <c r="AI4917" s="15"/>
      <c r="AJ4917" s="15"/>
      <c r="AK4917" s="15"/>
      <c r="AL4917" s="15"/>
      <c r="AM4917" s="15"/>
      <c r="AN4917" s="15"/>
      <c r="AO4917" s="15"/>
      <c r="AP4917" s="15"/>
      <c r="AQ4917" s="15"/>
      <c r="AR4917" s="15"/>
      <c r="AS4917" s="15"/>
      <c r="AT4917" s="15"/>
      <c r="AU4917" s="15"/>
      <c r="AV4917" s="15"/>
      <c r="AW4917" s="15"/>
    </row>
    <row r="4918" spans="3:49" x14ac:dyDescent="0.2">
      <c r="C4918" s="15"/>
      <c r="D4918" s="15"/>
      <c r="E4918" s="15"/>
      <c r="F4918" s="15"/>
      <c r="G4918" s="15"/>
      <c r="H4918" s="15"/>
      <c r="I4918" s="15"/>
      <c r="J4918" s="15"/>
      <c r="K4918" s="15"/>
      <c r="L4918" s="28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  <c r="AA4918" s="15"/>
      <c r="AB4918" s="15"/>
      <c r="AC4918" s="15"/>
      <c r="AD4918" s="15"/>
      <c r="AE4918" s="15"/>
      <c r="AF4918" s="15"/>
      <c r="AG4918" s="15"/>
      <c r="AH4918" s="15"/>
      <c r="AI4918" s="15"/>
      <c r="AJ4918" s="15"/>
      <c r="AK4918" s="15"/>
      <c r="AL4918" s="15"/>
      <c r="AM4918" s="15"/>
      <c r="AN4918" s="15"/>
      <c r="AO4918" s="15"/>
      <c r="AP4918" s="15"/>
      <c r="AQ4918" s="15"/>
      <c r="AR4918" s="15"/>
      <c r="AS4918" s="15"/>
      <c r="AT4918" s="15"/>
      <c r="AU4918" s="15"/>
      <c r="AV4918" s="15"/>
      <c r="AW4918" s="15"/>
    </row>
    <row r="4919" spans="3:49" x14ac:dyDescent="0.2">
      <c r="C4919" s="15"/>
      <c r="D4919" s="15"/>
      <c r="E4919" s="15"/>
      <c r="F4919" s="15"/>
      <c r="G4919" s="15"/>
      <c r="H4919" s="15"/>
      <c r="I4919" s="15"/>
      <c r="J4919" s="15"/>
      <c r="K4919" s="15"/>
      <c r="L4919" s="28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  <c r="AA4919" s="15"/>
      <c r="AB4919" s="15"/>
      <c r="AC4919" s="15"/>
      <c r="AD4919" s="15"/>
      <c r="AE4919" s="15"/>
      <c r="AF4919" s="15"/>
      <c r="AG4919" s="15"/>
      <c r="AH4919" s="15"/>
      <c r="AI4919" s="15"/>
      <c r="AJ4919" s="15"/>
      <c r="AK4919" s="15"/>
      <c r="AL4919" s="15"/>
      <c r="AM4919" s="15"/>
      <c r="AN4919" s="15"/>
      <c r="AO4919" s="15"/>
      <c r="AP4919" s="15"/>
      <c r="AQ4919" s="15"/>
      <c r="AR4919" s="15"/>
      <c r="AS4919" s="15"/>
      <c r="AT4919" s="15"/>
      <c r="AU4919" s="15"/>
      <c r="AV4919" s="15"/>
      <c r="AW4919" s="15"/>
    </row>
    <row r="4920" spans="3:49" x14ac:dyDescent="0.2">
      <c r="C4920" s="15"/>
      <c r="D4920" s="15"/>
      <c r="E4920" s="15"/>
      <c r="F4920" s="15"/>
      <c r="G4920" s="15"/>
      <c r="H4920" s="15"/>
      <c r="I4920" s="15"/>
      <c r="J4920" s="15"/>
      <c r="K4920" s="15"/>
      <c r="L4920" s="28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  <c r="AA4920" s="15"/>
      <c r="AB4920" s="15"/>
      <c r="AC4920" s="15"/>
      <c r="AD4920" s="15"/>
      <c r="AE4920" s="15"/>
      <c r="AF4920" s="15"/>
      <c r="AG4920" s="15"/>
      <c r="AH4920" s="15"/>
      <c r="AI4920" s="15"/>
      <c r="AJ4920" s="15"/>
      <c r="AK4920" s="15"/>
      <c r="AL4920" s="15"/>
      <c r="AM4920" s="15"/>
      <c r="AN4920" s="15"/>
      <c r="AO4920" s="15"/>
      <c r="AP4920" s="15"/>
      <c r="AQ4920" s="15"/>
      <c r="AR4920" s="15"/>
      <c r="AS4920" s="15"/>
      <c r="AT4920" s="15"/>
      <c r="AU4920" s="15"/>
      <c r="AV4920" s="15"/>
      <c r="AW4920" s="15"/>
    </row>
    <row r="4921" spans="3:49" x14ac:dyDescent="0.2">
      <c r="C4921" s="15"/>
      <c r="D4921" s="15"/>
      <c r="E4921" s="15"/>
      <c r="F4921" s="15"/>
      <c r="G4921" s="15"/>
      <c r="H4921" s="15"/>
      <c r="I4921" s="15"/>
      <c r="J4921" s="15"/>
      <c r="K4921" s="15"/>
      <c r="L4921" s="28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  <c r="AA4921" s="15"/>
      <c r="AB4921" s="15"/>
      <c r="AC4921" s="15"/>
      <c r="AD4921" s="15"/>
      <c r="AE4921" s="15"/>
      <c r="AF4921" s="15"/>
      <c r="AG4921" s="15"/>
      <c r="AH4921" s="15"/>
      <c r="AI4921" s="15"/>
      <c r="AJ4921" s="15"/>
      <c r="AK4921" s="15"/>
      <c r="AL4921" s="15"/>
      <c r="AM4921" s="15"/>
      <c r="AN4921" s="15"/>
      <c r="AO4921" s="15"/>
      <c r="AP4921" s="15"/>
      <c r="AQ4921" s="15"/>
      <c r="AR4921" s="15"/>
      <c r="AS4921" s="15"/>
      <c r="AT4921" s="15"/>
      <c r="AU4921" s="15"/>
      <c r="AV4921" s="15"/>
      <c r="AW4921" s="15"/>
    </row>
    <row r="4922" spans="3:49" x14ac:dyDescent="0.2">
      <c r="C4922" s="15"/>
      <c r="D4922" s="15"/>
      <c r="E4922" s="15"/>
      <c r="F4922" s="15"/>
      <c r="G4922" s="15"/>
      <c r="H4922" s="15"/>
      <c r="I4922" s="15"/>
      <c r="J4922" s="15"/>
      <c r="K4922" s="15"/>
      <c r="L4922" s="28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  <c r="AA4922" s="15"/>
      <c r="AB4922" s="15"/>
      <c r="AC4922" s="15"/>
      <c r="AD4922" s="15"/>
      <c r="AE4922" s="15"/>
      <c r="AF4922" s="15"/>
      <c r="AG4922" s="15"/>
      <c r="AH4922" s="15"/>
      <c r="AI4922" s="15"/>
      <c r="AJ4922" s="15"/>
      <c r="AK4922" s="15"/>
      <c r="AL4922" s="15"/>
      <c r="AM4922" s="15"/>
      <c r="AN4922" s="15"/>
      <c r="AO4922" s="15"/>
      <c r="AP4922" s="15"/>
      <c r="AQ4922" s="15"/>
      <c r="AR4922" s="15"/>
      <c r="AS4922" s="15"/>
      <c r="AT4922" s="15"/>
      <c r="AU4922" s="15"/>
      <c r="AV4922" s="15"/>
      <c r="AW4922" s="15"/>
    </row>
    <row r="4923" spans="3:49" x14ac:dyDescent="0.2">
      <c r="C4923" s="15"/>
      <c r="D4923" s="15"/>
      <c r="E4923" s="15"/>
      <c r="F4923" s="15"/>
      <c r="G4923" s="15"/>
      <c r="H4923" s="15"/>
      <c r="I4923" s="15"/>
      <c r="J4923" s="15"/>
      <c r="K4923" s="15"/>
      <c r="L4923" s="28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  <c r="AA4923" s="15"/>
      <c r="AB4923" s="15"/>
      <c r="AC4923" s="15"/>
      <c r="AD4923" s="15"/>
      <c r="AE4923" s="15"/>
      <c r="AF4923" s="15"/>
      <c r="AG4923" s="15"/>
      <c r="AH4923" s="15"/>
      <c r="AI4923" s="15"/>
      <c r="AJ4923" s="15"/>
      <c r="AK4923" s="15"/>
      <c r="AL4923" s="15"/>
      <c r="AM4923" s="15"/>
      <c r="AN4923" s="15"/>
      <c r="AO4923" s="15"/>
      <c r="AP4923" s="15"/>
      <c r="AQ4923" s="15"/>
      <c r="AR4923" s="15"/>
      <c r="AS4923" s="15"/>
      <c r="AT4923" s="15"/>
      <c r="AU4923" s="15"/>
      <c r="AV4923" s="15"/>
      <c r="AW4923" s="15"/>
    </row>
    <row r="4924" spans="3:49" x14ac:dyDescent="0.2">
      <c r="C4924" s="15"/>
      <c r="D4924" s="15"/>
      <c r="E4924" s="15"/>
      <c r="F4924" s="15"/>
      <c r="G4924" s="15"/>
      <c r="H4924" s="15"/>
      <c r="I4924" s="15"/>
      <c r="J4924" s="15"/>
      <c r="K4924" s="15"/>
      <c r="L4924" s="28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  <c r="AA4924" s="15"/>
      <c r="AB4924" s="15"/>
      <c r="AC4924" s="15"/>
      <c r="AD4924" s="15"/>
      <c r="AE4924" s="15"/>
      <c r="AF4924" s="15"/>
      <c r="AG4924" s="15"/>
      <c r="AH4924" s="15"/>
      <c r="AI4924" s="15"/>
      <c r="AJ4924" s="15"/>
      <c r="AK4924" s="15"/>
      <c r="AL4924" s="15"/>
      <c r="AM4924" s="15"/>
      <c r="AN4924" s="15"/>
      <c r="AO4924" s="15"/>
      <c r="AP4924" s="15"/>
      <c r="AQ4924" s="15"/>
      <c r="AR4924" s="15"/>
      <c r="AS4924" s="15"/>
      <c r="AT4924" s="15"/>
      <c r="AU4924" s="15"/>
      <c r="AV4924" s="15"/>
      <c r="AW4924" s="15"/>
    </row>
    <row r="4925" spans="3:49" x14ac:dyDescent="0.2">
      <c r="C4925" s="15"/>
      <c r="D4925" s="15"/>
      <c r="E4925" s="15"/>
      <c r="F4925" s="15"/>
      <c r="G4925" s="15"/>
      <c r="H4925" s="15"/>
      <c r="I4925" s="15"/>
      <c r="J4925" s="15"/>
      <c r="K4925" s="15"/>
      <c r="L4925" s="28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  <c r="AA4925" s="15"/>
      <c r="AB4925" s="15"/>
      <c r="AC4925" s="15"/>
      <c r="AD4925" s="15"/>
      <c r="AE4925" s="15"/>
      <c r="AF4925" s="15"/>
      <c r="AG4925" s="15"/>
      <c r="AH4925" s="15"/>
      <c r="AI4925" s="15"/>
      <c r="AJ4925" s="15"/>
      <c r="AK4925" s="15"/>
      <c r="AL4925" s="15"/>
      <c r="AM4925" s="15"/>
      <c r="AN4925" s="15"/>
      <c r="AO4925" s="15"/>
      <c r="AP4925" s="15"/>
      <c r="AQ4925" s="15"/>
      <c r="AR4925" s="15"/>
      <c r="AS4925" s="15"/>
      <c r="AT4925" s="15"/>
      <c r="AU4925" s="15"/>
      <c r="AV4925" s="15"/>
      <c r="AW4925" s="15"/>
    </row>
    <row r="4926" spans="3:49" x14ac:dyDescent="0.2">
      <c r="C4926" s="15"/>
      <c r="D4926" s="15"/>
      <c r="E4926" s="15"/>
      <c r="F4926" s="15"/>
      <c r="G4926" s="15"/>
      <c r="H4926" s="15"/>
      <c r="I4926" s="15"/>
      <c r="J4926" s="15"/>
      <c r="K4926" s="15"/>
      <c r="L4926" s="28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  <c r="AA4926" s="15"/>
      <c r="AB4926" s="15"/>
      <c r="AC4926" s="15"/>
      <c r="AD4926" s="15"/>
      <c r="AE4926" s="15"/>
      <c r="AF4926" s="15"/>
      <c r="AG4926" s="15"/>
      <c r="AH4926" s="15"/>
      <c r="AI4926" s="15"/>
      <c r="AJ4926" s="15"/>
      <c r="AK4926" s="15"/>
      <c r="AL4926" s="15"/>
      <c r="AM4926" s="15"/>
      <c r="AN4926" s="15"/>
      <c r="AO4926" s="15"/>
      <c r="AP4926" s="15"/>
      <c r="AQ4926" s="15"/>
      <c r="AR4926" s="15"/>
      <c r="AS4926" s="15"/>
      <c r="AT4926" s="15"/>
      <c r="AU4926" s="15"/>
      <c r="AV4926" s="15"/>
      <c r="AW4926" s="15"/>
    </row>
    <row r="4927" spans="3:49" x14ac:dyDescent="0.2">
      <c r="C4927" s="15"/>
      <c r="D4927" s="15"/>
      <c r="E4927" s="15"/>
      <c r="F4927" s="15"/>
      <c r="G4927" s="15"/>
      <c r="H4927" s="15"/>
      <c r="I4927" s="15"/>
      <c r="J4927" s="15"/>
      <c r="K4927" s="15"/>
      <c r="L4927" s="28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  <c r="AA4927" s="15"/>
      <c r="AB4927" s="15"/>
      <c r="AC4927" s="15"/>
      <c r="AD4927" s="15"/>
      <c r="AE4927" s="15"/>
      <c r="AF4927" s="15"/>
      <c r="AG4927" s="15"/>
      <c r="AH4927" s="15"/>
      <c r="AI4927" s="15"/>
      <c r="AJ4927" s="15"/>
      <c r="AK4927" s="15"/>
      <c r="AL4927" s="15"/>
      <c r="AM4927" s="15"/>
      <c r="AN4927" s="15"/>
      <c r="AO4927" s="15"/>
      <c r="AP4927" s="15"/>
      <c r="AQ4927" s="15"/>
      <c r="AR4927" s="15"/>
      <c r="AS4927" s="15"/>
      <c r="AT4927" s="15"/>
      <c r="AU4927" s="15"/>
      <c r="AV4927" s="15"/>
      <c r="AW4927" s="15"/>
    </row>
    <row r="4928" spans="3:49" x14ac:dyDescent="0.2">
      <c r="C4928" s="15"/>
      <c r="D4928" s="15"/>
      <c r="E4928" s="15"/>
      <c r="F4928" s="15"/>
      <c r="G4928" s="15"/>
      <c r="H4928" s="15"/>
      <c r="I4928" s="15"/>
      <c r="J4928" s="15"/>
      <c r="K4928" s="15"/>
      <c r="L4928" s="28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  <c r="AA4928" s="15"/>
      <c r="AB4928" s="15"/>
      <c r="AC4928" s="15"/>
      <c r="AD4928" s="15"/>
      <c r="AE4928" s="15"/>
      <c r="AF4928" s="15"/>
      <c r="AG4928" s="15"/>
      <c r="AH4928" s="15"/>
      <c r="AI4928" s="15"/>
      <c r="AJ4928" s="15"/>
      <c r="AK4928" s="15"/>
      <c r="AL4928" s="15"/>
      <c r="AM4928" s="15"/>
      <c r="AN4928" s="15"/>
      <c r="AO4928" s="15"/>
      <c r="AP4928" s="15"/>
      <c r="AQ4928" s="15"/>
      <c r="AR4928" s="15"/>
      <c r="AS4928" s="15"/>
      <c r="AT4928" s="15"/>
      <c r="AU4928" s="15"/>
      <c r="AV4928" s="15"/>
      <c r="AW4928" s="15"/>
    </row>
    <row r="4929" spans="3:49" x14ac:dyDescent="0.2">
      <c r="C4929" s="15"/>
      <c r="D4929" s="15"/>
      <c r="E4929" s="15"/>
      <c r="F4929" s="15"/>
      <c r="G4929" s="15"/>
      <c r="H4929" s="15"/>
      <c r="I4929" s="15"/>
      <c r="J4929" s="15"/>
      <c r="K4929" s="15"/>
      <c r="L4929" s="28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  <c r="AA4929" s="15"/>
      <c r="AB4929" s="15"/>
      <c r="AC4929" s="15"/>
      <c r="AD4929" s="15"/>
      <c r="AE4929" s="15"/>
      <c r="AF4929" s="15"/>
      <c r="AG4929" s="15"/>
      <c r="AH4929" s="15"/>
      <c r="AI4929" s="15"/>
      <c r="AJ4929" s="15"/>
      <c r="AK4929" s="15"/>
      <c r="AL4929" s="15"/>
      <c r="AM4929" s="15"/>
      <c r="AN4929" s="15"/>
      <c r="AO4929" s="15"/>
      <c r="AP4929" s="15"/>
      <c r="AQ4929" s="15"/>
      <c r="AR4929" s="15"/>
      <c r="AS4929" s="15"/>
      <c r="AT4929" s="15"/>
      <c r="AU4929" s="15"/>
      <c r="AV4929" s="15"/>
      <c r="AW4929" s="15"/>
    </row>
    <row r="4930" spans="3:49" x14ac:dyDescent="0.2">
      <c r="C4930" s="15"/>
      <c r="D4930" s="15"/>
      <c r="E4930" s="15"/>
      <c r="F4930" s="15"/>
      <c r="G4930" s="15"/>
      <c r="H4930" s="15"/>
      <c r="I4930" s="15"/>
      <c r="J4930" s="15"/>
      <c r="K4930" s="15"/>
      <c r="L4930" s="28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  <c r="AA4930" s="15"/>
      <c r="AB4930" s="15"/>
      <c r="AC4930" s="15"/>
      <c r="AD4930" s="15"/>
      <c r="AE4930" s="15"/>
      <c r="AF4930" s="15"/>
      <c r="AG4930" s="15"/>
      <c r="AH4930" s="15"/>
      <c r="AI4930" s="15"/>
      <c r="AJ4930" s="15"/>
      <c r="AK4930" s="15"/>
      <c r="AL4930" s="15"/>
      <c r="AM4930" s="15"/>
      <c r="AN4930" s="15"/>
      <c r="AO4930" s="15"/>
      <c r="AP4930" s="15"/>
      <c r="AQ4930" s="15"/>
      <c r="AR4930" s="15"/>
      <c r="AS4930" s="15"/>
      <c r="AT4930" s="15"/>
      <c r="AU4930" s="15"/>
      <c r="AV4930" s="15"/>
      <c r="AW4930" s="15"/>
    </row>
    <row r="4931" spans="3:49" x14ac:dyDescent="0.2">
      <c r="C4931" s="15"/>
      <c r="D4931" s="15"/>
      <c r="E4931" s="15"/>
      <c r="F4931" s="15"/>
      <c r="G4931" s="15"/>
      <c r="H4931" s="15"/>
      <c r="I4931" s="15"/>
      <c r="J4931" s="15"/>
      <c r="K4931" s="15"/>
      <c r="L4931" s="28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  <c r="AA4931" s="15"/>
      <c r="AB4931" s="15"/>
      <c r="AC4931" s="15"/>
      <c r="AD4931" s="15"/>
      <c r="AE4931" s="15"/>
      <c r="AF4931" s="15"/>
      <c r="AG4931" s="15"/>
      <c r="AH4931" s="15"/>
      <c r="AI4931" s="15"/>
      <c r="AJ4931" s="15"/>
      <c r="AK4931" s="15"/>
      <c r="AL4931" s="15"/>
      <c r="AM4931" s="15"/>
      <c r="AN4931" s="15"/>
      <c r="AO4931" s="15"/>
      <c r="AP4931" s="15"/>
      <c r="AQ4931" s="15"/>
      <c r="AR4931" s="15"/>
      <c r="AS4931" s="15"/>
      <c r="AT4931" s="15"/>
      <c r="AU4931" s="15"/>
      <c r="AV4931" s="15"/>
      <c r="AW4931" s="15"/>
    </row>
    <row r="4932" spans="3:49" x14ac:dyDescent="0.2">
      <c r="C4932" s="15"/>
      <c r="D4932" s="15"/>
      <c r="E4932" s="15"/>
      <c r="F4932" s="15"/>
      <c r="G4932" s="15"/>
      <c r="H4932" s="15"/>
      <c r="I4932" s="15"/>
      <c r="J4932" s="15"/>
      <c r="K4932" s="15"/>
      <c r="L4932" s="28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  <c r="AA4932" s="15"/>
      <c r="AB4932" s="15"/>
      <c r="AC4932" s="15"/>
      <c r="AD4932" s="15"/>
      <c r="AE4932" s="15"/>
      <c r="AF4932" s="15"/>
      <c r="AG4932" s="15"/>
      <c r="AH4932" s="15"/>
      <c r="AI4932" s="15"/>
      <c r="AJ4932" s="15"/>
      <c r="AK4932" s="15"/>
      <c r="AL4932" s="15"/>
      <c r="AM4932" s="15"/>
      <c r="AN4932" s="15"/>
      <c r="AO4932" s="15"/>
      <c r="AP4932" s="15"/>
      <c r="AQ4932" s="15"/>
      <c r="AR4932" s="15"/>
      <c r="AS4932" s="15"/>
      <c r="AT4932" s="15"/>
      <c r="AU4932" s="15"/>
      <c r="AV4932" s="15"/>
      <c r="AW4932" s="15"/>
    </row>
    <row r="4933" spans="3:49" x14ac:dyDescent="0.2">
      <c r="C4933" s="15"/>
      <c r="D4933" s="15"/>
      <c r="E4933" s="15"/>
      <c r="F4933" s="15"/>
      <c r="G4933" s="15"/>
      <c r="H4933" s="15"/>
      <c r="I4933" s="15"/>
      <c r="J4933" s="15"/>
      <c r="K4933" s="15"/>
      <c r="L4933" s="28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  <c r="AA4933" s="15"/>
      <c r="AB4933" s="15"/>
      <c r="AC4933" s="15"/>
      <c r="AD4933" s="15"/>
      <c r="AE4933" s="15"/>
      <c r="AF4933" s="15"/>
      <c r="AG4933" s="15"/>
      <c r="AH4933" s="15"/>
      <c r="AI4933" s="15"/>
      <c r="AJ4933" s="15"/>
      <c r="AK4933" s="15"/>
      <c r="AL4933" s="15"/>
      <c r="AM4933" s="15"/>
      <c r="AN4933" s="15"/>
      <c r="AO4933" s="15"/>
      <c r="AP4933" s="15"/>
      <c r="AQ4933" s="15"/>
      <c r="AR4933" s="15"/>
      <c r="AS4933" s="15"/>
      <c r="AT4933" s="15"/>
      <c r="AU4933" s="15"/>
      <c r="AV4933" s="15"/>
      <c r="AW4933" s="15"/>
    </row>
    <row r="4934" spans="3:49" x14ac:dyDescent="0.2">
      <c r="C4934" s="15"/>
      <c r="D4934" s="15"/>
      <c r="E4934" s="15"/>
      <c r="F4934" s="15"/>
      <c r="G4934" s="15"/>
      <c r="H4934" s="15"/>
      <c r="I4934" s="15"/>
      <c r="J4934" s="15"/>
      <c r="K4934" s="15"/>
      <c r="L4934" s="28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  <c r="AA4934" s="15"/>
      <c r="AB4934" s="15"/>
      <c r="AC4934" s="15"/>
      <c r="AD4934" s="15"/>
      <c r="AE4934" s="15"/>
      <c r="AF4934" s="15"/>
      <c r="AG4934" s="15"/>
      <c r="AH4934" s="15"/>
      <c r="AI4934" s="15"/>
      <c r="AJ4934" s="15"/>
      <c r="AK4934" s="15"/>
      <c r="AL4934" s="15"/>
      <c r="AM4934" s="15"/>
      <c r="AN4934" s="15"/>
      <c r="AO4934" s="15"/>
      <c r="AP4934" s="15"/>
      <c r="AQ4934" s="15"/>
      <c r="AR4934" s="15"/>
      <c r="AS4934" s="15"/>
      <c r="AT4934" s="15"/>
      <c r="AU4934" s="15"/>
      <c r="AV4934" s="15"/>
      <c r="AW4934" s="15"/>
    </row>
    <row r="4935" spans="3:49" x14ac:dyDescent="0.2">
      <c r="C4935" s="15"/>
      <c r="D4935" s="15"/>
      <c r="E4935" s="15"/>
      <c r="F4935" s="15"/>
      <c r="G4935" s="15"/>
      <c r="H4935" s="15"/>
      <c r="I4935" s="15"/>
      <c r="J4935" s="15"/>
      <c r="K4935" s="15"/>
      <c r="L4935" s="28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  <c r="AA4935" s="15"/>
      <c r="AB4935" s="15"/>
      <c r="AC4935" s="15"/>
      <c r="AD4935" s="15"/>
      <c r="AE4935" s="15"/>
      <c r="AF4935" s="15"/>
      <c r="AG4935" s="15"/>
      <c r="AH4935" s="15"/>
      <c r="AI4935" s="15"/>
      <c r="AJ4935" s="15"/>
      <c r="AK4935" s="15"/>
      <c r="AL4935" s="15"/>
      <c r="AM4935" s="15"/>
      <c r="AN4935" s="15"/>
      <c r="AO4935" s="15"/>
      <c r="AP4935" s="15"/>
      <c r="AQ4935" s="15"/>
      <c r="AR4935" s="15"/>
      <c r="AS4935" s="15"/>
      <c r="AT4935" s="15"/>
      <c r="AU4935" s="15"/>
      <c r="AV4935" s="15"/>
      <c r="AW4935" s="15"/>
    </row>
    <row r="4936" spans="3:49" x14ac:dyDescent="0.2">
      <c r="C4936" s="15"/>
      <c r="D4936" s="15"/>
      <c r="E4936" s="15"/>
      <c r="F4936" s="15"/>
      <c r="G4936" s="15"/>
      <c r="H4936" s="15"/>
      <c r="I4936" s="15"/>
      <c r="J4936" s="15"/>
      <c r="K4936" s="15"/>
      <c r="L4936" s="28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  <c r="AA4936" s="15"/>
      <c r="AB4936" s="15"/>
      <c r="AC4936" s="15"/>
      <c r="AD4936" s="15"/>
      <c r="AE4936" s="15"/>
      <c r="AF4936" s="15"/>
      <c r="AG4936" s="15"/>
      <c r="AH4936" s="15"/>
      <c r="AI4936" s="15"/>
      <c r="AJ4936" s="15"/>
      <c r="AK4936" s="15"/>
      <c r="AL4936" s="15"/>
      <c r="AM4936" s="15"/>
      <c r="AN4936" s="15"/>
      <c r="AO4936" s="15"/>
      <c r="AP4936" s="15"/>
      <c r="AQ4936" s="15"/>
      <c r="AR4936" s="15"/>
      <c r="AS4936" s="15"/>
      <c r="AT4936" s="15"/>
      <c r="AU4936" s="15"/>
      <c r="AV4936" s="15"/>
      <c r="AW4936" s="15"/>
    </row>
    <row r="4937" spans="3:49" x14ac:dyDescent="0.2">
      <c r="C4937" s="15"/>
      <c r="D4937" s="15"/>
      <c r="E4937" s="15"/>
      <c r="F4937" s="15"/>
      <c r="G4937" s="15"/>
      <c r="H4937" s="15"/>
      <c r="I4937" s="15"/>
      <c r="J4937" s="15"/>
      <c r="K4937" s="15"/>
      <c r="L4937" s="28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  <c r="AA4937" s="15"/>
      <c r="AB4937" s="15"/>
      <c r="AC4937" s="15"/>
      <c r="AD4937" s="15"/>
      <c r="AE4937" s="15"/>
      <c r="AF4937" s="15"/>
      <c r="AG4937" s="15"/>
      <c r="AH4937" s="15"/>
      <c r="AI4937" s="15"/>
      <c r="AJ4937" s="15"/>
      <c r="AK4937" s="15"/>
      <c r="AL4937" s="15"/>
      <c r="AM4937" s="15"/>
      <c r="AN4937" s="15"/>
      <c r="AO4937" s="15"/>
      <c r="AP4937" s="15"/>
      <c r="AQ4937" s="15"/>
      <c r="AR4937" s="15"/>
      <c r="AS4937" s="15"/>
      <c r="AT4937" s="15"/>
      <c r="AU4937" s="15"/>
      <c r="AV4937" s="15"/>
      <c r="AW4937" s="15"/>
    </row>
    <row r="4938" spans="3:49" x14ac:dyDescent="0.2">
      <c r="C4938" s="15"/>
      <c r="D4938" s="15"/>
      <c r="E4938" s="15"/>
      <c r="F4938" s="15"/>
      <c r="G4938" s="15"/>
      <c r="H4938" s="15"/>
      <c r="I4938" s="15"/>
      <c r="J4938" s="15"/>
      <c r="K4938" s="15"/>
      <c r="L4938" s="28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  <c r="AA4938" s="15"/>
      <c r="AB4938" s="15"/>
      <c r="AC4938" s="15"/>
      <c r="AD4938" s="15"/>
      <c r="AE4938" s="15"/>
      <c r="AF4938" s="15"/>
      <c r="AG4938" s="15"/>
      <c r="AH4938" s="15"/>
      <c r="AI4938" s="15"/>
      <c r="AJ4938" s="15"/>
      <c r="AK4938" s="15"/>
      <c r="AL4938" s="15"/>
      <c r="AM4938" s="15"/>
      <c r="AN4938" s="15"/>
      <c r="AO4938" s="15"/>
      <c r="AP4938" s="15"/>
      <c r="AQ4938" s="15"/>
      <c r="AR4938" s="15"/>
      <c r="AS4938" s="15"/>
      <c r="AT4938" s="15"/>
      <c r="AU4938" s="15"/>
      <c r="AV4938" s="15"/>
      <c r="AW4938" s="15"/>
    </row>
    <row r="4939" spans="3:49" x14ac:dyDescent="0.2">
      <c r="C4939" s="15"/>
      <c r="D4939" s="15"/>
      <c r="E4939" s="15"/>
      <c r="F4939" s="15"/>
      <c r="G4939" s="15"/>
      <c r="H4939" s="15"/>
      <c r="I4939" s="15"/>
      <c r="J4939" s="15"/>
      <c r="K4939" s="15"/>
      <c r="L4939" s="28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  <c r="AA4939" s="15"/>
      <c r="AB4939" s="15"/>
      <c r="AC4939" s="15"/>
      <c r="AD4939" s="15"/>
      <c r="AE4939" s="15"/>
      <c r="AF4939" s="15"/>
      <c r="AG4939" s="15"/>
      <c r="AH4939" s="15"/>
      <c r="AI4939" s="15"/>
      <c r="AJ4939" s="15"/>
      <c r="AK4939" s="15"/>
      <c r="AL4939" s="15"/>
      <c r="AM4939" s="15"/>
      <c r="AN4939" s="15"/>
      <c r="AO4939" s="15"/>
      <c r="AP4939" s="15"/>
      <c r="AQ4939" s="15"/>
      <c r="AR4939" s="15"/>
      <c r="AS4939" s="15"/>
      <c r="AT4939" s="15"/>
      <c r="AU4939" s="15"/>
      <c r="AV4939" s="15"/>
      <c r="AW4939" s="15"/>
    </row>
    <row r="4940" spans="3:49" x14ac:dyDescent="0.2">
      <c r="C4940" s="15"/>
      <c r="D4940" s="15"/>
      <c r="E4940" s="15"/>
      <c r="F4940" s="15"/>
      <c r="G4940" s="15"/>
      <c r="H4940" s="15"/>
      <c r="I4940" s="15"/>
      <c r="J4940" s="15"/>
      <c r="K4940" s="15"/>
      <c r="L4940" s="28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  <c r="AA4940" s="15"/>
      <c r="AB4940" s="15"/>
      <c r="AC4940" s="15"/>
      <c r="AD4940" s="15"/>
      <c r="AE4940" s="15"/>
      <c r="AF4940" s="15"/>
      <c r="AG4940" s="15"/>
      <c r="AH4940" s="15"/>
      <c r="AI4940" s="15"/>
      <c r="AJ4940" s="15"/>
      <c r="AK4940" s="15"/>
      <c r="AL4940" s="15"/>
      <c r="AM4940" s="15"/>
      <c r="AN4940" s="15"/>
      <c r="AO4940" s="15"/>
      <c r="AP4940" s="15"/>
      <c r="AQ4940" s="15"/>
      <c r="AR4940" s="15"/>
      <c r="AS4940" s="15"/>
      <c r="AT4940" s="15"/>
      <c r="AU4940" s="15"/>
      <c r="AV4940" s="15"/>
      <c r="AW4940" s="15"/>
    </row>
    <row r="4941" spans="3:49" x14ac:dyDescent="0.2">
      <c r="C4941" s="15"/>
      <c r="D4941" s="15"/>
      <c r="E4941" s="15"/>
      <c r="F4941" s="15"/>
      <c r="G4941" s="15"/>
      <c r="H4941" s="15"/>
      <c r="I4941" s="15"/>
      <c r="J4941" s="15"/>
      <c r="K4941" s="15"/>
      <c r="L4941" s="28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  <c r="AA4941" s="15"/>
      <c r="AB4941" s="15"/>
      <c r="AC4941" s="15"/>
      <c r="AD4941" s="15"/>
      <c r="AE4941" s="15"/>
      <c r="AF4941" s="15"/>
      <c r="AG4941" s="15"/>
      <c r="AH4941" s="15"/>
      <c r="AI4941" s="15"/>
      <c r="AJ4941" s="15"/>
      <c r="AK4941" s="15"/>
      <c r="AL4941" s="15"/>
      <c r="AM4941" s="15"/>
      <c r="AN4941" s="15"/>
      <c r="AO4941" s="15"/>
      <c r="AP4941" s="15"/>
      <c r="AQ4941" s="15"/>
      <c r="AR4941" s="15"/>
      <c r="AS4941" s="15"/>
      <c r="AT4941" s="15"/>
      <c r="AU4941" s="15"/>
      <c r="AV4941" s="15"/>
      <c r="AW4941" s="15"/>
    </row>
    <row r="4942" spans="3:49" x14ac:dyDescent="0.2">
      <c r="C4942" s="15"/>
      <c r="D4942" s="15"/>
      <c r="E4942" s="15"/>
      <c r="F4942" s="15"/>
      <c r="G4942" s="15"/>
      <c r="H4942" s="15"/>
      <c r="I4942" s="15"/>
      <c r="J4942" s="15"/>
      <c r="K4942" s="15"/>
      <c r="L4942" s="28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  <c r="AA4942" s="15"/>
      <c r="AB4942" s="15"/>
      <c r="AC4942" s="15"/>
      <c r="AD4942" s="15"/>
      <c r="AE4942" s="15"/>
      <c r="AF4942" s="15"/>
      <c r="AG4942" s="15"/>
      <c r="AH4942" s="15"/>
      <c r="AI4942" s="15"/>
      <c r="AJ4942" s="15"/>
      <c r="AK4942" s="15"/>
      <c r="AL4942" s="15"/>
      <c r="AM4942" s="15"/>
      <c r="AN4942" s="15"/>
      <c r="AO4942" s="15"/>
      <c r="AP4942" s="15"/>
      <c r="AQ4942" s="15"/>
      <c r="AR4942" s="15"/>
      <c r="AS4942" s="15"/>
      <c r="AT4942" s="15"/>
      <c r="AU4942" s="15"/>
      <c r="AV4942" s="15"/>
      <c r="AW4942" s="15"/>
    </row>
    <row r="4943" spans="3:49" x14ac:dyDescent="0.2">
      <c r="C4943" s="15"/>
      <c r="D4943" s="15"/>
      <c r="E4943" s="15"/>
      <c r="F4943" s="15"/>
      <c r="G4943" s="15"/>
      <c r="H4943" s="15"/>
      <c r="I4943" s="15"/>
      <c r="J4943" s="15"/>
      <c r="K4943" s="15"/>
      <c r="L4943" s="28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  <c r="AA4943" s="15"/>
      <c r="AB4943" s="15"/>
      <c r="AC4943" s="15"/>
      <c r="AD4943" s="15"/>
      <c r="AE4943" s="15"/>
      <c r="AF4943" s="15"/>
      <c r="AG4943" s="15"/>
      <c r="AH4943" s="15"/>
      <c r="AI4943" s="15"/>
      <c r="AJ4943" s="15"/>
      <c r="AK4943" s="15"/>
      <c r="AL4943" s="15"/>
      <c r="AM4943" s="15"/>
      <c r="AN4943" s="15"/>
      <c r="AO4943" s="15"/>
      <c r="AP4943" s="15"/>
      <c r="AQ4943" s="15"/>
      <c r="AR4943" s="15"/>
      <c r="AS4943" s="15"/>
      <c r="AT4943" s="15"/>
      <c r="AU4943" s="15"/>
      <c r="AV4943" s="15"/>
      <c r="AW4943" s="15"/>
    </row>
    <row r="4944" spans="3:49" x14ac:dyDescent="0.2">
      <c r="C4944" s="15"/>
      <c r="D4944" s="15"/>
      <c r="E4944" s="15"/>
      <c r="F4944" s="15"/>
      <c r="G4944" s="15"/>
      <c r="H4944" s="15"/>
      <c r="I4944" s="15"/>
      <c r="J4944" s="15"/>
      <c r="K4944" s="15"/>
      <c r="L4944" s="28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  <c r="AA4944" s="15"/>
      <c r="AB4944" s="15"/>
      <c r="AC4944" s="15"/>
      <c r="AD4944" s="15"/>
      <c r="AE4944" s="15"/>
      <c r="AF4944" s="15"/>
      <c r="AG4944" s="15"/>
      <c r="AH4944" s="15"/>
      <c r="AI4944" s="15"/>
      <c r="AJ4944" s="15"/>
      <c r="AK4944" s="15"/>
      <c r="AL4944" s="15"/>
      <c r="AM4944" s="15"/>
      <c r="AN4944" s="15"/>
      <c r="AO4944" s="15"/>
      <c r="AP4944" s="15"/>
      <c r="AQ4944" s="15"/>
      <c r="AR4944" s="15"/>
      <c r="AS4944" s="15"/>
      <c r="AT4944" s="15"/>
      <c r="AU4944" s="15"/>
      <c r="AV4944" s="15"/>
      <c r="AW4944" s="15"/>
    </row>
    <row r="4945" spans="3:49" x14ac:dyDescent="0.2">
      <c r="C4945" s="15"/>
      <c r="D4945" s="15"/>
      <c r="E4945" s="15"/>
      <c r="F4945" s="15"/>
      <c r="G4945" s="15"/>
      <c r="H4945" s="15"/>
      <c r="I4945" s="15"/>
      <c r="J4945" s="15"/>
      <c r="K4945" s="15"/>
      <c r="L4945" s="28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  <c r="AA4945" s="15"/>
      <c r="AB4945" s="15"/>
      <c r="AC4945" s="15"/>
      <c r="AD4945" s="15"/>
      <c r="AE4945" s="15"/>
      <c r="AF4945" s="15"/>
      <c r="AG4945" s="15"/>
      <c r="AH4945" s="15"/>
      <c r="AI4945" s="15"/>
      <c r="AJ4945" s="15"/>
      <c r="AK4945" s="15"/>
      <c r="AL4945" s="15"/>
      <c r="AM4945" s="15"/>
      <c r="AN4945" s="15"/>
      <c r="AO4945" s="15"/>
      <c r="AP4945" s="15"/>
      <c r="AQ4945" s="15"/>
      <c r="AR4945" s="15"/>
      <c r="AS4945" s="15"/>
      <c r="AT4945" s="15"/>
      <c r="AU4945" s="15"/>
      <c r="AV4945" s="15"/>
      <c r="AW4945" s="15"/>
    </row>
    <row r="4946" spans="3:49" x14ac:dyDescent="0.2">
      <c r="C4946" s="15"/>
      <c r="D4946" s="15"/>
      <c r="E4946" s="15"/>
      <c r="F4946" s="15"/>
      <c r="G4946" s="15"/>
      <c r="H4946" s="15"/>
      <c r="I4946" s="15"/>
      <c r="J4946" s="15"/>
      <c r="K4946" s="15"/>
      <c r="L4946" s="28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  <c r="AA4946" s="15"/>
      <c r="AB4946" s="15"/>
      <c r="AC4946" s="15"/>
      <c r="AD4946" s="15"/>
      <c r="AE4946" s="15"/>
      <c r="AF4946" s="15"/>
      <c r="AG4946" s="15"/>
      <c r="AH4946" s="15"/>
      <c r="AI4946" s="15"/>
      <c r="AJ4946" s="15"/>
      <c r="AK4946" s="15"/>
      <c r="AL4946" s="15"/>
      <c r="AM4946" s="15"/>
      <c r="AN4946" s="15"/>
      <c r="AO4946" s="15"/>
      <c r="AP4946" s="15"/>
      <c r="AQ4946" s="15"/>
      <c r="AR4946" s="15"/>
      <c r="AS4946" s="15"/>
      <c r="AT4946" s="15"/>
      <c r="AU4946" s="15"/>
      <c r="AV4946" s="15"/>
      <c r="AW4946" s="15"/>
    </row>
    <row r="4947" spans="3:49" x14ac:dyDescent="0.2">
      <c r="C4947" s="15"/>
      <c r="D4947" s="15"/>
      <c r="E4947" s="15"/>
      <c r="F4947" s="15"/>
      <c r="G4947" s="15"/>
      <c r="H4947" s="15"/>
      <c r="I4947" s="15"/>
      <c r="J4947" s="15"/>
      <c r="K4947" s="15"/>
      <c r="L4947" s="28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  <c r="AA4947" s="15"/>
      <c r="AB4947" s="15"/>
      <c r="AC4947" s="15"/>
      <c r="AD4947" s="15"/>
      <c r="AE4947" s="15"/>
      <c r="AF4947" s="15"/>
      <c r="AG4947" s="15"/>
      <c r="AH4947" s="15"/>
      <c r="AI4947" s="15"/>
      <c r="AJ4947" s="15"/>
      <c r="AK4947" s="15"/>
      <c r="AL4947" s="15"/>
      <c r="AM4947" s="15"/>
      <c r="AN4947" s="15"/>
      <c r="AO4947" s="15"/>
      <c r="AP4947" s="15"/>
      <c r="AQ4947" s="15"/>
      <c r="AR4947" s="15"/>
      <c r="AS4947" s="15"/>
      <c r="AT4947" s="15"/>
      <c r="AU4947" s="15"/>
      <c r="AV4947" s="15"/>
      <c r="AW4947" s="15"/>
    </row>
    <row r="4948" spans="3:49" x14ac:dyDescent="0.2">
      <c r="C4948" s="15"/>
      <c r="D4948" s="15"/>
      <c r="E4948" s="15"/>
      <c r="F4948" s="15"/>
      <c r="G4948" s="15"/>
      <c r="H4948" s="15"/>
      <c r="I4948" s="15"/>
      <c r="J4948" s="15"/>
      <c r="K4948" s="15"/>
      <c r="L4948" s="28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  <c r="AA4948" s="15"/>
      <c r="AB4948" s="15"/>
      <c r="AC4948" s="15"/>
      <c r="AD4948" s="15"/>
      <c r="AE4948" s="15"/>
      <c r="AF4948" s="15"/>
      <c r="AG4948" s="15"/>
      <c r="AH4948" s="15"/>
      <c r="AI4948" s="15"/>
      <c r="AJ4948" s="15"/>
      <c r="AK4948" s="15"/>
      <c r="AL4948" s="15"/>
      <c r="AM4948" s="15"/>
      <c r="AN4948" s="15"/>
      <c r="AO4948" s="15"/>
      <c r="AP4948" s="15"/>
      <c r="AQ4948" s="15"/>
      <c r="AR4948" s="15"/>
      <c r="AS4948" s="15"/>
      <c r="AT4948" s="15"/>
      <c r="AU4948" s="15"/>
      <c r="AV4948" s="15"/>
      <c r="AW4948" s="15"/>
    </row>
    <row r="4949" spans="3:49" x14ac:dyDescent="0.2">
      <c r="C4949" s="15"/>
      <c r="D4949" s="15"/>
      <c r="E4949" s="15"/>
      <c r="F4949" s="15"/>
      <c r="G4949" s="15"/>
      <c r="H4949" s="15"/>
      <c r="I4949" s="15"/>
      <c r="J4949" s="15"/>
      <c r="K4949" s="15"/>
      <c r="L4949" s="28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  <c r="AA4949" s="15"/>
      <c r="AB4949" s="15"/>
      <c r="AC4949" s="15"/>
      <c r="AD4949" s="15"/>
      <c r="AE4949" s="15"/>
      <c r="AF4949" s="15"/>
      <c r="AG4949" s="15"/>
      <c r="AH4949" s="15"/>
      <c r="AI4949" s="15"/>
      <c r="AJ4949" s="15"/>
      <c r="AK4949" s="15"/>
      <c r="AL4949" s="15"/>
      <c r="AM4949" s="15"/>
      <c r="AN4949" s="15"/>
      <c r="AO4949" s="15"/>
      <c r="AP4949" s="15"/>
      <c r="AQ4949" s="15"/>
      <c r="AR4949" s="15"/>
      <c r="AS4949" s="15"/>
      <c r="AT4949" s="15"/>
      <c r="AU4949" s="15"/>
      <c r="AV4949" s="15"/>
      <c r="AW4949" s="15"/>
    </row>
    <row r="4950" spans="3:49" x14ac:dyDescent="0.2">
      <c r="C4950" s="15"/>
      <c r="D4950" s="15"/>
      <c r="E4950" s="15"/>
      <c r="F4950" s="15"/>
      <c r="G4950" s="15"/>
      <c r="H4950" s="15"/>
      <c r="I4950" s="15"/>
      <c r="J4950" s="15"/>
      <c r="K4950" s="15"/>
      <c r="L4950" s="28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  <c r="AA4950" s="15"/>
      <c r="AB4950" s="15"/>
      <c r="AC4950" s="15"/>
      <c r="AD4950" s="15"/>
      <c r="AE4950" s="15"/>
      <c r="AF4950" s="15"/>
      <c r="AG4950" s="15"/>
      <c r="AH4950" s="15"/>
      <c r="AI4950" s="15"/>
      <c r="AJ4950" s="15"/>
      <c r="AK4950" s="15"/>
      <c r="AL4950" s="15"/>
      <c r="AM4950" s="15"/>
      <c r="AN4950" s="15"/>
      <c r="AO4950" s="15"/>
      <c r="AP4950" s="15"/>
      <c r="AQ4950" s="15"/>
      <c r="AR4950" s="15"/>
      <c r="AS4950" s="15"/>
      <c r="AT4950" s="15"/>
      <c r="AU4950" s="15"/>
      <c r="AV4950" s="15"/>
      <c r="AW4950" s="15"/>
    </row>
    <row r="4951" spans="3:49" x14ac:dyDescent="0.2">
      <c r="C4951" s="15"/>
      <c r="D4951" s="15"/>
      <c r="E4951" s="15"/>
      <c r="F4951" s="15"/>
      <c r="G4951" s="15"/>
      <c r="H4951" s="15"/>
      <c r="I4951" s="15"/>
      <c r="J4951" s="15"/>
      <c r="K4951" s="15"/>
      <c r="L4951" s="28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  <c r="AA4951" s="15"/>
      <c r="AB4951" s="15"/>
      <c r="AC4951" s="15"/>
      <c r="AD4951" s="15"/>
      <c r="AE4951" s="15"/>
      <c r="AF4951" s="15"/>
      <c r="AG4951" s="15"/>
      <c r="AH4951" s="15"/>
      <c r="AI4951" s="15"/>
      <c r="AJ4951" s="15"/>
      <c r="AK4951" s="15"/>
      <c r="AL4951" s="15"/>
      <c r="AM4951" s="15"/>
      <c r="AN4951" s="15"/>
      <c r="AO4951" s="15"/>
      <c r="AP4951" s="15"/>
      <c r="AQ4951" s="15"/>
      <c r="AR4951" s="15"/>
      <c r="AS4951" s="15"/>
      <c r="AT4951" s="15"/>
      <c r="AU4951" s="15"/>
      <c r="AV4951" s="15"/>
      <c r="AW4951" s="15"/>
    </row>
    <row r="4952" spans="3:49" x14ac:dyDescent="0.2">
      <c r="C4952" s="15"/>
      <c r="D4952" s="15"/>
      <c r="E4952" s="15"/>
      <c r="F4952" s="15"/>
      <c r="G4952" s="15"/>
      <c r="H4952" s="15"/>
      <c r="I4952" s="15"/>
      <c r="J4952" s="15"/>
      <c r="K4952" s="15"/>
      <c r="L4952" s="28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  <c r="AA4952" s="15"/>
      <c r="AB4952" s="15"/>
      <c r="AC4952" s="15"/>
      <c r="AD4952" s="15"/>
      <c r="AE4952" s="15"/>
      <c r="AF4952" s="15"/>
      <c r="AG4952" s="15"/>
      <c r="AH4952" s="15"/>
      <c r="AI4952" s="15"/>
      <c r="AJ4952" s="15"/>
      <c r="AK4952" s="15"/>
      <c r="AL4952" s="15"/>
      <c r="AM4952" s="15"/>
      <c r="AN4952" s="15"/>
      <c r="AO4952" s="15"/>
      <c r="AP4952" s="15"/>
      <c r="AQ4952" s="15"/>
      <c r="AR4952" s="15"/>
      <c r="AS4952" s="15"/>
      <c r="AT4952" s="15"/>
      <c r="AU4952" s="15"/>
      <c r="AV4952" s="15"/>
      <c r="AW4952" s="15"/>
    </row>
    <row r="4953" spans="3:49" x14ac:dyDescent="0.2">
      <c r="C4953" s="15"/>
      <c r="D4953" s="15"/>
      <c r="E4953" s="15"/>
      <c r="F4953" s="15"/>
      <c r="G4953" s="15"/>
      <c r="H4953" s="15"/>
      <c r="I4953" s="15"/>
      <c r="J4953" s="15"/>
      <c r="K4953" s="15"/>
      <c r="L4953" s="28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  <c r="AA4953" s="15"/>
      <c r="AB4953" s="15"/>
      <c r="AC4953" s="15"/>
      <c r="AD4953" s="15"/>
      <c r="AE4953" s="15"/>
      <c r="AF4953" s="15"/>
      <c r="AG4953" s="15"/>
      <c r="AH4953" s="15"/>
      <c r="AI4953" s="15"/>
      <c r="AJ4953" s="15"/>
      <c r="AK4953" s="15"/>
      <c r="AL4953" s="15"/>
      <c r="AM4953" s="15"/>
      <c r="AN4953" s="15"/>
      <c r="AO4953" s="15"/>
      <c r="AP4953" s="15"/>
      <c r="AQ4953" s="15"/>
      <c r="AR4953" s="15"/>
      <c r="AS4953" s="15"/>
      <c r="AT4953" s="15"/>
      <c r="AU4953" s="15"/>
      <c r="AV4953" s="15"/>
      <c r="AW4953" s="15"/>
    </row>
    <row r="4954" spans="3:49" x14ac:dyDescent="0.2">
      <c r="C4954" s="15"/>
      <c r="D4954" s="15"/>
      <c r="E4954" s="15"/>
      <c r="F4954" s="15"/>
      <c r="G4954" s="15"/>
      <c r="H4954" s="15"/>
      <c r="I4954" s="15"/>
      <c r="J4954" s="15"/>
      <c r="K4954" s="15"/>
      <c r="L4954" s="28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  <c r="AA4954" s="15"/>
      <c r="AB4954" s="15"/>
      <c r="AC4954" s="15"/>
      <c r="AD4954" s="15"/>
      <c r="AE4954" s="15"/>
      <c r="AF4954" s="15"/>
      <c r="AG4954" s="15"/>
      <c r="AH4954" s="15"/>
      <c r="AI4954" s="15"/>
      <c r="AJ4954" s="15"/>
      <c r="AK4954" s="15"/>
      <c r="AL4954" s="15"/>
      <c r="AM4954" s="15"/>
      <c r="AN4954" s="15"/>
      <c r="AO4954" s="15"/>
      <c r="AP4954" s="15"/>
      <c r="AQ4954" s="15"/>
      <c r="AR4954" s="15"/>
      <c r="AS4954" s="15"/>
      <c r="AT4954" s="15"/>
      <c r="AU4954" s="15"/>
      <c r="AV4954" s="15"/>
      <c r="AW4954" s="15"/>
    </row>
    <row r="4955" spans="3:49" x14ac:dyDescent="0.2">
      <c r="C4955" s="15"/>
      <c r="D4955" s="15"/>
      <c r="E4955" s="15"/>
      <c r="F4955" s="15"/>
      <c r="G4955" s="15"/>
      <c r="H4955" s="15"/>
      <c r="I4955" s="15"/>
      <c r="J4955" s="15"/>
      <c r="K4955" s="15"/>
      <c r="L4955" s="28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  <c r="AA4955" s="15"/>
      <c r="AB4955" s="15"/>
      <c r="AC4955" s="15"/>
      <c r="AD4955" s="15"/>
      <c r="AE4955" s="15"/>
      <c r="AF4955" s="15"/>
      <c r="AG4955" s="15"/>
      <c r="AH4955" s="15"/>
      <c r="AI4955" s="15"/>
      <c r="AJ4955" s="15"/>
      <c r="AK4955" s="15"/>
      <c r="AL4955" s="15"/>
      <c r="AM4955" s="15"/>
      <c r="AN4955" s="15"/>
      <c r="AO4955" s="15"/>
      <c r="AP4955" s="15"/>
      <c r="AQ4955" s="15"/>
      <c r="AR4955" s="15"/>
      <c r="AS4955" s="15"/>
      <c r="AT4955" s="15"/>
      <c r="AU4955" s="15"/>
      <c r="AV4955" s="15"/>
      <c r="AW4955" s="15"/>
    </row>
    <row r="4956" spans="3:49" x14ac:dyDescent="0.2">
      <c r="C4956" s="15"/>
      <c r="D4956" s="15"/>
      <c r="E4956" s="15"/>
      <c r="F4956" s="15"/>
      <c r="G4956" s="15"/>
      <c r="H4956" s="15"/>
      <c r="I4956" s="15"/>
      <c r="J4956" s="15"/>
      <c r="K4956" s="15"/>
      <c r="L4956" s="28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  <c r="AA4956" s="15"/>
      <c r="AB4956" s="15"/>
      <c r="AC4956" s="15"/>
      <c r="AD4956" s="15"/>
      <c r="AE4956" s="15"/>
      <c r="AF4956" s="15"/>
      <c r="AG4956" s="15"/>
      <c r="AH4956" s="15"/>
      <c r="AI4956" s="15"/>
      <c r="AJ4956" s="15"/>
      <c r="AK4956" s="15"/>
      <c r="AL4956" s="15"/>
      <c r="AM4956" s="15"/>
      <c r="AN4956" s="15"/>
      <c r="AO4956" s="15"/>
      <c r="AP4956" s="15"/>
      <c r="AQ4956" s="15"/>
      <c r="AR4956" s="15"/>
      <c r="AS4956" s="15"/>
      <c r="AT4956" s="15"/>
      <c r="AU4956" s="15"/>
      <c r="AV4956" s="15"/>
      <c r="AW4956" s="15"/>
    </row>
    <row r="4957" spans="3:49" x14ac:dyDescent="0.2">
      <c r="C4957" s="15"/>
      <c r="D4957" s="15"/>
      <c r="E4957" s="15"/>
      <c r="F4957" s="15"/>
      <c r="G4957" s="15"/>
      <c r="H4957" s="15"/>
      <c r="I4957" s="15"/>
      <c r="J4957" s="15"/>
      <c r="K4957" s="15"/>
      <c r="L4957" s="28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  <c r="AA4957" s="15"/>
      <c r="AB4957" s="15"/>
      <c r="AC4957" s="15"/>
      <c r="AD4957" s="15"/>
      <c r="AE4957" s="15"/>
      <c r="AF4957" s="15"/>
      <c r="AG4957" s="15"/>
      <c r="AH4957" s="15"/>
      <c r="AI4957" s="15"/>
      <c r="AJ4957" s="15"/>
      <c r="AK4957" s="15"/>
      <c r="AL4957" s="15"/>
      <c r="AM4957" s="15"/>
      <c r="AN4957" s="15"/>
      <c r="AO4957" s="15"/>
      <c r="AP4957" s="15"/>
      <c r="AQ4957" s="15"/>
      <c r="AR4957" s="15"/>
      <c r="AS4957" s="15"/>
      <c r="AT4957" s="15"/>
      <c r="AU4957" s="15"/>
      <c r="AV4957" s="15"/>
      <c r="AW4957" s="15"/>
    </row>
    <row r="4958" spans="3:49" x14ac:dyDescent="0.2">
      <c r="C4958" s="15"/>
      <c r="D4958" s="15"/>
      <c r="E4958" s="15"/>
      <c r="F4958" s="15"/>
      <c r="G4958" s="15"/>
      <c r="H4958" s="15"/>
      <c r="I4958" s="15"/>
      <c r="J4958" s="15"/>
      <c r="K4958" s="15"/>
      <c r="L4958" s="28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  <c r="AA4958" s="15"/>
      <c r="AB4958" s="15"/>
      <c r="AC4958" s="15"/>
      <c r="AD4958" s="15"/>
      <c r="AE4958" s="15"/>
      <c r="AF4958" s="15"/>
      <c r="AG4958" s="15"/>
      <c r="AH4958" s="15"/>
      <c r="AI4958" s="15"/>
      <c r="AJ4958" s="15"/>
      <c r="AK4958" s="15"/>
      <c r="AL4958" s="15"/>
      <c r="AM4958" s="15"/>
      <c r="AN4958" s="15"/>
      <c r="AO4958" s="15"/>
      <c r="AP4958" s="15"/>
      <c r="AQ4958" s="15"/>
      <c r="AR4958" s="15"/>
      <c r="AS4958" s="15"/>
      <c r="AT4958" s="15"/>
      <c r="AU4958" s="15"/>
      <c r="AV4958" s="15"/>
      <c r="AW4958" s="15"/>
    </row>
    <row r="4959" spans="3:49" x14ac:dyDescent="0.2">
      <c r="C4959" s="15"/>
      <c r="D4959" s="15"/>
      <c r="E4959" s="15"/>
      <c r="F4959" s="15"/>
      <c r="G4959" s="15"/>
      <c r="H4959" s="15"/>
      <c r="I4959" s="15"/>
      <c r="J4959" s="15"/>
      <c r="K4959" s="15"/>
      <c r="L4959" s="28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  <c r="AA4959" s="15"/>
      <c r="AB4959" s="15"/>
      <c r="AC4959" s="15"/>
      <c r="AD4959" s="15"/>
      <c r="AE4959" s="15"/>
      <c r="AF4959" s="15"/>
      <c r="AG4959" s="15"/>
      <c r="AH4959" s="15"/>
      <c r="AI4959" s="15"/>
      <c r="AJ4959" s="15"/>
      <c r="AK4959" s="15"/>
      <c r="AL4959" s="15"/>
      <c r="AM4959" s="15"/>
      <c r="AN4959" s="15"/>
      <c r="AO4959" s="15"/>
      <c r="AP4959" s="15"/>
      <c r="AQ4959" s="15"/>
      <c r="AR4959" s="15"/>
      <c r="AS4959" s="15"/>
      <c r="AT4959" s="15"/>
      <c r="AU4959" s="15"/>
      <c r="AV4959" s="15"/>
      <c r="AW4959" s="15"/>
    </row>
    <row r="4960" spans="3:49" x14ac:dyDescent="0.2">
      <c r="C4960" s="15"/>
      <c r="D4960" s="15"/>
      <c r="E4960" s="15"/>
      <c r="F4960" s="15"/>
      <c r="G4960" s="15"/>
      <c r="H4960" s="15"/>
      <c r="I4960" s="15"/>
      <c r="J4960" s="15"/>
      <c r="K4960" s="15"/>
      <c r="L4960" s="28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  <c r="AA4960" s="15"/>
      <c r="AB4960" s="15"/>
      <c r="AC4960" s="15"/>
      <c r="AD4960" s="15"/>
      <c r="AE4960" s="15"/>
      <c r="AF4960" s="15"/>
      <c r="AG4960" s="15"/>
      <c r="AH4960" s="15"/>
      <c r="AI4960" s="15"/>
      <c r="AJ4960" s="15"/>
      <c r="AK4960" s="15"/>
      <c r="AL4960" s="15"/>
      <c r="AM4960" s="15"/>
      <c r="AN4960" s="15"/>
      <c r="AO4960" s="15"/>
      <c r="AP4960" s="15"/>
      <c r="AQ4960" s="15"/>
      <c r="AR4960" s="15"/>
      <c r="AS4960" s="15"/>
      <c r="AT4960" s="15"/>
      <c r="AU4960" s="15"/>
      <c r="AV4960" s="15"/>
      <c r="AW4960" s="15"/>
    </row>
    <row r="4961" spans="3:49" x14ac:dyDescent="0.2">
      <c r="C4961" s="15"/>
      <c r="D4961" s="15"/>
      <c r="E4961" s="15"/>
      <c r="F4961" s="15"/>
      <c r="G4961" s="15"/>
      <c r="H4961" s="15"/>
      <c r="I4961" s="15"/>
      <c r="J4961" s="15"/>
      <c r="K4961" s="15"/>
      <c r="L4961" s="28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  <c r="AA4961" s="15"/>
      <c r="AB4961" s="15"/>
      <c r="AC4961" s="15"/>
      <c r="AD4961" s="15"/>
      <c r="AE4961" s="15"/>
      <c r="AF4961" s="15"/>
      <c r="AG4961" s="15"/>
      <c r="AH4961" s="15"/>
      <c r="AI4961" s="15"/>
      <c r="AJ4961" s="15"/>
      <c r="AK4961" s="15"/>
      <c r="AL4961" s="15"/>
      <c r="AM4961" s="15"/>
      <c r="AN4961" s="15"/>
      <c r="AO4961" s="15"/>
      <c r="AP4961" s="15"/>
      <c r="AQ4961" s="15"/>
      <c r="AR4961" s="15"/>
      <c r="AS4961" s="15"/>
      <c r="AT4961" s="15"/>
      <c r="AU4961" s="15"/>
      <c r="AV4961" s="15"/>
      <c r="AW4961" s="15"/>
    </row>
    <row r="4962" spans="3:49" x14ac:dyDescent="0.2">
      <c r="C4962" s="15"/>
      <c r="D4962" s="15"/>
      <c r="E4962" s="15"/>
      <c r="F4962" s="15"/>
      <c r="G4962" s="15"/>
      <c r="H4962" s="15"/>
      <c r="I4962" s="15"/>
      <c r="J4962" s="15"/>
      <c r="K4962" s="15"/>
      <c r="L4962" s="28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  <c r="AA4962" s="15"/>
      <c r="AB4962" s="15"/>
      <c r="AC4962" s="15"/>
      <c r="AD4962" s="15"/>
      <c r="AE4962" s="15"/>
      <c r="AF4962" s="15"/>
      <c r="AG4962" s="15"/>
      <c r="AH4962" s="15"/>
      <c r="AI4962" s="15"/>
      <c r="AJ4962" s="15"/>
      <c r="AK4962" s="15"/>
      <c r="AL4962" s="15"/>
      <c r="AM4962" s="15"/>
      <c r="AN4962" s="15"/>
      <c r="AO4962" s="15"/>
      <c r="AP4962" s="15"/>
      <c r="AQ4962" s="15"/>
      <c r="AR4962" s="15"/>
      <c r="AS4962" s="15"/>
      <c r="AT4962" s="15"/>
      <c r="AU4962" s="15"/>
      <c r="AV4962" s="15"/>
      <c r="AW4962" s="15"/>
    </row>
    <row r="4963" spans="3:49" x14ac:dyDescent="0.2">
      <c r="C4963" s="15"/>
      <c r="D4963" s="15"/>
      <c r="E4963" s="15"/>
      <c r="F4963" s="15"/>
      <c r="G4963" s="15"/>
      <c r="H4963" s="15"/>
      <c r="I4963" s="15"/>
      <c r="J4963" s="15"/>
      <c r="K4963" s="15"/>
      <c r="L4963" s="28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  <c r="AA4963" s="15"/>
      <c r="AB4963" s="15"/>
      <c r="AC4963" s="15"/>
      <c r="AD4963" s="15"/>
      <c r="AE4963" s="15"/>
      <c r="AF4963" s="15"/>
      <c r="AG4963" s="15"/>
      <c r="AH4963" s="15"/>
      <c r="AI4963" s="15"/>
      <c r="AJ4963" s="15"/>
      <c r="AK4963" s="15"/>
      <c r="AL4963" s="15"/>
      <c r="AM4963" s="15"/>
      <c r="AN4963" s="15"/>
      <c r="AO4963" s="15"/>
      <c r="AP4963" s="15"/>
      <c r="AQ4963" s="15"/>
      <c r="AR4963" s="15"/>
      <c r="AS4963" s="15"/>
      <c r="AT4963" s="15"/>
      <c r="AU4963" s="15"/>
      <c r="AV4963" s="15"/>
      <c r="AW4963" s="15"/>
    </row>
    <row r="4964" spans="3:49" x14ac:dyDescent="0.2">
      <c r="C4964" s="15"/>
      <c r="D4964" s="15"/>
      <c r="E4964" s="15"/>
      <c r="F4964" s="15"/>
      <c r="G4964" s="15"/>
      <c r="H4964" s="15"/>
      <c r="I4964" s="15"/>
      <c r="J4964" s="15"/>
      <c r="K4964" s="15"/>
      <c r="L4964" s="28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  <c r="AA4964" s="15"/>
      <c r="AB4964" s="15"/>
      <c r="AC4964" s="15"/>
      <c r="AD4964" s="15"/>
      <c r="AE4964" s="15"/>
      <c r="AF4964" s="15"/>
      <c r="AG4964" s="15"/>
      <c r="AH4964" s="15"/>
      <c r="AI4964" s="15"/>
      <c r="AJ4964" s="15"/>
      <c r="AK4964" s="15"/>
      <c r="AL4964" s="15"/>
      <c r="AM4964" s="15"/>
      <c r="AN4964" s="15"/>
      <c r="AO4964" s="15"/>
      <c r="AP4964" s="15"/>
      <c r="AQ4964" s="15"/>
      <c r="AR4964" s="15"/>
      <c r="AS4964" s="15"/>
      <c r="AT4964" s="15"/>
      <c r="AU4964" s="15"/>
      <c r="AV4964" s="15"/>
      <c r="AW4964" s="15"/>
    </row>
    <row r="4965" spans="3:49" x14ac:dyDescent="0.2">
      <c r="C4965" s="15"/>
      <c r="D4965" s="15"/>
      <c r="E4965" s="15"/>
      <c r="F4965" s="15"/>
      <c r="G4965" s="15"/>
      <c r="H4965" s="15"/>
      <c r="I4965" s="15"/>
      <c r="J4965" s="15"/>
      <c r="K4965" s="15"/>
      <c r="L4965" s="28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  <c r="AA4965" s="15"/>
      <c r="AB4965" s="15"/>
      <c r="AC4965" s="15"/>
      <c r="AD4965" s="15"/>
      <c r="AE4965" s="15"/>
      <c r="AF4965" s="15"/>
      <c r="AG4965" s="15"/>
      <c r="AH4965" s="15"/>
      <c r="AI4965" s="15"/>
      <c r="AJ4965" s="15"/>
      <c r="AK4965" s="15"/>
      <c r="AL4965" s="15"/>
      <c r="AM4965" s="15"/>
      <c r="AN4965" s="15"/>
      <c r="AO4965" s="15"/>
      <c r="AP4965" s="15"/>
      <c r="AQ4965" s="15"/>
      <c r="AR4965" s="15"/>
      <c r="AS4965" s="15"/>
      <c r="AT4965" s="15"/>
      <c r="AU4965" s="15"/>
      <c r="AV4965" s="15"/>
      <c r="AW4965" s="15"/>
    </row>
    <row r="4966" spans="3:49" x14ac:dyDescent="0.2">
      <c r="C4966" s="15"/>
      <c r="D4966" s="15"/>
      <c r="E4966" s="15"/>
      <c r="F4966" s="15"/>
      <c r="G4966" s="15"/>
      <c r="H4966" s="15"/>
      <c r="I4966" s="15"/>
      <c r="J4966" s="15"/>
      <c r="K4966" s="15"/>
      <c r="L4966" s="28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  <c r="AA4966" s="15"/>
      <c r="AB4966" s="15"/>
      <c r="AC4966" s="15"/>
      <c r="AD4966" s="15"/>
      <c r="AE4966" s="15"/>
      <c r="AF4966" s="15"/>
      <c r="AG4966" s="15"/>
      <c r="AH4966" s="15"/>
      <c r="AI4966" s="15"/>
      <c r="AJ4966" s="15"/>
      <c r="AK4966" s="15"/>
      <c r="AL4966" s="15"/>
      <c r="AM4966" s="15"/>
      <c r="AN4966" s="15"/>
      <c r="AO4966" s="15"/>
      <c r="AP4966" s="15"/>
      <c r="AQ4966" s="15"/>
      <c r="AR4966" s="15"/>
      <c r="AS4966" s="15"/>
      <c r="AT4966" s="15"/>
      <c r="AU4966" s="15"/>
      <c r="AV4966" s="15"/>
      <c r="AW4966" s="15"/>
    </row>
    <row r="4967" spans="3:49" x14ac:dyDescent="0.2">
      <c r="C4967" s="15"/>
      <c r="D4967" s="15"/>
      <c r="E4967" s="15"/>
      <c r="F4967" s="15"/>
      <c r="G4967" s="15"/>
      <c r="H4967" s="15"/>
      <c r="I4967" s="15"/>
      <c r="J4967" s="15"/>
      <c r="K4967" s="15"/>
      <c r="L4967" s="28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  <c r="AA4967" s="15"/>
      <c r="AB4967" s="15"/>
      <c r="AC4967" s="15"/>
      <c r="AD4967" s="15"/>
      <c r="AE4967" s="15"/>
      <c r="AF4967" s="15"/>
      <c r="AG4967" s="15"/>
      <c r="AH4967" s="15"/>
      <c r="AI4967" s="15"/>
      <c r="AJ4967" s="15"/>
      <c r="AK4967" s="15"/>
      <c r="AL4967" s="15"/>
      <c r="AM4967" s="15"/>
      <c r="AN4967" s="15"/>
      <c r="AO4967" s="15"/>
      <c r="AP4967" s="15"/>
      <c r="AQ4967" s="15"/>
      <c r="AR4967" s="15"/>
      <c r="AS4967" s="15"/>
      <c r="AT4967" s="15"/>
      <c r="AU4967" s="15"/>
      <c r="AV4967" s="15"/>
      <c r="AW4967" s="15"/>
    </row>
    <row r="4968" spans="3:49" x14ac:dyDescent="0.2">
      <c r="C4968" s="15"/>
      <c r="D4968" s="15"/>
      <c r="E4968" s="15"/>
      <c r="F4968" s="15"/>
      <c r="G4968" s="15"/>
      <c r="H4968" s="15"/>
      <c r="I4968" s="15"/>
      <c r="J4968" s="15"/>
      <c r="K4968" s="15"/>
      <c r="L4968" s="28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  <c r="AA4968" s="15"/>
      <c r="AB4968" s="15"/>
      <c r="AC4968" s="15"/>
      <c r="AD4968" s="15"/>
      <c r="AE4968" s="15"/>
      <c r="AF4968" s="15"/>
      <c r="AG4968" s="15"/>
      <c r="AH4968" s="15"/>
      <c r="AI4968" s="15"/>
      <c r="AJ4968" s="15"/>
      <c r="AK4968" s="15"/>
      <c r="AL4968" s="15"/>
      <c r="AM4968" s="15"/>
      <c r="AN4968" s="15"/>
      <c r="AO4968" s="15"/>
      <c r="AP4968" s="15"/>
      <c r="AQ4968" s="15"/>
      <c r="AR4968" s="15"/>
      <c r="AS4968" s="15"/>
      <c r="AT4968" s="15"/>
      <c r="AU4968" s="15"/>
      <c r="AV4968" s="15"/>
      <c r="AW4968" s="15"/>
    </row>
    <row r="4969" spans="3:49" x14ac:dyDescent="0.2">
      <c r="C4969" s="15"/>
      <c r="D4969" s="15"/>
      <c r="E4969" s="15"/>
      <c r="F4969" s="15"/>
      <c r="G4969" s="15"/>
      <c r="H4969" s="15"/>
      <c r="I4969" s="15"/>
      <c r="J4969" s="15"/>
      <c r="K4969" s="15"/>
      <c r="L4969" s="28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  <c r="AA4969" s="15"/>
      <c r="AB4969" s="15"/>
      <c r="AC4969" s="15"/>
      <c r="AD4969" s="15"/>
      <c r="AE4969" s="15"/>
      <c r="AF4969" s="15"/>
      <c r="AG4969" s="15"/>
      <c r="AH4969" s="15"/>
      <c r="AI4969" s="15"/>
      <c r="AJ4969" s="15"/>
      <c r="AK4969" s="15"/>
      <c r="AL4969" s="15"/>
      <c r="AM4969" s="15"/>
      <c r="AN4969" s="15"/>
      <c r="AO4969" s="15"/>
      <c r="AP4969" s="15"/>
      <c r="AQ4969" s="15"/>
      <c r="AR4969" s="15"/>
      <c r="AS4969" s="15"/>
      <c r="AT4969" s="15"/>
      <c r="AU4969" s="15"/>
      <c r="AV4969" s="15"/>
      <c r="AW4969" s="15"/>
    </row>
    <row r="4970" spans="3:49" x14ac:dyDescent="0.2">
      <c r="C4970" s="15"/>
      <c r="D4970" s="15"/>
      <c r="E4970" s="15"/>
      <c r="F4970" s="15"/>
      <c r="G4970" s="15"/>
      <c r="H4970" s="15"/>
      <c r="I4970" s="15"/>
      <c r="J4970" s="15"/>
      <c r="K4970" s="15"/>
      <c r="L4970" s="28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  <c r="AA4970" s="15"/>
      <c r="AB4970" s="15"/>
      <c r="AC4970" s="15"/>
      <c r="AD4970" s="15"/>
      <c r="AE4970" s="15"/>
      <c r="AF4970" s="15"/>
      <c r="AG4970" s="15"/>
      <c r="AH4970" s="15"/>
      <c r="AI4970" s="15"/>
      <c r="AJ4970" s="15"/>
      <c r="AK4970" s="15"/>
      <c r="AL4970" s="15"/>
      <c r="AM4970" s="15"/>
      <c r="AN4970" s="15"/>
      <c r="AO4970" s="15"/>
      <c r="AP4970" s="15"/>
      <c r="AQ4970" s="15"/>
      <c r="AR4970" s="15"/>
      <c r="AS4970" s="15"/>
      <c r="AT4970" s="15"/>
      <c r="AU4970" s="15"/>
      <c r="AV4970" s="15"/>
      <c r="AW4970" s="15"/>
    </row>
    <row r="4971" spans="3:49" x14ac:dyDescent="0.2">
      <c r="C4971" s="15"/>
      <c r="D4971" s="15"/>
      <c r="E4971" s="15"/>
      <c r="F4971" s="15"/>
      <c r="G4971" s="15"/>
      <c r="H4971" s="15"/>
      <c r="I4971" s="15"/>
      <c r="J4971" s="15"/>
      <c r="K4971" s="15"/>
      <c r="L4971" s="28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  <c r="AA4971" s="15"/>
      <c r="AB4971" s="15"/>
      <c r="AC4971" s="15"/>
      <c r="AD4971" s="15"/>
      <c r="AE4971" s="15"/>
      <c r="AF4971" s="15"/>
      <c r="AG4971" s="15"/>
      <c r="AH4971" s="15"/>
      <c r="AI4971" s="15"/>
      <c r="AJ4971" s="15"/>
      <c r="AK4971" s="15"/>
      <c r="AL4971" s="15"/>
      <c r="AM4971" s="15"/>
      <c r="AN4971" s="15"/>
      <c r="AO4971" s="15"/>
      <c r="AP4971" s="15"/>
      <c r="AQ4971" s="15"/>
      <c r="AR4971" s="15"/>
      <c r="AS4971" s="15"/>
      <c r="AT4971" s="15"/>
      <c r="AU4971" s="15"/>
      <c r="AV4971" s="15"/>
      <c r="AW4971" s="15"/>
    </row>
    <row r="4972" spans="3:49" x14ac:dyDescent="0.2">
      <c r="C4972" s="15"/>
      <c r="D4972" s="15"/>
      <c r="E4972" s="15"/>
      <c r="F4972" s="15"/>
      <c r="G4972" s="15"/>
      <c r="H4972" s="15"/>
      <c r="I4972" s="15"/>
      <c r="J4972" s="15"/>
      <c r="K4972" s="15"/>
      <c r="L4972" s="28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  <c r="AA4972" s="15"/>
      <c r="AB4972" s="15"/>
      <c r="AC4972" s="15"/>
      <c r="AD4972" s="15"/>
      <c r="AE4972" s="15"/>
      <c r="AF4972" s="15"/>
      <c r="AG4972" s="15"/>
      <c r="AH4972" s="15"/>
      <c r="AI4972" s="15"/>
      <c r="AJ4972" s="15"/>
      <c r="AK4972" s="15"/>
      <c r="AL4972" s="15"/>
      <c r="AM4972" s="15"/>
      <c r="AN4972" s="15"/>
      <c r="AO4972" s="15"/>
      <c r="AP4972" s="15"/>
      <c r="AQ4972" s="15"/>
      <c r="AR4972" s="15"/>
      <c r="AS4972" s="15"/>
      <c r="AT4972" s="15"/>
      <c r="AU4972" s="15"/>
      <c r="AV4972" s="15"/>
      <c r="AW4972" s="15"/>
    </row>
    <row r="4973" spans="3:49" x14ac:dyDescent="0.2">
      <c r="C4973" s="15"/>
      <c r="D4973" s="15"/>
      <c r="E4973" s="15"/>
      <c r="F4973" s="15"/>
      <c r="G4973" s="15"/>
      <c r="H4973" s="15"/>
      <c r="I4973" s="15"/>
      <c r="J4973" s="15"/>
      <c r="K4973" s="15"/>
      <c r="L4973" s="28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  <c r="AA4973" s="15"/>
      <c r="AB4973" s="15"/>
      <c r="AC4973" s="15"/>
      <c r="AD4973" s="15"/>
      <c r="AE4973" s="15"/>
      <c r="AF4973" s="15"/>
      <c r="AG4973" s="15"/>
      <c r="AH4973" s="15"/>
      <c r="AI4973" s="15"/>
      <c r="AJ4973" s="15"/>
      <c r="AK4973" s="15"/>
      <c r="AL4973" s="15"/>
      <c r="AM4973" s="15"/>
      <c r="AN4973" s="15"/>
      <c r="AO4973" s="15"/>
      <c r="AP4973" s="15"/>
      <c r="AQ4973" s="15"/>
      <c r="AR4973" s="15"/>
      <c r="AS4973" s="15"/>
      <c r="AT4973" s="15"/>
      <c r="AU4973" s="15"/>
      <c r="AV4973" s="15"/>
      <c r="AW4973" s="15"/>
    </row>
    <row r="4974" spans="3:49" x14ac:dyDescent="0.2">
      <c r="C4974" s="15"/>
      <c r="D4974" s="15"/>
      <c r="E4974" s="15"/>
      <c r="F4974" s="15"/>
      <c r="G4974" s="15"/>
      <c r="H4974" s="15"/>
      <c r="I4974" s="15"/>
      <c r="J4974" s="15"/>
      <c r="K4974" s="15"/>
      <c r="L4974" s="28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  <c r="AA4974" s="15"/>
      <c r="AB4974" s="15"/>
      <c r="AC4974" s="15"/>
      <c r="AD4974" s="15"/>
      <c r="AE4974" s="15"/>
      <c r="AF4974" s="15"/>
      <c r="AG4974" s="15"/>
      <c r="AH4974" s="15"/>
      <c r="AI4974" s="15"/>
      <c r="AJ4974" s="15"/>
      <c r="AK4974" s="15"/>
      <c r="AL4974" s="15"/>
      <c r="AM4974" s="15"/>
      <c r="AN4974" s="15"/>
      <c r="AO4974" s="15"/>
      <c r="AP4974" s="15"/>
      <c r="AQ4974" s="15"/>
      <c r="AR4974" s="15"/>
      <c r="AS4974" s="15"/>
      <c r="AT4974" s="15"/>
      <c r="AU4974" s="15"/>
      <c r="AV4974" s="15"/>
      <c r="AW4974" s="15"/>
    </row>
    <row r="4975" spans="3:49" x14ac:dyDescent="0.2">
      <c r="C4975" s="15"/>
      <c r="D4975" s="15"/>
      <c r="E4975" s="15"/>
      <c r="F4975" s="15"/>
      <c r="G4975" s="15"/>
      <c r="H4975" s="15"/>
      <c r="I4975" s="15"/>
      <c r="J4975" s="15"/>
      <c r="K4975" s="15"/>
      <c r="L4975" s="28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  <c r="AA4975" s="15"/>
      <c r="AB4975" s="15"/>
      <c r="AC4975" s="15"/>
      <c r="AD4975" s="15"/>
      <c r="AE4975" s="15"/>
      <c r="AF4975" s="15"/>
      <c r="AG4975" s="15"/>
      <c r="AH4975" s="15"/>
      <c r="AI4975" s="15"/>
      <c r="AJ4975" s="15"/>
      <c r="AK4975" s="15"/>
      <c r="AL4975" s="15"/>
      <c r="AM4975" s="15"/>
      <c r="AN4975" s="15"/>
      <c r="AO4975" s="15"/>
      <c r="AP4975" s="15"/>
      <c r="AQ4975" s="15"/>
      <c r="AR4975" s="15"/>
      <c r="AS4975" s="15"/>
      <c r="AT4975" s="15"/>
      <c r="AU4975" s="15"/>
      <c r="AV4975" s="15"/>
      <c r="AW4975" s="15"/>
    </row>
    <row r="4976" spans="3:49" x14ac:dyDescent="0.2">
      <c r="C4976" s="15"/>
      <c r="D4976" s="15"/>
      <c r="E4976" s="15"/>
      <c r="F4976" s="15"/>
      <c r="G4976" s="15"/>
      <c r="H4976" s="15"/>
      <c r="I4976" s="15"/>
      <c r="J4976" s="15"/>
      <c r="K4976" s="15"/>
      <c r="L4976" s="28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  <c r="AA4976" s="15"/>
      <c r="AB4976" s="15"/>
      <c r="AC4976" s="15"/>
      <c r="AD4976" s="15"/>
      <c r="AE4976" s="15"/>
      <c r="AF4976" s="15"/>
      <c r="AG4976" s="15"/>
      <c r="AH4976" s="15"/>
      <c r="AI4976" s="15"/>
      <c r="AJ4976" s="15"/>
      <c r="AK4976" s="15"/>
      <c r="AL4976" s="15"/>
      <c r="AM4976" s="15"/>
      <c r="AN4976" s="15"/>
      <c r="AO4976" s="15"/>
      <c r="AP4976" s="15"/>
      <c r="AQ4976" s="15"/>
      <c r="AR4976" s="15"/>
      <c r="AS4976" s="15"/>
      <c r="AT4976" s="15"/>
      <c r="AU4976" s="15"/>
      <c r="AV4976" s="15"/>
      <c r="AW4976" s="15"/>
    </row>
    <row r="4977" spans="3:49" x14ac:dyDescent="0.2">
      <c r="C4977" s="15"/>
      <c r="D4977" s="15"/>
      <c r="E4977" s="15"/>
      <c r="F4977" s="15"/>
      <c r="G4977" s="15"/>
      <c r="H4977" s="15"/>
      <c r="I4977" s="15"/>
      <c r="J4977" s="15"/>
      <c r="K4977" s="15"/>
      <c r="L4977" s="28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  <c r="AA4977" s="15"/>
      <c r="AB4977" s="15"/>
      <c r="AC4977" s="15"/>
      <c r="AD4977" s="15"/>
      <c r="AE4977" s="15"/>
      <c r="AF4977" s="15"/>
      <c r="AG4977" s="15"/>
      <c r="AH4977" s="15"/>
      <c r="AI4977" s="15"/>
      <c r="AJ4977" s="15"/>
      <c r="AK4977" s="15"/>
      <c r="AL4977" s="15"/>
      <c r="AM4977" s="15"/>
      <c r="AN4977" s="15"/>
      <c r="AO4977" s="15"/>
      <c r="AP4977" s="15"/>
      <c r="AQ4977" s="15"/>
      <c r="AR4977" s="15"/>
      <c r="AS4977" s="15"/>
      <c r="AT4977" s="15"/>
      <c r="AU4977" s="15"/>
      <c r="AV4977" s="15"/>
      <c r="AW4977" s="15"/>
    </row>
    <row r="4978" spans="3:49" x14ac:dyDescent="0.2">
      <c r="C4978" s="15"/>
      <c r="D4978" s="15"/>
      <c r="E4978" s="15"/>
      <c r="F4978" s="15"/>
      <c r="G4978" s="15"/>
      <c r="H4978" s="15"/>
      <c r="I4978" s="15"/>
      <c r="J4978" s="15"/>
      <c r="K4978" s="15"/>
      <c r="L4978" s="28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  <c r="AA4978" s="15"/>
      <c r="AB4978" s="15"/>
      <c r="AC4978" s="15"/>
      <c r="AD4978" s="15"/>
      <c r="AE4978" s="15"/>
      <c r="AF4978" s="15"/>
      <c r="AG4978" s="15"/>
      <c r="AH4978" s="15"/>
      <c r="AI4978" s="15"/>
      <c r="AJ4978" s="15"/>
      <c r="AK4978" s="15"/>
      <c r="AL4978" s="15"/>
      <c r="AM4978" s="15"/>
      <c r="AN4978" s="15"/>
      <c r="AO4978" s="15"/>
      <c r="AP4978" s="15"/>
      <c r="AQ4978" s="15"/>
      <c r="AR4978" s="15"/>
      <c r="AS4978" s="15"/>
      <c r="AT4978" s="15"/>
      <c r="AU4978" s="15"/>
      <c r="AV4978" s="15"/>
      <c r="AW4978" s="15"/>
    </row>
    <row r="4979" spans="3:49" x14ac:dyDescent="0.2">
      <c r="C4979" s="15"/>
      <c r="D4979" s="15"/>
      <c r="E4979" s="15"/>
      <c r="F4979" s="15"/>
      <c r="G4979" s="15"/>
      <c r="H4979" s="15"/>
      <c r="I4979" s="15"/>
      <c r="J4979" s="15"/>
      <c r="K4979" s="15"/>
      <c r="L4979" s="28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  <c r="AA4979" s="15"/>
      <c r="AB4979" s="15"/>
      <c r="AC4979" s="15"/>
      <c r="AD4979" s="15"/>
      <c r="AE4979" s="15"/>
      <c r="AF4979" s="15"/>
      <c r="AG4979" s="15"/>
      <c r="AH4979" s="15"/>
      <c r="AI4979" s="15"/>
      <c r="AJ4979" s="15"/>
      <c r="AK4979" s="15"/>
      <c r="AL4979" s="15"/>
      <c r="AM4979" s="15"/>
      <c r="AN4979" s="15"/>
      <c r="AO4979" s="15"/>
      <c r="AP4979" s="15"/>
      <c r="AQ4979" s="15"/>
      <c r="AR4979" s="15"/>
      <c r="AS4979" s="15"/>
      <c r="AT4979" s="15"/>
      <c r="AU4979" s="15"/>
      <c r="AV4979" s="15"/>
      <c r="AW4979" s="15"/>
    </row>
    <row r="4980" spans="3:49" x14ac:dyDescent="0.2">
      <c r="C4980" s="15"/>
      <c r="D4980" s="15"/>
      <c r="E4980" s="15"/>
      <c r="F4980" s="15"/>
      <c r="G4980" s="15"/>
      <c r="H4980" s="15"/>
      <c r="I4980" s="15"/>
      <c r="J4980" s="15"/>
      <c r="K4980" s="15"/>
      <c r="L4980" s="28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  <c r="AA4980" s="15"/>
      <c r="AB4980" s="15"/>
      <c r="AC4980" s="15"/>
      <c r="AD4980" s="15"/>
      <c r="AE4980" s="15"/>
      <c r="AF4980" s="15"/>
      <c r="AG4980" s="15"/>
      <c r="AH4980" s="15"/>
      <c r="AI4980" s="15"/>
      <c r="AJ4980" s="15"/>
      <c r="AK4980" s="15"/>
      <c r="AL4980" s="15"/>
      <c r="AM4980" s="15"/>
      <c r="AN4980" s="15"/>
      <c r="AO4980" s="15"/>
      <c r="AP4980" s="15"/>
      <c r="AQ4980" s="15"/>
      <c r="AR4980" s="15"/>
      <c r="AS4980" s="15"/>
      <c r="AT4980" s="15"/>
      <c r="AU4980" s="15"/>
      <c r="AV4980" s="15"/>
      <c r="AW4980" s="15"/>
    </row>
    <row r="4981" spans="3:49" x14ac:dyDescent="0.2">
      <c r="C4981" s="15"/>
      <c r="D4981" s="15"/>
      <c r="E4981" s="15"/>
      <c r="F4981" s="15"/>
      <c r="G4981" s="15"/>
      <c r="H4981" s="15"/>
      <c r="I4981" s="15"/>
      <c r="J4981" s="15"/>
      <c r="K4981" s="15"/>
      <c r="L4981" s="28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  <c r="AA4981" s="15"/>
      <c r="AB4981" s="15"/>
      <c r="AC4981" s="15"/>
      <c r="AD4981" s="15"/>
      <c r="AE4981" s="15"/>
      <c r="AF4981" s="15"/>
      <c r="AG4981" s="15"/>
      <c r="AH4981" s="15"/>
      <c r="AI4981" s="15"/>
      <c r="AJ4981" s="15"/>
      <c r="AK4981" s="15"/>
      <c r="AL4981" s="15"/>
      <c r="AM4981" s="15"/>
      <c r="AN4981" s="15"/>
      <c r="AO4981" s="15"/>
      <c r="AP4981" s="15"/>
      <c r="AQ4981" s="15"/>
      <c r="AR4981" s="15"/>
      <c r="AS4981" s="15"/>
      <c r="AT4981" s="15"/>
      <c r="AU4981" s="15"/>
      <c r="AV4981" s="15"/>
      <c r="AW4981" s="15"/>
    </row>
    <row r="4982" spans="3:49" x14ac:dyDescent="0.2">
      <c r="C4982" s="15"/>
      <c r="D4982" s="15"/>
      <c r="E4982" s="15"/>
      <c r="F4982" s="15"/>
      <c r="G4982" s="15"/>
      <c r="H4982" s="15"/>
      <c r="I4982" s="15"/>
      <c r="J4982" s="15"/>
      <c r="K4982" s="15"/>
      <c r="L4982" s="28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  <c r="AA4982" s="15"/>
      <c r="AB4982" s="15"/>
      <c r="AC4982" s="15"/>
      <c r="AD4982" s="15"/>
      <c r="AE4982" s="15"/>
      <c r="AF4982" s="15"/>
      <c r="AG4982" s="15"/>
      <c r="AH4982" s="15"/>
      <c r="AI4982" s="15"/>
      <c r="AJ4982" s="15"/>
      <c r="AK4982" s="15"/>
      <c r="AL4982" s="15"/>
      <c r="AM4982" s="15"/>
      <c r="AN4982" s="15"/>
      <c r="AO4982" s="15"/>
      <c r="AP4982" s="15"/>
      <c r="AQ4982" s="15"/>
      <c r="AR4982" s="15"/>
      <c r="AS4982" s="15"/>
      <c r="AT4982" s="15"/>
      <c r="AU4982" s="15"/>
      <c r="AV4982" s="15"/>
      <c r="AW4982" s="15"/>
    </row>
    <row r="4983" spans="3:49" x14ac:dyDescent="0.2">
      <c r="C4983" s="15"/>
      <c r="D4983" s="15"/>
      <c r="E4983" s="15"/>
      <c r="F4983" s="15"/>
      <c r="G4983" s="15"/>
      <c r="H4983" s="15"/>
      <c r="I4983" s="15"/>
      <c r="J4983" s="15"/>
      <c r="K4983" s="15"/>
      <c r="L4983" s="28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  <c r="AA4983" s="15"/>
      <c r="AB4983" s="15"/>
      <c r="AC4983" s="15"/>
      <c r="AD4983" s="15"/>
      <c r="AE4983" s="15"/>
      <c r="AF4983" s="15"/>
      <c r="AG4983" s="15"/>
      <c r="AH4983" s="15"/>
      <c r="AI4983" s="15"/>
      <c r="AJ4983" s="15"/>
      <c r="AK4983" s="15"/>
      <c r="AL4983" s="15"/>
      <c r="AM4983" s="15"/>
      <c r="AN4983" s="15"/>
      <c r="AO4983" s="15"/>
      <c r="AP4983" s="15"/>
      <c r="AQ4983" s="15"/>
      <c r="AR4983" s="15"/>
      <c r="AS4983" s="15"/>
      <c r="AT4983" s="15"/>
      <c r="AU4983" s="15"/>
      <c r="AV4983" s="15"/>
      <c r="AW4983" s="15"/>
    </row>
    <row r="4984" spans="3:49" x14ac:dyDescent="0.2">
      <c r="C4984" s="15"/>
      <c r="D4984" s="15"/>
      <c r="E4984" s="15"/>
      <c r="F4984" s="15"/>
      <c r="G4984" s="15"/>
      <c r="H4984" s="15"/>
      <c r="I4984" s="15"/>
      <c r="J4984" s="15"/>
      <c r="K4984" s="15"/>
      <c r="L4984" s="28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  <c r="AA4984" s="15"/>
      <c r="AB4984" s="15"/>
      <c r="AC4984" s="15"/>
      <c r="AD4984" s="15"/>
      <c r="AE4984" s="15"/>
      <c r="AF4984" s="15"/>
      <c r="AG4984" s="15"/>
      <c r="AH4984" s="15"/>
      <c r="AI4984" s="15"/>
      <c r="AJ4984" s="15"/>
      <c r="AK4984" s="15"/>
      <c r="AL4984" s="15"/>
      <c r="AM4984" s="15"/>
      <c r="AN4984" s="15"/>
      <c r="AO4984" s="15"/>
      <c r="AP4984" s="15"/>
      <c r="AQ4984" s="15"/>
      <c r="AR4984" s="15"/>
      <c r="AS4984" s="15"/>
      <c r="AT4984" s="15"/>
      <c r="AU4984" s="15"/>
      <c r="AV4984" s="15"/>
      <c r="AW4984" s="15"/>
    </row>
    <row r="4985" spans="3:49" x14ac:dyDescent="0.2">
      <c r="C4985" s="15"/>
      <c r="D4985" s="15"/>
      <c r="E4985" s="15"/>
      <c r="F4985" s="15"/>
      <c r="G4985" s="15"/>
      <c r="H4985" s="15"/>
      <c r="I4985" s="15"/>
      <c r="J4985" s="15"/>
      <c r="K4985" s="15"/>
      <c r="L4985" s="28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  <c r="AA4985" s="15"/>
      <c r="AB4985" s="15"/>
      <c r="AC4985" s="15"/>
      <c r="AD4985" s="15"/>
      <c r="AE4985" s="15"/>
      <c r="AF4985" s="15"/>
      <c r="AG4985" s="15"/>
      <c r="AH4985" s="15"/>
      <c r="AI4985" s="15"/>
      <c r="AJ4985" s="15"/>
      <c r="AK4985" s="15"/>
      <c r="AL4985" s="15"/>
      <c r="AM4985" s="15"/>
      <c r="AN4985" s="15"/>
      <c r="AO4985" s="15"/>
      <c r="AP4985" s="15"/>
      <c r="AQ4985" s="15"/>
      <c r="AR4985" s="15"/>
      <c r="AS4985" s="15"/>
      <c r="AT4985" s="15"/>
      <c r="AU4985" s="15"/>
      <c r="AV4985" s="15"/>
      <c r="AW4985" s="15"/>
    </row>
    <row r="4986" spans="3:49" x14ac:dyDescent="0.2">
      <c r="C4986" s="15"/>
      <c r="D4986" s="15"/>
      <c r="E4986" s="15"/>
      <c r="F4986" s="15"/>
      <c r="G4986" s="15"/>
      <c r="H4986" s="15"/>
      <c r="I4986" s="15"/>
      <c r="J4986" s="15"/>
      <c r="K4986" s="15"/>
      <c r="L4986" s="28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  <c r="AA4986" s="15"/>
      <c r="AB4986" s="15"/>
      <c r="AC4986" s="15"/>
      <c r="AD4986" s="15"/>
      <c r="AE4986" s="15"/>
      <c r="AF4986" s="15"/>
      <c r="AG4986" s="15"/>
      <c r="AH4986" s="15"/>
      <c r="AI4986" s="15"/>
      <c r="AJ4986" s="15"/>
      <c r="AK4986" s="15"/>
      <c r="AL4986" s="15"/>
      <c r="AM4986" s="15"/>
      <c r="AN4986" s="15"/>
      <c r="AO4986" s="15"/>
      <c r="AP4986" s="15"/>
      <c r="AQ4986" s="15"/>
      <c r="AR4986" s="15"/>
      <c r="AS4986" s="15"/>
      <c r="AT4986" s="15"/>
      <c r="AU4986" s="15"/>
      <c r="AV4986" s="15"/>
      <c r="AW4986" s="15"/>
    </row>
    <row r="4987" spans="3:49" x14ac:dyDescent="0.2">
      <c r="C4987" s="15"/>
      <c r="D4987" s="15"/>
      <c r="E4987" s="15"/>
      <c r="F4987" s="15"/>
      <c r="G4987" s="15"/>
      <c r="H4987" s="15"/>
      <c r="I4987" s="15"/>
      <c r="J4987" s="15"/>
      <c r="K4987" s="15"/>
      <c r="L4987" s="28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  <c r="AA4987" s="15"/>
      <c r="AB4987" s="15"/>
      <c r="AC4987" s="15"/>
      <c r="AD4987" s="15"/>
      <c r="AE4987" s="15"/>
      <c r="AF4987" s="15"/>
      <c r="AG4987" s="15"/>
      <c r="AH4987" s="15"/>
      <c r="AI4987" s="15"/>
      <c r="AJ4987" s="15"/>
      <c r="AK4987" s="15"/>
      <c r="AL4987" s="15"/>
      <c r="AM4987" s="15"/>
      <c r="AN4987" s="15"/>
      <c r="AO4987" s="15"/>
      <c r="AP4987" s="15"/>
      <c r="AQ4987" s="15"/>
      <c r="AR4987" s="15"/>
      <c r="AS4987" s="15"/>
      <c r="AT4987" s="15"/>
      <c r="AU4987" s="15"/>
      <c r="AV4987" s="15"/>
      <c r="AW4987" s="15"/>
    </row>
    <row r="4988" spans="3:49" x14ac:dyDescent="0.2">
      <c r="C4988" s="15"/>
      <c r="D4988" s="15"/>
      <c r="E4988" s="15"/>
      <c r="F4988" s="15"/>
      <c r="G4988" s="15"/>
      <c r="H4988" s="15"/>
      <c r="I4988" s="15"/>
      <c r="J4988" s="15"/>
      <c r="K4988" s="15"/>
      <c r="L4988" s="28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  <c r="AA4988" s="15"/>
      <c r="AB4988" s="15"/>
      <c r="AC4988" s="15"/>
      <c r="AD4988" s="15"/>
      <c r="AE4988" s="15"/>
      <c r="AF4988" s="15"/>
      <c r="AG4988" s="15"/>
      <c r="AH4988" s="15"/>
      <c r="AI4988" s="15"/>
      <c r="AJ4988" s="15"/>
      <c r="AK4988" s="15"/>
      <c r="AL4988" s="15"/>
      <c r="AM4988" s="15"/>
      <c r="AN4988" s="15"/>
      <c r="AO4988" s="15"/>
      <c r="AP4988" s="15"/>
      <c r="AQ4988" s="15"/>
      <c r="AR4988" s="15"/>
      <c r="AS4988" s="15"/>
      <c r="AT4988" s="15"/>
      <c r="AU4988" s="15"/>
      <c r="AV4988" s="15"/>
      <c r="AW4988" s="15"/>
    </row>
    <row r="4989" spans="3:49" x14ac:dyDescent="0.2">
      <c r="C4989" s="15"/>
      <c r="D4989" s="15"/>
      <c r="E4989" s="15"/>
      <c r="F4989" s="15"/>
      <c r="G4989" s="15"/>
      <c r="H4989" s="15"/>
      <c r="I4989" s="15"/>
      <c r="J4989" s="15"/>
      <c r="K4989" s="15"/>
      <c r="L4989" s="28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  <c r="AA4989" s="15"/>
      <c r="AB4989" s="15"/>
      <c r="AC4989" s="15"/>
      <c r="AD4989" s="15"/>
      <c r="AE4989" s="15"/>
      <c r="AF4989" s="15"/>
      <c r="AG4989" s="15"/>
      <c r="AH4989" s="15"/>
      <c r="AI4989" s="15"/>
      <c r="AJ4989" s="15"/>
      <c r="AK4989" s="15"/>
      <c r="AL4989" s="15"/>
      <c r="AM4989" s="15"/>
      <c r="AN4989" s="15"/>
      <c r="AO4989" s="15"/>
      <c r="AP4989" s="15"/>
      <c r="AQ4989" s="15"/>
      <c r="AR4989" s="15"/>
      <c r="AS4989" s="15"/>
      <c r="AT4989" s="15"/>
      <c r="AU4989" s="15"/>
      <c r="AV4989" s="15"/>
      <c r="AW4989" s="15"/>
    </row>
    <row r="4990" spans="3:49" x14ac:dyDescent="0.2">
      <c r="C4990" s="15"/>
      <c r="D4990" s="15"/>
      <c r="E4990" s="15"/>
      <c r="F4990" s="15"/>
      <c r="G4990" s="15"/>
      <c r="H4990" s="15"/>
      <c r="I4990" s="15"/>
      <c r="J4990" s="15"/>
      <c r="K4990" s="15"/>
      <c r="L4990" s="28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  <c r="AA4990" s="15"/>
      <c r="AB4990" s="15"/>
      <c r="AC4990" s="15"/>
      <c r="AD4990" s="15"/>
      <c r="AE4990" s="15"/>
      <c r="AF4990" s="15"/>
      <c r="AG4990" s="15"/>
      <c r="AH4990" s="15"/>
      <c r="AI4990" s="15"/>
      <c r="AJ4990" s="15"/>
      <c r="AK4990" s="15"/>
      <c r="AL4990" s="15"/>
      <c r="AM4990" s="15"/>
      <c r="AN4990" s="15"/>
      <c r="AO4990" s="15"/>
      <c r="AP4990" s="15"/>
      <c r="AQ4990" s="15"/>
      <c r="AR4990" s="15"/>
      <c r="AS4990" s="15"/>
      <c r="AT4990" s="15"/>
      <c r="AU4990" s="15"/>
      <c r="AV4990" s="15"/>
      <c r="AW4990" s="15"/>
    </row>
    <row r="4991" spans="3:49" x14ac:dyDescent="0.2">
      <c r="C4991" s="15"/>
      <c r="D4991" s="15"/>
      <c r="E4991" s="15"/>
      <c r="F4991" s="15"/>
      <c r="G4991" s="15"/>
      <c r="H4991" s="15"/>
      <c r="I4991" s="15"/>
      <c r="J4991" s="15"/>
      <c r="K4991" s="15"/>
      <c r="L4991" s="28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  <c r="AA4991" s="15"/>
      <c r="AB4991" s="15"/>
      <c r="AC4991" s="15"/>
      <c r="AD4991" s="15"/>
      <c r="AE4991" s="15"/>
      <c r="AF4991" s="15"/>
      <c r="AG4991" s="15"/>
      <c r="AH4991" s="15"/>
      <c r="AI4991" s="15"/>
      <c r="AJ4991" s="15"/>
      <c r="AK4991" s="15"/>
      <c r="AL4991" s="15"/>
      <c r="AM4991" s="15"/>
      <c r="AN4991" s="15"/>
      <c r="AO4991" s="15"/>
      <c r="AP4991" s="15"/>
      <c r="AQ4991" s="15"/>
      <c r="AR4991" s="15"/>
      <c r="AS4991" s="15"/>
      <c r="AT4991" s="15"/>
      <c r="AU4991" s="15"/>
      <c r="AV4991" s="15"/>
      <c r="AW4991" s="15"/>
    </row>
    <row r="4992" spans="3:49" x14ac:dyDescent="0.2">
      <c r="C4992" s="15"/>
      <c r="D4992" s="15"/>
      <c r="E4992" s="15"/>
      <c r="F4992" s="15"/>
      <c r="G4992" s="15"/>
      <c r="H4992" s="15"/>
      <c r="I4992" s="15"/>
      <c r="J4992" s="15"/>
      <c r="K4992" s="15"/>
      <c r="L4992" s="28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  <c r="AA4992" s="15"/>
      <c r="AB4992" s="15"/>
      <c r="AC4992" s="15"/>
      <c r="AD4992" s="15"/>
      <c r="AE4992" s="15"/>
      <c r="AF4992" s="15"/>
      <c r="AG4992" s="15"/>
      <c r="AH4992" s="15"/>
      <c r="AI4992" s="15"/>
      <c r="AJ4992" s="15"/>
      <c r="AK4992" s="15"/>
      <c r="AL4992" s="15"/>
      <c r="AM4992" s="15"/>
      <c r="AN4992" s="15"/>
      <c r="AO4992" s="15"/>
      <c r="AP4992" s="15"/>
      <c r="AQ4992" s="15"/>
      <c r="AR4992" s="15"/>
      <c r="AS4992" s="15"/>
      <c r="AT4992" s="15"/>
      <c r="AU4992" s="15"/>
      <c r="AV4992" s="15"/>
      <c r="AW4992" s="15"/>
    </row>
    <row r="4993" spans="3:49" x14ac:dyDescent="0.2">
      <c r="C4993" s="15"/>
      <c r="D4993" s="15"/>
      <c r="E4993" s="15"/>
      <c r="F4993" s="15"/>
      <c r="G4993" s="15"/>
      <c r="H4993" s="15"/>
      <c r="I4993" s="15"/>
      <c r="J4993" s="15"/>
      <c r="K4993" s="15"/>
      <c r="L4993" s="28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  <c r="AA4993" s="15"/>
      <c r="AB4993" s="15"/>
      <c r="AC4993" s="15"/>
      <c r="AD4993" s="15"/>
      <c r="AE4993" s="15"/>
      <c r="AF4993" s="15"/>
      <c r="AG4993" s="15"/>
      <c r="AH4993" s="15"/>
      <c r="AI4993" s="15"/>
      <c r="AJ4993" s="15"/>
      <c r="AK4993" s="15"/>
      <c r="AL4993" s="15"/>
      <c r="AM4993" s="15"/>
      <c r="AN4993" s="15"/>
      <c r="AO4993" s="15"/>
      <c r="AP4993" s="15"/>
      <c r="AQ4993" s="15"/>
      <c r="AR4993" s="15"/>
      <c r="AS4993" s="15"/>
      <c r="AT4993" s="15"/>
      <c r="AU4993" s="15"/>
      <c r="AV4993" s="15"/>
      <c r="AW4993" s="15"/>
    </row>
    <row r="4994" spans="3:49" x14ac:dyDescent="0.2">
      <c r="C4994" s="15"/>
      <c r="D4994" s="15"/>
      <c r="E4994" s="15"/>
      <c r="F4994" s="15"/>
      <c r="G4994" s="15"/>
      <c r="H4994" s="15"/>
      <c r="I4994" s="15"/>
      <c r="J4994" s="15"/>
      <c r="K4994" s="15"/>
      <c r="L4994" s="28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  <c r="AA4994" s="15"/>
      <c r="AB4994" s="15"/>
      <c r="AC4994" s="15"/>
      <c r="AD4994" s="15"/>
      <c r="AE4994" s="15"/>
      <c r="AF4994" s="15"/>
      <c r="AG4994" s="15"/>
      <c r="AH4994" s="15"/>
      <c r="AI4994" s="15"/>
      <c r="AJ4994" s="15"/>
      <c r="AK4994" s="15"/>
      <c r="AL4994" s="15"/>
      <c r="AM4994" s="15"/>
      <c r="AN4994" s="15"/>
      <c r="AO4994" s="15"/>
      <c r="AP4994" s="15"/>
      <c r="AQ4994" s="15"/>
      <c r="AR4994" s="15"/>
      <c r="AS4994" s="15"/>
      <c r="AT4994" s="15"/>
      <c r="AU4994" s="15"/>
      <c r="AV4994" s="15"/>
      <c r="AW4994" s="15"/>
    </row>
    <row r="4995" spans="3:49" x14ac:dyDescent="0.2">
      <c r="C4995" s="15"/>
      <c r="D4995" s="15"/>
      <c r="E4995" s="15"/>
      <c r="F4995" s="15"/>
      <c r="G4995" s="15"/>
      <c r="H4995" s="15"/>
      <c r="I4995" s="15"/>
      <c r="J4995" s="15"/>
      <c r="K4995" s="15"/>
      <c r="L4995" s="28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  <c r="AA4995" s="15"/>
      <c r="AB4995" s="15"/>
      <c r="AC4995" s="15"/>
      <c r="AD4995" s="15"/>
      <c r="AE4995" s="15"/>
      <c r="AF4995" s="15"/>
      <c r="AG4995" s="15"/>
      <c r="AH4995" s="15"/>
      <c r="AI4995" s="15"/>
      <c r="AJ4995" s="15"/>
      <c r="AK4995" s="15"/>
      <c r="AL4995" s="15"/>
      <c r="AM4995" s="15"/>
      <c r="AN4995" s="15"/>
      <c r="AO4995" s="15"/>
      <c r="AP4995" s="15"/>
      <c r="AQ4995" s="15"/>
      <c r="AR4995" s="15"/>
      <c r="AS4995" s="15"/>
      <c r="AT4995" s="15"/>
      <c r="AU4995" s="15"/>
      <c r="AV4995" s="15"/>
      <c r="AW4995" s="15"/>
    </row>
    <row r="4996" spans="3:49" x14ac:dyDescent="0.2">
      <c r="C4996" s="15"/>
      <c r="D4996" s="15"/>
      <c r="E4996" s="15"/>
      <c r="F4996" s="15"/>
      <c r="G4996" s="15"/>
      <c r="H4996" s="15"/>
      <c r="I4996" s="15"/>
      <c r="J4996" s="15"/>
      <c r="K4996" s="15"/>
      <c r="L4996" s="28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  <c r="AA4996" s="15"/>
      <c r="AB4996" s="15"/>
      <c r="AC4996" s="15"/>
      <c r="AD4996" s="15"/>
      <c r="AE4996" s="15"/>
      <c r="AF4996" s="15"/>
      <c r="AG4996" s="15"/>
      <c r="AH4996" s="15"/>
      <c r="AI4996" s="15"/>
      <c r="AJ4996" s="15"/>
      <c r="AK4996" s="15"/>
      <c r="AL4996" s="15"/>
      <c r="AM4996" s="15"/>
      <c r="AN4996" s="15"/>
      <c r="AO4996" s="15"/>
      <c r="AP4996" s="15"/>
      <c r="AQ4996" s="15"/>
      <c r="AR4996" s="15"/>
      <c r="AS4996" s="15"/>
      <c r="AT4996" s="15"/>
      <c r="AU4996" s="15"/>
      <c r="AV4996" s="15"/>
      <c r="AW4996" s="15"/>
    </row>
    <row r="4997" spans="3:49" x14ac:dyDescent="0.2">
      <c r="C4997" s="15"/>
      <c r="D4997" s="15"/>
      <c r="E4997" s="15"/>
      <c r="F4997" s="15"/>
      <c r="G4997" s="15"/>
      <c r="H4997" s="15"/>
      <c r="I4997" s="15"/>
      <c r="J4997" s="15"/>
      <c r="K4997" s="15"/>
      <c r="L4997" s="28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  <c r="AA4997" s="15"/>
      <c r="AB4997" s="15"/>
      <c r="AC4997" s="15"/>
      <c r="AD4997" s="15"/>
      <c r="AE4997" s="15"/>
      <c r="AF4997" s="15"/>
      <c r="AG4997" s="15"/>
      <c r="AH4997" s="15"/>
      <c r="AI4997" s="15"/>
      <c r="AJ4997" s="15"/>
      <c r="AK4997" s="15"/>
      <c r="AL4997" s="15"/>
      <c r="AM4997" s="15"/>
      <c r="AN4997" s="15"/>
      <c r="AO4997" s="15"/>
      <c r="AP4997" s="15"/>
      <c r="AQ4997" s="15"/>
      <c r="AR4997" s="15"/>
      <c r="AS4997" s="15"/>
      <c r="AT4997" s="15"/>
      <c r="AU4997" s="15"/>
      <c r="AV4997" s="15"/>
      <c r="AW4997" s="15"/>
    </row>
    <row r="4998" spans="3:49" x14ac:dyDescent="0.2">
      <c r="C4998" s="15"/>
      <c r="D4998" s="15"/>
      <c r="E4998" s="15"/>
      <c r="F4998" s="15"/>
      <c r="G4998" s="15"/>
      <c r="H4998" s="15"/>
      <c r="I4998" s="15"/>
      <c r="J4998" s="15"/>
      <c r="K4998" s="15"/>
      <c r="L4998" s="28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  <c r="AA4998" s="15"/>
      <c r="AB4998" s="15"/>
      <c r="AC4998" s="15"/>
      <c r="AD4998" s="15"/>
      <c r="AE4998" s="15"/>
      <c r="AF4998" s="15"/>
      <c r="AG4998" s="15"/>
      <c r="AH4998" s="15"/>
      <c r="AI4998" s="15"/>
      <c r="AJ4998" s="15"/>
      <c r="AK4998" s="15"/>
      <c r="AL4998" s="15"/>
      <c r="AM4998" s="15"/>
      <c r="AN4998" s="15"/>
      <c r="AO4998" s="15"/>
      <c r="AP4998" s="15"/>
      <c r="AQ4998" s="15"/>
      <c r="AR4998" s="15"/>
      <c r="AS4998" s="15"/>
      <c r="AT4998" s="15"/>
      <c r="AU4998" s="15"/>
      <c r="AV4998" s="15"/>
      <c r="AW4998" s="15"/>
    </row>
    <row r="4999" spans="3:49" x14ac:dyDescent="0.2">
      <c r="C4999" s="15"/>
      <c r="D4999" s="15"/>
      <c r="E4999" s="15"/>
      <c r="F4999" s="15"/>
      <c r="G4999" s="15"/>
      <c r="H4999" s="15"/>
      <c r="I4999" s="15"/>
      <c r="J4999" s="15"/>
      <c r="K4999" s="15"/>
      <c r="L4999" s="28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  <c r="AA4999" s="15"/>
      <c r="AB4999" s="15"/>
      <c r="AC4999" s="15"/>
      <c r="AD4999" s="15"/>
      <c r="AE4999" s="15"/>
      <c r="AF4999" s="15"/>
      <c r="AG4999" s="15"/>
      <c r="AH4999" s="15"/>
      <c r="AI4999" s="15"/>
      <c r="AJ4999" s="15"/>
      <c r="AK4999" s="15"/>
      <c r="AL4999" s="15"/>
      <c r="AM4999" s="15"/>
      <c r="AN4999" s="15"/>
      <c r="AO4999" s="15"/>
      <c r="AP4999" s="15"/>
      <c r="AQ4999" s="15"/>
      <c r="AR4999" s="15"/>
      <c r="AS4999" s="15"/>
      <c r="AT4999" s="15"/>
      <c r="AU4999" s="15"/>
      <c r="AV4999" s="15"/>
      <c r="AW4999" s="15"/>
    </row>
    <row r="5000" spans="3:49" x14ac:dyDescent="0.2">
      <c r="C5000" s="15"/>
      <c r="D5000" s="15"/>
      <c r="E5000" s="15"/>
      <c r="F5000" s="15"/>
      <c r="G5000" s="15"/>
      <c r="H5000" s="15"/>
      <c r="I5000" s="15"/>
      <c r="J5000" s="15"/>
      <c r="K5000" s="15"/>
      <c r="L5000" s="28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  <c r="AA5000" s="15"/>
      <c r="AB5000" s="15"/>
      <c r="AC5000" s="15"/>
      <c r="AD5000" s="15"/>
      <c r="AE5000" s="15"/>
      <c r="AF5000" s="15"/>
      <c r="AG5000" s="15"/>
      <c r="AH5000" s="15"/>
      <c r="AI5000" s="15"/>
      <c r="AJ5000" s="15"/>
      <c r="AK5000" s="15"/>
      <c r="AL5000" s="15"/>
      <c r="AM5000" s="15"/>
      <c r="AN5000" s="15"/>
      <c r="AO5000" s="15"/>
      <c r="AP5000" s="15"/>
      <c r="AQ5000" s="15"/>
      <c r="AR5000" s="15"/>
      <c r="AS5000" s="15"/>
      <c r="AT5000" s="15"/>
      <c r="AU5000" s="15"/>
      <c r="AV5000" s="15"/>
      <c r="AW5000" s="15"/>
    </row>
    <row r="5001" spans="3:49" x14ac:dyDescent="0.2">
      <c r="C5001" s="15"/>
      <c r="D5001" s="15"/>
      <c r="E5001" s="15"/>
      <c r="F5001" s="15"/>
      <c r="G5001" s="15"/>
      <c r="H5001" s="15"/>
      <c r="I5001" s="15"/>
      <c r="J5001" s="15"/>
      <c r="K5001" s="15"/>
      <c r="L5001" s="28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  <c r="AA5001" s="15"/>
      <c r="AB5001" s="15"/>
      <c r="AC5001" s="15"/>
      <c r="AD5001" s="15"/>
      <c r="AE5001" s="15"/>
      <c r="AF5001" s="15"/>
      <c r="AG5001" s="15"/>
      <c r="AH5001" s="15"/>
      <c r="AI5001" s="15"/>
      <c r="AJ5001" s="15"/>
      <c r="AK5001" s="15"/>
      <c r="AL5001" s="15"/>
      <c r="AM5001" s="15"/>
      <c r="AN5001" s="15"/>
      <c r="AO5001" s="15"/>
      <c r="AP5001" s="15"/>
      <c r="AQ5001" s="15"/>
      <c r="AR5001" s="15"/>
      <c r="AS5001" s="15"/>
      <c r="AT5001" s="15"/>
      <c r="AU5001" s="15"/>
      <c r="AV5001" s="15"/>
      <c r="AW5001" s="15"/>
    </row>
    <row r="5002" spans="3:49" x14ac:dyDescent="0.2">
      <c r="C5002" s="15"/>
      <c r="D5002" s="15"/>
      <c r="E5002" s="15"/>
      <c r="F5002" s="15"/>
      <c r="G5002" s="15"/>
      <c r="H5002" s="15"/>
      <c r="I5002" s="15"/>
      <c r="J5002" s="15"/>
      <c r="K5002" s="15"/>
      <c r="L5002" s="28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  <c r="AA5002" s="15"/>
      <c r="AB5002" s="15"/>
      <c r="AC5002" s="15"/>
      <c r="AD5002" s="15"/>
      <c r="AE5002" s="15"/>
      <c r="AF5002" s="15"/>
      <c r="AG5002" s="15"/>
      <c r="AH5002" s="15"/>
      <c r="AI5002" s="15"/>
      <c r="AJ5002" s="15"/>
      <c r="AK5002" s="15"/>
      <c r="AL5002" s="15"/>
      <c r="AM5002" s="15"/>
      <c r="AN5002" s="15"/>
      <c r="AO5002" s="15"/>
      <c r="AP5002" s="15"/>
      <c r="AQ5002" s="15"/>
      <c r="AR5002" s="15"/>
      <c r="AS5002" s="15"/>
      <c r="AT5002" s="15"/>
      <c r="AU5002" s="15"/>
      <c r="AV5002" s="15"/>
      <c r="AW5002" s="15"/>
    </row>
    <row r="5003" spans="3:49" x14ac:dyDescent="0.2">
      <c r="C5003" s="15"/>
      <c r="D5003" s="15"/>
      <c r="E5003" s="15"/>
      <c r="F5003" s="15"/>
      <c r="G5003" s="15"/>
      <c r="H5003" s="15"/>
      <c r="I5003" s="15"/>
      <c r="J5003" s="15"/>
      <c r="K5003" s="15"/>
      <c r="L5003" s="28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  <c r="AA5003" s="15"/>
      <c r="AB5003" s="15"/>
      <c r="AC5003" s="15"/>
      <c r="AD5003" s="15"/>
      <c r="AE5003" s="15"/>
      <c r="AF5003" s="15"/>
      <c r="AG5003" s="15"/>
      <c r="AH5003" s="15"/>
      <c r="AI5003" s="15"/>
      <c r="AJ5003" s="15"/>
      <c r="AK5003" s="15"/>
      <c r="AL5003" s="15"/>
      <c r="AM5003" s="15"/>
      <c r="AN5003" s="15"/>
      <c r="AO5003" s="15"/>
      <c r="AP5003" s="15"/>
      <c r="AQ5003" s="15"/>
      <c r="AR5003" s="15"/>
      <c r="AS5003" s="15"/>
      <c r="AT5003" s="15"/>
      <c r="AU5003" s="15"/>
      <c r="AV5003" s="15"/>
      <c r="AW5003" s="15"/>
    </row>
    <row r="5004" spans="3:49" x14ac:dyDescent="0.2">
      <c r="C5004" s="15"/>
      <c r="D5004" s="15"/>
      <c r="E5004" s="15"/>
      <c r="F5004" s="15"/>
      <c r="G5004" s="15"/>
      <c r="H5004" s="15"/>
      <c r="I5004" s="15"/>
      <c r="J5004" s="15"/>
      <c r="K5004" s="15"/>
      <c r="L5004" s="28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  <c r="AA5004" s="15"/>
      <c r="AB5004" s="15"/>
      <c r="AC5004" s="15"/>
      <c r="AD5004" s="15"/>
      <c r="AE5004" s="15"/>
      <c r="AF5004" s="15"/>
      <c r="AG5004" s="15"/>
      <c r="AH5004" s="15"/>
      <c r="AI5004" s="15"/>
      <c r="AJ5004" s="15"/>
      <c r="AK5004" s="15"/>
      <c r="AL5004" s="15"/>
      <c r="AM5004" s="15"/>
      <c r="AN5004" s="15"/>
      <c r="AO5004" s="15"/>
      <c r="AP5004" s="15"/>
      <c r="AQ5004" s="15"/>
      <c r="AR5004" s="15"/>
      <c r="AS5004" s="15"/>
      <c r="AT5004" s="15"/>
      <c r="AU5004" s="15"/>
      <c r="AV5004" s="15"/>
      <c r="AW5004" s="15"/>
    </row>
    <row r="5005" spans="3:49" x14ac:dyDescent="0.2">
      <c r="C5005" s="15"/>
      <c r="D5005" s="15"/>
      <c r="E5005" s="15"/>
      <c r="F5005" s="15"/>
      <c r="G5005" s="15"/>
      <c r="H5005" s="15"/>
      <c r="I5005" s="15"/>
      <c r="J5005" s="15"/>
      <c r="K5005" s="15"/>
      <c r="L5005" s="28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  <c r="AA5005" s="15"/>
      <c r="AB5005" s="15"/>
      <c r="AC5005" s="15"/>
      <c r="AD5005" s="15"/>
      <c r="AE5005" s="15"/>
      <c r="AF5005" s="15"/>
      <c r="AG5005" s="15"/>
      <c r="AH5005" s="15"/>
      <c r="AI5005" s="15"/>
      <c r="AJ5005" s="15"/>
      <c r="AK5005" s="15"/>
      <c r="AL5005" s="15"/>
      <c r="AM5005" s="15"/>
      <c r="AN5005" s="15"/>
      <c r="AO5005" s="15"/>
      <c r="AP5005" s="15"/>
      <c r="AQ5005" s="15"/>
      <c r="AR5005" s="15"/>
      <c r="AS5005" s="15"/>
      <c r="AT5005" s="15"/>
      <c r="AU5005" s="15"/>
      <c r="AV5005" s="15"/>
      <c r="AW5005" s="15"/>
    </row>
    <row r="5006" spans="3:49" x14ac:dyDescent="0.2">
      <c r="C5006" s="15"/>
      <c r="D5006" s="15"/>
      <c r="E5006" s="15"/>
      <c r="F5006" s="15"/>
      <c r="G5006" s="15"/>
      <c r="H5006" s="15"/>
      <c r="I5006" s="15"/>
      <c r="J5006" s="15"/>
      <c r="K5006" s="15"/>
      <c r="L5006" s="28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  <c r="AA5006" s="15"/>
      <c r="AB5006" s="15"/>
      <c r="AC5006" s="15"/>
      <c r="AD5006" s="15"/>
      <c r="AE5006" s="15"/>
      <c r="AF5006" s="15"/>
      <c r="AG5006" s="15"/>
      <c r="AH5006" s="15"/>
      <c r="AI5006" s="15"/>
      <c r="AJ5006" s="15"/>
      <c r="AK5006" s="15"/>
      <c r="AL5006" s="15"/>
      <c r="AM5006" s="15"/>
      <c r="AN5006" s="15"/>
      <c r="AO5006" s="15"/>
      <c r="AP5006" s="15"/>
      <c r="AQ5006" s="15"/>
      <c r="AR5006" s="15"/>
      <c r="AS5006" s="15"/>
      <c r="AT5006" s="15"/>
      <c r="AU5006" s="15"/>
      <c r="AV5006" s="15"/>
      <c r="AW5006" s="15"/>
    </row>
    <row r="5007" spans="3:49" x14ac:dyDescent="0.2">
      <c r="C5007" s="15"/>
      <c r="D5007" s="15"/>
      <c r="E5007" s="15"/>
      <c r="F5007" s="15"/>
      <c r="G5007" s="15"/>
      <c r="H5007" s="15"/>
      <c r="I5007" s="15"/>
      <c r="J5007" s="15"/>
      <c r="K5007" s="15"/>
      <c r="L5007" s="28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  <c r="AA5007" s="15"/>
      <c r="AB5007" s="15"/>
      <c r="AC5007" s="15"/>
      <c r="AD5007" s="15"/>
      <c r="AE5007" s="15"/>
      <c r="AF5007" s="15"/>
      <c r="AG5007" s="15"/>
      <c r="AH5007" s="15"/>
      <c r="AI5007" s="15"/>
      <c r="AJ5007" s="15"/>
      <c r="AK5007" s="15"/>
      <c r="AL5007" s="15"/>
      <c r="AM5007" s="15"/>
      <c r="AN5007" s="15"/>
      <c r="AO5007" s="15"/>
      <c r="AP5007" s="15"/>
      <c r="AQ5007" s="15"/>
      <c r="AR5007" s="15"/>
      <c r="AS5007" s="15"/>
      <c r="AT5007" s="15"/>
      <c r="AU5007" s="15"/>
      <c r="AV5007" s="15"/>
      <c r="AW5007" s="15"/>
    </row>
    <row r="5008" spans="3:49" x14ac:dyDescent="0.2">
      <c r="C5008" s="15"/>
      <c r="D5008" s="15"/>
      <c r="E5008" s="15"/>
      <c r="F5008" s="15"/>
      <c r="G5008" s="15"/>
      <c r="H5008" s="15"/>
      <c r="I5008" s="15"/>
      <c r="J5008" s="15"/>
      <c r="K5008" s="15"/>
      <c r="L5008" s="28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  <c r="AA5008" s="15"/>
      <c r="AB5008" s="15"/>
      <c r="AC5008" s="15"/>
      <c r="AD5008" s="15"/>
      <c r="AE5008" s="15"/>
      <c r="AF5008" s="15"/>
      <c r="AG5008" s="15"/>
      <c r="AH5008" s="15"/>
      <c r="AI5008" s="15"/>
      <c r="AJ5008" s="15"/>
      <c r="AK5008" s="15"/>
      <c r="AL5008" s="15"/>
      <c r="AM5008" s="15"/>
      <c r="AN5008" s="15"/>
      <c r="AO5008" s="15"/>
      <c r="AP5008" s="15"/>
      <c r="AQ5008" s="15"/>
      <c r="AR5008" s="15"/>
      <c r="AS5008" s="15"/>
      <c r="AT5008" s="15"/>
      <c r="AU5008" s="15"/>
      <c r="AV5008" s="15"/>
      <c r="AW5008" s="15"/>
    </row>
    <row r="5009" spans="3:49" x14ac:dyDescent="0.2">
      <c r="C5009" s="15"/>
      <c r="D5009" s="15"/>
      <c r="E5009" s="15"/>
      <c r="F5009" s="15"/>
      <c r="G5009" s="15"/>
      <c r="H5009" s="15"/>
      <c r="I5009" s="15"/>
      <c r="J5009" s="15"/>
      <c r="K5009" s="15"/>
      <c r="L5009" s="28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  <c r="AA5009" s="15"/>
      <c r="AB5009" s="15"/>
      <c r="AC5009" s="15"/>
      <c r="AD5009" s="15"/>
      <c r="AE5009" s="15"/>
      <c r="AF5009" s="15"/>
      <c r="AG5009" s="15"/>
      <c r="AH5009" s="15"/>
      <c r="AI5009" s="15"/>
      <c r="AJ5009" s="15"/>
      <c r="AK5009" s="15"/>
      <c r="AL5009" s="15"/>
      <c r="AM5009" s="15"/>
      <c r="AN5009" s="15"/>
      <c r="AO5009" s="15"/>
      <c r="AP5009" s="15"/>
      <c r="AQ5009" s="15"/>
      <c r="AR5009" s="15"/>
      <c r="AS5009" s="15"/>
      <c r="AT5009" s="15"/>
      <c r="AU5009" s="15"/>
      <c r="AV5009" s="15"/>
      <c r="AW5009" s="15"/>
    </row>
    <row r="5010" spans="3:49" x14ac:dyDescent="0.2">
      <c r="C5010" s="15"/>
      <c r="D5010" s="15"/>
      <c r="E5010" s="15"/>
      <c r="F5010" s="15"/>
      <c r="G5010" s="15"/>
      <c r="H5010" s="15"/>
      <c r="I5010" s="15"/>
      <c r="J5010" s="15"/>
      <c r="K5010" s="15"/>
      <c r="L5010" s="28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  <c r="AA5010" s="15"/>
      <c r="AB5010" s="15"/>
      <c r="AC5010" s="15"/>
      <c r="AD5010" s="15"/>
      <c r="AE5010" s="15"/>
      <c r="AF5010" s="15"/>
      <c r="AG5010" s="15"/>
      <c r="AH5010" s="15"/>
      <c r="AI5010" s="15"/>
      <c r="AJ5010" s="15"/>
      <c r="AK5010" s="15"/>
      <c r="AL5010" s="15"/>
      <c r="AM5010" s="15"/>
      <c r="AN5010" s="15"/>
      <c r="AO5010" s="15"/>
      <c r="AP5010" s="15"/>
      <c r="AQ5010" s="15"/>
      <c r="AR5010" s="15"/>
      <c r="AS5010" s="15"/>
      <c r="AT5010" s="15"/>
      <c r="AU5010" s="15"/>
      <c r="AV5010" s="15"/>
      <c r="AW5010" s="15"/>
    </row>
    <row r="5011" spans="3:49" x14ac:dyDescent="0.2">
      <c r="C5011" s="15"/>
      <c r="D5011" s="15"/>
      <c r="E5011" s="15"/>
      <c r="F5011" s="15"/>
      <c r="G5011" s="15"/>
      <c r="H5011" s="15"/>
      <c r="I5011" s="15"/>
      <c r="J5011" s="15"/>
      <c r="K5011" s="15"/>
      <c r="L5011" s="28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  <c r="AA5011" s="15"/>
      <c r="AB5011" s="15"/>
      <c r="AC5011" s="15"/>
      <c r="AD5011" s="15"/>
      <c r="AE5011" s="15"/>
      <c r="AF5011" s="15"/>
      <c r="AG5011" s="15"/>
      <c r="AH5011" s="15"/>
      <c r="AI5011" s="15"/>
      <c r="AJ5011" s="15"/>
      <c r="AK5011" s="15"/>
      <c r="AL5011" s="15"/>
      <c r="AM5011" s="15"/>
      <c r="AN5011" s="15"/>
      <c r="AO5011" s="15"/>
      <c r="AP5011" s="15"/>
      <c r="AQ5011" s="15"/>
      <c r="AR5011" s="15"/>
      <c r="AS5011" s="15"/>
      <c r="AT5011" s="15"/>
      <c r="AU5011" s="15"/>
      <c r="AV5011" s="15"/>
      <c r="AW5011" s="15"/>
    </row>
    <row r="5012" spans="3:49" x14ac:dyDescent="0.2">
      <c r="C5012" s="15"/>
      <c r="D5012" s="15"/>
      <c r="E5012" s="15"/>
      <c r="F5012" s="15"/>
      <c r="G5012" s="15"/>
      <c r="H5012" s="15"/>
      <c r="I5012" s="15"/>
      <c r="J5012" s="15"/>
      <c r="K5012" s="15"/>
      <c r="L5012" s="28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  <c r="AA5012" s="15"/>
      <c r="AB5012" s="15"/>
      <c r="AC5012" s="15"/>
      <c r="AD5012" s="15"/>
      <c r="AE5012" s="15"/>
      <c r="AF5012" s="15"/>
      <c r="AG5012" s="15"/>
      <c r="AH5012" s="15"/>
      <c r="AI5012" s="15"/>
      <c r="AJ5012" s="15"/>
      <c r="AK5012" s="15"/>
      <c r="AL5012" s="15"/>
      <c r="AM5012" s="15"/>
      <c r="AN5012" s="15"/>
      <c r="AO5012" s="15"/>
      <c r="AP5012" s="15"/>
      <c r="AQ5012" s="15"/>
      <c r="AR5012" s="15"/>
      <c r="AS5012" s="15"/>
      <c r="AT5012" s="15"/>
      <c r="AU5012" s="15"/>
      <c r="AV5012" s="15"/>
      <c r="AW5012" s="15"/>
    </row>
    <row r="5013" spans="3:49" x14ac:dyDescent="0.2">
      <c r="C5013" s="15"/>
      <c r="D5013" s="15"/>
      <c r="E5013" s="15"/>
      <c r="F5013" s="15"/>
      <c r="G5013" s="15"/>
      <c r="H5013" s="15"/>
      <c r="I5013" s="15"/>
      <c r="J5013" s="15"/>
      <c r="K5013" s="15"/>
      <c r="L5013" s="28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  <c r="AA5013" s="15"/>
      <c r="AB5013" s="15"/>
      <c r="AC5013" s="15"/>
      <c r="AD5013" s="15"/>
      <c r="AE5013" s="15"/>
      <c r="AF5013" s="15"/>
      <c r="AG5013" s="15"/>
      <c r="AH5013" s="15"/>
      <c r="AI5013" s="15"/>
      <c r="AJ5013" s="15"/>
      <c r="AK5013" s="15"/>
      <c r="AL5013" s="15"/>
      <c r="AM5013" s="15"/>
      <c r="AN5013" s="15"/>
      <c r="AO5013" s="15"/>
      <c r="AP5013" s="15"/>
      <c r="AQ5013" s="15"/>
      <c r="AR5013" s="15"/>
      <c r="AS5013" s="15"/>
      <c r="AT5013" s="15"/>
      <c r="AU5013" s="15"/>
      <c r="AV5013" s="15"/>
      <c r="AW5013" s="15"/>
    </row>
    <row r="5014" spans="3:49" x14ac:dyDescent="0.2">
      <c r="C5014" s="15"/>
      <c r="D5014" s="15"/>
      <c r="E5014" s="15"/>
      <c r="F5014" s="15"/>
      <c r="G5014" s="15"/>
      <c r="H5014" s="15"/>
      <c r="I5014" s="15"/>
      <c r="J5014" s="15"/>
      <c r="K5014" s="15"/>
      <c r="L5014" s="28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  <c r="AA5014" s="15"/>
      <c r="AB5014" s="15"/>
      <c r="AC5014" s="15"/>
      <c r="AD5014" s="15"/>
      <c r="AE5014" s="15"/>
      <c r="AF5014" s="15"/>
      <c r="AG5014" s="15"/>
      <c r="AH5014" s="15"/>
      <c r="AI5014" s="15"/>
      <c r="AJ5014" s="15"/>
      <c r="AK5014" s="15"/>
      <c r="AL5014" s="15"/>
      <c r="AM5014" s="15"/>
      <c r="AN5014" s="15"/>
      <c r="AO5014" s="15"/>
      <c r="AP5014" s="15"/>
      <c r="AQ5014" s="15"/>
      <c r="AR5014" s="15"/>
      <c r="AS5014" s="15"/>
      <c r="AT5014" s="15"/>
      <c r="AU5014" s="15"/>
      <c r="AV5014" s="15"/>
      <c r="AW5014" s="15"/>
    </row>
    <row r="5015" spans="3:49" x14ac:dyDescent="0.2">
      <c r="C5015" s="15"/>
      <c r="D5015" s="15"/>
      <c r="E5015" s="15"/>
      <c r="F5015" s="15"/>
      <c r="G5015" s="15"/>
      <c r="H5015" s="15"/>
      <c r="I5015" s="15"/>
      <c r="J5015" s="15"/>
      <c r="K5015" s="15"/>
      <c r="L5015" s="28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  <c r="AA5015" s="15"/>
      <c r="AB5015" s="15"/>
      <c r="AC5015" s="15"/>
      <c r="AD5015" s="15"/>
      <c r="AE5015" s="15"/>
      <c r="AF5015" s="15"/>
      <c r="AG5015" s="15"/>
      <c r="AH5015" s="15"/>
      <c r="AI5015" s="15"/>
      <c r="AJ5015" s="15"/>
      <c r="AK5015" s="15"/>
      <c r="AL5015" s="15"/>
      <c r="AM5015" s="15"/>
      <c r="AN5015" s="15"/>
      <c r="AO5015" s="15"/>
      <c r="AP5015" s="15"/>
      <c r="AQ5015" s="15"/>
      <c r="AR5015" s="15"/>
      <c r="AS5015" s="15"/>
      <c r="AT5015" s="15"/>
      <c r="AU5015" s="15"/>
      <c r="AV5015" s="15"/>
      <c r="AW5015" s="15"/>
    </row>
    <row r="5016" spans="3:49" x14ac:dyDescent="0.2">
      <c r="C5016" s="15"/>
      <c r="D5016" s="15"/>
      <c r="E5016" s="15"/>
      <c r="F5016" s="15"/>
      <c r="G5016" s="15"/>
      <c r="H5016" s="15"/>
      <c r="I5016" s="15"/>
      <c r="J5016" s="15"/>
      <c r="K5016" s="15"/>
      <c r="L5016" s="28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  <c r="AA5016" s="15"/>
      <c r="AB5016" s="15"/>
      <c r="AC5016" s="15"/>
      <c r="AD5016" s="15"/>
      <c r="AE5016" s="15"/>
      <c r="AF5016" s="15"/>
      <c r="AG5016" s="15"/>
      <c r="AH5016" s="15"/>
      <c r="AI5016" s="15"/>
      <c r="AJ5016" s="15"/>
      <c r="AK5016" s="15"/>
      <c r="AL5016" s="15"/>
      <c r="AM5016" s="15"/>
      <c r="AN5016" s="15"/>
      <c r="AO5016" s="15"/>
      <c r="AP5016" s="15"/>
      <c r="AQ5016" s="15"/>
      <c r="AR5016" s="15"/>
      <c r="AS5016" s="15"/>
      <c r="AT5016" s="15"/>
      <c r="AU5016" s="15"/>
      <c r="AV5016" s="15"/>
      <c r="AW5016" s="15"/>
    </row>
    <row r="5017" spans="3:49" x14ac:dyDescent="0.2">
      <c r="C5017" s="15"/>
      <c r="D5017" s="15"/>
      <c r="E5017" s="15"/>
      <c r="F5017" s="15"/>
      <c r="G5017" s="15"/>
      <c r="H5017" s="15"/>
      <c r="I5017" s="15"/>
      <c r="J5017" s="15"/>
      <c r="K5017" s="15"/>
      <c r="L5017" s="28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  <c r="AA5017" s="15"/>
      <c r="AB5017" s="15"/>
      <c r="AC5017" s="15"/>
      <c r="AD5017" s="15"/>
      <c r="AE5017" s="15"/>
      <c r="AF5017" s="15"/>
      <c r="AG5017" s="15"/>
      <c r="AH5017" s="15"/>
      <c r="AI5017" s="15"/>
      <c r="AJ5017" s="15"/>
      <c r="AK5017" s="15"/>
      <c r="AL5017" s="15"/>
      <c r="AM5017" s="15"/>
      <c r="AN5017" s="15"/>
      <c r="AO5017" s="15"/>
      <c r="AP5017" s="15"/>
      <c r="AQ5017" s="15"/>
      <c r="AR5017" s="15"/>
      <c r="AS5017" s="15"/>
      <c r="AT5017" s="15"/>
      <c r="AU5017" s="15"/>
      <c r="AV5017" s="15"/>
      <c r="AW5017" s="15"/>
    </row>
    <row r="5018" spans="3:49" x14ac:dyDescent="0.2">
      <c r="C5018" s="15"/>
      <c r="D5018" s="15"/>
      <c r="E5018" s="15"/>
      <c r="F5018" s="15"/>
      <c r="G5018" s="15"/>
      <c r="H5018" s="15"/>
      <c r="I5018" s="15"/>
      <c r="J5018" s="15"/>
      <c r="K5018" s="15"/>
      <c r="L5018" s="28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  <c r="AA5018" s="15"/>
      <c r="AB5018" s="15"/>
      <c r="AC5018" s="15"/>
      <c r="AD5018" s="15"/>
      <c r="AE5018" s="15"/>
      <c r="AF5018" s="15"/>
      <c r="AG5018" s="15"/>
      <c r="AH5018" s="15"/>
      <c r="AI5018" s="15"/>
      <c r="AJ5018" s="15"/>
      <c r="AK5018" s="15"/>
      <c r="AL5018" s="15"/>
      <c r="AM5018" s="15"/>
      <c r="AN5018" s="15"/>
      <c r="AO5018" s="15"/>
      <c r="AP5018" s="15"/>
      <c r="AQ5018" s="15"/>
      <c r="AR5018" s="15"/>
      <c r="AS5018" s="15"/>
      <c r="AT5018" s="15"/>
      <c r="AU5018" s="15"/>
      <c r="AV5018" s="15"/>
      <c r="AW5018" s="15"/>
    </row>
    <row r="5019" spans="3:49" x14ac:dyDescent="0.2">
      <c r="C5019" s="15"/>
      <c r="D5019" s="15"/>
      <c r="E5019" s="15"/>
      <c r="F5019" s="15"/>
      <c r="G5019" s="15"/>
      <c r="H5019" s="15"/>
      <c r="I5019" s="15"/>
      <c r="J5019" s="15"/>
      <c r="K5019" s="15"/>
      <c r="L5019" s="28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  <c r="AA5019" s="15"/>
      <c r="AB5019" s="15"/>
      <c r="AC5019" s="15"/>
      <c r="AD5019" s="15"/>
      <c r="AE5019" s="15"/>
      <c r="AF5019" s="15"/>
      <c r="AG5019" s="15"/>
      <c r="AH5019" s="15"/>
      <c r="AI5019" s="15"/>
      <c r="AJ5019" s="15"/>
      <c r="AK5019" s="15"/>
      <c r="AL5019" s="15"/>
      <c r="AM5019" s="15"/>
      <c r="AN5019" s="15"/>
      <c r="AO5019" s="15"/>
      <c r="AP5019" s="15"/>
      <c r="AQ5019" s="15"/>
      <c r="AR5019" s="15"/>
      <c r="AS5019" s="15"/>
      <c r="AT5019" s="15"/>
      <c r="AU5019" s="15"/>
      <c r="AV5019" s="15"/>
      <c r="AW5019" s="15"/>
    </row>
    <row r="5020" spans="3:49" x14ac:dyDescent="0.2">
      <c r="C5020" s="15"/>
      <c r="D5020" s="15"/>
      <c r="E5020" s="15"/>
      <c r="F5020" s="15"/>
      <c r="G5020" s="15"/>
      <c r="H5020" s="15"/>
      <c r="I5020" s="15"/>
      <c r="J5020" s="15"/>
      <c r="K5020" s="15"/>
      <c r="L5020" s="28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  <c r="AA5020" s="15"/>
      <c r="AB5020" s="15"/>
      <c r="AC5020" s="15"/>
      <c r="AD5020" s="15"/>
      <c r="AE5020" s="15"/>
      <c r="AF5020" s="15"/>
      <c r="AG5020" s="15"/>
      <c r="AH5020" s="15"/>
      <c r="AI5020" s="15"/>
      <c r="AJ5020" s="15"/>
      <c r="AK5020" s="15"/>
      <c r="AL5020" s="15"/>
      <c r="AM5020" s="15"/>
      <c r="AN5020" s="15"/>
      <c r="AO5020" s="15"/>
      <c r="AP5020" s="15"/>
      <c r="AQ5020" s="15"/>
      <c r="AR5020" s="15"/>
      <c r="AS5020" s="15"/>
      <c r="AT5020" s="15"/>
      <c r="AU5020" s="15"/>
      <c r="AV5020" s="15"/>
      <c r="AW5020" s="15"/>
    </row>
    <row r="5021" spans="3:49" x14ac:dyDescent="0.2">
      <c r="C5021" s="15"/>
      <c r="D5021" s="15"/>
      <c r="E5021" s="15"/>
      <c r="F5021" s="15"/>
      <c r="G5021" s="15"/>
      <c r="H5021" s="15"/>
      <c r="I5021" s="15"/>
      <c r="J5021" s="15"/>
      <c r="K5021" s="15"/>
      <c r="L5021" s="28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  <c r="AA5021" s="15"/>
      <c r="AB5021" s="15"/>
      <c r="AC5021" s="15"/>
      <c r="AD5021" s="15"/>
      <c r="AE5021" s="15"/>
      <c r="AF5021" s="15"/>
      <c r="AG5021" s="15"/>
      <c r="AH5021" s="15"/>
      <c r="AI5021" s="15"/>
      <c r="AJ5021" s="15"/>
      <c r="AK5021" s="15"/>
      <c r="AL5021" s="15"/>
      <c r="AM5021" s="15"/>
      <c r="AN5021" s="15"/>
      <c r="AO5021" s="15"/>
      <c r="AP5021" s="15"/>
      <c r="AQ5021" s="15"/>
      <c r="AR5021" s="15"/>
      <c r="AS5021" s="15"/>
      <c r="AT5021" s="15"/>
      <c r="AU5021" s="15"/>
      <c r="AV5021" s="15"/>
      <c r="AW5021" s="15"/>
    </row>
    <row r="5022" spans="3:49" x14ac:dyDescent="0.2">
      <c r="C5022" s="15"/>
      <c r="D5022" s="15"/>
      <c r="E5022" s="15"/>
      <c r="F5022" s="15"/>
      <c r="G5022" s="15"/>
      <c r="H5022" s="15"/>
      <c r="I5022" s="15"/>
      <c r="J5022" s="15"/>
      <c r="K5022" s="15"/>
      <c r="L5022" s="28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  <c r="AA5022" s="15"/>
      <c r="AB5022" s="15"/>
      <c r="AC5022" s="15"/>
      <c r="AD5022" s="15"/>
      <c r="AE5022" s="15"/>
      <c r="AF5022" s="15"/>
      <c r="AG5022" s="15"/>
      <c r="AH5022" s="15"/>
      <c r="AI5022" s="15"/>
      <c r="AJ5022" s="15"/>
      <c r="AK5022" s="15"/>
      <c r="AL5022" s="15"/>
      <c r="AM5022" s="15"/>
      <c r="AN5022" s="15"/>
      <c r="AO5022" s="15"/>
      <c r="AP5022" s="15"/>
      <c r="AQ5022" s="15"/>
      <c r="AR5022" s="15"/>
      <c r="AS5022" s="15"/>
      <c r="AT5022" s="15"/>
      <c r="AU5022" s="15"/>
      <c r="AV5022" s="15"/>
      <c r="AW5022" s="15"/>
    </row>
    <row r="5023" spans="3:49" x14ac:dyDescent="0.2">
      <c r="C5023" s="15"/>
      <c r="D5023" s="15"/>
      <c r="E5023" s="15"/>
      <c r="F5023" s="15"/>
      <c r="G5023" s="15"/>
      <c r="H5023" s="15"/>
      <c r="I5023" s="15"/>
      <c r="J5023" s="15"/>
      <c r="K5023" s="15"/>
      <c r="L5023" s="28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  <c r="AA5023" s="15"/>
      <c r="AB5023" s="15"/>
      <c r="AC5023" s="15"/>
      <c r="AD5023" s="15"/>
      <c r="AE5023" s="15"/>
      <c r="AF5023" s="15"/>
      <c r="AG5023" s="15"/>
      <c r="AH5023" s="15"/>
      <c r="AI5023" s="15"/>
      <c r="AJ5023" s="15"/>
      <c r="AK5023" s="15"/>
      <c r="AL5023" s="15"/>
      <c r="AM5023" s="15"/>
      <c r="AN5023" s="15"/>
      <c r="AO5023" s="15"/>
      <c r="AP5023" s="15"/>
      <c r="AQ5023" s="15"/>
      <c r="AR5023" s="15"/>
      <c r="AS5023" s="15"/>
      <c r="AT5023" s="15"/>
      <c r="AU5023" s="15"/>
      <c r="AV5023" s="15"/>
      <c r="AW5023" s="15"/>
    </row>
    <row r="5024" spans="3:49" x14ac:dyDescent="0.2">
      <c r="C5024" s="15"/>
      <c r="D5024" s="15"/>
      <c r="E5024" s="15"/>
      <c r="F5024" s="15"/>
      <c r="G5024" s="15"/>
      <c r="H5024" s="15"/>
      <c r="I5024" s="15"/>
      <c r="J5024" s="15"/>
      <c r="K5024" s="15"/>
      <c r="L5024" s="28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  <c r="AA5024" s="15"/>
      <c r="AB5024" s="15"/>
      <c r="AC5024" s="15"/>
      <c r="AD5024" s="15"/>
      <c r="AE5024" s="15"/>
      <c r="AF5024" s="15"/>
      <c r="AG5024" s="15"/>
      <c r="AH5024" s="15"/>
      <c r="AI5024" s="15"/>
      <c r="AJ5024" s="15"/>
      <c r="AK5024" s="15"/>
      <c r="AL5024" s="15"/>
      <c r="AM5024" s="15"/>
      <c r="AN5024" s="15"/>
      <c r="AO5024" s="15"/>
      <c r="AP5024" s="15"/>
      <c r="AQ5024" s="15"/>
      <c r="AR5024" s="15"/>
      <c r="AS5024" s="15"/>
      <c r="AT5024" s="15"/>
      <c r="AU5024" s="15"/>
      <c r="AV5024" s="15"/>
      <c r="AW5024" s="15"/>
    </row>
    <row r="5025" spans="3:49" x14ac:dyDescent="0.2">
      <c r="C5025" s="15"/>
      <c r="D5025" s="15"/>
      <c r="E5025" s="15"/>
      <c r="F5025" s="15"/>
      <c r="G5025" s="15"/>
      <c r="H5025" s="15"/>
      <c r="I5025" s="15"/>
      <c r="J5025" s="15"/>
      <c r="K5025" s="15"/>
      <c r="L5025" s="28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  <c r="AA5025" s="15"/>
      <c r="AB5025" s="15"/>
      <c r="AC5025" s="15"/>
      <c r="AD5025" s="15"/>
      <c r="AE5025" s="15"/>
      <c r="AF5025" s="15"/>
      <c r="AG5025" s="15"/>
      <c r="AH5025" s="15"/>
      <c r="AI5025" s="15"/>
      <c r="AJ5025" s="15"/>
      <c r="AK5025" s="15"/>
      <c r="AL5025" s="15"/>
      <c r="AM5025" s="15"/>
      <c r="AN5025" s="15"/>
      <c r="AO5025" s="15"/>
      <c r="AP5025" s="15"/>
      <c r="AQ5025" s="15"/>
      <c r="AR5025" s="15"/>
      <c r="AS5025" s="15"/>
      <c r="AT5025" s="15"/>
      <c r="AU5025" s="15"/>
      <c r="AV5025" s="15"/>
      <c r="AW5025" s="15"/>
    </row>
    <row r="5026" spans="3:49" x14ac:dyDescent="0.2">
      <c r="C5026" s="15"/>
      <c r="D5026" s="15"/>
      <c r="E5026" s="15"/>
      <c r="F5026" s="15"/>
      <c r="G5026" s="15"/>
      <c r="H5026" s="15"/>
      <c r="I5026" s="15"/>
      <c r="J5026" s="15"/>
      <c r="K5026" s="15"/>
      <c r="L5026" s="28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  <c r="AA5026" s="15"/>
      <c r="AB5026" s="15"/>
      <c r="AC5026" s="15"/>
      <c r="AD5026" s="15"/>
      <c r="AE5026" s="15"/>
      <c r="AF5026" s="15"/>
      <c r="AG5026" s="15"/>
      <c r="AH5026" s="15"/>
      <c r="AI5026" s="15"/>
      <c r="AJ5026" s="15"/>
      <c r="AK5026" s="15"/>
      <c r="AL5026" s="15"/>
      <c r="AM5026" s="15"/>
      <c r="AN5026" s="15"/>
      <c r="AO5026" s="15"/>
      <c r="AP5026" s="15"/>
      <c r="AQ5026" s="15"/>
      <c r="AR5026" s="15"/>
      <c r="AS5026" s="15"/>
      <c r="AT5026" s="15"/>
      <c r="AU5026" s="15"/>
      <c r="AV5026" s="15"/>
      <c r="AW5026" s="15"/>
    </row>
    <row r="5027" spans="3:49" x14ac:dyDescent="0.2">
      <c r="C5027" s="15"/>
      <c r="D5027" s="15"/>
      <c r="E5027" s="15"/>
      <c r="F5027" s="15"/>
      <c r="G5027" s="15"/>
      <c r="H5027" s="15"/>
      <c r="I5027" s="15"/>
      <c r="J5027" s="15"/>
      <c r="K5027" s="15"/>
      <c r="L5027" s="28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  <c r="AA5027" s="15"/>
      <c r="AB5027" s="15"/>
      <c r="AC5027" s="15"/>
      <c r="AD5027" s="15"/>
      <c r="AE5027" s="15"/>
      <c r="AF5027" s="15"/>
      <c r="AG5027" s="15"/>
      <c r="AH5027" s="15"/>
      <c r="AI5027" s="15"/>
      <c r="AJ5027" s="15"/>
      <c r="AK5027" s="15"/>
      <c r="AL5027" s="15"/>
      <c r="AM5027" s="15"/>
      <c r="AN5027" s="15"/>
      <c r="AO5027" s="15"/>
      <c r="AP5027" s="15"/>
      <c r="AQ5027" s="15"/>
      <c r="AR5027" s="15"/>
      <c r="AS5027" s="15"/>
      <c r="AT5027" s="15"/>
      <c r="AU5027" s="15"/>
      <c r="AV5027" s="15"/>
      <c r="AW5027" s="15"/>
    </row>
    <row r="5028" spans="3:49" x14ac:dyDescent="0.2">
      <c r="C5028" s="15"/>
      <c r="D5028" s="15"/>
      <c r="E5028" s="15"/>
      <c r="F5028" s="15"/>
      <c r="G5028" s="15"/>
      <c r="H5028" s="15"/>
      <c r="I5028" s="15"/>
      <c r="J5028" s="15"/>
      <c r="K5028" s="15"/>
      <c r="L5028" s="28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  <c r="AA5028" s="15"/>
      <c r="AB5028" s="15"/>
      <c r="AC5028" s="15"/>
      <c r="AD5028" s="15"/>
      <c r="AE5028" s="15"/>
      <c r="AF5028" s="15"/>
      <c r="AG5028" s="15"/>
      <c r="AH5028" s="15"/>
      <c r="AI5028" s="15"/>
      <c r="AJ5028" s="15"/>
      <c r="AK5028" s="15"/>
      <c r="AL5028" s="15"/>
      <c r="AM5028" s="15"/>
      <c r="AN5028" s="15"/>
      <c r="AO5028" s="15"/>
      <c r="AP5028" s="15"/>
      <c r="AQ5028" s="15"/>
      <c r="AR5028" s="15"/>
      <c r="AS5028" s="15"/>
      <c r="AT5028" s="15"/>
      <c r="AU5028" s="15"/>
      <c r="AV5028" s="15"/>
      <c r="AW5028" s="15"/>
    </row>
    <row r="5029" spans="3:49" x14ac:dyDescent="0.2">
      <c r="C5029" s="15"/>
      <c r="D5029" s="15"/>
      <c r="E5029" s="15"/>
      <c r="F5029" s="15"/>
      <c r="G5029" s="15"/>
      <c r="H5029" s="15"/>
      <c r="I5029" s="15"/>
      <c r="J5029" s="15"/>
      <c r="K5029" s="15"/>
      <c r="L5029" s="28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  <c r="AA5029" s="15"/>
      <c r="AB5029" s="15"/>
      <c r="AC5029" s="15"/>
      <c r="AD5029" s="15"/>
      <c r="AE5029" s="15"/>
      <c r="AF5029" s="15"/>
      <c r="AG5029" s="15"/>
      <c r="AH5029" s="15"/>
      <c r="AI5029" s="15"/>
      <c r="AJ5029" s="15"/>
      <c r="AK5029" s="15"/>
      <c r="AL5029" s="15"/>
      <c r="AM5029" s="15"/>
      <c r="AN5029" s="15"/>
      <c r="AO5029" s="15"/>
      <c r="AP5029" s="15"/>
      <c r="AQ5029" s="15"/>
      <c r="AR5029" s="15"/>
      <c r="AS5029" s="15"/>
      <c r="AT5029" s="15"/>
      <c r="AU5029" s="15"/>
      <c r="AV5029" s="15"/>
      <c r="AW5029" s="15"/>
    </row>
    <row r="5030" spans="3:49" x14ac:dyDescent="0.2">
      <c r="C5030" s="15"/>
      <c r="D5030" s="15"/>
      <c r="E5030" s="15"/>
      <c r="F5030" s="15"/>
      <c r="G5030" s="15"/>
      <c r="H5030" s="15"/>
      <c r="I5030" s="15"/>
      <c r="J5030" s="15"/>
      <c r="K5030" s="15"/>
      <c r="L5030" s="28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  <c r="AA5030" s="15"/>
      <c r="AB5030" s="15"/>
      <c r="AC5030" s="15"/>
      <c r="AD5030" s="15"/>
      <c r="AE5030" s="15"/>
      <c r="AF5030" s="15"/>
      <c r="AG5030" s="15"/>
      <c r="AH5030" s="15"/>
      <c r="AI5030" s="15"/>
      <c r="AJ5030" s="15"/>
      <c r="AK5030" s="15"/>
      <c r="AL5030" s="15"/>
      <c r="AM5030" s="15"/>
      <c r="AN5030" s="15"/>
      <c r="AO5030" s="15"/>
      <c r="AP5030" s="15"/>
      <c r="AQ5030" s="15"/>
      <c r="AR5030" s="15"/>
      <c r="AS5030" s="15"/>
      <c r="AT5030" s="15"/>
      <c r="AU5030" s="15"/>
      <c r="AV5030" s="15"/>
      <c r="AW5030" s="15"/>
    </row>
    <row r="5031" spans="3:49" x14ac:dyDescent="0.2">
      <c r="C5031" s="15"/>
      <c r="D5031" s="15"/>
      <c r="E5031" s="15"/>
      <c r="F5031" s="15"/>
      <c r="G5031" s="15"/>
      <c r="H5031" s="15"/>
      <c r="I5031" s="15"/>
      <c r="J5031" s="15"/>
      <c r="K5031" s="15"/>
      <c r="L5031" s="28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  <c r="AA5031" s="15"/>
      <c r="AB5031" s="15"/>
      <c r="AC5031" s="15"/>
      <c r="AD5031" s="15"/>
      <c r="AE5031" s="15"/>
      <c r="AF5031" s="15"/>
      <c r="AG5031" s="15"/>
      <c r="AH5031" s="15"/>
      <c r="AI5031" s="15"/>
      <c r="AJ5031" s="15"/>
      <c r="AK5031" s="15"/>
      <c r="AL5031" s="15"/>
      <c r="AM5031" s="15"/>
      <c r="AN5031" s="15"/>
      <c r="AO5031" s="15"/>
      <c r="AP5031" s="15"/>
      <c r="AQ5031" s="15"/>
      <c r="AR5031" s="15"/>
      <c r="AS5031" s="15"/>
      <c r="AT5031" s="15"/>
      <c r="AU5031" s="15"/>
      <c r="AV5031" s="15"/>
      <c r="AW5031" s="15"/>
    </row>
    <row r="5032" spans="3:49" x14ac:dyDescent="0.2">
      <c r="C5032" s="15"/>
      <c r="D5032" s="15"/>
      <c r="E5032" s="15"/>
      <c r="F5032" s="15"/>
      <c r="G5032" s="15"/>
      <c r="H5032" s="15"/>
      <c r="I5032" s="15"/>
      <c r="J5032" s="15"/>
      <c r="K5032" s="15"/>
      <c r="L5032" s="28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  <c r="AA5032" s="15"/>
      <c r="AB5032" s="15"/>
      <c r="AC5032" s="15"/>
      <c r="AD5032" s="15"/>
      <c r="AE5032" s="15"/>
      <c r="AF5032" s="15"/>
      <c r="AG5032" s="15"/>
      <c r="AH5032" s="15"/>
      <c r="AI5032" s="15"/>
      <c r="AJ5032" s="15"/>
      <c r="AK5032" s="15"/>
      <c r="AL5032" s="15"/>
      <c r="AM5032" s="15"/>
      <c r="AN5032" s="15"/>
      <c r="AO5032" s="15"/>
      <c r="AP5032" s="15"/>
      <c r="AQ5032" s="15"/>
      <c r="AR5032" s="15"/>
      <c r="AS5032" s="15"/>
      <c r="AT5032" s="15"/>
      <c r="AU5032" s="15"/>
      <c r="AV5032" s="15"/>
      <c r="AW5032" s="15"/>
    </row>
    <row r="5033" spans="3:49" x14ac:dyDescent="0.2">
      <c r="C5033" s="15"/>
      <c r="D5033" s="15"/>
      <c r="E5033" s="15"/>
      <c r="F5033" s="15"/>
      <c r="G5033" s="15"/>
      <c r="H5033" s="15"/>
      <c r="I5033" s="15"/>
      <c r="J5033" s="15"/>
      <c r="K5033" s="15"/>
      <c r="L5033" s="28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  <c r="AA5033" s="15"/>
      <c r="AB5033" s="15"/>
      <c r="AC5033" s="15"/>
      <c r="AD5033" s="15"/>
      <c r="AE5033" s="15"/>
      <c r="AF5033" s="15"/>
      <c r="AG5033" s="15"/>
      <c r="AH5033" s="15"/>
      <c r="AI5033" s="15"/>
      <c r="AJ5033" s="15"/>
      <c r="AK5033" s="15"/>
      <c r="AL5033" s="15"/>
      <c r="AM5033" s="15"/>
      <c r="AN5033" s="15"/>
      <c r="AO5033" s="15"/>
      <c r="AP5033" s="15"/>
      <c r="AQ5033" s="15"/>
      <c r="AR5033" s="15"/>
      <c r="AS5033" s="15"/>
      <c r="AT5033" s="15"/>
      <c r="AU5033" s="15"/>
      <c r="AV5033" s="15"/>
      <c r="AW5033" s="15"/>
    </row>
    <row r="5034" spans="3:49" x14ac:dyDescent="0.2">
      <c r="C5034" s="15"/>
      <c r="D5034" s="15"/>
      <c r="E5034" s="15"/>
      <c r="F5034" s="15"/>
      <c r="G5034" s="15"/>
      <c r="H5034" s="15"/>
      <c r="I5034" s="15"/>
      <c r="J5034" s="15"/>
      <c r="K5034" s="15"/>
      <c r="L5034" s="28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  <c r="AA5034" s="15"/>
      <c r="AB5034" s="15"/>
      <c r="AC5034" s="15"/>
      <c r="AD5034" s="15"/>
      <c r="AE5034" s="15"/>
      <c r="AF5034" s="15"/>
      <c r="AG5034" s="15"/>
      <c r="AH5034" s="15"/>
      <c r="AI5034" s="15"/>
      <c r="AJ5034" s="15"/>
      <c r="AK5034" s="15"/>
      <c r="AL5034" s="15"/>
      <c r="AM5034" s="15"/>
      <c r="AN5034" s="15"/>
      <c r="AO5034" s="15"/>
      <c r="AP5034" s="15"/>
      <c r="AQ5034" s="15"/>
      <c r="AR5034" s="15"/>
      <c r="AS5034" s="15"/>
      <c r="AT5034" s="15"/>
      <c r="AU5034" s="15"/>
      <c r="AV5034" s="15"/>
      <c r="AW5034" s="15"/>
    </row>
    <row r="5035" spans="3:49" x14ac:dyDescent="0.2">
      <c r="C5035" s="15"/>
      <c r="D5035" s="15"/>
      <c r="E5035" s="15"/>
      <c r="F5035" s="15"/>
      <c r="G5035" s="15"/>
      <c r="H5035" s="15"/>
      <c r="I5035" s="15"/>
      <c r="J5035" s="15"/>
      <c r="K5035" s="15"/>
      <c r="L5035" s="28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  <c r="AA5035" s="15"/>
      <c r="AB5035" s="15"/>
      <c r="AC5035" s="15"/>
      <c r="AD5035" s="15"/>
      <c r="AE5035" s="15"/>
      <c r="AF5035" s="15"/>
      <c r="AG5035" s="15"/>
      <c r="AH5035" s="15"/>
      <c r="AI5035" s="15"/>
      <c r="AJ5035" s="15"/>
      <c r="AK5035" s="15"/>
      <c r="AL5035" s="15"/>
      <c r="AM5035" s="15"/>
      <c r="AN5035" s="15"/>
      <c r="AO5035" s="15"/>
      <c r="AP5035" s="15"/>
      <c r="AQ5035" s="15"/>
      <c r="AR5035" s="15"/>
      <c r="AS5035" s="15"/>
      <c r="AT5035" s="15"/>
      <c r="AU5035" s="15"/>
      <c r="AV5035" s="15"/>
      <c r="AW5035" s="15"/>
    </row>
    <row r="5036" spans="3:49" x14ac:dyDescent="0.2">
      <c r="C5036" s="15"/>
      <c r="D5036" s="15"/>
      <c r="E5036" s="15"/>
      <c r="F5036" s="15"/>
      <c r="G5036" s="15"/>
      <c r="H5036" s="15"/>
      <c r="I5036" s="15"/>
      <c r="J5036" s="15"/>
      <c r="K5036" s="15"/>
      <c r="L5036" s="28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  <c r="AA5036" s="15"/>
      <c r="AB5036" s="15"/>
      <c r="AC5036" s="15"/>
      <c r="AD5036" s="15"/>
      <c r="AE5036" s="15"/>
      <c r="AF5036" s="15"/>
      <c r="AG5036" s="15"/>
      <c r="AH5036" s="15"/>
      <c r="AI5036" s="15"/>
      <c r="AJ5036" s="15"/>
      <c r="AK5036" s="15"/>
      <c r="AL5036" s="15"/>
      <c r="AM5036" s="15"/>
      <c r="AN5036" s="15"/>
      <c r="AO5036" s="15"/>
      <c r="AP5036" s="15"/>
      <c r="AQ5036" s="15"/>
      <c r="AR5036" s="15"/>
      <c r="AS5036" s="15"/>
      <c r="AT5036" s="15"/>
      <c r="AU5036" s="15"/>
      <c r="AV5036" s="15"/>
      <c r="AW5036" s="15"/>
    </row>
    <row r="5037" spans="3:49" x14ac:dyDescent="0.2">
      <c r="C5037" s="15"/>
      <c r="D5037" s="15"/>
      <c r="E5037" s="15"/>
      <c r="F5037" s="15"/>
      <c r="G5037" s="15"/>
      <c r="H5037" s="15"/>
      <c r="I5037" s="15"/>
      <c r="J5037" s="15"/>
      <c r="K5037" s="15"/>
      <c r="L5037" s="28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  <c r="AA5037" s="15"/>
      <c r="AB5037" s="15"/>
      <c r="AC5037" s="15"/>
      <c r="AD5037" s="15"/>
      <c r="AE5037" s="15"/>
      <c r="AF5037" s="15"/>
      <c r="AG5037" s="15"/>
      <c r="AH5037" s="15"/>
      <c r="AI5037" s="15"/>
      <c r="AJ5037" s="15"/>
      <c r="AK5037" s="15"/>
      <c r="AL5037" s="15"/>
      <c r="AM5037" s="15"/>
      <c r="AN5037" s="15"/>
      <c r="AO5037" s="15"/>
      <c r="AP5037" s="15"/>
      <c r="AQ5037" s="15"/>
      <c r="AR5037" s="15"/>
      <c r="AS5037" s="15"/>
      <c r="AT5037" s="15"/>
      <c r="AU5037" s="15"/>
      <c r="AV5037" s="15"/>
      <c r="AW5037" s="15"/>
    </row>
    <row r="5038" spans="3:49" x14ac:dyDescent="0.2">
      <c r="C5038" s="15"/>
      <c r="D5038" s="15"/>
      <c r="E5038" s="15"/>
      <c r="F5038" s="15"/>
      <c r="G5038" s="15"/>
      <c r="H5038" s="15"/>
      <c r="I5038" s="15"/>
      <c r="J5038" s="15"/>
      <c r="K5038" s="15"/>
      <c r="L5038" s="28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  <c r="AA5038" s="15"/>
      <c r="AB5038" s="15"/>
      <c r="AC5038" s="15"/>
      <c r="AD5038" s="15"/>
      <c r="AE5038" s="15"/>
      <c r="AF5038" s="15"/>
      <c r="AG5038" s="15"/>
      <c r="AH5038" s="15"/>
      <c r="AI5038" s="15"/>
      <c r="AJ5038" s="15"/>
      <c r="AK5038" s="15"/>
      <c r="AL5038" s="15"/>
      <c r="AM5038" s="15"/>
      <c r="AN5038" s="15"/>
      <c r="AO5038" s="15"/>
      <c r="AP5038" s="15"/>
      <c r="AQ5038" s="15"/>
      <c r="AR5038" s="15"/>
      <c r="AS5038" s="15"/>
      <c r="AT5038" s="15"/>
      <c r="AU5038" s="15"/>
      <c r="AV5038" s="15"/>
      <c r="AW5038" s="15"/>
    </row>
    <row r="5039" spans="3:49" x14ac:dyDescent="0.2">
      <c r="C5039" s="15"/>
      <c r="D5039" s="15"/>
      <c r="E5039" s="15"/>
      <c r="F5039" s="15"/>
      <c r="G5039" s="15"/>
      <c r="H5039" s="15"/>
      <c r="I5039" s="15"/>
      <c r="J5039" s="15"/>
      <c r="K5039" s="15"/>
      <c r="L5039" s="28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  <c r="AA5039" s="15"/>
      <c r="AB5039" s="15"/>
      <c r="AC5039" s="15"/>
      <c r="AD5039" s="15"/>
      <c r="AE5039" s="15"/>
      <c r="AF5039" s="15"/>
      <c r="AG5039" s="15"/>
      <c r="AH5039" s="15"/>
      <c r="AI5039" s="15"/>
      <c r="AJ5039" s="15"/>
      <c r="AK5039" s="15"/>
      <c r="AL5039" s="15"/>
      <c r="AM5039" s="15"/>
      <c r="AN5039" s="15"/>
      <c r="AO5039" s="15"/>
      <c r="AP5039" s="15"/>
      <c r="AQ5039" s="15"/>
      <c r="AR5039" s="15"/>
      <c r="AS5039" s="15"/>
      <c r="AT5039" s="15"/>
      <c r="AU5039" s="15"/>
      <c r="AV5039" s="15"/>
      <c r="AW5039" s="15"/>
    </row>
    <row r="5040" spans="3:49" x14ac:dyDescent="0.2">
      <c r="C5040" s="15"/>
      <c r="D5040" s="15"/>
      <c r="E5040" s="15"/>
      <c r="F5040" s="15"/>
      <c r="G5040" s="15"/>
      <c r="H5040" s="15"/>
      <c r="I5040" s="15"/>
      <c r="J5040" s="15"/>
      <c r="K5040" s="15"/>
      <c r="L5040" s="28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  <c r="AA5040" s="15"/>
      <c r="AB5040" s="15"/>
      <c r="AC5040" s="15"/>
      <c r="AD5040" s="15"/>
      <c r="AE5040" s="15"/>
      <c r="AF5040" s="15"/>
      <c r="AG5040" s="15"/>
      <c r="AH5040" s="15"/>
      <c r="AI5040" s="15"/>
      <c r="AJ5040" s="15"/>
      <c r="AK5040" s="15"/>
      <c r="AL5040" s="15"/>
      <c r="AM5040" s="15"/>
      <c r="AN5040" s="15"/>
      <c r="AO5040" s="15"/>
      <c r="AP5040" s="15"/>
      <c r="AQ5040" s="15"/>
      <c r="AR5040" s="15"/>
      <c r="AS5040" s="15"/>
      <c r="AT5040" s="15"/>
      <c r="AU5040" s="15"/>
      <c r="AV5040" s="15"/>
      <c r="AW5040" s="15"/>
    </row>
    <row r="5041" spans="3:49" x14ac:dyDescent="0.2">
      <c r="C5041" s="15"/>
      <c r="D5041" s="15"/>
      <c r="E5041" s="15"/>
      <c r="F5041" s="15"/>
      <c r="G5041" s="15"/>
      <c r="H5041" s="15"/>
      <c r="I5041" s="15"/>
      <c r="J5041" s="15"/>
      <c r="K5041" s="15"/>
      <c r="L5041" s="28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  <c r="AA5041" s="15"/>
      <c r="AB5041" s="15"/>
      <c r="AC5041" s="15"/>
      <c r="AD5041" s="15"/>
      <c r="AE5041" s="15"/>
      <c r="AF5041" s="15"/>
      <c r="AG5041" s="15"/>
      <c r="AH5041" s="15"/>
      <c r="AI5041" s="15"/>
      <c r="AJ5041" s="15"/>
      <c r="AK5041" s="15"/>
      <c r="AL5041" s="15"/>
      <c r="AM5041" s="15"/>
      <c r="AN5041" s="15"/>
      <c r="AO5041" s="15"/>
      <c r="AP5041" s="15"/>
      <c r="AQ5041" s="15"/>
      <c r="AR5041" s="15"/>
      <c r="AS5041" s="15"/>
      <c r="AT5041" s="15"/>
      <c r="AU5041" s="15"/>
      <c r="AV5041" s="15"/>
      <c r="AW5041" s="15"/>
    </row>
    <row r="5042" spans="3:49" x14ac:dyDescent="0.2">
      <c r="C5042" s="15"/>
      <c r="D5042" s="15"/>
      <c r="E5042" s="15"/>
      <c r="F5042" s="15"/>
      <c r="G5042" s="15"/>
      <c r="H5042" s="15"/>
      <c r="I5042" s="15"/>
      <c r="J5042" s="15"/>
      <c r="K5042" s="15"/>
      <c r="L5042" s="28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  <c r="AA5042" s="15"/>
      <c r="AB5042" s="15"/>
      <c r="AC5042" s="15"/>
      <c r="AD5042" s="15"/>
      <c r="AE5042" s="15"/>
      <c r="AF5042" s="15"/>
      <c r="AG5042" s="15"/>
      <c r="AH5042" s="15"/>
      <c r="AI5042" s="15"/>
      <c r="AJ5042" s="15"/>
      <c r="AK5042" s="15"/>
      <c r="AL5042" s="15"/>
      <c r="AM5042" s="15"/>
      <c r="AN5042" s="15"/>
      <c r="AO5042" s="15"/>
      <c r="AP5042" s="15"/>
      <c r="AQ5042" s="15"/>
      <c r="AR5042" s="15"/>
      <c r="AS5042" s="15"/>
      <c r="AT5042" s="15"/>
      <c r="AU5042" s="15"/>
      <c r="AV5042" s="15"/>
      <c r="AW5042" s="15"/>
    </row>
    <row r="5043" spans="3:49" x14ac:dyDescent="0.2">
      <c r="C5043" s="15"/>
      <c r="D5043" s="15"/>
      <c r="E5043" s="15"/>
      <c r="F5043" s="15"/>
      <c r="G5043" s="15"/>
      <c r="H5043" s="15"/>
      <c r="I5043" s="15"/>
      <c r="J5043" s="15"/>
      <c r="K5043" s="15"/>
      <c r="L5043" s="28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  <c r="AA5043" s="15"/>
      <c r="AB5043" s="15"/>
      <c r="AC5043" s="15"/>
      <c r="AD5043" s="15"/>
      <c r="AE5043" s="15"/>
      <c r="AF5043" s="15"/>
      <c r="AG5043" s="15"/>
      <c r="AH5043" s="15"/>
      <c r="AI5043" s="15"/>
      <c r="AJ5043" s="15"/>
      <c r="AK5043" s="15"/>
      <c r="AL5043" s="15"/>
      <c r="AM5043" s="15"/>
      <c r="AN5043" s="15"/>
      <c r="AO5043" s="15"/>
      <c r="AP5043" s="15"/>
      <c r="AQ5043" s="15"/>
      <c r="AR5043" s="15"/>
      <c r="AS5043" s="15"/>
      <c r="AT5043" s="15"/>
      <c r="AU5043" s="15"/>
      <c r="AV5043" s="15"/>
      <c r="AW5043" s="15"/>
    </row>
    <row r="5044" spans="3:49" x14ac:dyDescent="0.2">
      <c r="C5044" s="15"/>
      <c r="D5044" s="15"/>
      <c r="E5044" s="15"/>
      <c r="F5044" s="15"/>
      <c r="G5044" s="15"/>
      <c r="H5044" s="15"/>
      <c r="I5044" s="15"/>
      <c r="J5044" s="15"/>
      <c r="K5044" s="15"/>
      <c r="L5044" s="28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  <c r="AA5044" s="15"/>
      <c r="AB5044" s="15"/>
      <c r="AC5044" s="15"/>
      <c r="AD5044" s="15"/>
      <c r="AE5044" s="15"/>
      <c r="AF5044" s="15"/>
      <c r="AG5044" s="15"/>
      <c r="AH5044" s="15"/>
      <c r="AI5044" s="15"/>
      <c r="AJ5044" s="15"/>
      <c r="AK5044" s="15"/>
      <c r="AL5044" s="15"/>
      <c r="AM5044" s="15"/>
      <c r="AN5044" s="15"/>
      <c r="AO5044" s="15"/>
      <c r="AP5044" s="15"/>
      <c r="AQ5044" s="15"/>
      <c r="AR5044" s="15"/>
      <c r="AS5044" s="15"/>
      <c r="AT5044" s="15"/>
      <c r="AU5044" s="15"/>
      <c r="AV5044" s="15"/>
      <c r="AW5044" s="15"/>
    </row>
    <row r="5045" spans="3:49" x14ac:dyDescent="0.2">
      <c r="C5045" s="15"/>
      <c r="D5045" s="15"/>
      <c r="E5045" s="15"/>
      <c r="F5045" s="15"/>
      <c r="G5045" s="15"/>
      <c r="H5045" s="15"/>
      <c r="I5045" s="15"/>
      <c r="J5045" s="15"/>
      <c r="K5045" s="15"/>
      <c r="L5045" s="28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  <c r="AA5045" s="15"/>
      <c r="AB5045" s="15"/>
      <c r="AC5045" s="15"/>
      <c r="AD5045" s="15"/>
      <c r="AE5045" s="15"/>
      <c r="AF5045" s="15"/>
      <c r="AG5045" s="15"/>
      <c r="AH5045" s="15"/>
      <c r="AI5045" s="15"/>
      <c r="AJ5045" s="15"/>
      <c r="AK5045" s="15"/>
      <c r="AL5045" s="15"/>
      <c r="AM5045" s="15"/>
      <c r="AN5045" s="15"/>
      <c r="AO5045" s="15"/>
      <c r="AP5045" s="15"/>
      <c r="AQ5045" s="15"/>
      <c r="AR5045" s="15"/>
      <c r="AS5045" s="15"/>
      <c r="AT5045" s="15"/>
      <c r="AU5045" s="15"/>
      <c r="AV5045" s="15"/>
      <c r="AW5045" s="15"/>
    </row>
    <row r="5046" spans="3:49" x14ac:dyDescent="0.2">
      <c r="C5046" s="15"/>
      <c r="D5046" s="15"/>
      <c r="E5046" s="15"/>
      <c r="F5046" s="15"/>
      <c r="G5046" s="15"/>
      <c r="H5046" s="15"/>
      <c r="I5046" s="15"/>
      <c r="J5046" s="15"/>
      <c r="K5046" s="15"/>
      <c r="L5046" s="28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  <c r="AA5046" s="15"/>
      <c r="AB5046" s="15"/>
      <c r="AC5046" s="15"/>
      <c r="AD5046" s="15"/>
      <c r="AE5046" s="15"/>
      <c r="AF5046" s="15"/>
      <c r="AG5046" s="15"/>
      <c r="AH5046" s="15"/>
      <c r="AI5046" s="15"/>
      <c r="AJ5046" s="15"/>
      <c r="AK5046" s="15"/>
      <c r="AL5046" s="15"/>
      <c r="AM5046" s="15"/>
      <c r="AN5046" s="15"/>
      <c r="AO5046" s="15"/>
      <c r="AP5046" s="15"/>
      <c r="AQ5046" s="15"/>
      <c r="AR5046" s="15"/>
      <c r="AS5046" s="15"/>
      <c r="AT5046" s="15"/>
      <c r="AU5046" s="15"/>
      <c r="AV5046" s="15"/>
      <c r="AW5046" s="15"/>
    </row>
    <row r="5047" spans="3:49" x14ac:dyDescent="0.2">
      <c r="C5047" s="15"/>
      <c r="D5047" s="15"/>
      <c r="E5047" s="15"/>
      <c r="F5047" s="15"/>
      <c r="G5047" s="15"/>
      <c r="H5047" s="15"/>
      <c r="I5047" s="15"/>
      <c r="J5047" s="15"/>
      <c r="K5047" s="15"/>
      <c r="L5047" s="28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  <c r="AA5047" s="15"/>
      <c r="AB5047" s="15"/>
      <c r="AC5047" s="15"/>
      <c r="AD5047" s="15"/>
      <c r="AE5047" s="15"/>
      <c r="AF5047" s="15"/>
      <c r="AG5047" s="15"/>
      <c r="AH5047" s="15"/>
      <c r="AI5047" s="15"/>
      <c r="AJ5047" s="15"/>
      <c r="AK5047" s="15"/>
      <c r="AL5047" s="15"/>
      <c r="AM5047" s="15"/>
      <c r="AN5047" s="15"/>
      <c r="AO5047" s="15"/>
      <c r="AP5047" s="15"/>
      <c r="AQ5047" s="15"/>
      <c r="AR5047" s="15"/>
      <c r="AS5047" s="15"/>
      <c r="AT5047" s="15"/>
      <c r="AU5047" s="15"/>
      <c r="AV5047" s="15"/>
      <c r="AW5047" s="15"/>
    </row>
    <row r="5048" spans="3:49" x14ac:dyDescent="0.2">
      <c r="C5048" s="15"/>
      <c r="D5048" s="15"/>
      <c r="E5048" s="15"/>
      <c r="F5048" s="15"/>
      <c r="G5048" s="15"/>
      <c r="H5048" s="15"/>
      <c r="I5048" s="15"/>
      <c r="J5048" s="15"/>
      <c r="K5048" s="15"/>
      <c r="L5048" s="28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  <c r="AA5048" s="15"/>
      <c r="AB5048" s="15"/>
      <c r="AC5048" s="15"/>
      <c r="AD5048" s="15"/>
      <c r="AE5048" s="15"/>
      <c r="AF5048" s="15"/>
      <c r="AG5048" s="15"/>
      <c r="AH5048" s="15"/>
      <c r="AI5048" s="15"/>
      <c r="AJ5048" s="15"/>
      <c r="AK5048" s="15"/>
      <c r="AL5048" s="15"/>
      <c r="AM5048" s="15"/>
      <c r="AN5048" s="15"/>
      <c r="AO5048" s="15"/>
      <c r="AP5048" s="15"/>
      <c r="AQ5048" s="15"/>
      <c r="AR5048" s="15"/>
      <c r="AS5048" s="15"/>
      <c r="AT5048" s="15"/>
      <c r="AU5048" s="15"/>
      <c r="AV5048" s="15"/>
      <c r="AW5048" s="15"/>
    </row>
    <row r="5049" spans="3:49" x14ac:dyDescent="0.2">
      <c r="C5049" s="15"/>
      <c r="D5049" s="15"/>
      <c r="E5049" s="15"/>
      <c r="F5049" s="15"/>
      <c r="G5049" s="15"/>
      <c r="H5049" s="15"/>
      <c r="I5049" s="15"/>
      <c r="J5049" s="15"/>
      <c r="K5049" s="15"/>
      <c r="L5049" s="28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  <c r="AA5049" s="15"/>
      <c r="AB5049" s="15"/>
      <c r="AC5049" s="15"/>
      <c r="AD5049" s="15"/>
      <c r="AE5049" s="15"/>
      <c r="AF5049" s="15"/>
      <c r="AG5049" s="15"/>
      <c r="AH5049" s="15"/>
      <c r="AI5049" s="15"/>
      <c r="AJ5049" s="15"/>
      <c r="AK5049" s="15"/>
      <c r="AL5049" s="15"/>
      <c r="AM5049" s="15"/>
      <c r="AN5049" s="15"/>
      <c r="AO5049" s="15"/>
      <c r="AP5049" s="15"/>
      <c r="AQ5049" s="15"/>
      <c r="AR5049" s="15"/>
      <c r="AS5049" s="15"/>
      <c r="AT5049" s="15"/>
      <c r="AU5049" s="15"/>
      <c r="AV5049" s="15"/>
      <c r="AW5049" s="15"/>
    </row>
    <row r="5050" spans="3:49" x14ac:dyDescent="0.2">
      <c r="C5050" s="15"/>
      <c r="D5050" s="15"/>
      <c r="E5050" s="15"/>
      <c r="F5050" s="15"/>
      <c r="G5050" s="15"/>
      <c r="H5050" s="15"/>
      <c r="I5050" s="15"/>
      <c r="J5050" s="15"/>
      <c r="K5050" s="15"/>
      <c r="L5050" s="28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  <c r="AA5050" s="15"/>
      <c r="AB5050" s="15"/>
      <c r="AC5050" s="15"/>
      <c r="AD5050" s="15"/>
      <c r="AE5050" s="15"/>
      <c r="AF5050" s="15"/>
      <c r="AG5050" s="15"/>
      <c r="AH5050" s="15"/>
      <c r="AI5050" s="15"/>
      <c r="AJ5050" s="15"/>
      <c r="AK5050" s="15"/>
      <c r="AL5050" s="15"/>
      <c r="AM5050" s="15"/>
      <c r="AN5050" s="15"/>
      <c r="AO5050" s="15"/>
      <c r="AP5050" s="15"/>
      <c r="AQ5050" s="15"/>
      <c r="AR5050" s="15"/>
      <c r="AS5050" s="15"/>
      <c r="AT5050" s="15"/>
      <c r="AU5050" s="15"/>
      <c r="AV5050" s="15"/>
      <c r="AW5050" s="15"/>
    </row>
    <row r="5051" spans="3:49" x14ac:dyDescent="0.2">
      <c r="C5051" s="15"/>
      <c r="D5051" s="15"/>
      <c r="E5051" s="15"/>
      <c r="F5051" s="15"/>
      <c r="G5051" s="15"/>
      <c r="H5051" s="15"/>
      <c r="I5051" s="15"/>
      <c r="J5051" s="15"/>
      <c r="K5051" s="15"/>
      <c r="L5051" s="28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  <c r="AA5051" s="15"/>
      <c r="AB5051" s="15"/>
      <c r="AC5051" s="15"/>
      <c r="AD5051" s="15"/>
      <c r="AE5051" s="15"/>
      <c r="AF5051" s="15"/>
      <c r="AG5051" s="15"/>
      <c r="AH5051" s="15"/>
      <c r="AI5051" s="15"/>
      <c r="AJ5051" s="15"/>
      <c r="AK5051" s="15"/>
      <c r="AL5051" s="15"/>
      <c r="AM5051" s="15"/>
      <c r="AN5051" s="15"/>
      <c r="AO5051" s="15"/>
      <c r="AP5051" s="15"/>
      <c r="AQ5051" s="15"/>
      <c r="AR5051" s="15"/>
      <c r="AS5051" s="15"/>
      <c r="AT5051" s="15"/>
      <c r="AU5051" s="15"/>
      <c r="AV5051" s="15"/>
      <c r="AW5051" s="15"/>
    </row>
    <row r="5052" spans="3:49" x14ac:dyDescent="0.2">
      <c r="C5052" s="15"/>
      <c r="D5052" s="15"/>
      <c r="E5052" s="15"/>
      <c r="F5052" s="15"/>
      <c r="G5052" s="15"/>
      <c r="H5052" s="15"/>
      <c r="I5052" s="15"/>
      <c r="J5052" s="15"/>
      <c r="K5052" s="15"/>
      <c r="L5052" s="28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  <c r="AA5052" s="15"/>
      <c r="AB5052" s="15"/>
      <c r="AC5052" s="15"/>
      <c r="AD5052" s="15"/>
      <c r="AE5052" s="15"/>
      <c r="AF5052" s="15"/>
      <c r="AG5052" s="15"/>
      <c r="AH5052" s="15"/>
      <c r="AI5052" s="15"/>
      <c r="AJ5052" s="15"/>
      <c r="AK5052" s="15"/>
      <c r="AL5052" s="15"/>
      <c r="AM5052" s="15"/>
      <c r="AN5052" s="15"/>
      <c r="AO5052" s="15"/>
      <c r="AP5052" s="15"/>
      <c r="AQ5052" s="15"/>
      <c r="AR5052" s="15"/>
      <c r="AS5052" s="15"/>
      <c r="AT5052" s="15"/>
      <c r="AU5052" s="15"/>
      <c r="AV5052" s="15"/>
      <c r="AW5052" s="15"/>
    </row>
    <row r="5053" spans="3:49" x14ac:dyDescent="0.2">
      <c r="C5053" s="15"/>
      <c r="D5053" s="15"/>
      <c r="E5053" s="15"/>
      <c r="F5053" s="15"/>
      <c r="G5053" s="15"/>
      <c r="H5053" s="15"/>
      <c r="I5053" s="15"/>
      <c r="J5053" s="15"/>
      <c r="K5053" s="15"/>
      <c r="L5053" s="28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  <c r="AA5053" s="15"/>
      <c r="AB5053" s="15"/>
      <c r="AC5053" s="15"/>
      <c r="AD5053" s="15"/>
      <c r="AE5053" s="15"/>
      <c r="AF5053" s="15"/>
      <c r="AG5053" s="15"/>
      <c r="AH5053" s="15"/>
      <c r="AI5053" s="15"/>
      <c r="AJ5053" s="15"/>
      <c r="AK5053" s="15"/>
      <c r="AL5053" s="15"/>
      <c r="AM5053" s="15"/>
      <c r="AN5053" s="15"/>
      <c r="AO5053" s="15"/>
      <c r="AP5053" s="15"/>
      <c r="AQ5053" s="15"/>
      <c r="AR5053" s="15"/>
      <c r="AS5053" s="15"/>
      <c r="AT5053" s="15"/>
      <c r="AU5053" s="15"/>
      <c r="AV5053" s="15"/>
      <c r="AW5053" s="15"/>
    </row>
    <row r="5054" spans="3:49" x14ac:dyDescent="0.2">
      <c r="C5054" s="15"/>
      <c r="D5054" s="15"/>
      <c r="E5054" s="15"/>
      <c r="F5054" s="15"/>
      <c r="G5054" s="15"/>
      <c r="H5054" s="15"/>
      <c r="I5054" s="15"/>
      <c r="J5054" s="15"/>
      <c r="K5054" s="15"/>
      <c r="L5054" s="28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  <c r="AA5054" s="15"/>
      <c r="AB5054" s="15"/>
      <c r="AC5054" s="15"/>
      <c r="AD5054" s="15"/>
      <c r="AE5054" s="15"/>
      <c r="AF5054" s="15"/>
      <c r="AG5054" s="15"/>
      <c r="AH5054" s="15"/>
      <c r="AI5054" s="15"/>
      <c r="AJ5054" s="15"/>
      <c r="AK5054" s="15"/>
      <c r="AL5054" s="15"/>
      <c r="AM5054" s="15"/>
      <c r="AN5054" s="15"/>
      <c r="AO5054" s="15"/>
      <c r="AP5054" s="15"/>
      <c r="AQ5054" s="15"/>
      <c r="AR5054" s="15"/>
      <c r="AS5054" s="15"/>
      <c r="AT5054" s="15"/>
      <c r="AU5054" s="15"/>
      <c r="AV5054" s="15"/>
      <c r="AW5054" s="15"/>
    </row>
    <row r="5055" spans="3:49" x14ac:dyDescent="0.2">
      <c r="C5055" s="15"/>
      <c r="D5055" s="15"/>
      <c r="E5055" s="15"/>
      <c r="F5055" s="15"/>
      <c r="G5055" s="15"/>
      <c r="H5055" s="15"/>
      <c r="I5055" s="15"/>
      <c r="J5055" s="15"/>
      <c r="K5055" s="15"/>
      <c r="L5055" s="28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  <c r="AA5055" s="15"/>
      <c r="AB5055" s="15"/>
      <c r="AC5055" s="15"/>
      <c r="AD5055" s="15"/>
      <c r="AE5055" s="15"/>
      <c r="AF5055" s="15"/>
      <c r="AG5055" s="15"/>
      <c r="AH5055" s="15"/>
      <c r="AI5055" s="15"/>
      <c r="AJ5055" s="15"/>
      <c r="AK5055" s="15"/>
      <c r="AL5055" s="15"/>
      <c r="AM5055" s="15"/>
      <c r="AN5055" s="15"/>
      <c r="AO5055" s="15"/>
      <c r="AP5055" s="15"/>
      <c r="AQ5055" s="15"/>
      <c r="AR5055" s="15"/>
      <c r="AS5055" s="15"/>
      <c r="AT5055" s="15"/>
      <c r="AU5055" s="15"/>
      <c r="AV5055" s="15"/>
      <c r="AW5055" s="15"/>
    </row>
    <row r="5056" spans="3:49" x14ac:dyDescent="0.2">
      <c r="C5056" s="15"/>
      <c r="D5056" s="15"/>
      <c r="E5056" s="15"/>
      <c r="F5056" s="15"/>
      <c r="G5056" s="15"/>
      <c r="H5056" s="15"/>
      <c r="I5056" s="15"/>
      <c r="J5056" s="15"/>
      <c r="K5056" s="15"/>
      <c r="L5056" s="28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  <c r="AA5056" s="15"/>
      <c r="AB5056" s="15"/>
      <c r="AC5056" s="15"/>
      <c r="AD5056" s="15"/>
      <c r="AE5056" s="15"/>
      <c r="AF5056" s="15"/>
      <c r="AG5056" s="15"/>
      <c r="AH5056" s="15"/>
      <c r="AI5056" s="15"/>
      <c r="AJ5056" s="15"/>
      <c r="AK5056" s="15"/>
      <c r="AL5056" s="15"/>
      <c r="AM5056" s="15"/>
      <c r="AN5056" s="15"/>
      <c r="AO5056" s="15"/>
      <c r="AP5056" s="15"/>
      <c r="AQ5056" s="15"/>
      <c r="AR5056" s="15"/>
      <c r="AS5056" s="15"/>
      <c r="AT5056" s="15"/>
      <c r="AU5056" s="15"/>
      <c r="AV5056" s="15"/>
      <c r="AW5056" s="15"/>
    </row>
    <row r="5057" spans="3:49" x14ac:dyDescent="0.2">
      <c r="C5057" s="15"/>
      <c r="D5057" s="15"/>
      <c r="E5057" s="15"/>
      <c r="F5057" s="15"/>
      <c r="G5057" s="15"/>
      <c r="H5057" s="15"/>
      <c r="I5057" s="15"/>
      <c r="J5057" s="15"/>
      <c r="K5057" s="15"/>
      <c r="L5057" s="28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  <c r="AA5057" s="15"/>
      <c r="AB5057" s="15"/>
      <c r="AC5057" s="15"/>
      <c r="AD5057" s="15"/>
      <c r="AE5057" s="15"/>
      <c r="AF5057" s="15"/>
      <c r="AG5057" s="15"/>
      <c r="AH5057" s="15"/>
      <c r="AI5057" s="15"/>
      <c r="AJ5057" s="15"/>
      <c r="AK5057" s="15"/>
      <c r="AL5057" s="15"/>
      <c r="AM5057" s="15"/>
      <c r="AN5057" s="15"/>
      <c r="AO5057" s="15"/>
      <c r="AP5057" s="15"/>
      <c r="AQ5057" s="15"/>
      <c r="AR5057" s="15"/>
      <c r="AS5057" s="15"/>
      <c r="AT5057" s="15"/>
      <c r="AU5057" s="15"/>
      <c r="AV5057" s="15"/>
      <c r="AW5057" s="15"/>
    </row>
    <row r="5058" spans="3:49" x14ac:dyDescent="0.2">
      <c r="C5058" s="15"/>
      <c r="D5058" s="15"/>
      <c r="E5058" s="15"/>
      <c r="F5058" s="15"/>
      <c r="G5058" s="15"/>
      <c r="H5058" s="15"/>
      <c r="I5058" s="15"/>
      <c r="J5058" s="15"/>
      <c r="K5058" s="15"/>
      <c r="L5058" s="28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  <c r="AA5058" s="15"/>
      <c r="AB5058" s="15"/>
      <c r="AC5058" s="15"/>
      <c r="AD5058" s="15"/>
      <c r="AE5058" s="15"/>
      <c r="AF5058" s="15"/>
      <c r="AG5058" s="15"/>
      <c r="AH5058" s="15"/>
      <c r="AI5058" s="15"/>
      <c r="AJ5058" s="15"/>
      <c r="AK5058" s="15"/>
      <c r="AL5058" s="15"/>
      <c r="AM5058" s="15"/>
      <c r="AN5058" s="15"/>
      <c r="AO5058" s="15"/>
      <c r="AP5058" s="15"/>
      <c r="AQ5058" s="15"/>
      <c r="AR5058" s="15"/>
      <c r="AS5058" s="15"/>
      <c r="AT5058" s="15"/>
      <c r="AU5058" s="15"/>
      <c r="AV5058" s="15"/>
      <c r="AW5058" s="15"/>
    </row>
    <row r="5059" spans="3:49" x14ac:dyDescent="0.2">
      <c r="C5059" s="15"/>
      <c r="D5059" s="15"/>
      <c r="E5059" s="15"/>
      <c r="F5059" s="15"/>
      <c r="G5059" s="15"/>
      <c r="H5059" s="15"/>
      <c r="I5059" s="15"/>
      <c r="J5059" s="15"/>
      <c r="K5059" s="15"/>
      <c r="L5059" s="28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  <c r="AA5059" s="15"/>
      <c r="AB5059" s="15"/>
      <c r="AC5059" s="15"/>
      <c r="AD5059" s="15"/>
      <c r="AE5059" s="15"/>
      <c r="AF5059" s="15"/>
      <c r="AG5059" s="15"/>
      <c r="AH5059" s="15"/>
      <c r="AI5059" s="15"/>
      <c r="AJ5059" s="15"/>
      <c r="AK5059" s="15"/>
      <c r="AL5059" s="15"/>
      <c r="AM5059" s="15"/>
      <c r="AN5059" s="15"/>
      <c r="AO5059" s="15"/>
      <c r="AP5059" s="15"/>
      <c r="AQ5059" s="15"/>
      <c r="AR5059" s="15"/>
      <c r="AS5059" s="15"/>
      <c r="AT5059" s="15"/>
      <c r="AU5059" s="15"/>
      <c r="AV5059" s="15"/>
      <c r="AW5059" s="15"/>
    </row>
    <row r="5060" spans="3:49" x14ac:dyDescent="0.2">
      <c r="C5060" s="15"/>
      <c r="D5060" s="15"/>
      <c r="E5060" s="15"/>
      <c r="F5060" s="15"/>
      <c r="G5060" s="15"/>
      <c r="H5060" s="15"/>
      <c r="I5060" s="15"/>
      <c r="J5060" s="15"/>
      <c r="K5060" s="15"/>
      <c r="L5060" s="28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  <c r="AA5060" s="15"/>
      <c r="AB5060" s="15"/>
      <c r="AC5060" s="15"/>
      <c r="AD5060" s="15"/>
      <c r="AE5060" s="15"/>
      <c r="AF5060" s="15"/>
      <c r="AG5060" s="15"/>
      <c r="AH5060" s="15"/>
      <c r="AI5060" s="15"/>
      <c r="AJ5060" s="15"/>
      <c r="AK5060" s="15"/>
      <c r="AL5060" s="15"/>
      <c r="AM5060" s="15"/>
      <c r="AN5060" s="15"/>
      <c r="AO5060" s="15"/>
      <c r="AP5060" s="15"/>
      <c r="AQ5060" s="15"/>
      <c r="AR5060" s="15"/>
      <c r="AS5060" s="15"/>
      <c r="AT5060" s="15"/>
      <c r="AU5060" s="15"/>
      <c r="AV5060" s="15"/>
      <c r="AW5060" s="15"/>
    </row>
    <row r="5061" spans="3:49" x14ac:dyDescent="0.2">
      <c r="C5061" s="15"/>
      <c r="D5061" s="15"/>
      <c r="E5061" s="15"/>
      <c r="F5061" s="15"/>
      <c r="G5061" s="15"/>
      <c r="H5061" s="15"/>
      <c r="I5061" s="15"/>
      <c r="J5061" s="15"/>
      <c r="K5061" s="15"/>
      <c r="L5061" s="28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  <c r="AA5061" s="15"/>
      <c r="AB5061" s="15"/>
      <c r="AC5061" s="15"/>
      <c r="AD5061" s="15"/>
      <c r="AE5061" s="15"/>
      <c r="AF5061" s="15"/>
      <c r="AG5061" s="15"/>
      <c r="AH5061" s="15"/>
      <c r="AI5061" s="15"/>
      <c r="AJ5061" s="15"/>
      <c r="AK5061" s="15"/>
      <c r="AL5061" s="15"/>
      <c r="AM5061" s="15"/>
      <c r="AN5061" s="15"/>
      <c r="AO5061" s="15"/>
      <c r="AP5061" s="15"/>
      <c r="AQ5061" s="15"/>
      <c r="AR5061" s="15"/>
      <c r="AS5061" s="15"/>
      <c r="AT5061" s="15"/>
      <c r="AU5061" s="15"/>
      <c r="AV5061" s="15"/>
      <c r="AW5061" s="15"/>
    </row>
    <row r="5062" spans="3:49" x14ac:dyDescent="0.2">
      <c r="C5062" s="15"/>
      <c r="D5062" s="15"/>
      <c r="E5062" s="15"/>
      <c r="F5062" s="15"/>
      <c r="G5062" s="15"/>
      <c r="H5062" s="15"/>
      <c r="I5062" s="15"/>
      <c r="J5062" s="15"/>
      <c r="K5062" s="15"/>
      <c r="L5062" s="28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  <c r="AA5062" s="15"/>
      <c r="AB5062" s="15"/>
      <c r="AC5062" s="15"/>
      <c r="AD5062" s="15"/>
      <c r="AE5062" s="15"/>
      <c r="AF5062" s="15"/>
      <c r="AG5062" s="15"/>
      <c r="AH5062" s="15"/>
      <c r="AI5062" s="15"/>
      <c r="AJ5062" s="15"/>
      <c r="AK5062" s="15"/>
      <c r="AL5062" s="15"/>
      <c r="AM5062" s="15"/>
      <c r="AN5062" s="15"/>
      <c r="AO5062" s="15"/>
      <c r="AP5062" s="15"/>
      <c r="AQ5062" s="15"/>
      <c r="AR5062" s="15"/>
      <c r="AS5062" s="15"/>
      <c r="AT5062" s="15"/>
      <c r="AU5062" s="15"/>
      <c r="AV5062" s="15"/>
      <c r="AW5062" s="15"/>
    </row>
    <row r="5063" spans="3:49" x14ac:dyDescent="0.2">
      <c r="C5063" s="15"/>
      <c r="D5063" s="15"/>
      <c r="E5063" s="15"/>
      <c r="F5063" s="15"/>
      <c r="G5063" s="15"/>
      <c r="H5063" s="15"/>
      <c r="I5063" s="15"/>
      <c r="J5063" s="15"/>
      <c r="K5063" s="15"/>
      <c r="L5063" s="28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  <c r="AA5063" s="15"/>
      <c r="AB5063" s="15"/>
      <c r="AC5063" s="15"/>
      <c r="AD5063" s="15"/>
      <c r="AE5063" s="15"/>
      <c r="AF5063" s="15"/>
      <c r="AG5063" s="15"/>
      <c r="AH5063" s="15"/>
      <c r="AI5063" s="15"/>
      <c r="AJ5063" s="15"/>
      <c r="AK5063" s="15"/>
      <c r="AL5063" s="15"/>
      <c r="AM5063" s="15"/>
      <c r="AN5063" s="15"/>
      <c r="AO5063" s="15"/>
      <c r="AP5063" s="15"/>
      <c r="AQ5063" s="15"/>
      <c r="AR5063" s="15"/>
      <c r="AS5063" s="15"/>
      <c r="AT5063" s="15"/>
      <c r="AU5063" s="15"/>
      <c r="AV5063" s="15"/>
      <c r="AW5063" s="15"/>
    </row>
    <row r="5064" spans="3:49" x14ac:dyDescent="0.2">
      <c r="C5064" s="15"/>
      <c r="D5064" s="15"/>
      <c r="E5064" s="15"/>
      <c r="F5064" s="15"/>
      <c r="G5064" s="15"/>
      <c r="H5064" s="15"/>
      <c r="I5064" s="15"/>
      <c r="J5064" s="15"/>
      <c r="K5064" s="15"/>
      <c r="L5064" s="28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  <c r="AA5064" s="15"/>
      <c r="AB5064" s="15"/>
      <c r="AC5064" s="15"/>
      <c r="AD5064" s="15"/>
      <c r="AE5064" s="15"/>
      <c r="AF5064" s="15"/>
      <c r="AG5064" s="15"/>
      <c r="AH5064" s="15"/>
      <c r="AI5064" s="15"/>
      <c r="AJ5064" s="15"/>
      <c r="AK5064" s="15"/>
      <c r="AL5064" s="15"/>
      <c r="AM5064" s="15"/>
      <c r="AN5064" s="15"/>
      <c r="AO5064" s="15"/>
      <c r="AP5064" s="15"/>
      <c r="AQ5064" s="15"/>
      <c r="AR5064" s="15"/>
      <c r="AS5064" s="15"/>
      <c r="AT5064" s="15"/>
      <c r="AU5064" s="15"/>
      <c r="AV5064" s="15"/>
      <c r="AW5064" s="15"/>
    </row>
    <row r="5065" spans="3:49" x14ac:dyDescent="0.2">
      <c r="C5065" s="15"/>
      <c r="D5065" s="15"/>
      <c r="E5065" s="15"/>
      <c r="F5065" s="15"/>
      <c r="G5065" s="15"/>
      <c r="H5065" s="15"/>
      <c r="I5065" s="15"/>
      <c r="J5065" s="15"/>
      <c r="K5065" s="15"/>
      <c r="L5065" s="28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  <c r="AA5065" s="15"/>
      <c r="AB5065" s="15"/>
      <c r="AC5065" s="15"/>
      <c r="AD5065" s="15"/>
      <c r="AE5065" s="15"/>
      <c r="AF5065" s="15"/>
      <c r="AG5065" s="15"/>
      <c r="AH5065" s="15"/>
      <c r="AI5065" s="15"/>
      <c r="AJ5065" s="15"/>
      <c r="AK5065" s="15"/>
      <c r="AL5065" s="15"/>
      <c r="AM5065" s="15"/>
      <c r="AN5065" s="15"/>
      <c r="AO5065" s="15"/>
      <c r="AP5065" s="15"/>
      <c r="AQ5065" s="15"/>
      <c r="AR5065" s="15"/>
      <c r="AS5065" s="15"/>
      <c r="AT5065" s="15"/>
      <c r="AU5065" s="15"/>
      <c r="AV5065" s="15"/>
      <c r="AW5065" s="15"/>
    </row>
    <row r="5066" spans="3:49" x14ac:dyDescent="0.2">
      <c r="C5066" s="15"/>
      <c r="D5066" s="15"/>
      <c r="E5066" s="15"/>
      <c r="F5066" s="15"/>
      <c r="G5066" s="15"/>
      <c r="H5066" s="15"/>
      <c r="I5066" s="15"/>
      <c r="J5066" s="15"/>
      <c r="K5066" s="15"/>
      <c r="L5066" s="28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  <c r="AA5066" s="15"/>
      <c r="AB5066" s="15"/>
      <c r="AC5066" s="15"/>
      <c r="AD5066" s="15"/>
      <c r="AE5066" s="15"/>
      <c r="AF5066" s="15"/>
      <c r="AG5066" s="15"/>
      <c r="AH5066" s="15"/>
      <c r="AI5066" s="15"/>
      <c r="AJ5066" s="15"/>
      <c r="AK5066" s="15"/>
      <c r="AL5066" s="15"/>
      <c r="AM5066" s="15"/>
      <c r="AN5066" s="15"/>
      <c r="AO5066" s="15"/>
      <c r="AP5066" s="15"/>
      <c r="AQ5066" s="15"/>
      <c r="AR5066" s="15"/>
      <c r="AS5066" s="15"/>
      <c r="AT5066" s="15"/>
      <c r="AU5066" s="15"/>
      <c r="AV5066" s="15"/>
      <c r="AW5066" s="15"/>
    </row>
    <row r="5067" spans="3:49" x14ac:dyDescent="0.2">
      <c r="C5067" s="15"/>
      <c r="D5067" s="15"/>
      <c r="E5067" s="15"/>
      <c r="F5067" s="15"/>
      <c r="G5067" s="15"/>
      <c r="H5067" s="15"/>
      <c r="I5067" s="15"/>
      <c r="J5067" s="15"/>
      <c r="K5067" s="15"/>
      <c r="L5067" s="28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  <c r="AA5067" s="15"/>
      <c r="AB5067" s="15"/>
      <c r="AC5067" s="15"/>
      <c r="AD5067" s="15"/>
      <c r="AE5067" s="15"/>
      <c r="AF5067" s="15"/>
      <c r="AG5067" s="15"/>
      <c r="AH5067" s="15"/>
      <c r="AI5067" s="15"/>
      <c r="AJ5067" s="15"/>
      <c r="AK5067" s="15"/>
      <c r="AL5067" s="15"/>
      <c r="AM5067" s="15"/>
      <c r="AN5067" s="15"/>
      <c r="AO5067" s="15"/>
      <c r="AP5067" s="15"/>
      <c r="AQ5067" s="15"/>
      <c r="AR5067" s="15"/>
      <c r="AS5067" s="15"/>
      <c r="AT5067" s="15"/>
      <c r="AU5067" s="15"/>
      <c r="AV5067" s="15"/>
      <c r="AW5067" s="15"/>
    </row>
    <row r="5068" spans="3:49" x14ac:dyDescent="0.2">
      <c r="C5068" s="15"/>
      <c r="D5068" s="15"/>
      <c r="E5068" s="15"/>
      <c r="F5068" s="15"/>
      <c r="G5068" s="15"/>
      <c r="H5068" s="15"/>
      <c r="I5068" s="15"/>
      <c r="J5068" s="15"/>
      <c r="K5068" s="15"/>
      <c r="L5068" s="28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  <c r="AA5068" s="15"/>
      <c r="AB5068" s="15"/>
      <c r="AC5068" s="15"/>
      <c r="AD5068" s="15"/>
      <c r="AE5068" s="15"/>
      <c r="AF5068" s="15"/>
      <c r="AG5068" s="15"/>
      <c r="AH5068" s="15"/>
      <c r="AI5068" s="15"/>
      <c r="AJ5068" s="15"/>
      <c r="AK5068" s="15"/>
      <c r="AL5068" s="15"/>
      <c r="AM5068" s="15"/>
      <c r="AN5068" s="15"/>
      <c r="AO5068" s="15"/>
      <c r="AP5068" s="15"/>
      <c r="AQ5068" s="15"/>
      <c r="AR5068" s="15"/>
      <c r="AS5068" s="15"/>
      <c r="AT5068" s="15"/>
      <c r="AU5068" s="15"/>
      <c r="AV5068" s="15"/>
      <c r="AW5068" s="15"/>
    </row>
    <row r="5069" spans="3:49" x14ac:dyDescent="0.2">
      <c r="C5069" s="15"/>
      <c r="D5069" s="15"/>
      <c r="E5069" s="15"/>
      <c r="F5069" s="15"/>
      <c r="G5069" s="15"/>
      <c r="H5069" s="15"/>
      <c r="I5069" s="15"/>
      <c r="J5069" s="15"/>
      <c r="K5069" s="15"/>
      <c r="L5069" s="28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  <c r="AA5069" s="15"/>
      <c r="AB5069" s="15"/>
      <c r="AC5069" s="15"/>
      <c r="AD5069" s="15"/>
      <c r="AE5069" s="15"/>
      <c r="AF5069" s="15"/>
      <c r="AG5069" s="15"/>
      <c r="AH5069" s="15"/>
      <c r="AI5069" s="15"/>
      <c r="AJ5069" s="15"/>
      <c r="AK5069" s="15"/>
      <c r="AL5069" s="15"/>
      <c r="AM5069" s="15"/>
      <c r="AN5069" s="15"/>
      <c r="AO5069" s="15"/>
      <c r="AP5069" s="15"/>
      <c r="AQ5069" s="15"/>
      <c r="AR5069" s="15"/>
      <c r="AS5069" s="15"/>
      <c r="AT5069" s="15"/>
      <c r="AU5069" s="15"/>
      <c r="AV5069" s="15"/>
      <c r="AW5069" s="15"/>
    </row>
    <row r="5070" spans="3:49" x14ac:dyDescent="0.2">
      <c r="C5070" s="15"/>
      <c r="D5070" s="15"/>
      <c r="E5070" s="15"/>
      <c r="F5070" s="15"/>
      <c r="G5070" s="15"/>
      <c r="H5070" s="15"/>
      <c r="I5070" s="15"/>
      <c r="J5070" s="15"/>
      <c r="K5070" s="15"/>
      <c r="L5070" s="28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  <c r="AA5070" s="15"/>
      <c r="AB5070" s="15"/>
      <c r="AC5070" s="15"/>
      <c r="AD5070" s="15"/>
      <c r="AE5070" s="15"/>
      <c r="AF5070" s="15"/>
      <c r="AG5070" s="15"/>
      <c r="AH5070" s="15"/>
      <c r="AI5070" s="15"/>
      <c r="AJ5070" s="15"/>
      <c r="AK5070" s="15"/>
      <c r="AL5070" s="15"/>
      <c r="AM5070" s="15"/>
      <c r="AN5070" s="15"/>
      <c r="AO5070" s="15"/>
      <c r="AP5070" s="15"/>
      <c r="AQ5070" s="15"/>
      <c r="AR5070" s="15"/>
      <c r="AS5070" s="15"/>
      <c r="AT5070" s="15"/>
      <c r="AU5070" s="15"/>
      <c r="AV5070" s="15"/>
      <c r="AW5070" s="15"/>
    </row>
    <row r="5071" spans="3:49" x14ac:dyDescent="0.2">
      <c r="C5071" s="15"/>
      <c r="D5071" s="15"/>
      <c r="E5071" s="15"/>
      <c r="F5071" s="15"/>
      <c r="G5071" s="15"/>
      <c r="H5071" s="15"/>
      <c r="I5071" s="15"/>
      <c r="J5071" s="15"/>
      <c r="K5071" s="15"/>
      <c r="L5071" s="28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  <c r="AA5071" s="15"/>
      <c r="AB5071" s="15"/>
      <c r="AC5071" s="15"/>
      <c r="AD5071" s="15"/>
      <c r="AE5071" s="15"/>
      <c r="AF5071" s="15"/>
      <c r="AG5071" s="15"/>
      <c r="AH5071" s="15"/>
      <c r="AI5071" s="15"/>
      <c r="AJ5071" s="15"/>
      <c r="AK5071" s="15"/>
      <c r="AL5071" s="15"/>
      <c r="AM5071" s="15"/>
      <c r="AN5071" s="15"/>
      <c r="AO5071" s="15"/>
      <c r="AP5071" s="15"/>
      <c r="AQ5071" s="15"/>
      <c r="AR5071" s="15"/>
      <c r="AS5071" s="15"/>
      <c r="AT5071" s="15"/>
      <c r="AU5071" s="15"/>
      <c r="AV5071" s="15"/>
      <c r="AW5071" s="15"/>
    </row>
    <row r="5072" spans="3:49" x14ac:dyDescent="0.2">
      <c r="C5072" s="15"/>
      <c r="D5072" s="15"/>
      <c r="E5072" s="15"/>
      <c r="F5072" s="15"/>
      <c r="G5072" s="15"/>
      <c r="H5072" s="15"/>
      <c r="I5072" s="15"/>
      <c r="J5072" s="15"/>
      <c r="K5072" s="15"/>
      <c r="L5072" s="28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  <c r="AA5072" s="15"/>
      <c r="AB5072" s="15"/>
      <c r="AC5072" s="15"/>
      <c r="AD5072" s="15"/>
      <c r="AE5072" s="15"/>
      <c r="AF5072" s="15"/>
      <c r="AG5072" s="15"/>
      <c r="AH5072" s="15"/>
      <c r="AI5072" s="15"/>
      <c r="AJ5072" s="15"/>
      <c r="AK5072" s="15"/>
      <c r="AL5072" s="15"/>
      <c r="AM5072" s="15"/>
      <c r="AN5072" s="15"/>
      <c r="AO5072" s="15"/>
      <c r="AP5072" s="15"/>
      <c r="AQ5072" s="15"/>
      <c r="AR5072" s="15"/>
      <c r="AS5072" s="15"/>
      <c r="AT5072" s="15"/>
      <c r="AU5072" s="15"/>
      <c r="AV5072" s="15"/>
      <c r="AW5072" s="15"/>
    </row>
    <row r="5073" spans="3:49" x14ac:dyDescent="0.2">
      <c r="C5073" s="15"/>
      <c r="D5073" s="15"/>
      <c r="E5073" s="15"/>
      <c r="F5073" s="15"/>
      <c r="G5073" s="15"/>
      <c r="H5073" s="15"/>
      <c r="I5073" s="15"/>
      <c r="J5073" s="15"/>
      <c r="K5073" s="15"/>
      <c r="L5073" s="28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  <c r="AA5073" s="15"/>
      <c r="AB5073" s="15"/>
      <c r="AC5073" s="15"/>
      <c r="AD5073" s="15"/>
      <c r="AE5073" s="15"/>
      <c r="AF5073" s="15"/>
      <c r="AG5073" s="15"/>
      <c r="AH5073" s="15"/>
      <c r="AI5073" s="15"/>
      <c r="AJ5073" s="15"/>
      <c r="AK5073" s="15"/>
      <c r="AL5073" s="15"/>
      <c r="AM5073" s="15"/>
      <c r="AN5073" s="15"/>
      <c r="AO5073" s="15"/>
      <c r="AP5073" s="15"/>
      <c r="AQ5073" s="15"/>
      <c r="AR5073" s="15"/>
      <c r="AS5073" s="15"/>
      <c r="AT5073" s="15"/>
      <c r="AU5073" s="15"/>
      <c r="AV5073" s="15"/>
      <c r="AW5073" s="15"/>
    </row>
    <row r="5074" spans="3:49" x14ac:dyDescent="0.2">
      <c r="C5074" s="15"/>
      <c r="D5074" s="15"/>
      <c r="E5074" s="15"/>
      <c r="F5074" s="15"/>
      <c r="G5074" s="15"/>
      <c r="H5074" s="15"/>
      <c r="I5074" s="15"/>
      <c r="J5074" s="15"/>
      <c r="K5074" s="15"/>
      <c r="L5074" s="28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  <c r="AA5074" s="15"/>
      <c r="AB5074" s="15"/>
      <c r="AC5074" s="15"/>
      <c r="AD5074" s="15"/>
      <c r="AE5074" s="15"/>
      <c r="AF5074" s="15"/>
      <c r="AG5074" s="15"/>
      <c r="AH5074" s="15"/>
      <c r="AI5074" s="15"/>
      <c r="AJ5074" s="15"/>
      <c r="AK5074" s="15"/>
      <c r="AL5074" s="15"/>
      <c r="AM5074" s="15"/>
      <c r="AN5074" s="15"/>
      <c r="AO5074" s="15"/>
      <c r="AP5074" s="15"/>
      <c r="AQ5074" s="15"/>
      <c r="AR5074" s="15"/>
      <c r="AS5074" s="15"/>
      <c r="AT5074" s="15"/>
      <c r="AU5074" s="15"/>
      <c r="AV5074" s="15"/>
      <c r="AW5074" s="15"/>
    </row>
    <row r="5075" spans="3:49" x14ac:dyDescent="0.2">
      <c r="C5075" s="15"/>
      <c r="D5075" s="15"/>
      <c r="E5075" s="15"/>
      <c r="F5075" s="15"/>
      <c r="G5075" s="15"/>
      <c r="H5075" s="15"/>
      <c r="I5075" s="15"/>
      <c r="J5075" s="15"/>
      <c r="K5075" s="15"/>
      <c r="L5075" s="28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  <c r="AA5075" s="15"/>
      <c r="AB5075" s="15"/>
      <c r="AC5075" s="15"/>
      <c r="AD5075" s="15"/>
      <c r="AE5075" s="15"/>
      <c r="AF5075" s="15"/>
      <c r="AG5075" s="15"/>
      <c r="AH5075" s="15"/>
      <c r="AI5075" s="15"/>
      <c r="AJ5075" s="15"/>
      <c r="AK5075" s="15"/>
      <c r="AL5075" s="15"/>
      <c r="AM5075" s="15"/>
      <c r="AN5075" s="15"/>
      <c r="AO5075" s="15"/>
      <c r="AP5075" s="15"/>
      <c r="AQ5075" s="15"/>
      <c r="AR5075" s="15"/>
      <c r="AS5075" s="15"/>
      <c r="AT5075" s="15"/>
      <c r="AU5075" s="15"/>
      <c r="AV5075" s="15"/>
      <c r="AW5075" s="15"/>
    </row>
    <row r="5076" spans="3:49" x14ac:dyDescent="0.2">
      <c r="C5076" s="15"/>
      <c r="D5076" s="15"/>
      <c r="E5076" s="15"/>
      <c r="F5076" s="15"/>
      <c r="G5076" s="15"/>
      <c r="H5076" s="15"/>
      <c r="I5076" s="15"/>
      <c r="J5076" s="15"/>
      <c r="K5076" s="15"/>
      <c r="L5076" s="28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  <c r="AA5076" s="15"/>
      <c r="AB5076" s="15"/>
      <c r="AC5076" s="15"/>
      <c r="AD5076" s="15"/>
      <c r="AE5076" s="15"/>
      <c r="AF5076" s="15"/>
      <c r="AG5076" s="15"/>
      <c r="AH5076" s="15"/>
      <c r="AI5076" s="15"/>
      <c r="AJ5076" s="15"/>
      <c r="AK5076" s="15"/>
      <c r="AL5076" s="15"/>
      <c r="AM5076" s="15"/>
      <c r="AN5076" s="15"/>
      <c r="AO5076" s="15"/>
      <c r="AP5076" s="15"/>
      <c r="AQ5076" s="15"/>
      <c r="AR5076" s="15"/>
      <c r="AS5076" s="15"/>
      <c r="AT5076" s="15"/>
      <c r="AU5076" s="15"/>
      <c r="AV5076" s="15"/>
      <c r="AW5076" s="15"/>
    </row>
    <row r="5077" spans="3:49" x14ac:dyDescent="0.2">
      <c r="C5077" s="15"/>
      <c r="D5077" s="15"/>
      <c r="E5077" s="15"/>
      <c r="F5077" s="15"/>
      <c r="G5077" s="15"/>
      <c r="H5077" s="15"/>
      <c r="I5077" s="15"/>
      <c r="J5077" s="15"/>
      <c r="K5077" s="15"/>
      <c r="L5077" s="28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  <c r="AA5077" s="15"/>
      <c r="AB5077" s="15"/>
      <c r="AC5077" s="15"/>
      <c r="AD5077" s="15"/>
      <c r="AE5077" s="15"/>
      <c r="AF5077" s="15"/>
      <c r="AG5077" s="15"/>
      <c r="AH5077" s="15"/>
      <c r="AI5077" s="15"/>
      <c r="AJ5077" s="15"/>
      <c r="AK5077" s="15"/>
      <c r="AL5077" s="15"/>
      <c r="AM5077" s="15"/>
      <c r="AN5077" s="15"/>
      <c r="AO5077" s="15"/>
      <c r="AP5077" s="15"/>
      <c r="AQ5077" s="15"/>
      <c r="AR5077" s="15"/>
      <c r="AS5077" s="15"/>
      <c r="AT5077" s="15"/>
      <c r="AU5077" s="15"/>
      <c r="AV5077" s="15"/>
      <c r="AW5077" s="15"/>
    </row>
    <row r="5078" spans="3:49" x14ac:dyDescent="0.2">
      <c r="C5078" s="15"/>
      <c r="D5078" s="15"/>
      <c r="E5078" s="15"/>
      <c r="F5078" s="15"/>
      <c r="G5078" s="15"/>
      <c r="H5078" s="15"/>
      <c r="I5078" s="15"/>
      <c r="J5078" s="15"/>
      <c r="K5078" s="15"/>
      <c r="L5078" s="28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  <c r="AA5078" s="15"/>
      <c r="AB5078" s="15"/>
      <c r="AC5078" s="15"/>
      <c r="AD5078" s="15"/>
      <c r="AE5078" s="15"/>
      <c r="AF5078" s="15"/>
      <c r="AG5078" s="15"/>
      <c r="AH5078" s="15"/>
      <c r="AI5078" s="15"/>
      <c r="AJ5078" s="15"/>
      <c r="AK5078" s="15"/>
      <c r="AL5078" s="15"/>
      <c r="AM5078" s="15"/>
      <c r="AN5078" s="15"/>
      <c r="AO5078" s="15"/>
      <c r="AP5078" s="15"/>
      <c r="AQ5078" s="15"/>
      <c r="AR5078" s="15"/>
      <c r="AS5078" s="15"/>
      <c r="AT5078" s="15"/>
      <c r="AU5078" s="15"/>
      <c r="AV5078" s="15"/>
      <c r="AW5078" s="15"/>
    </row>
    <row r="5079" spans="3:49" x14ac:dyDescent="0.2">
      <c r="C5079" s="15"/>
      <c r="D5079" s="15"/>
      <c r="E5079" s="15"/>
      <c r="F5079" s="15"/>
      <c r="G5079" s="15"/>
      <c r="H5079" s="15"/>
      <c r="I5079" s="15"/>
      <c r="J5079" s="15"/>
      <c r="K5079" s="15"/>
      <c r="L5079" s="28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  <c r="AA5079" s="15"/>
      <c r="AB5079" s="15"/>
      <c r="AC5079" s="15"/>
      <c r="AD5079" s="15"/>
      <c r="AE5079" s="15"/>
      <c r="AF5079" s="15"/>
      <c r="AG5079" s="15"/>
      <c r="AH5079" s="15"/>
      <c r="AI5079" s="15"/>
      <c r="AJ5079" s="15"/>
      <c r="AK5079" s="15"/>
      <c r="AL5079" s="15"/>
      <c r="AM5079" s="15"/>
      <c r="AN5079" s="15"/>
      <c r="AO5079" s="15"/>
      <c r="AP5079" s="15"/>
      <c r="AQ5079" s="15"/>
      <c r="AR5079" s="15"/>
      <c r="AS5079" s="15"/>
      <c r="AT5079" s="15"/>
      <c r="AU5079" s="15"/>
      <c r="AV5079" s="15"/>
      <c r="AW5079" s="15"/>
    </row>
    <row r="5080" spans="3:49" x14ac:dyDescent="0.2">
      <c r="C5080" s="15"/>
      <c r="D5080" s="15"/>
      <c r="E5080" s="15"/>
      <c r="F5080" s="15"/>
      <c r="G5080" s="15"/>
      <c r="H5080" s="15"/>
      <c r="I5080" s="15"/>
      <c r="J5080" s="15"/>
      <c r="K5080" s="15"/>
      <c r="L5080" s="28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  <c r="AA5080" s="15"/>
      <c r="AB5080" s="15"/>
      <c r="AC5080" s="15"/>
      <c r="AD5080" s="15"/>
      <c r="AE5080" s="15"/>
      <c r="AF5080" s="15"/>
      <c r="AG5080" s="15"/>
      <c r="AH5080" s="15"/>
      <c r="AI5080" s="15"/>
      <c r="AJ5080" s="15"/>
      <c r="AK5080" s="15"/>
      <c r="AL5080" s="15"/>
      <c r="AM5080" s="15"/>
      <c r="AN5080" s="15"/>
      <c r="AO5080" s="15"/>
      <c r="AP5080" s="15"/>
      <c r="AQ5080" s="15"/>
      <c r="AR5080" s="15"/>
      <c r="AS5080" s="15"/>
      <c r="AT5080" s="15"/>
      <c r="AU5080" s="15"/>
      <c r="AV5080" s="15"/>
      <c r="AW5080" s="15"/>
    </row>
    <row r="5081" spans="3:49" x14ac:dyDescent="0.2">
      <c r="C5081" s="15"/>
      <c r="D5081" s="15"/>
      <c r="E5081" s="15"/>
      <c r="F5081" s="15"/>
      <c r="G5081" s="15"/>
      <c r="H5081" s="15"/>
      <c r="I5081" s="15"/>
      <c r="J5081" s="15"/>
      <c r="K5081" s="15"/>
      <c r="L5081" s="28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  <c r="AA5081" s="15"/>
      <c r="AB5081" s="15"/>
      <c r="AC5081" s="15"/>
      <c r="AD5081" s="15"/>
      <c r="AE5081" s="15"/>
      <c r="AF5081" s="15"/>
      <c r="AG5081" s="15"/>
      <c r="AH5081" s="15"/>
      <c r="AI5081" s="15"/>
      <c r="AJ5081" s="15"/>
      <c r="AK5081" s="15"/>
      <c r="AL5081" s="15"/>
      <c r="AM5081" s="15"/>
      <c r="AN5081" s="15"/>
      <c r="AO5081" s="15"/>
      <c r="AP5081" s="15"/>
      <c r="AQ5081" s="15"/>
      <c r="AR5081" s="15"/>
      <c r="AS5081" s="15"/>
      <c r="AT5081" s="15"/>
      <c r="AU5081" s="15"/>
      <c r="AV5081" s="15"/>
      <c r="AW5081" s="15"/>
    </row>
    <row r="5082" spans="3:49" x14ac:dyDescent="0.2">
      <c r="C5082" s="15"/>
      <c r="D5082" s="15"/>
      <c r="E5082" s="15"/>
      <c r="F5082" s="15"/>
      <c r="G5082" s="15"/>
      <c r="H5082" s="15"/>
      <c r="I5082" s="15"/>
      <c r="J5082" s="15"/>
      <c r="K5082" s="15"/>
      <c r="L5082" s="28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  <c r="AA5082" s="15"/>
      <c r="AB5082" s="15"/>
      <c r="AC5082" s="15"/>
      <c r="AD5082" s="15"/>
      <c r="AE5082" s="15"/>
      <c r="AF5082" s="15"/>
      <c r="AG5082" s="15"/>
      <c r="AH5082" s="15"/>
      <c r="AI5082" s="15"/>
      <c r="AJ5082" s="15"/>
      <c r="AK5082" s="15"/>
      <c r="AL5082" s="15"/>
      <c r="AM5082" s="15"/>
      <c r="AN5082" s="15"/>
      <c r="AO5082" s="15"/>
      <c r="AP5082" s="15"/>
      <c r="AQ5082" s="15"/>
      <c r="AR5082" s="15"/>
      <c r="AS5082" s="15"/>
      <c r="AT5082" s="15"/>
      <c r="AU5082" s="15"/>
      <c r="AV5082" s="15"/>
      <c r="AW5082" s="15"/>
    </row>
    <row r="5083" spans="3:49" x14ac:dyDescent="0.2">
      <c r="C5083" s="15"/>
      <c r="D5083" s="15"/>
      <c r="E5083" s="15"/>
      <c r="F5083" s="15"/>
      <c r="G5083" s="15"/>
      <c r="H5083" s="15"/>
      <c r="I5083" s="15"/>
      <c r="J5083" s="15"/>
      <c r="K5083" s="15"/>
      <c r="L5083" s="28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  <c r="AA5083" s="15"/>
      <c r="AB5083" s="15"/>
      <c r="AC5083" s="15"/>
      <c r="AD5083" s="15"/>
      <c r="AE5083" s="15"/>
      <c r="AF5083" s="15"/>
      <c r="AG5083" s="15"/>
      <c r="AH5083" s="15"/>
      <c r="AI5083" s="15"/>
      <c r="AJ5083" s="15"/>
      <c r="AK5083" s="15"/>
      <c r="AL5083" s="15"/>
      <c r="AM5083" s="15"/>
      <c r="AN5083" s="15"/>
      <c r="AO5083" s="15"/>
      <c r="AP5083" s="15"/>
      <c r="AQ5083" s="15"/>
      <c r="AR5083" s="15"/>
      <c r="AS5083" s="15"/>
      <c r="AT5083" s="15"/>
      <c r="AU5083" s="15"/>
      <c r="AV5083" s="15"/>
      <c r="AW5083" s="15"/>
    </row>
    <row r="5084" spans="3:49" x14ac:dyDescent="0.2">
      <c r="C5084" s="15"/>
      <c r="D5084" s="15"/>
      <c r="E5084" s="15"/>
      <c r="F5084" s="15"/>
      <c r="G5084" s="15"/>
      <c r="H5084" s="15"/>
      <c r="I5084" s="15"/>
      <c r="J5084" s="15"/>
      <c r="K5084" s="15"/>
      <c r="L5084" s="28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  <c r="AA5084" s="15"/>
      <c r="AB5084" s="15"/>
      <c r="AC5084" s="15"/>
      <c r="AD5084" s="15"/>
      <c r="AE5084" s="15"/>
      <c r="AF5084" s="15"/>
      <c r="AG5084" s="15"/>
      <c r="AH5084" s="15"/>
      <c r="AI5084" s="15"/>
      <c r="AJ5084" s="15"/>
      <c r="AK5084" s="15"/>
      <c r="AL5084" s="15"/>
      <c r="AM5084" s="15"/>
      <c r="AN5084" s="15"/>
      <c r="AO5084" s="15"/>
      <c r="AP5084" s="15"/>
      <c r="AQ5084" s="15"/>
      <c r="AR5084" s="15"/>
      <c r="AS5084" s="15"/>
      <c r="AT5084" s="15"/>
      <c r="AU5084" s="15"/>
      <c r="AV5084" s="15"/>
      <c r="AW5084" s="15"/>
    </row>
    <row r="5085" spans="3:49" x14ac:dyDescent="0.2">
      <c r="C5085" s="15"/>
      <c r="D5085" s="15"/>
      <c r="E5085" s="15"/>
      <c r="F5085" s="15"/>
      <c r="G5085" s="15"/>
      <c r="H5085" s="15"/>
      <c r="I5085" s="15"/>
      <c r="J5085" s="15"/>
      <c r="K5085" s="15"/>
      <c r="L5085" s="28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  <c r="AA5085" s="15"/>
      <c r="AB5085" s="15"/>
      <c r="AC5085" s="15"/>
      <c r="AD5085" s="15"/>
      <c r="AE5085" s="15"/>
      <c r="AF5085" s="15"/>
      <c r="AG5085" s="15"/>
      <c r="AH5085" s="15"/>
      <c r="AI5085" s="15"/>
      <c r="AJ5085" s="15"/>
      <c r="AK5085" s="15"/>
      <c r="AL5085" s="15"/>
      <c r="AM5085" s="15"/>
      <c r="AN5085" s="15"/>
      <c r="AO5085" s="15"/>
      <c r="AP5085" s="15"/>
      <c r="AQ5085" s="15"/>
      <c r="AR5085" s="15"/>
      <c r="AS5085" s="15"/>
      <c r="AT5085" s="15"/>
      <c r="AU5085" s="15"/>
      <c r="AV5085" s="15"/>
      <c r="AW5085" s="15"/>
    </row>
    <row r="5086" spans="3:49" x14ac:dyDescent="0.2">
      <c r="C5086" s="15"/>
      <c r="D5086" s="15"/>
      <c r="E5086" s="15"/>
      <c r="F5086" s="15"/>
      <c r="G5086" s="15"/>
      <c r="H5086" s="15"/>
      <c r="I5086" s="15"/>
      <c r="J5086" s="15"/>
      <c r="K5086" s="15"/>
      <c r="L5086" s="28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  <c r="AA5086" s="15"/>
      <c r="AB5086" s="15"/>
      <c r="AC5086" s="15"/>
      <c r="AD5086" s="15"/>
      <c r="AE5086" s="15"/>
      <c r="AF5086" s="15"/>
      <c r="AG5086" s="15"/>
      <c r="AH5086" s="15"/>
      <c r="AI5086" s="15"/>
      <c r="AJ5086" s="15"/>
      <c r="AK5086" s="15"/>
      <c r="AL5086" s="15"/>
      <c r="AM5086" s="15"/>
      <c r="AN5086" s="15"/>
      <c r="AO5086" s="15"/>
      <c r="AP5086" s="15"/>
      <c r="AQ5086" s="15"/>
      <c r="AR5086" s="15"/>
      <c r="AS5086" s="15"/>
      <c r="AT5086" s="15"/>
      <c r="AU5086" s="15"/>
      <c r="AV5086" s="15"/>
      <c r="AW5086" s="15"/>
    </row>
    <row r="5087" spans="3:49" x14ac:dyDescent="0.2">
      <c r="C5087" s="15"/>
      <c r="D5087" s="15"/>
      <c r="E5087" s="15"/>
      <c r="F5087" s="15"/>
      <c r="G5087" s="15"/>
      <c r="H5087" s="15"/>
      <c r="I5087" s="15"/>
      <c r="J5087" s="15"/>
      <c r="K5087" s="15"/>
      <c r="L5087" s="28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  <c r="AA5087" s="15"/>
      <c r="AB5087" s="15"/>
      <c r="AC5087" s="15"/>
      <c r="AD5087" s="15"/>
      <c r="AE5087" s="15"/>
      <c r="AF5087" s="15"/>
      <c r="AG5087" s="15"/>
      <c r="AH5087" s="15"/>
      <c r="AI5087" s="15"/>
      <c r="AJ5087" s="15"/>
      <c r="AK5087" s="15"/>
      <c r="AL5087" s="15"/>
      <c r="AM5087" s="15"/>
      <c r="AN5087" s="15"/>
      <c r="AO5087" s="15"/>
      <c r="AP5087" s="15"/>
      <c r="AQ5087" s="15"/>
      <c r="AR5087" s="15"/>
      <c r="AS5087" s="15"/>
      <c r="AT5087" s="15"/>
      <c r="AU5087" s="15"/>
      <c r="AV5087" s="15"/>
      <c r="AW5087" s="15"/>
    </row>
    <row r="5088" spans="3:49" x14ac:dyDescent="0.2">
      <c r="C5088" s="15"/>
      <c r="D5088" s="15"/>
      <c r="E5088" s="15"/>
      <c r="F5088" s="15"/>
      <c r="G5088" s="15"/>
      <c r="H5088" s="15"/>
      <c r="I5088" s="15"/>
      <c r="J5088" s="15"/>
      <c r="K5088" s="15"/>
      <c r="L5088" s="28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  <c r="AA5088" s="15"/>
      <c r="AB5088" s="15"/>
      <c r="AC5088" s="15"/>
      <c r="AD5088" s="15"/>
      <c r="AE5088" s="15"/>
      <c r="AF5088" s="15"/>
      <c r="AG5088" s="15"/>
      <c r="AH5088" s="15"/>
      <c r="AI5088" s="15"/>
      <c r="AJ5088" s="15"/>
      <c r="AK5088" s="15"/>
      <c r="AL5088" s="15"/>
      <c r="AM5088" s="15"/>
      <c r="AN5088" s="15"/>
      <c r="AO5088" s="15"/>
      <c r="AP5088" s="15"/>
      <c r="AQ5088" s="15"/>
      <c r="AR5088" s="15"/>
      <c r="AS5088" s="15"/>
      <c r="AT5088" s="15"/>
      <c r="AU5088" s="15"/>
      <c r="AV5088" s="15"/>
      <c r="AW5088" s="15"/>
    </row>
    <row r="5089" spans="3:49" x14ac:dyDescent="0.2">
      <c r="C5089" s="15"/>
      <c r="D5089" s="15"/>
      <c r="E5089" s="15"/>
      <c r="F5089" s="15"/>
      <c r="G5089" s="15"/>
      <c r="H5089" s="15"/>
      <c r="I5089" s="15"/>
      <c r="J5089" s="15"/>
      <c r="K5089" s="15"/>
      <c r="L5089" s="28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  <c r="AA5089" s="15"/>
      <c r="AB5089" s="15"/>
      <c r="AC5089" s="15"/>
      <c r="AD5089" s="15"/>
      <c r="AE5089" s="15"/>
      <c r="AF5089" s="15"/>
      <c r="AG5089" s="15"/>
      <c r="AH5089" s="15"/>
      <c r="AI5089" s="15"/>
      <c r="AJ5089" s="15"/>
      <c r="AK5089" s="15"/>
      <c r="AL5089" s="15"/>
      <c r="AM5089" s="15"/>
      <c r="AN5089" s="15"/>
      <c r="AO5089" s="15"/>
      <c r="AP5089" s="15"/>
      <c r="AQ5089" s="15"/>
      <c r="AR5089" s="15"/>
      <c r="AS5089" s="15"/>
      <c r="AT5089" s="15"/>
      <c r="AU5089" s="15"/>
      <c r="AV5089" s="15"/>
      <c r="AW5089" s="15"/>
    </row>
    <row r="5090" spans="3:49" x14ac:dyDescent="0.2">
      <c r="C5090" s="15"/>
      <c r="D5090" s="15"/>
      <c r="E5090" s="15"/>
      <c r="F5090" s="15"/>
      <c r="G5090" s="15"/>
      <c r="H5090" s="15"/>
      <c r="I5090" s="15"/>
      <c r="J5090" s="15"/>
      <c r="K5090" s="15"/>
      <c r="L5090" s="28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  <c r="AA5090" s="15"/>
      <c r="AB5090" s="15"/>
      <c r="AC5090" s="15"/>
      <c r="AD5090" s="15"/>
      <c r="AE5090" s="15"/>
      <c r="AF5090" s="15"/>
      <c r="AG5090" s="15"/>
      <c r="AH5090" s="15"/>
      <c r="AI5090" s="15"/>
      <c r="AJ5090" s="15"/>
      <c r="AK5090" s="15"/>
      <c r="AL5090" s="15"/>
      <c r="AM5090" s="15"/>
      <c r="AN5090" s="15"/>
      <c r="AO5090" s="15"/>
      <c r="AP5090" s="15"/>
      <c r="AQ5090" s="15"/>
      <c r="AR5090" s="15"/>
      <c r="AS5090" s="15"/>
      <c r="AT5090" s="15"/>
      <c r="AU5090" s="15"/>
      <c r="AV5090" s="15"/>
      <c r="AW5090" s="15"/>
    </row>
    <row r="5091" spans="3:49" x14ac:dyDescent="0.2">
      <c r="C5091" s="15"/>
      <c r="D5091" s="15"/>
      <c r="E5091" s="15"/>
      <c r="F5091" s="15"/>
      <c r="G5091" s="15"/>
      <c r="H5091" s="15"/>
      <c r="I5091" s="15"/>
      <c r="J5091" s="15"/>
      <c r="K5091" s="15"/>
      <c r="L5091" s="28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  <c r="AA5091" s="15"/>
      <c r="AB5091" s="15"/>
      <c r="AC5091" s="15"/>
      <c r="AD5091" s="15"/>
      <c r="AE5091" s="15"/>
      <c r="AF5091" s="15"/>
      <c r="AG5091" s="15"/>
      <c r="AH5091" s="15"/>
      <c r="AI5091" s="15"/>
      <c r="AJ5091" s="15"/>
      <c r="AK5091" s="15"/>
      <c r="AL5091" s="15"/>
      <c r="AM5091" s="15"/>
      <c r="AN5091" s="15"/>
      <c r="AO5091" s="15"/>
      <c r="AP5091" s="15"/>
      <c r="AQ5091" s="15"/>
      <c r="AR5091" s="15"/>
      <c r="AS5091" s="15"/>
      <c r="AT5091" s="15"/>
      <c r="AU5091" s="15"/>
      <c r="AV5091" s="15"/>
      <c r="AW5091" s="15"/>
    </row>
    <row r="5092" spans="3:49" x14ac:dyDescent="0.2">
      <c r="C5092" s="15"/>
      <c r="D5092" s="15"/>
      <c r="E5092" s="15"/>
      <c r="F5092" s="15"/>
      <c r="G5092" s="15"/>
      <c r="H5092" s="15"/>
      <c r="I5092" s="15"/>
      <c r="J5092" s="15"/>
      <c r="K5092" s="15"/>
      <c r="L5092" s="28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  <c r="AA5092" s="15"/>
      <c r="AB5092" s="15"/>
      <c r="AC5092" s="15"/>
      <c r="AD5092" s="15"/>
      <c r="AE5092" s="15"/>
      <c r="AF5092" s="15"/>
      <c r="AG5092" s="15"/>
      <c r="AH5092" s="15"/>
      <c r="AI5092" s="15"/>
      <c r="AJ5092" s="15"/>
      <c r="AK5092" s="15"/>
      <c r="AL5092" s="15"/>
      <c r="AM5092" s="15"/>
      <c r="AN5092" s="15"/>
      <c r="AO5092" s="15"/>
      <c r="AP5092" s="15"/>
      <c r="AQ5092" s="15"/>
      <c r="AR5092" s="15"/>
      <c r="AS5092" s="15"/>
      <c r="AT5092" s="15"/>
      <c r="AU5092" s="15"/>
      <c r="AV5092" s="15"/>
      <c r="AW5092" s="15"/>
    </row>
    <row r="5093" spans="3:49" x14ac:dyDescent="0.2">
      <c r="C5093" s="15"/>
      <c r="D5093" s="15"/>
      <c r="E5093" s="15"/>
      <c r="F5093" s="15"/>
      <c r="G5093" s="15"/>
      <c r="H5093" s="15"/>
      <c r="I5093" s="15"/>
      <c r="J5093" s="15"/>
      <c r="K5093" s="15"/>
      <c r="L5093" s="28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  <c r="AA5093" s="15"/>
      <c r="AB5093" s="15"/>
      <c r="AC5093" s="15"/>
      <c r="AD5093" s="15"/>
      <c r="AE5093" s="15"/>
      <c r="AF5093" s="15"/>
      <c r="AG5093" s="15"/>
      <c r="AH5093" s="15"/>
      <c r="AI5093" s="15"/>
      <c r="AJ5093" s="15"/>
      <c r="AK5093" s="15"/>
      <c r="AL5093" s="15"/>
      <c r="AM5093" s="15"/>
      <c r="AN5093" s="15"/>
      <c r="AO5093" s="15"/>
      <c r="AP5093" s="15"/>
      <c r="AQ5093" s="15"/>
      <c r="AR5093" s="15"/>
      <c r="AS5093" s="15"/>
      <c r="AT5093" s="15"/>
      <c r="AU5093" s="15"/>
      <c r="AV5093" s="15"/>
      <c r="AW5093" s="15"/>
    </row>
    <row r="5094" spans="3:49" x14ac:dyDescent="0.2">
      <c r="C5094" s="15"/>
      <c r="D5094" s="15"/>
      <c r="E5094" s="15"/>
      <c r="F5094" s="15"/>
      <c r="G5094" s="15"/>
      <c r="H5094" s="15"/>
      <c r="I5094" s="15"/>
      <c r="J5094" s="15"/>
      <c r="K5094" s="15"/>
      <c r="L5094" s="28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  <c r="AA5094" s="15"/>
      <c r="AB5094" s="15"/>
      <c r="AC5094" s="15"/>
      <c r="AD5094" s="15"/>
      <c r="AE5094" s="15"/>
      <c r="AF5094" s="15"/>
      <c r="AG5094" s="15"/>
      <c r="AH5094" s="15"/>
      <c r="AI5094" s="15"/>
      <c r="AJ5094" s="15"/>
      <c r="AK5094" s="15"/>
      <c r="AL5094" s="15"/>
      <c r="AM5094" s="15"/>
      <c r="AN5094" s="15"/>
      <c r="AO5094" s="15"/>
      <c r="AP5094" s="15"/>
      <c r="AQ5094" s="15"/>
      <c r="AR5094" s="15"/>
      <c r="AS5094" s="15"/>
      <c r="AT5094" s="15"/>
      <c r="AU5094" s="15"/>
      <c r="AV5094" s="15"/>
      <c r="AW5094" s="15"/>
    </row>
    <row r="5095" spans="3:49" x14ac:dyDescent="0.2">
      <c r="C5095" s="15"/>
      <c r="D5095" s="15"/>
      <c r="E5095" s="15"/>
      <c r="F5095" s="15"/>
      <c r="G5095" s="15"/>
      <c r="H5095" s="15"/>
      <c r="I5095" s="15"/>
      <c r="J5095" s="15"/>
      <c r="K5095" s="15"/>
      <c r="L5095" s="28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  <c r="AA5095" s="15"/>
      <c r="AB5095" s="15"/>
      <c r="AC5095" s="15"/>
      <c r="AD5095" s="15"/>
      <c r="AE5095" s="15"/>
      <c r="AF5095" s="15"/>
      <c r="AG5095" s="15"/>
      <c r="AH5095" s="15"/>
      <c r="AI5095" s="15"/>
      <c r="AJ5095" s="15"/>
      <c r="AK5095" s="15"/>
      <c r="AL5095" s="15"/>
      <c r="AM5095" s="15"/>
      <c r="AN5095" s="15"/>
      <c r="AO5095" s="15"/>
      <c r="AP5095" s="15"/>
      <c r="AQ5095" s="15"/>
      <c r="AR5095" s="15"/>
      <c r="AS5095" s="15"/>
      <c r="AT5095" s="15"/>
      <c r="AU5095" s="15"/>
      <c r="AV5095" s="15"/>
      <c r="AW5095" s="15"/>
    </row>
    <row r="5096" spans="3:49" x14ac:dyDescent="0.2">
      <c r="C5096" s="15"/>
      <c r="D5096" s="15"/>
      <c r="E5096" s="15"/>
      <c r="F5096" s="15"/>
      <c r="G5096" s="15"/>
      <c r="H5096" s="15"/>
      <c r="I5096" s="15"/>
      <c r="J5096" s="15"/>
      <c r="K5096" s="15"/>
      <c r="L5096" s="28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  <c r="AA5096" s="15"/>
      <c r="AB5096" s="15"/>
      <c r="AC5096" s="15"/>
      <c r="AD5096" s="15"/>
      <c r="AE5096" s="15"/>
      <c r="AF5096" s="15"/>
      <c r="AG5096" s="15"/>
      <c r="AH5096" s="15"/>
      <c r="AI5096" s="15"/>
      <c r="AJ5096" s="15"/>
      <c r="AK5096" s="15"/>
      <c r="AL5096" s="15"/>
      <c r="AM5096" s="15"/>
      <c r="AN5096" s="15"/>
      <c r="AO5096" s="15"/>
      <c r="AP5096" s="15"/>
      <c r="AQ5096" s="15"/>
      <c r="AR5096" s="15"/>
      <c r="AS5096" s="15"/>
      <c r="AT5096" s="15"/>
      <c r="AU5096" s="15"/>
      <c r="AV5096" s="15"/>
      <c r="AW5096" s="15"/>
    </row>
    <row r="5097" spans="3:49" x14ac:dyDescent="0.2">
      <c r="C5097" s="15"/>
      <c r="D5097" s="15"/>
      <c r="E5097" s="15"/>
      <c r="F5097" s="15"/>
      <c r="G5097" s="15"/>
      <c r="H5097" s="15"/>
      <c r="I5097" s="15"/>
      <c r="J5097" s="15"/>
      <c r="K5097" s="15"/>
      <c r="L5097" s="28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  <c r="AA5097" s="15"/>
      <c r="AB5097" s="15"/>
      <c r="AC5097" s="15"/>
      <c r="AD5097" s="15"/>
      <c r="AE5097" s="15"/>
      <c r="AF5097" s="15"/>
      <c r="AG5097" s="15"/>
      <c r="AH5097" s="15"/>
      <c r="AI5097" s="15"/>
      <c r="AJ5097" s="15"/>
      <c r="AK5097" s="15"/>
      <c r="AL5097" s="15"/>
      <c r="AM5097" s="15"/>
      <c r="AN5097" s="15"/>
      <c r="AO5097" s="15"/>
      <c r="AP5097" s="15"/>
      <c r="AQ5097" s="15"/>
      <c r="AR5097" s="15"/>
      <c r="AS5097" s="15"/>
      <c r="AT5097" s="15"/>
      <c r="AU5097" s="15"/>
      <c r="AV5097" s="15"/>
      <c r="AW5097" s="15"/>
    </row>
    <row r="5098" spans="3:49" x14ac:dyDescent="0.2">
      <c r="C5098" s="15"/>
      <c r="D5098" s="15"/>
      <c r="E5098" s="15"/>
      <c r="F5098" s="15"/>
      <c r="G5098" s="15"/>
      <c r="H5098" s="15"/>
      <c r="I5098" s="15"/>
      <c r="J5098" s="15"/>
      <c r="K5098" s="15"/>
      <c r="L5098" s="28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  <c r="AA5098" s="15"/>
      <c r="AB5098" s="15"/>
      <c r="AC5098" s="15"/>
      <c r="AD5098" s="15"/>
      <c r="AE5098" s="15"/>
      <c r="AF5098" s="15"/>
      <c r="AG5098" s="15"/>
      <c r="AH5098" s="15"/>
      <c r="AI5098" s="15"/>
      <c r="AJ5098" s="15"/>
      <c r="AK5098" s="15"/>
      <c r="AL5098" s="15"/>
      <c r="AM5098" s="15"/>
      <c r="AN5098" s="15"/>
      <c r="AO5098" s="15"/>
      <c r="AP5098" s="15"/>
      <c r="AQ5098" s="15"/>
      <c r="AR5098" s="15"/>
      <c r="AS5098" s="15"/>
      <c r="AT5098" s="15"/>
      <c r="AU5098" s="15"/>
      <c r="AV5098" s="15"/>
      <c r="AW5098" s="15"/>
    </row>
    <row r="5099" spans="3:49" x14ac:dyDescent="0.2">
      <c r="C5099" s="15"/>
      <c r="D5099" s="15"/>
      <c r="E5099" s="15"/>
      <c r="F5099" s="15"/>
      <c r="G5099" s="15"/>
      <c r="H5099" s="15"/>
      <c r="I5099" s="15"/>
      <c r="J5099" s="15"/>
      <c r="K5099" s="15"/>
      <c r="L5099" s="28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  <c r="AA5099" s="15"/>
      <c r="AB5099" s="15"/>
      <c r="AC5099" s="15"/>
      <c r="AD5099" s="15"/>
      <c r="AE5099" s="15"/>
      <c r="AF5099" s="15"/>
      <c r="AG5099" s="15"/>
      <c r="AH5099" s="15"/>
      <c r="AI5099" s="15"/>
      <c r="AJ5099" s="15"/>
      <c r="AK5099" s="15"/>
      <c r="AL5099" s="15"/>
      <c r="AM5099" s="15"/>
      <c r="AN5099" s="15"/>
      <c r="AO5099" s="15"/>
      <c r="AP5099" s="15"/>
      <c r="AQ5099" s="15"/>
      <c r="AR5099" s="15"/>
      <c r="AS5099" s="15"/>
      <c r="AT5099" s="15"/>
      <c r="AU5099" s="15"/>
      <c r="AV5099" s="15"/>
      <c r="AW5099" s="15"/>
    </row>
    <row r="5100" spans="3:49" x14ac:dyDescent="0.2">
      <c r="C5100" s="15"/>
      <c r="D5100" s="15"/>
      <c r="E5100" s="15"/>
      <c r="F5100" s="15"/>
      <c r="G5100" s="15"/>
      <c r="H5100" s="15"/>
      <c r="I5100" s="15"/>
      <c r="J5100" s="15"/>
      <c r="K5100" s="15"/>
      <c r="L5100" s="28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  <c r="AA5100" s="15"/>
      <c r="AB5100" s="15"/>
      <c r="AC5100" s="15"/>
      <c r="AD5100" s="15"/>
      <c r="AE5100" s="15"/>
      <c r="AF5100" s="15"/>
      <c r="AG5100" s="15"/>
      <c r="AH5100" s="15"/>
      <c r="AI5100" s="15"/>
      <c r="AJ5100" s="15"/>
      <c r="AK5100" s="15"/>
      <c r="AL5100" s="15"/>
      <c r="AM5100" s="15"/>
      <c r="AN5100" s="15"/>
      <c r="AO5100" s="15"/>
      <c r="AP5100" s="15"/>
      <c r="AQ5100" s="15"/>
      <c r="AR5100" s="15"/>
      <c r="AS5100" s="15"/>
      <c r="AT5100" s="15"/>
      <c r="AU5100" s="15"/>
      <c r="AV5100" s="15"/>
      <c r="AW5100" s="15"/>
    </row>
    <row r="5101" spans="3:49" x14ac:dyDescent="0.2">
      <c r="C5101" s="15"/>
      <c r="D5101" s="15"/>
      <c r="E5101" s="15"/>
      <c r="F5101" s="15"/>
      <c r="G5101" s="15"/>
      <c r="H5101" s="15"/>
      <c r="I5101" s="15"/>
      <c r="J5101" s="15"/>
      <c r="K5101" s="15"/>
      <c r="L5101" s="28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  <c r="AA5101" s="15"/>
      <c r="AB5101" s="15"/>
      <c r="AC5101" s="15"/>
      <c r="AD5101" s="15"/>
      <c r="AE5101" s="15"/>
      <c r="AF5101" s="15"/>
      <c r="AG5101" s="15"/>
      <c r="AH5101" s="15"/>
      <c r="AI5101" s="15"/>
      <c r="AJ5101" s="15"/>
      <c r="AK5101" s="15"/>
      <c r="AL5101" s="15"/>
      <c r="AM5101" s="15"/>
      <c r="AN5101" s="15"/>
      <c r="AO5101" s="15"/>
      <c r="AP5101" s="15"/>
      <c r="AQ5101" s="15"/>
      <c r="AR5101" s="15"/>
      <c r="AS5101" s="15"/>
      <c r="AT5101" s="15"/>
      <c r="AU5101" s="15"/>
      <c r="AV5101" s="15"/>
      <c r="AW5101" s="15"/>
    </row>
    <row r="5102" spans="3:49" x14ac:dyDescent="0.2">
      <c r="C5102" s="15"/>
      <c r="D5102" s="15"/>
      <c r="E5102" s="15"/>
      <c r="F5102" s="15"/>
      <c r="G5102" s="15"/>
      <c r="H5102" s="15"/>
      <c r="I5102" s="15"/>
      <c r="J5102" s="15"/>
      <c r="K5102" s="15"/>
      <c r="L5102" s="28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  <c r="AA5102" s="15"/>
      <c r="AB5102" s="15"/>
      <c r="AC5102" s="15"/>
      <c r="AD5102" s="15"/>
      <c r="AE5102" s="15"/>
      <c r="AF5102" s="15"/>
      <c r="AG5102" s="15"/>
      <c r="AH5102" s="15"/>
      <c r="AI5102" s="15"/>
      <c r="AJ5102" s="15"/>
      <c r="AK5102" s="15"/>
      <c r="AL5102" s="15"/>
      <c r="AM5102" s="15"/>
      <c r="AN5102" s="15"/>
      <c r="AO5102" s="15"/>
      <c r="AP5102" s="15"/>
      <c r="AQ5102" s="15"/>
      <c r="AR5102" s="15"/>
      <c r="AS5102" s="15"/>
      <c r="AT5102" s="15"/>
      <c r="AU5102" s="15"/>
      <c r="AV5102" s="15"/>
      <c r="AW5102" s="15"/>
    </row>
    <row r="5103" spans="3:49" x14ac:dyDescent="0.2">
      <c r="C5103" s="15"/>
      <c r="D5103" s="15"/>
      <c r="E5103" s="15"/>
      <c r="F5103" s="15"/>
      <c r="G5103" s="15"/>
      <c r="H5103" s="15"/>
      <c r="I5103" s="15"/>
      <c r="J5103" s="15"/>
      <c r="K5103" s="15"/>
      <c r="L5103" s="28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  <c r="AA5103" s="15"/>
      <c r="AB5103" s="15"/>
      <c r="AC5103" s="15"/>
      <c r="AD5103" s="15"/>
      <c r="AE5103" s="15"/>
      <c r="AF5103" s="15"/>
      <c r="AG5103" s="15"/>
      <c r="AH5103" s="15"/>
      <c r="AI5103" s="15"/>
      <c r="AJ5103" s="15"/>
      <c r="AK5103" s="15"/>
      <c r="AL5103" s="15"/>
      <c r="AM5103" s="15"/>
      <c r="AN5103" s="15"/>
      <c r="AO5103" s="15"/>
      <c r="AP5103" s="15"/>
      <c r="AQ5103" s="15"/>
      <c r="AR5103" s="15"/>
      <c r="AS5103" s="15"/>
      <c r="AT5103" s="15"/>
      <c r="AU5103" s="15"/>
      <c r="AV5103" s="15"/>
      <c r="AW5103" s="15"/>
    </row>
    <row r="5104" spans="3:49" x14ac:dyDescent="0.2">
      <c r="C5104" s="15"/>
      <c r="D5104" s="15"/>
      <c r="E5104" s="15"/>
      <c r="F5104" s="15"/>
      <c r="G5104" s="15"/>
      <c r="H5104" s="15"/>
      <c r="I5104" s="15"/>
      <c r="J5104" s="15"/>
      <c r="K5104" s="15"/>
      <c r="L5104" s="28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  <c r="AA5104" s="15"/>
      <c r="AB5104" s="15"/>
      <c r="AC5104" s="15"/>
      <c r="AD5104" s="15"/>
      <c r="AE5104" s="15"/>
      <c r="AF5104" s="15"/>
      <c r="AG5104" s="15"/>
      <c r="AH5104" s="15"/>
      <c r="AI5104" s="15"/>
      <c r="AJ5104" s="15"/>
      <c r="AK5104" s="15"/>
      <c r="AL5104" s="15"/>
      <c r="AM5104" s="15"/>
      <c r="AN5104" s="15"/>
      <c r="AO5104" s="15"/>
      <c r="AP5104" s="15"/>
      <c r="AQ5104" s="15"/>
      <c r="AR5104" s="15"/>
      <c r="AS5104" s="15"/>
      <c r="AT5104" s="15"/>
      <c r="AU5104" s="15"/>
      <c r="AV5104" s="15"/>
      <c r="AW5104" s="15"/>
    </row>
    <row r="5105" spans="3:49" x14ac:dyDescent="0.2">
      <c r="C5105" s="15"/>
      <c r="D5105" s="15"/>
      <c r="E5105" s="15"/>
      <c r="F5105" s="15"/>
      <c r="G5105" s="15"/>
      <c r="H5105" s="15"/>
      <c r="I5105" s="15"/>
      <c r="J5105" s="15"/>
      <c r="K5105" s="15"/>
      <c r="L5105" s="28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  <c r="AA5105" s="15"/>
      <c r="AB5105" s="15"/>
      <c r="AC5105" s="15"/>
      <c r="AD5105" s="15"/>
      <c r="AE5105" s="15"/>
      <c r="AF5105" s="15"/>
      <c r="AG5105" s="15"/>
      <c r="AH5105" s="15"/>
      <c r="AI5105" s="15"/>
      <c r="AJ5105" s="15"/>
      <c r="AK5105" s="15"/>
      <c r="AL5105" s="15"/>
      <c r="AM5105" s="15"/>
      <c r="AN5105" s="15"/>
      <c r="AO5105" s="15"/>
      <c r="AP5105" s="15"/>
      <c r="AQ5105" s="15"/>
      <c r="AR5105" s="15"/>
      <c r="AS5105" s="15"/>
      <c r="AT5105" s="15"/>
      <c r="AU5105" s="15"/>
      <c r="AV5105" s="15"/>
      <c r="AW5105" s="15"/>
    </row>
    <row r="5106" spans="3:49" x14ac:dyDescent="0.2">
      <c r="C5106" s="15"/>
      <c r="D5106" s="15"/>
      <c r="E5106" s="15"/>
      <c r="F5106" s="15"/>
      <c r="G5106" s="15"/>
      <c r="H5106" s="15"/>
      <c r="I5106" s="15"/>
      <c r="J5106" s="15"/>
      <c r="K5106" s="15"/>
      <c r="L5106" s="28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  <c r="AA5106" s="15"/>
      <c r="AB5106" s="15"/>
      <c r="AC5106" s="15"/>
      <c r="AD5106" s="15"/>
      <c r="AE5106" s="15"/>
      <c r="AF5106" s="15"/>
      <c r="AG5106" s="15"/>
      <c r="AH5106" s="15"/>
      <c r="AI5106" s="15"/>
      <c r="AJ5106" s="15"/>
      <c r="AK5106" s="15"/>
      <c r="AL5106" s="15"/>
      <c r="AM5106" s="15"/>
      <c r="AN5106" s="15"/>
      <c r="AO5106" s="15"/>
      <c r="AP5106" s="15"/>
      <c r="AQ5106" s="15"/>
      <c r="AR5106" s="15"/>
      <c r="AS5106" s="15"/>
      <c r="AT5106" s="15"/>
      <c r="AU5106" s="15"/>
      <c r="AV5106" s="15"/>
      <c r="AW5106" s="15"/>
    </row>
    <row r="5107" spans="3:49" x14ac:dyDescent="0.2">
      <c r="C5107" s="15"/>
      <c r="D5107" s="15"/>
      <c r="E5107" s="15"/>
      <c r="F5107" s="15"/>
      <c r="G5107" s="15"/>
      <c r="H5107" s="15"/>
      <c r="I5107" s="15"/>
      <c r="J5107" s="15"/>
      <c r="K5107" s="15"/>
      <c r="L5107" s="28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  <c r="AA5107" s="15"/>
      <c r="AB5107" s="15"/>
      <c r="AC5107" s="15"/>
      <c r="AD5107" s="15"/>
      <c r="AE5107" s="15"/>
      <c r="AF5107" s="15"/>
      <c r="AG5107" s="15"/>
      <c r="AH5107" s="15"/>
      <c r="AI5107" s="15"/>
      <c r="AJ5107" s="15"/>
      <c r="AK5107" s="15"/>
      <c r="AL5107" s="15"/>
      <c r="AM5107" s="15"/>
      <c r="AN5107" s="15"/>
      <c r="AO5107" s="15"/>
      <c r="AP5107" s="15"/>
      <c r="AQ5107" s="15"/>
      <c r="AR5107" s="15"/>
      <c r="AS5107" s="15"/>
      <c r="AT5107" s="15"/>
      <c r="AU5107" s="15"/>
      <c r="AV5107" s="15"/>
      <c r="AW5107" s="15"/>
    </row>
    <row r="5108" spans="3:49" x14ac:dyDescent="0.2">
      <c r="C5108" s="15"/>
      <c r="D5108" s="15"/>
      <c r="E5108" s="15"/>
      <c r="F5108" s="15"/>
      <c r="G5108" s="15"/>
      <c r="H5108" s="15"/>
      <c r="I5108" s="15"/>
      <c r="J5108" s="15"/>
      <c r="K5108" s="15"/>
      <c r="L5108" s="28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  <c r="AA5108" s="15"/>
      <c r="AB5108" s="15"/>
      <c r="AC5108" s="15"/>
      <c r="AD5108" s="15"/>
      <c r="AE5108" s="15"/>
      <c r="AF5108" s="15"/>
      <c r="AG5108" s="15"/>
      <c r="AH5108" s="15"/>
      <c r="AI5108" s="15"/>
      <c r="AJ5108" s="15"/>
      <c r="AK5108" s="15"/>
      <c r="AL5108" s="15"/>
      <c r="AM5108" s="15"/>
      <c r="AN5108" s="15"/>
      <c r="AO5108" s="15"/>
      <c r="AP5108" s="15"/>
      <c r="AQ5108" s="15"/>
      <c r="AR5108" s="15"/>
      <c r="AS5108" s="15"/>
      <c r="AT5108" s="15"/>
      <c r="AU5108" s="15"/>
      <c r="AV5108" s="15"/>
      <c r="AW5108" s="15"/>
    </row>
    <row r="5109" spans="3:49" x14ac:dyDescent="0.2">
      <c r="C5109" s="15"/>
      <c r="D5109" s="15"/>
      <c r="E5109" s="15"/>
      <c r="F5109" s="15"/>
      <c r="G5109" s="15"/>
      <c r="H5109" s="15"/>
      <c r="I5109" s="15"/>
      <c r="J5109" s="15"/>
      <c r="K5109" s="15"/>
      <c r="L5109" s="28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  <c r="AA5109" s="15"/>
      <c r="AB5109" s="15"/>
      <c r="AC5109" s="15"/>
      <c r="AD5109" s="15"/>
      <c r="AE5109" s="15"/>
      <c r="AF5109" s="15"/>
      <c r="AG5109" s="15"/>
      <c r="AH5109" s="15"/>
      <c r="AI5109" s="15"/>
      <c r="AJ5109" s="15"/>
      <c r="AK5109" s="15"/>
      <c r="AL5109" s="15"/>
      <c r="AM5109" s="15"/>
      <c r="AN5109" s="15"/>
      <c r="AO5109" s="15"/>
      <c r="AP5109" s="15"/>
      <c r="AQ5109" s="15"/>
      <c r="AR5109" s="15"/>
      <c r="AS5109" s="15"/>
      <c r="AT5109" s="15"/>
      <c r="AU5109" s="15"/>
      <c r="AV5109" s="15"/>
      <c r="AW5109" s="15"/>
    </row>
    <row r="5110" spans="3:49" x14ac:dyDescent="0.2">
      <c r="C5110" s="15"/>
      <c r="D5110" s="15"/>
      <c r="E5110" s="15"/>
      <c r="F5110" s="15"/>
      <c r="G5110" s="15"/>
      <c r="H5110" s="15"/>
      <c r="I5110" s="15"/>
      <c r="J5110" s="15"/>
      <c r="K5110" s="15"/>
      <c r="L5110" s="28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  <c r="AA5110" s="15"/>
      <c r="AB5110" s="15"/>
      <c r="AC5110" s="15"/>
      <c r="AD5110" s="15"/>
      <c r="AE5110" s="15"/>
      <c r="AF5110" s="15"/>
      <c r="AG5110" s="15"/>
      <c r="AH5110" s="15"/>
      <c r="AI5110" s="15"/>
      <c r="AJ5110" s="15"/>
      <c r="AK5110" s="15"/>
      <c r="AL5110" s="15"/>
      <c r="AM5110" s="15"/>
      <c r="AN5110" s="15"/>
      <c r="AO5110" s="15"/>
      <c r="AP5110" s="15"/>
      <c r="AQ5110" s="15"/>
      <c r="AR5110" s="15"/>
      <c r="AS5110" s="15"/>
      <c r="AT5110" s="15"/>
      <c r="AU5110" s="15"/>
      <c r="AV5110" s="15"/>
      <c r="AW5110" s="15"/>
    </row>
    <row r="5111" spans="3:49" x14ac:dyDescent="0.2">
      <c r="C5111" s="15"/>
      <c r="D5111" s="15"/>
      <c r="E5111" s="15"/>
      <c r="F5111" s="15"/>
      <c r="G5111" s="15"/>
      <c r="H5111" s="15"/>
      <c r="I5111" s="15"/>
      <c r="J5111" s="15"/>
      <c r="K5111" s="15"/>
      <c r="L5111" s="28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  <c r="AA5111" s="15"/>
      <c r="AB5111" s="15"/>
      <c r="AC5111" s="15"/>
      <c r="AD5111" s="15"/>
      <c r="AE5111" s="15"/>
      <c r="AF5111" s="15"/>
      <c r="AG5111" s="15"/>
      <c r="AH5111" s="15"/>
      <c r="AI5111" s="15"/>
      <c r="AJ5111" s="15"/>
      <c r="AK5111" s="15"/>
      <c r="AL5111" s="15"/>
      <c r="AM5111" s="15"/>
      <c r="AN5111" s="15"/>
      <c r="AO5111" s="15"/>
      <c r="AP5111" s="15"/>
      <c r="AQ5111" s="15"/>
      <c r="AR5111" s="15"/>
      <c r="AS5111" s="15"/>
      <c r="AT5111" s="15"/>
      <c r="AU5111" s="15"/>
      <c r="AV5111" s="15"/>
      <c r="AW5111" s="15"/>
    </row>
    <row r="5112" spans="3:49" x14ac:dyDescent="0.2">
      <c r="C5112" s="15"/>
      <c r="D5112" s="15"/>
      <c r="E5112" s="15"/>
      <c r="F5112" s="15"/>
      <c r="G5112" s="15"/>
      <c r="H5112" s="15"/>
      <c r="I5112" s="15"/>
      <c r="J5112" s="15"/>
      <c r="K5112" s="15"/>
      <c r="L5112" s="28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  <c r="AA5112" s="15"/>
      <c r="AB5112" s="15"/>
      <c r="AC5112" s="15"/>
      <c r="AD5112" s="15"/>
      <c r="AE5112" s="15"/>
      <c r="AF5112" s="15"/>
      <c r="AG5112" s="15"/>
      <c r="AH5112" s="15"/>
      <c r="AI5112" s="15"/>
      <c r="AJ5112" s="15"/>
      <c r="AK5112" s="15"/>
      <c r="AL5112" s="15"/>
      <c r="AM5112" s="15"/>
      <c r="AN5112" s="15"/>
      <c r="AO5112" s="15"/>
      <c r="AP5112" s="15"/>
      <c r="AQ5112" s="15"/>
      <c r="AR5112" s="15"/>
      <c r="AS5112" s="15"/>
      <c r="AT5112" s="15"/>
      <c r="AU5112" s="15"/>
      <c r="AV5112" s="15"/>
      <c r="AW5112" s="15"/>
    </row>
    <row r="5113" spans="3:49" x14ac:dyDescent="0.2">
      <c r="C5113" s="15"/>
      <c r="D5113" s="15"/>
      <c r="E5113" s="15"/>
      <c r="F5113" s="15"/>
      <c r="G5113" s="15"/>
      <c r="H5113" s="15"/>
      <c r="I5113" s="15"/>
      <c r="J5113" s="15"/>
      <c r="K5113" s="15"/>
      <c r="L5113" s="28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  <c r="AA5113" s="15"/>
      <c r="AB5113" s="15"/>
      <c r="AC5113" s="15"/>
      <c r="AD5113" s="15"/>
      <c r="AE5113" s="15"/>
      <c r="AF5113" s="15"/>
      <c r="AG5113" s="15"/>
      <c r="AH5113" s="15"/>
      <c r="AI5113" s="15"/>
      <c r="AJ5113" s="15"/>
      <c r="AK5113" s="15"/>
      <c r="AL5113" s="15"/>
      <c r="AM5113" s="15"/>
      <c r="AN5113" s="15"/>
      <c r="AO5113" s="15"/>
      <c r="AP5113" s="15"/>
      <c r="AQ5113" s="15"/>
      <c r="AR5113" s="15"/>
      <c r="AS5113" s="15"/>
      <c r="AT5113" s="15"/>
      <c r="AU5113" s="15"/>
      <c r="AV5113" s="15"/>
      <c r="AW5113" s="15"/>
    </row>
    <row r="5114" spans="3:49" x14ac:dyDescent="0.2">
      <c r="C5114" s="15"/>
      <c r="D5114" s="15"/>
      <c r="E5114" s="15"/>
      <c r="F5114" s="15"/>
      <c r="G5114" s="15"/>
      <c r="H5114" s="15"/>
      <c r="I5114" s="15"/>
      <c r="J5114" s="15"/>
      <c r="K5114" s="15"/>
      <c r="L5114" s="28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  <c r="AA5114" s="15"/>
      <c r="AB5114" s="15"/>
      <c r="AC5114" s="15"/>
      <c r="AD5114" s="15"/>
      <c r="AE5114" s="15"/>
      <c r="AF5114" s="15"/>
      <c r="AG5114" s="15"/>
      <c r="AH5114" s="15"/>
      <c r="AI5114" s="15"/>
      <c r="AJ5114" s="15"/>
      <c r="AK5114" s="15"/>
      <c r="AL5114" s="15"/>
      <c r="AM5114" s="15"/>
      <c r="AN5114" s="15"/>
      <c r="AO5114" s="15"/>
      <c r="AP5114" s="15"/>
      <c r="AQ5114" s="15"/>
      <c r="AR5114" s="15"/>
      <c r="AS5114" s="15"/>
      <c r="AT5114" s="15"/>
      <c r="AU5114" s="15"/>
      <c r="AV5114" s="15"/>
      <c r="AW5114" s="15"/>
    </row>
    <row r="5115" spans="3:49" x14ac:dyDescent="0.2">
      <c r="C5115" s="15"/>
      <c r="D5115" s="15"/>
      <c r="E5115" s="15"/>
      <c r="F5115" s="15"/>
      <c r="G5115" s="15"/>
      <c r="H5115" s="15"/>
      <c r="I5115" s="15"/>
      <c r="J5115" s="15"/>
      <c r="K5115" s="15"/>
      <c r="L5115" s="28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  <c r="AA5115" s="15"/>
      <c r="AB5115" s="15"/>
      <c r="AC5115" s="15"/>
      <c r="AD5115" s="15"/>
      <c r="AE5115" s="15"/>
      <c r="AF5115" s="15"/>
      <c r="AG5115" s="15"/>
      <c r="AH5115" s="15"/>
      <c r="AI5115" s="15"/>
      <c r="AJ5115" s="15"/>
      <c r="AK5115" s="15"/>
      <c r="AL5115" s="15"/>
      <c r="AM5115" s="15"/>
      <c r="AN5115" s="15"/>
      <c r="AO5115" s="15"/>
      <c r="AP5115" s="15"/>
      <c r="AQ5115" s="15"/>
      <c r="AR5115" s="15"/>
      <c r="AS5115" s="15"/>
      <c r="AT5115" s="15"/>
      <c r="AU5115" s="15"/>
      <c r="AV5115" s="15"/>
      <c r="AW5115" s="15"/>
    </row>
    <row r="5116" spans="3:49" x14ac:dyDescent="0.2">
      <c r="C5116" s="15"/>
      <c r="D5116" s="15"/>
      <c r="E5116" s="15"/>
      <c r="F5116" s="15"/>
      <c r="G5116" s="15"/>
      <c r="H5116" s="15"/>
      <c r="I5116" s="15"/>
      <c r="J5116" s="15"/>
      <c r="K5116" s="15"/>
      <c r="L5116" s="28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  <c r="AA5116" s="15"/>
      <c r="AB5116" s="15"/>
      <c r="AC5116" s="15"/>
      <c r="AD5116" s="15"/>
      <c r="AE5116" s="15"/>
      <c r="AF5116" s="15"/>
      <c r="AG5116" s="15"/>
      <c r="AH5116" s="15"/>
      <c r="AI5116" s="15"/>
      <c r="AJ5116" s="15"/>
      <c r="AK5116" s="15"/>
      <c r="AL5116" s="15"/>
      <c r="AM5116" s="15"/>
      <c r="AN5116" s="15"/>
      <c r="AO5116" s="15"/>
      <c r="AP5116" s="15"/>
      <c r="AQ5116" s="15"/>
      <c r="AR5116" s="15"/>
      <c r="AS5116" s="15"/>
      <c r="AT5116" s="15"/>
      <c r="AU5116" s="15"/>
      <c r="AV5116" s="15"/>
      <c r="AW5116" s="15"/>
    </row>
    <row r="5117" spans="3:49" x14ac:dyDescent="0.2">
      <c r="C5117" s="15"/>
      <c r="D5117" s="15"/>
      <c r="E5117" s="15"/>
      <c r="F5117" s="15"/>
      <c r="G5117" s="15"/>
      <c r="H5117" s="15"/>
      <c r="I5117" s="15"/>
      <c r="J5117" s="15"/>
      <c r="K5117" s="15"/>
      <c r="L5117" s="28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  <c r="AA5117" s="15"/>
      <c r="AB5117" s="15"/>
      <c r="AC5117" s="15"/>
      <c r="AD5117" s="15"/>
      <c r="AE5117" s="15"/>
      <c r="AF5117" s="15"/>
      <c r="AG5117" s="15"/>
      <c r="AH5117" s="15"/>
      <c r="AI5117" s="15"/>
      <c r="AJ5117" s="15"/>
      <c r="AK5117" s="15"/>
      <c r="AL5117" s="15"/>
      <c r="AM5117" s="15"/>
      <c r="AN5117" s="15"/>
      <c r="AO5117" s="15"/>
      <c r="AP5117" s="15"/>
      <c r="AQ5117" s="15"/>
      <c r="AR5117" s="15"/>
      <c r="AS5117" s="15"/>
      <c r="AT5117" s="15"/>
      <c r="AU5117" s="15"/>
      <c r="AV5117" s="15"/>
      <c r="AW5117" s="15"/>
    </row>
    <row r="5118" spans="3:49" x14ac:dyDescent="0.2">
      <c r="C5118" s="15"/>
      <c r="D5118" s="15"/>
      <c r="E5118" s="15"/>
      <c r="F5118" s="15"/>
      <c r="G5118" s="15"/>
      <c r="H5118" s="15"/>
      <c r="I5118" s="15"/>
      <c r="J5118" s="15"/>
      <c r="K5118" s="15"/>
      <c r="L5118" s="28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  <c r="AA5118" s="15"/>
      <c r="AB5118" s="15"/>
      <c r="AC5118" s="15"/>
      <c r="AD5118" s="15"/>
      <c r="AE5118" s="15"/>
      <c r="AF5118" s="15"/>
      <c r="AG5118" s="15"/>
      <c r="AH5118" s="15"/>
      <c r="AI5118" s="15"/>
      <c r="AJ5118" s="15"/>
      <c r="AK5118" s="15"/>
      <c r="AL5118" s="15"/>
      <c r="AM5118" s="15"/>
      <c r="AN5118" s="15"/>
      <c r="AO5118" s="15"/>
      <c r="AP5118" s="15"/>
      <c r="AQ5118" s="15"/>
      <c r="AR5118" s="15"/>
      <c r="AS5118" s="15"/>
      <c r="AT5118" s="15"/>
      <c r="AU5118" s="15"/>
      <c r="AV5118" s="15"/>
      <c r="AW5118" s="15"/>
    </row>
    <row r="5119" spans="3:49" x14ac:dyDescent="0.2">
      <c r="C5119" s="15"/>
      <c r="D5119" s="15"/>
      <c r="E5119" s="15"/>
      <c r="F5119" s="15"/>
      <c r="G5119" s="15"/>
      <c r="H5119" s="15"/>
      <c r="I5119" s="15"/>
      <c r="J5119" s="15"/>
      <c r="K5119" s="15"/>
      <c r="L5119" s="28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  <c r="AA5119" s="15"/>
      <c r="AB5119" s="15"/>
      <c r="AC5119" s="15"/>
      <c r="AD5119" s="15"/>
      <c r="AE5119" s="15"/>
      <c r="AF5119" s="15"/>
      <c r="AG5119" s="15"/>
      <c r="AH5119" s="15"/>
      <c r="AI5119" s="15"/>
      <c r="AJ5119" s="15"/>
      <c r="AK5119" s="15"/>
      <c r="AL5119" s="15"/>
      <c r="AM5119" s="15"/>
      <c r="AN5119" s="15"/>
      <c r="AO5119" s="15"/>
      <c r="AP5119" s="15"/>
      <c r="AQ5119" s="15"/>
      <c r="AR5119" s="15"/>
      <c r="AS5119" s="15"/>
      <c r="AT5119" s="15"/>
      <c r="AU5119" s="15"/>
      <c r="AV5119" s="15"/>
      <c r="AW5119" s="15"/>
    </row>
    <row r="5120" spans="3:49" x14ac:dyDescent="0.2">
      <c r="C5120" s="15"/>
      <c r="D5120" s="15"/>
      <c r="E5120" s="15"/>
      <c r="F5120" s="15"/>
      <c r="G5120" s="15"/>
      <c r="H5120" s="15"/>
      <c r="I5120" s="15"/>
      <c r="J5120" s="15"/>
      <c r="K5120" s="15"/>
      <c r="L5120" s="28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  <c r="AA5120" s="15"/>
      <c r="AB5120" s="15"/>
      <c r="AC5120" s="15"/>
      <c r="AD5120" s="15"/>
      <c r="AE5120" s="15"/>
      <c r="AF5120" s="15"/>
      <c r="AG5120" s="15"/>
      <c r="AH5120" s="15"/>
      <c r="AI5120" s="15"/>
      <c r="AJ5120" s="15"/>
      <c r="AK5120" s="15"/>
      <c r="AL5120" s="15"/>
      <c r="AM5120" s="15"/>
      <c r="AN5120" s="15"/>
      <c r="AO5120" s="15"/>
      <c r="AP5120" s="15"/>
      <c r="AQ5120" s="15"/>
      <c r="AR5120" s="15"/>
      <c r="AS5120" s="15"/>
      <c r="AT5120" s="15"/>
      <c r="AU5120" s="15"/>
      <c r="AV5120" s="15"/>
      <c r="AW5120" s="15"/>
    </row>
    <row r="5121" spans="3:49" x14ac:dyDescent="0.2">
      <c r="C5121" s="15"/>
      <c r="D5121" s="15"/>
      <c r="E5121" s="15"/>
      <c r="F5121" s="15"/>
      <c r="G5121" s="15"/>
      <c r="H5121" s="15"/>
      <c r="I5121" s="15"/>
      <c r="J5121" s="15"/>
      <c r="K5121" s="15"/>
      <c r="L5121" s="28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  <c r="AA5121" s="15"/>
      <c r="AB5121" s="15"/>
      <c r="AC5121" s="15"/>
      <c r="AD5121" s="15"/>
      <c r="AE5121" s="15"/>
      <c r="AF5121" s="15"/>
      <c r="AG5121" s="15"/>
      <c r="AH5121" s="15"/>
      <c r="AI5121" s="15"/>
      <c r="AJ5121" s="15"/>
      <c r="AK5121" s="15"/>
      <c r="AL5121" s="15"/>
      <c r="AM5121" s="15"/>
      <c r="AN5121" s="15"/>
      <c r="AO5121" s="15"/>
      <c r="AP5121" s="15"/>
      <c r="AQ5121" s="15"/>
      <c r="AR5121" s="15"/>
      <c r="AS5121" s="15"/>
      <c r="AT5121" s="15"/>
      <c r="AU5121" s="15"/>
      <c r="AV5121" s="15"/>
      <c r="AW5121" s="15"/>
    </row>
    <row r="5122" spans="3:49" x14ac:dyDescent="0.2">
      <c r="C5122" s="15"/>
      <c r="D5122" s="15"/>
      <c r="E5122" s="15"/>
      <c r="F5122" s="15"/>
      <c r="G5122" s="15"/>
      <c r="H5122" s="15"/>
      <c r="I5122" s="15"/>
      <c r="J5122" s="15"/>
      <c r="K5122" s="15"/>
      <c r="L5122" s="28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  <c r="AA5122" s="15"/>
      <c r="AB5122" s="15"/>
      <c r="AC5122" s="15"/>
      <c r="AD5122" s="15"/>
      <c r="AE5122" s="15"/>
      <c r="AF5122" s="15"/>
      <c r="AG5122" s="15"/>
      <c r="AH5122" s="15"/>
      <c r="AI5122" s="15"/>
      <c r="AJ5122" s="15"/>
      <c r="AK5122" s="15"/>
      <c r="AL5122" s="15"/>
      <c r="AM5122" s="15"/>
      <c r="AN5122" s="15"/>
      <c r="AO5122" s="15"/>
      <c r="AP5122" s="15"/>
      <c r="AQ5122" s="15"/>
      <c r="AR5122" s="15"/>
      <c r="AS5122" s="15"/>
      <c r="AT5122" s="15"/>
      <c r="AU5122" s="15"/>
      <c r="AV5122" s="15"/>
      <c r="AW5122" s="15"/>
    </row>
    <row r="5123" spans="3:49" x14ac:dyDescent="0.2">
      <c r="C5123" s="15"/>
      <c r="D5123" s="15"/>
      <c r="E5123" s="15"/>
      <c r="F5123" s="15"/>
      <c r="G5123" s="15"/>
      <c r="H5123" s="15"/>
      <c r="I5123" s="15"/>
      <c r="J5123" s="15"/>
      <c r="K5123" s="15"/>
      <c r="L5123" s="28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  <c r="AA5123" s="15"/>
      <c r="AB5123" s="15"/>
      <c r="AC5123" s="15"/>
      <c r="AD5123" s="15"/>
      <c r="AE5123" s="15"/>
      <c r="AF5123" s="15"/>
      <c r="AG5123" s="15"/>
      <c r="AH5123" s="15"/>
      <c r="AI5123" s="15"/>
      <c r="AJ5123" s="15"/>
      <c r="AK5123" s="15"/>
      <c r="AL5123" s="15"/>
      <c r="AM5123" s="15"/>
      <c r="AN5123" s="15"/>
      <c r="AO5123" s="15"/>
      <c r="AP5123" s="15"/>
      <c r="AQ5123" s="15"/>
      <c r="AR5123" s="15"/>
      <c r="AS5123" s="15"/>
      <c r="AT5123" s="15"/>
      <c r="AU5123" s="15"/>
      <c r="AV5123" s="15"/>
      <c r="AW5123" s="15"/>
    </row>
    <row r="5124" spans="3:49" x14ac:dyDescent="0.2">
      <c r="C5124" s="15"/>
      <c r="D5124" s="15"/>
      <c r="E5124" s="15"/>
      <c r="F5124" s="15"/>
      <c r="G5124" s="15"/>
      <c r="H5124" s="15"/>
      <c r="I5124" s="15"/>
      <c r="J5124" s="15"/>
      <c r="K5124" s="15"/>
      <c r="L5124" s="28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  <c r="AA5124" s="15"/>
      <c r="AB5124" s="15"/>
      <c r="AC5124" s="15"/>
      <c r="AD5124" s="15"/>
      <c r="AE5124" s="15"/>
      <c r="AF5124" s="15"/>
      <c r="AG5124" s="15"/>
      <c r="AH5124" s="15"/>
      <c r="AI5124" s="15"/>
      <c r="AJ5124" s="15"/>
      <c r="AK5124" s="15"/>
      <c r="AL5124" s="15"/>
      <c r="AM5124" s="15"/>
      <c r="AN5124" s="15"/>
      <c r="AO5124" s="15"/>
      <c r="AP5124" s="15"/>
      <c r="AQ5124" s="15"/>
      <c r="AR5124" s="15"/>
      <c r="AS5124" s="15"/>
      <c r="AT5124" s="15"/>
      <c r="AU5124" s="15"/>
      <c r="AV5124" s="15"/>
      <c r="AW5124" s="15"/>
    </row>
    <row r="5125" spans="3:49" x14ac:dyDescent="0.2">
      <c r="C5125" s="15"/>
      <c r="D5125" s="15"/>
      <c r="E5125" s="15"/>
      <c r="F5125" s="15"/>
      <c r="G5125" s="15"/>
      <c r="H5125" s="15"/>
      <c r="I5125" s="15"/>
      <c r="J5125" s="15"/>
      <c r="K5125" s="15"/>
      <c r="L5125" s="28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  <c r="AA5125" s="15"/>
      <c r="AB5125" s="15"/>
      <c r="AC5125" s="15"/>
      <c r="AD5125" s="15"/>
      <c r="AE5125" s="15"/>
      <c r="AF5125" s="15"/>
      <c r="AG5125" s="15"/>
      <c r="AH5125" s="15"/>
      <c r="AI5125" s="15"/>
      <c r="AJ5125" s="15"/>
      <c r="AK5125" s="15"/>
      <c r="AL5125" s="15"/>
      <c r="AM5125" s="15"/>
      <c r="AN5125" s="15"/>
      <c r="AO5125" s="15"/>
      <c r="AP5125" s="15"/>
      <c r="AQ5125" s="15"/>
      <c r="AR5125" s="15"/>
      <c r="AS5125" s="15"/>
      <c r="AT5125" s="15"/>
      <c r="AU5125" s="15"/>
      <c r="AV5125" s="15"/>
      <c r="AW5125" s="15"/>
    </row>
    <row r="5126" spans="3:49" x14ac:dyDescent="0.2">
      <c r="C5126" s="15"/>
      <c r="D5126" s="15"/>
      <c r="E5126" s="15"/>
      <c r="F5126" s="15"/>
      <c r="G5126" s="15"/>
      <c r="H5126" s="15"/>
      <c r="I5126" s="15"/>
      <c r="J5126" s="15"/>
      <c r="K5126" s="15"/>
      <c r="L5126" s="28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  <c r="AA5126" s="15"/>
      <c r="AB5126" s="15"/>
      <c r="AC5126" s="15"/>
      <c r="AD5126" s="15"/>
      <c r="AE5126" s="15"/>
      <c r="AF5126" s="15"/>
      <c r="AG5126" s="15"/>
      <c r="AH5126" s="15"/>
      <c r="AI5126" s="15"/>
      <c r="AJ5126" s="15"/>
      <c r="AK5126" s="15"/>
      <c r="AL5126" s="15"/>
      <c r="AM5126" s="15"/>
      <c r="AN5126" s="15"/>
      <c r="AO5126" s="15"/>
      <c r="AP5126" s="15"/>
      <c r="AQ5126" s="15"/>
      <c r="AR5126" s="15"/>
      <c r="AS5126" s="15"/>
      <c r="AT5126" s="15"/>
      <c r="AU5126" s="15"/>
      <c r="AV5126" s="15"/>
      <c r="AW5126" s="15"/>
    </row>
    <row r="5127" spans="3:49" x14ac:dyDescent="0.2">
      <c r="C5127" s="15"/>
      <c r="D5127" s="15"/>
      <c r="E5127" s="15"/>
      <c r="F5127" s="15"/>
      <c r="G5127" s="15"/>
      <c r="H5127" s="15"/>
      <c r="I5127" s="15"/>
      <c r="J5127" s="15"/>
      <c r="K5127" s="15"/>
      <c r="L5127" s="28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  <c r="AA5127" s="15"/>
      <c r="AB5127" s="15"/>
      <c r="AC5127" s="15"/>
      <c r="AD5127" s="15"/>
      <c r="AE5127" s="15"/>
      <c r="AF5127" s="15"/>
      <c r="AG5127" s="15"/>
      <c r="AH5127" s="15"/>
      <c r="AI5127" s="15"/>
      <c r="AJ5127" s="15"/>
      <c r="AK5127" s="15"/>
      <c r="AL5127" s="15"/>
      <c r="AM5127" s="15"/>
      <c r="AN5127" s="15"/>
      <c r="AO5127" s="15"/>
      <c r="AP5127" s="15"/>
      <c r="AQ5127" s="15"/>
      <c r="AR5127" s="15"/>
      <c r="AS5127" s="15"/>
      <c r="AT5127" s="15"/>
      <c r="AU5127" s="15"/>
      <c r="AV5127" s="15"/>
      <c r="AW5127" s="15"/>
    </row>
    <row r="5128" spans="3:49" x14ac:dyDescent="0.2">
      <c r="C5128" s="15"/>
      <c r="D5128" s="15"/>
      <c r="E5128" s="15"/>
      <c r="F5128" s="15"/>
      <c r="G5128" s="15"/>
      <c r="H5128" s="15"/>
      <c r="I5128" s="15"/>
      <c r="J5128" s="15"/>
      <c r="K5128" s="15"/>
      <c r="L5128" s="28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  <c r="AA5128" s="15"/>
      <c r="AB5128" s="15"/>
      <c r="AC5128" s="15"/>
      <c r="AD5128" s="15"/>
      <c r="AE5128" s="15"/>
      <c r="AF5128" s="15"/>
      <c r="AG5128" s="15"/>
      <c r="AH5128" s="15"/>
      <c r="AI5128" s="15"/>
      <c r="AJ5128" s="15"/>
      <c r="AK5128" s="15"/>
      <c r="AL5128" s="15"/>
      <c r="AM5128" s="15"/>
      <c r="AN5128" s="15"/>
      <c r="AO5128" s="15"/>
      <c r="AP5128" s="15"/>
      <c r="AQ5128" s="15"/>
      <c r="AR5128" s="15"/>
      <c r="AS5128" s="15"/>
      <c r="AT5128" s="15"/>
      <c r="AU5128" s="15"/>
      <c r="AV5128" s="15"/>
      <c r="AW5128" s="15"/>
    </row>
    <row r="5129" spans="3:49" x14ac:dyDescent="0.2">
      <c r="C5129" s="15"/>
      <c r="D5129" s="15"/>
      <c r="E5129" s="15"/>
      <c r="F5129" s="15"/>
      <c r="G5129" s="15"/>
      <c r="H5129" s="15"/>
      <c r="I5129" s="15"/>
      <c r="J5129" s="15"/>
      <c r="K5129" s="15"/>
      <c r="L5129" s="28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  <c r="AA5129" s="15"/>
      <c r="AB5129" s="15"/>
      <c r="AC5129" s="15"/>
      <c r="AD5129" s="15"/>
      <c r="AE5129" s="15"/>
      <c r="AF5129" s="15"/>
      <c r="AG5129" s="15"/>
      <c r="AH5129" s="15"/>
      <c r="AI5129" s="15"/>
      <c r="AJ5129" s="15"/>
      <c r="AK5129" s="15"/>
      <c r="AL5129" s="15"/>
      <c r="AM5129" s="15"/>
      <c r="AN5129" s="15"/>
      <c r="AO5129" s="15"/>
      <c r="AP5129" s="15"/>
      <c r="AQ5129" s="15"/>
      <c r="AR5129" s="15"/>
      <c r="AS5129" s="15"/>
      <c r="AT5129" s="15"/>
      <c r="AU5129" s="15"/>
      <c r="AV5129" s="15"/>
      <c r="AW5129" s="15"/>
    </row>
    <row r="5130" spans="3:49" x14ac:dyDescent="0.2">
      <c r="C5130" s="15"/>
      <c r="D5130" s="15"/>
      <c r="E5130" s="15"/>
      <c r="F5130" s="15"/>
      <c r="G5130" s="15"/>
      <c r="H5130" s="15"/>
      <c r="I5130" s="15"/>
      <c r="J5130" s="15"/>
      <c r="K5130" s="15"/>
      <c r="L5130" s="28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  <c r="AA5130" s="15"/>
      <c r="AB5130" s="15"/>
      <c r="AC5130" s="15"/>
      <c r="AD5130" s="15"/>
      <c r="AE5130" s="15"/>
      <c r="AF5130" s="15"/>
      <c r="AG5130" s="15"/>
      <c r="AH5130" s="15"/>
      <c r="AI5130" s="15"/>
      <c r="AJ5130" s="15"/>
      <c r="AK5130" s="15"/>
      <c r="AL5130" s="15"/>
      <c r="AM5130" s="15"/>
      <c r="AN5130" s="15"/>
      <c r="AO5130" s="15"/>
      <c r="AP5130" s="15"/>
      <c r="AQ5130" s="15"/>
      <c r="AR5130" s="15"/>
      <c r="AS5130" s="15"/>
      <c r="AT5130" s="15"/>
      <c r="AU5130" s="15"/>
      <c r="AV5130" s="15"/>
      <c r="AW5130" s="15"/>
    </row>
    <row r="5131" spans="3:49" x14ac:dyDescent="0.2">
      <c r="C5131" s="15"/>
      <c r="D5131" s="15"/>
      <c r="E5131" s="15"/>
      <c r="F5131" s="15"/>
      <c r="G5131" s="15"/>
      <c r="H5131" s="15"/>
      <c r="I5131" s="15"/>
      <c r="J5131" s="15"/>
      <c r="K5131" s="15"/>
      <c r="L5131" s="28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  <c r="AA5131" s="15"/>
      <c r="AB5131" s="15"/>
      <c r="AC5131" s="15"/>
      <c r="AD5131" s="15"/>
      <c r="AE5131" s="15"/>
      <c r="AF5131" s="15"/>
      <c r="AG5131" s="15"/>
      <c r="AH5131" s="15"/>
      <c r="AI5131" s="15"/>
      <c r="AJ5131" s="15"/>
      <c r="AK5131" s="15"/>
      <c r="AL5131" s="15"/>
      <c r="AM5131" s="15"/>
      <c r="AN5131" s="15"/>
      <c r="AO5131" s="15"/>
      <c r="AP5131" s="15"/>
      <c r="AQ5131" s="15"/>
      <c r="AR5131" s="15"/>
      <c r="AS5131" s="15"/>
      <c r="AT5131" s="15"/>
      <c r="AU5131" s="15"/>
      <c r="AV5131" s="15"/>
      <c r="AW5131" s="15"/>
    </row>
    <row r="5132" spans="3:49" x14ac:dyDescent="0.2">
      <c r="C5132" s="15"/>
      <c r="D5132" s="15"/>
      <c r="E5132" s="15"/>
      <c r="F5132" s="15"/>
      <c r="G5132" s="15"/>
      <c r="H5132" s="15"/>
      <c r="I5132" s="15"/>
      <c r="J5132" s="15"/>
      <c r="K5132" s="15"/>
      <c r="L5132" s="28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  <c r="AA5132" s="15"/>
      <c r="AB5132" s="15"/>
      <c r="AC5132" s="15"/>
      <c r="AD5132" s="15"/>
      <c r="AE5132" s="15"/>
      <c r="AF5132" s="15"/>
      <c r="AG5132" s="15"/>
      <c r="AH5132" s="15"/>
      <c r="AI5132" s="15"/>
      <c r="AJ5132" s="15"/>
      <c r="AK5132" s="15"/>
      <c r="AL5132" s="15"/>
      <c r="AM5132" s="15"/>
      <c r="AN5132" s="15"/>
      <c r="AO5132" s="15"/>
      <c r="AP5132" s="15"/>
      <c r="AQ5132" s="15"/>
      <c r="AR5132" s="15"/>
      <c r="AS5132" s="15"/>
      <c r="AT5132" s="15"/>
      <c r="AU5132" s="15"/>
      <c r="AV5132" s="15"/>
      <c r="AW5132" s="15"/>
    </row>
    <row r="5133" spans="3:49" x14ac:dyDescent="0.2">
      <c r="C5133" s="15"/>
      <c r="D5133" s="15"/>
      <c r="E5133" s="15"/>
      <c r="F5133" s="15"/>
      <c r="G5133" s="15"/>
      <c r="H5133" s="15"/>
      <c r="I5133" s="15"/>
      <c r="J5133" s="15"/>
      <c r="K5133" s="15"/>
      <c r="L5133" s="28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  <c r="AA5133" s="15"/>
      <c r="AB5133" s="15"/>
      <c r="AC5133" s="15"/>
      <c r="AD5133" s="15"/>
      <c r="AE5133" s="15"/>
      <c r="AF5133" s="15"/>
      <c r="AG5133" s="15"/>
      <c r="AH5133" s="15"/>
      <c r="AI5133" s="15"/>
      <c r="AJ5133" s="15"/>
      <c r="AK5133" s="15"/>
      <c r="AL5133" s="15"/>
      <c r="AM5133" s="15"/>
      <c r="AN5133" s="15"/>
      <c r="AO5133" s="15"/>
      <c r="AP5133" s="15"/>
      <c r="AQ5133" s="15"/>
      <c r="AR5133" s="15"/>
      <c r="AS5133" s="15"/>
      <c r="AT5133" s="15"/>
      <c r="AU5133" s="15"/>
      <c r="AV5133" s="15"/>
      <c r="AW5133" s="15"/>
    </row>
    <row r="5134" spans="3:49" x14ac:dyDescent="0.2">
      <c r="C5134" s="15"/>
      <c r="D5134" s="15"/>
      <c r="E5134" s="15"/>
      <c r="F5134" s="15"/>
      <c r="G5134" s="15"/>
      <c r="H5134" s="15"/>
      <c r="I5134" s="15"/>
      <c r="J5134" s="15"/>
      <c r="K5134" s="15"/>
      <c r="L5134" s="28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  <c r="AA5134" s="15"/>
      <c r="AB5134" s="15"/>
      <c r="AC5134" s="15"/>
      <c r="AD5134" s="15"/>
      <c r="AE5134" s="15"/>
      <c r="AF5134" s="15"/>
      <c r="AG5134" s="15"/>
      <c r="AH5134" s="15"/>
      <c r="AI5134" s="15"/>
      <c r="AJ5134" s="15"/>
      <c r="AK5134" s="15"/>
      <c r="AL5134" s="15"/>
      <c r="AM5134" s="15"/>
      <c r="AN5134" s="15"/>
      <c r="AO5134" s="15"/>
      <c r="AP5134" s="15"/>
      <c r="AQ5134" s="15"/>
      <c r="AR5134" s="15"/>
      <c r="AS5134" s="15"/>
      <c r="AT5134" s="15"/>
      <c r="AU5134" s="15"/>
      <c r="AV5134" s="15"/>
      <c r="AW5134" s="15"/>
    </row>
    <row r="5135" spans="3:49" x14ac:dyDescent="0.2">
      <c r="C5135" s="15"/>
      <c r="D5135" s="15"/>
      <c r="E5135" s="15"/>
      <c r="F5135" s="15"/>
      <c r="G5135" s="15"/>
      <c r="H5135" s="15"/>
      <c r="I5135" s="15"/>
      <c r="J5135" s="15"/>
      <c r="K5135" s="15"/>
      <c r="L5135" s="28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  <c r="AA5135" s="15"/>
      <c r="AB5135" s="15"/>
      <c r="AC5135" s="15"/>
      <c r="AD5135" s="15"/>
      <c r="AE5135" s="15"/>
      <c r="AF5135" s="15"/>
      <c r="AG5135" s="15"/>
      <c r="AH5135" s="15"/>
      <c r="AI5135" s="15"/>
      <c r="AJ5135" s="15"/>
      <c r="AK5135" s="15"/>
      <c r="AL5135" s="15"/>
      <c r="AM5135" s="15"/>
      <c r="AN5135" s="15"/>
      <c r="AO5135" s="15"/>
      <c r="AP5135" s="15"/>
      <c r="AQ5135" s="15"/>
      <c r="AR5135" s="15"/>
      <c r="AS5135" s="15"/>
      <c r="AT5135" s="15"/>
      <c r="AU5135" s="15"/>
      <c r="AV5135" s="15"/>
      <c r="AW5135" s="15"/>
    </row>
    <row r="5136" spans="3:49" x14ac:dyDescent="0.2">
      <c r="C5136" s="15"/>
      <c r="D5136" s="15"/>
      <c r="E5136" s="15"/>
      <c r="F5136" s="15"/>
      <c r="G5136" s="15"/>
      <c r="H5136" s="15"/>
      <c r="I5136" s="15"/>
      <c r="J5136" s="15"/>
      <c r="K5136" s="15"/>
      <c r="L5136" s="28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  <c r="AA5136" s="15"/>
      <c r="AB5136" s="15"/>
      <c r="AC5136" s="15"/>
      <c r="AD5136" s="15"/>
      <c r="AE5136" s="15"/>
      <c r="AF5136" s="15"/>
      <c r="AG5136" s="15"/>
      <c r="AH5136" s="15"/>
      <c r="AI5136" s="15"/>
      <c r="AJ5136" s="15"/>
      <c r="AK5136" s="15"/>
      <c r="AL5136" s="15"/>
      <c r="AM5136" s="15"/>
      <c r="AN5136" s="15"/>
      <c r="AO5136" s="15"/>
      <c r="AP5136" s="15"/>
      <c r="AQ5136" s="15"/>
      <c r="AR5136" s="15"/>
      <c r="AS5136" s="15"/>
      <c r="AT5136" s="15"/>
      <c r="AU5136" s="15"/>
      <c r="AV5136" s="15"/>
      <c r="AW5136" s="15"/>
    </row>
    <row r="5137" spans="3:49" x14ac:dyDescent="0.2">
      <c r="C5137" s="15"/>
      <c r="D5137" s="15"/>
      <c r="E5137" s="15"/>
      <c r="F5137" s="15"/>
      <c r="G5137" s="15"/>
      <c r="H5137" s="15"/>
      <c r="I5137" s="15"/>
      <c r="J5137" s="15"/>
      <c r="K5137" s="15"/>
      <c r="L5137" s="28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  <c r="AA5137" s="15"/>
      <c r="AB5137" s="15"/>
      <c r="AC5137" s="15"/>
      <c r="AD5137" s="15"/>
      <c r="AE5137" s="15"/>
      <c r="AF5137" s="15"/>
      <c r="AG5137" s="15"/>
      <c r="AH5137" s="15"/>
      <c r="AI5137" s="15"/>
      <c r="AJ5137" s="15"/>
      <c r="AK5137" s="15"/>
      <c r="AL5137" s="15"/>
      <c r="AM5137" s="15"/>
      <c r="AN5137" s="15"/>
      <c r="AO5137" s="15"/>
      <c r="AP5137" s="15"/>
      <c r="AQ5137" s="15"/>
      <c r="AR5137" s="15"/>
      <c r="AS5137" s="15"/>
      <c r="AT5137" s="15"/>
      <c r="AU5137" s="15"/>
      <c r="AV5137" s="15"/>
      <c r="AW5137" s="15"/>
    </row>
    <row r="5138" spans="3:49" x14ac:dyDescent="0.2">
      <c r="C5138" s="15"/>
      <c r="D5138" s="15"/>
      <c r="E5138" s="15"/>
      <c r="F5138" s="15"/>
      <c r="G5138" s="15"/>
      <c r="H5138" s="15"/>
      <c r="I5138" s="15"/>
      <c r="J5138" s="15"/>
      <c r="K5138" s="15"/>
      <c r="L5138" s="28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  <c r="AA5138" s="15"/>
      <c r="AB5138" s="15"/>
      <c r="AC5138" s="15"/>
      <c r="AD5138" s="15"/>
      <c r="AE5138" s="15"/>
      <c r="AF5138" s="15"/>
      <c r="AG5138" s="15"/>
      <c r="AH5138" s="15"/>
      <c r="AI5138" s="15"/>
      <c r="AJ5138" s="15"/>
      <c r="AK5138" s="15"/>
      <c r="AL5138" s="15"/>
      <c r="AM5138" s="15"/>
      <c r="AN5138" s="15"/>
      <c r="AO5138" s="15"/>
      <c r="AP5138" s="15"/>
      <c r="AQ5138" s="15"/>
      <c r="AR5138" s="15"/>
      <c r="AS5138" s="15"/>
      <c r="AT5138" s="15"/>
      <c r="AU5138" s="15"/>
      <c r="AV5138" s="15"/>
      <c r="AW5138" s="15"/>
    </row>
    <row r="5139" spans="3:49" x14ac:dyDescent="0.2">
      <c r="C5139" s="15"/>
      <c r="D5139" s="15"/>
      <c r="E5139" s="15"/>
      <c r="F5139" s="15"/>
      <c r="G5139" s="15"/>
      <c r="H5139" s="15"/>
      <c r="I5139" s="15"/>
      <c r="J5139" s="15"/>
      <c r="K5139" s="15"/>
      <c r="L5139" s="28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  <c r="AA5139" s="15"/>
      <c r="AB5139" s="15"/>
      <c r="AC5139" s="15"/>
      <c r="AD5139" s="15"/>
      <c r="AE5139" s="15"/>
      <c r="AF5139" s="15"/>
      <c r="AG5139" s="15"/>
      <c r="AH5139" s="15"/>
      <c r="AI5139" s="15"/>
      <c r="AJ5139" s="15"/>
      <c r="AK5139" s="15"/>
      <c r="AL5139" s="15"/>
      <c r="AM5139" s="15"/>
      <c r="AN5139" s="15"/>
      <c r="AO5139" s="15"/>
      <c r="AP5139" s="15"/>
      <c r="AQ5139" s="15"/>
      <c r="AR5139" s="15"/>
      <c r="AS5139" s="15"/>
      <c r="AT5139" s="15"/>
      <c r="AU5139" s="15"/>
      <c r="AV5139" s="15"/>
      <c r="AW5139" s="15"/>
    </row>
    <row r="5140" spans="3:49" x14ac:dyDescent="0.2">
      <c r="C5140" s="15"/>
      <c r="D5140" s="15"/>
      <c r="E5140" s="15"/>
      <c r="F5140" s="15"/>
      <c r="G5140" s="15"/>
      <c r="H5140" s="15"/>
      <c r="I5140" s="15"/>
      <c r="J5140" s="15"/>
      <c r="K5140" s="15"/>
      <c r="L5140" s="28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  <c r="AA5140" s="15"/>
      <c r="AB5140" s="15"/>
      <c r="AC5140" s="15"/>
      <c r="AD5140" s="15"/>
      <c r="AE5140" s="15"/>
      <c r="AF5140" s="15"/>
      <c r="AG5140" s="15"/>
      <c r="AH5140" s="15"/>
      <c r="AI5140" s="15"/>
      <c r="AJ5140" s="15"/>
      <c r="AK5140" s="15"/>
      <c r="AL5140" s="15"/>
      <c r="AM5140" s="15"/>
      <c r="AN5140" s="15"/>
      <c r="AO5140" s="15"/>
      <c r="AP5140" s="15"/>
      <c r="AQ5140" s="15"/>
      <c r="AR5140" s="15"/>
      <c r="AS5140" s="15"/>
      <c r="AT5140" s="15"/>
      <c r="AU5140" s="15"/>
      <c r="AV5140" s="15"/>
      <c r="AW5140" s="15"/>
    </row>
    <row r="5141" spans="3:49" x14ac:dyDescent="0.2">
      <c r="C5141" s="15"/>
      <c r="D5141" s="15"/>
      <c r="E5141" s="15"/>
      <c r="F5141" s="15"/>
      <c r="G5141" s="15"/>
      <c r="H5141" s="15"/>
      <c r="I5141" s="15"/>
      <c r="J5141" s="15"/>
      <c r="K5141" s="15"/>
      <c r="L5141" s="28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  <c r="AA5141" s="15"/>
      <c r="AB5141" s="15"/>
      <c r="AC5141" s="15"/>
      <c r="AD5141" s="15"/>
      <c r="AE5141" s="15"/>
      <c r="AF5141" s="15"/>
      <c r="AG5141" s="15"/>
      <c r="AH5141" s="15"/>
      <c r="AI5141" s="15"/>
      <c r="AJ5141" s="15"/>
      <c r="AK5141" s="15"/>
      <c r="AL5141" s="15"/>
      <c r="AM5141" s="15"/>
      <c r="AN5141" s="15"/>
      <c r="AO5141" s="15"/>
      <c r="AP5141" s="15"/>
      <c r="AQ5141" s="15"/>
      <c r="AR5141" s="15"/>
      <c r="AS5141" s="15"/>
      <c r="AT5141" s="15"/>
      <c r="AU5141" s="15"/>
      <c r="AV5141" s="15"/>
      <c r="AW5141" s="15"/>
    </row>
    <row r="5142" spans="3:49" x14ac:dyDescent="0.2">
      <c r="C5142" s="15"/>
      <c r="D5142" s="15"/>
      <c r="E5142" s="15"/>
      <c r="F5142" s="15"/>
      <c r="G5142" s="15"/>
      <c r="H5142" s="15"/>
      <c r="I5142" s="15"/>
      <c r="J5142" s="15"/>
      <c r="K5142" s="15"/>
      <c r="L5142" s="28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  <c r="AA5142" s="15"/>
      <c r="AB5142" s="15"/>
      <c r="AC5142" s="15"/>
      <c r="AD5142" s="15"/>
      <c r="AE5142" s="15"/>
      <c r="AF5142" s="15"/>
      <c r="AG5142" s="15"/>
      <c r="AH5142" s="15"/>
      <c r="AI5142" s="15"/>
      <c r="AJ5142" s="15"/>
      <c r="AK5142" s="15"/>
      <c r="AL5142" s="15"/>
      <c r="AM5142" s="15"/>
      <c r="AN5142" s="15"/>
      <c r="AO5142" s="15"/>
      <c r="AP5142" s="15"/>
      <c r="AQ5142" s="15"/>
      <c r="AR5142" s="15"/>
      <c r="AS5142" s="15"/>
      <c r="AT5142" s="15"/>
      <c r="AU5142" s="15"/>
      <c r="AV5142" s="15"/>
      <c r="AW5142" s="15"/>
    </row>
    <row r="5143" spans="3:49" x14ac:dyDescent="0.2">
      <c r="C5143" s="15"/>
      <c r="D5143" s="15"/>
      <c r="E5143" s="15"/>
      <c r="F5143" s="15"/>
      <c r="G5143" s="15"/>
      <c r="H5143" s="15"/>
      <c r="I5143" s="15"/>
      <c r="J5143" s="15"/>
      <c r="K5143" s="15"/>
      <c r="L5143" s="28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  <c r="AA5143" s="15"/>
      <c r="AB5143" s="15"/>
      <c r="AC5143" s="15"/>
      <c r="AD5143" s="15"/>
      <c r="AE5143" s="15"/>
      <c r="AF5143" s="15"/>
      <c r="AG5143" s="15"/>
      <c r="AH5143" s="15"/>
      <c r="AI5143" s="15"/>
      <c r="AJ5143" s="15"/>
      <c r="AK5143" s="15"/>
      <c r="AL5143" s="15"/>
      <c r="AM5143" s="15"/>
      <c r="AN5143" s="15"/>
      <c r="AO5143" s="15"/>
      <c r="AP5143" s="15"/>
      <c r="AQ5143" s="15"/>
      <c r="AR5143" s="15"/>
      <c r="AS5143" s="15"/>
      <c r="AT5143" s="15"/>
      <c r="AU5143" s="15"/>
      <c r="AV5143" s="15"/>
      <c r="AW5143" s="15"/>
    </row>
    <row r="5144" spans="3:49" x14ac:dyDescent="0.2">
      <c r="C5144" s="15"/>
      <c r="D5144" s="15"/>
      <c r="E5144" s="15"/>
      <c r="F5144" s="15"/>
      <c r="G5144" s="15"/>
      <c r="H5144" s="15"/>
      <c r="I5144" s="15"/>
      <c r="J5144" s="15"/>
      <c r="K5144" s="15"/>
      <c r="L5144" s="28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  <c r="AA5144" s="15"/>
      <c r="AB5144" s="15"/>
      <c r="AC5144" s="15"/>
      <c r="AD5144" s="15"/>
      <c r="AE5144" s="15"/>
      <c r="AF5144" s="15"/>
      <c r="AG5144" s="15"/>
      <c r="AH5144" s="15"/>
      <c r="AI5144" s="15"/>
      <c r="AJ5144" s="15"/>
      <c r="AK5144" s="15"/>
      <c r="AL5144" s="15"/>
      <c r="AM5144" s="15"/>
      <c r="AN5144" s="15"/>
      <c r="AO5144" s="15"/>
      <c r="AP5144" s="15"/>
      <c r="AQ5144" s="15"/>
      <c r="AR5144" s="15"/>
      <c r="AS5144" s="15"/>
      <c r="AT5144" s="15"/>
      <c r="AU5144" s="15"/>
      <c r="AV5144" s="15"/>
      <c r="AW5144" s="15"/>
    </row>
    <row r="5145" spans="3:49" x14ac:dyDescent="0.2">
      <c r="C5145" s="15"/>
      <c r="D5145" s="15"/>
      <c r="E5145" s="15"/>
      <c r="F5145" s="15"/>
      <c r="G5145" s="15"/>
      <c r="H5145" s="15"/>
      <c r="I5145" s="15"/>
      <c r="J5145" s="15"/>
      <c r="K5145" s="15"/>
      <c r="L5145" s="28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  <c r="AA5145" s="15"/>
      <c r="AB5145" s="15"/>
      <c r="AC5145" s="15"/>
      <c r="AD5145" s="15"/>
      <c r="AE5145" s="15"/>
      <c r="AF5145" s="15"/>
      <c r="AG5145" s="15"/>
      <c r="AH5145" s="15"/>
      <c r="AI5145" s="15"/>
      <c r="AJ5145" s="15"/>
      <c r="AK5145" s="15"/>
      <c r="AL5145" s="15"/>
      <c r="AM5145" s="15"/>
      <c r="AN5145" s="15"/>
      <c r="AO5145" s="15"/>
      <c r="AP5145" s="15"/>
      <c r="AQ5145" s="15"/>
      <c r="AR5145" s="15"/>
      <c r="AS5145" s="15"/>
      <c r="AT5145" s="15"/>
      <c r="AU5145" s="15"/>
      <c r="AV5145" s="15"/>
      <c r="AW5145" s="15"/>
    </row>
    <row r="5146" spans="3:49" x14ac:dyDescent="0.2">
      <c r="C5146" s="15"/>
      <c r="D5146" s="15"/>
      <c r="E5146" s="15"/>
      <c r="F5146" s="15"/>
      <c r="G5146" s="15"/>
      <c r="H5146" s="15"/>
      <c r="I5146" s="15"/>
      <c r="J5146" s="15"/>
      <c r="K5146" s="15"/>
      <c r="L5146" s="28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  <c r="AA5146" s="15"/>
      <c r="AB5146" s="15"/>
      <c r="AC5146" s="15"/>
      <c r="AD5146" s="15"/>
      <c r="AE5146" s="15"/>
      <c r="AF5146" s="15"/>
      <c r="AG5146" s="15"/>
      <c r="AH5146" s="15"/>
      <c r="AI5146" s="15"/>
      <c r="AJ5146" s="15"/>
      <c r="AK5146" s="15"/>
      <c r="AL5146" s="15"/>
      <c r="AM5146" s="15"/>
      <c r="AN5146" s="15"/>
      <c r="AO5146" s="15"/>
      <c r="AP5146" s="15"/>
      <c r="AQ5146" s="15"/>
      <c r="AR5146" s="15"/>
      <c r="AS5146" s="15"/>
      <c r="AT5146" s="15"/>
      <c r="AU5146" s="15"/>
      <c r="AV5146" s="15"/>
      <c r="AW5146" s="15"/>
    </row>
    <row r="5147" spans="3:49" x14ac:dyDescent="0.2">
      <c r="C5147" s="15"/>
      <c r="D5147" s="15"/>
      <c r="E5147" s="15"/>
      <c r="F5147" s="15"/>
      <c r="G5147" s="15"/>
      <c r="H5147" s="15"/>
      <c r="I5147" s="15"/>
      <c r="J5147" s="15"/>
      <c r="K5147" s="15"/>
      <c r="L5147" s="28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  <c r="AA5147" s="15"/>
      <c r="AB5147" s="15"/>
      <c r="AC5147" s="15"/>
      <c r="AD5147" s="15"/>
      <c r="AE5147" s="15"/>
      <c r="AF5147" s="15"/>
      <c r="AG5147" s="15"/>
      <c r="AH5147" s="15"/>
      <c r="AI5147" s="15"/>
      <c r="AJ5147" s="15"/>
      <c r="AK5147" s="15"/>
      <c r="AL5147" s="15"/>
      <c r="AM5147" s="15"/>
      <c r="AN5147" s="15"/>
      <c r="AO5147" s="15"/>
      <c r="AP5147" s="15"/>
      <c r="AQ5147" s="15"/>
      <c r="AR5147" s="15"/>
      <c r="AS5147" s="15"/>
      <c r="AT5147" s="15"/>
      <c r="AU5147" s="15"/>
      <c r="AV5147" s="15"/>
      <c r="AW5147" s="15"/>
    </row>
    <row r="5148" spans="3:49" x14ac:dyDescent="0.2">
      <c r="C5148" s="15"/>
      <c r="D5148" s="15"/>
      <c r="E5148" s="15"/>
      <c r="F5148" s="15"/>
      <c r="G5148" s="15"/>
      <c r="H5148" s="15"/>
      <c r="I5148" s="15"/>
      <c r="J5148" s="15"/>
      <c r="K5148" s="15"/>
      <c r="L5148" s="28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  <c r="AA5148" s="15"/>
      <c r="AB5148" s="15"/>
      <c r="AC5148" s="15"/>
      <c r="AD5148" s="15"/>
      <c r="AE5148" s="15"/>
      <c r="AF5148" s="15"/>
      <c r="AG5148" s="15"/>
      <c r="AH5148" s="15"/>
      <c r="AI5148" s="15"/>
      <c r="AJ5148" s="15"/>
      <c r="AK5148" s="15"/>
      <c r="AL5148" s="15"/>
      <c r="AM5148" s="15"/>
      <c r="AN5148" s="15"/>
      <c r="AO5148" s="15"/>
      <c r="AP5148" s="15"/>
      <c r="AQ5148" s="15"/>
      <c r="AR5148" s="15"/>
      <c r="AS5148" s="15"/>
      <c r="AT5148" s="15"/>
      <c r="AU5148" s="15"/>
      <c r="AV5148" s="15"/>
      <c r="AW5148" s="15"/>
    </row>
    <row r="5149" spans="3:49" x14ac:dyDescent="0.2">
      <c r="C5149" s="15"/>
      <c r="D5149" s="15"/>
      <c r="E5149" s="15"/>
      <c r="F5149" s="15"/>
      <c r="G5149" s="15"/>
      <c r="H5149" s="15"/>
      <c r="I5149" s="15"/>
      <c r="J5149" s="15"/>
      <c r="K5149" s="15"/>
      <c r="L5149" s="28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  <c r="AA5149" s="15"/>
      <c r="AB5149" s="15"/>
      <c r="AC5149" s="15"/>
      <c r="AD5149" s="15"/>
      <c r="AE5149" s="15"/>
      <c r="AF5149" s="15"/>
      <c r="AG5149" s="15"/>
      <c r="AH5149" s="15"/>
      <c r="AI5149" s="15"/>
      <c r="AJ5149" s="15"/>
      <c r="AK5149" s="15"/>
      <c r="AL5149" s="15"/>
      <c r="AM5149" s="15"/>
      <c r="AN5149" s="15"/>
      <c r="AO5149" s="15"/>
      <c r="AP5149" s="15"/>
      <c r="AQ5149" s="15"/>
      <c r="AR5149" s="15"/>
      <c r="AS5149" s="15"/>
      <c r="AT5149" s="15"/>
      <c r="AU5149" s="15"/>
      <c r="AV5149" s="15"/>
      <c r="AW5149" s="15"/>
    </row>
    <row r="5150" spans="3:49" x14ac:dyDescent="0.2">
      <c r="C5150" s="15"/>
      <c r="D5150" s="15"/>
      <c r="E5150" s="15"/>
      <c r="F5150" s="15"/>
      <c r="G5150" s="15"/>
      <c r="H5150" s="15"/>
      <c r="I5150" s="15"/>
      <c r="J5150" s="15"/>
      <c r="K5150" s="15"/>
      <c r="L5150" s="28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  <c r="AA5150" s="15"/>
      <c r="AB5150" s="15"/>
      <c r="AC5150" s="15"/>
      <c r="AD5150" s="15"/>
      <c r="AE5150" s="15"/>
      <c r="AF5150" s="15"/>
      <c r="AG5150" s="15"/>
      <c r="AH5150" s="15"/>
      <c r="AI5150" s="15"/>
      <c r="AJ5150" s="15"/>
      <c r="AK5150" s="15"/>
      <c r="AL5150" s="15"/>
      <c r="AM5150" s="15"/>
      <c r="AN5150" s="15"/>
      <c r="AO5150" s="15"/>
      <c r="AP5150" s="15"/>
      <c r="AQ5150" s="15"/>
      <c r="AR5150" s="15"/>
      <c r="AS5150" s="15"/>
      <c r="AT5150" s="15"/>
      <c r="AU5150" s="15"/>
      <c r="AV5150" s="15"/>
      <c r="AW5150" s="15"/>
    </row>
    <row r="5151" spans="3:49" x14ac:dyDescent="0.2">
      <c r="C5151" s="15"/>
      <c r="D5151" s="15"/>
      <c r="E5151" s="15"/>
      <c r="F5151" s="15"/>
      <c r="G5151" s="15"/>
      <c r="H5151" s="15"/>
      <c r="I5151" s="15"/>
      <c r="J5151" s="15"/>
      <c r="K5151" s="15"/>
      <c r="L5151" s="28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  <c r="AA5151" s="15"/>
      <c r="AB5151" s="15"/>
      <c r="AC5151" s="15"/>
      <c r="AD5151" s="15"/>
      <c r="AE5151" s="15"/>
      <c r="AF5151" s="15"/>
      <c r="AG5151" s="15"/>
      <c r="AH5151" s="15"/>
      <c r="AI5151" s="15"/>
      <c r="AJ5151" s="15"/>
      <c r="AK5151" s="15"/>
      <c r="AL5151" s="15"/>
      <c r="AM5151" s="15"/>
      <c r="AN5151" s="15"/>
      <c r="AO5151" s="15"/>
      <c r="AP5151" s="15"/>
      <c r="AQ5151" s="15"/>
      <c r="AR5151" s="15"/>
      <c r="AS5151" s="15"/>
      <c r="AT5151" s="15"/>
      <c r="AU5151" s="15"/>
      <c r="AV5151" s="15"/>
      <c r="AW5151" s="15"/>
    </row>
    <row r="5152" spans="3:49" x14ac:dyDescent="0.2">
      <c r="C5152" s="15"/>
      <c r="D5152" s="15"/>
      <c r="E5152" s="15"/>
      <c r="F5152" s="15"/>
      <c r="G5152" s="15"/>
      <c r="H5152" s="15"/>
      <c r="I5152" s="15"/>
      <c r="J5152" s="15"/>
      <c r="K5152" s="15"/>
      <c r="L5152" s="28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  <c r="AA5152" s="15"/>
      <c r="AB5152" s="15"/>
      <c r="AC5152" s="15"/>
      <c r="AD5152" s="15"/>
      <c r="AE5152" s="15"/>
      <c r="AF5152" s="15"/>
      <c r="AG5152" s="15"/>
      <c r="AH5152" s="15"/>
      <c r="AI5152" s="15"/>
      <c r="AJ5152" s="15"/>
      <c r="AK5152" s="15"/>
      <c r="AL5152" s="15"/>
      <c r="AM5152" s="15"/>
      <c r="AN5152" s="15"/>
      <c r="AO5152" s="15"/>
      <c r="AP5152" s="15"/>
      <c r="AQ5152" s="15"/>
      <c r="AR5152" s="15"/>
      <c r="AS5152" s="15"/>
      <c r="AT5152" s="15"/>
      <c r="AU5152" s="15"/>
      <c r="AV5152" s="15"/>
      <c r="AW5152" s="15"/>
    </row>
    <row r="5153" spans="3:49" x14ac:dyDescent="0.2">
      <c r="C5153" s="15"/>
      <c r="D5153" s="15"/>
      <c r="E5153" s="15"/>
      <c r="F5153" s="15"/>
      <c r="G5153" s="15"/>
      <c r="H5153" s="15"/>
      <c r="I5153" s="15"/>
      <c r="J5153" s="15"/>
      <c r="K5153" s="15"/>
      <c r="L5153" s="28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  <c r="AA5153" s="15"/>
      <c r="AB5153" s="15"/>
      <c r="AC5153" s="15"/>
      <c r="AD5153" s="15"/>
      <c r="AE5153" s="15"/>
      <c r="AF5153" s="15"/>
      <c r="AG5153" s="15"/>
      <c r="AH5153" s="15"/>
      <c r="AI5153" s="15"/>
      <c r="AJ5153" s="15"/>
      <c r="AK5153" s="15"/>
      <c r="AL5153" s="15"/>
      <c r="AM5153" s="15"/>
      <c r="AN5153" s="15"/>
      <c r="AO5153" s="15"/>
      <c r="AP5153" s="15"/>
      <c r="AQ5153" s="15"/>
      <c r="AR5153" s="15"/>
      <c r="AS5153" s="15"/>
      <c r="AT5153" s="15"/>
      <c r="AU5153" s="15"/>
      <c r="AV5153" s="15"/>
      <c r="AW5153" s="15"/>
    </row>
    <row r="5154" spans="3:49" x14ac:dyDescent="0.2">
      <c r="C5154" s="15"/>
      <c r="D5154" s="15"/>
      <c r="E5154" s="15"/>
      <c r="F5154" s="15"/>
      <c r="G5154" s="15"/>
      <c r="H5154" s="15"/>
      <c r="I5154" s="15"/>
      <c r="J5154" s="15"/>
      <c r="K5154" s="15"/>
      <c r="L5154" s="28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  <c r="AA5154" s="15"/>
      <c r="AB5154" s="15"/>
      <c r="AC5154" s="15"/>
      <c r="AD5154" s="15"/>
      <c r="AE5154" s="15"/>
      <c r="AF5154" s="15"/>
      <c r="AG5154" s="15"/>
      <c r="AH5154" s="15"/>
      <c r="AI5154" s="15"/>
      <c r="AJ5154" s="15"/>
      <c r="AK5154" s="15"/>
      <c r="AL5154" s="15"/>
      <c r="AM5154" s="15"/>
      <c r="AN5154" s="15"/>
      <c r="AO5154" s="15"/>
      <c r="AP5154" s="15"/>
      <c r="AQ5154" s="15"/>
      <c r="AR5154" s="15"/>
      <c r="AS5154" s="15"/>
      <c r="AT5154" s="15"/>
      <c r="AU5154" s="15"/>
      <c r="AV5154" s="15"/>
      <c r="AW5154" s="15"/>
    </row>
    <row r="5155" spans="3:49" x14ac:dyDescent="0.2">
      <c r="C5155" s="15"/>
      <c r="D5155" s="15"/>
      <c r="E5155" s="15"/>
      <c r="F5155" s="15"/>
      <c r="G5155" s="15"/>
      <c r="H5155" s="15"/>
      <c r="I5155" s="15"/>
      <c r="J5155" s="15"/>
      <c r="K5155" s="15"/>
      <c r="L5155" s="28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  <c r="AA5155" s="15"/>
      <c r="AB5155" s="15"/>
      <c r="AC5155" s="15"/>
      <c r="AD5155" s="15"/>
      <c r="AE5155" s="15"/>
      <c r="AF5155" s="15"/>
      <c r="AG5155" s="15"/>
      <c r="AH5155" s="15"/>
      <c r="AI5155" s="15"/>
      <c r="AJ5155" s="15"/>
      <c r="AK5155" s="15"/>
      <c r="AL5155" s="15"/>
      <c r="AM5155" s="15"/>
      <c r="AN5155" s="15"/>
      <c r="AO5155" s="15"/>
      <c r="AP5155" s="15"/>
      <c r="AQ5155" s="15"/>
      <c r="AR5155" s="15"/>
      <c r="AS5155" s="15"/>
      <c r="AT5155" s="15"/>
      <c r="AU5155" s="15"/>
      <c r="AV5155" s="15"/>
      <c r="AW5155" s="15"/>
    </row>
    <row r="5156" spans="3:49" x14ac:dyDescent="0.2">
      <c r="C5156" s="15"/>
      <c r="D5156" s="15"/>
      <c r="E5156" s="15"/>
      <c r="F5156" s="15"/>
      <c r="G5156" s="15"/>
      <c r="H5156" s="15"/>
      <c r="I5156" s="15"/>
      <c r="J5156" s="15"/>
      <c r="K5156" s="15"/>
      <c r="L5156" s="28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  <c r="AA5156" s="15"/>
      <c r="AB5156" s="15"/>
      <c r="AC5156" s="15"/>
      <c r="AD5156" s="15"/>
      <c r="AE5156" s="15"/>
      <c r="AF5156" s="15"/>
      <c r="AG5156" s="15"/>
      <c r="AH5156" s="15"/>
      <c r="AI5156" s="15"/>
      <c r="AJ5156" s="15"/>
      <c r="AK5156" s="15"/>
      <c r="AL5156" s="15"/>
      <c r="AM5156" s="15"/>
      <c r="AN5156" s="15"/>
      <c r="AO5156" s="15"/>
      <c r="AP5156" s="15"/>
      <c r="AQ5156" s="15"/>
      <c r="AR5156" s="15"/>
      <c r="AS5156" s="15"/>
      <c r="AT5156" s="15"/>
      <c r="AU5156" s="15"/>
      <c r="AV5156" s="15"/>
      <c r="AW5156" s="15"/>
    </row>
    <row r="5157" spans="3:49" x14ac:dyDescent="0.2">
      <c r="C5157" s="15"/>
      <c r="D5157" s="15"/>
      <c r="E5157" s="15"/>
      <c r="F5157" s="15"/>
      <c r="G5157" s="15"/>
      <c r="H5157" s="15"/>
      <c r="I5157" s="15"/>
      <c r="J5157" s="15"/>
      <c r="K5157" s="15"/>
      <c r="L5157" s="28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  <c r="AA5157" s="15"/>
      <c r="AB5157" s="15"/>
      <c r="AC5157" s="15"/>
      <c r="AD5157" s="15"/>
      <c r="AE5157" s="15"/>
      <c r="AF5157" s="15"/>
      <c r="AG5157" s="15"/>
      <c r="AH5157" s="15"/>
      <c r="AI5157" s="15"/>
      <c r="AJ5157" s="15"/>
      <c r="AK5157" s="15"/>
      <c r="AL5157" s="15"/>
      <c r="AM5157" s="15"/>
      <c r="AN5157" s="15"/>
      <c r="AO5157" s="15"/>
      <c r="AP5157" s="15"/>
      <c r="AQ5157" s="15"/>
      <c r="AR5157" s="15"/>
      <c r="AS5157" s="15"/>
      <c r="AT5157" s="15"/>
      <c r="AU5157" s="15"/>
      <c r="AV5157" s="15"/>
      <c r="AW5157" s="15"/>
    </row>
    <row r="5158" spans="3:49" x14ac:dyDescent="0.2">
      <c r="C5158" s="15"/>
      <c r="D5158" s="15"/>
      <c r="E5158" s="15"/>
      <c r="F5158" s="15"/>
      <c r="G5158" s="15"/>
      <c r="H5158" s="15"/>
      <c r="I5158" s="15"/>
      <c r="J5158" s="15"/>
      <c r="K5158" s="15"/>
      <c r="L5158" s="28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  <c r="AA5158" s="15"/>
      <c r="AB5158" s="15"/>
      <c r="AC5158" s="15"/>
      <c r="AD5158" s="15"/>
      <c r="AE5158" s="15"/>
      <c r="AF5158" s="15"/>
      <c r="AG5158" s="15"/>
      <c r="AH5158" s="15"/>
      <c r="AI5158" s="15"/>
      <c r="AJ5158" s="15"/>
      <c r="AK5158" s="15"/>
      <c r="AL5158" s="15"/>
      <c r="AM5158" s="15"/>
      <c r="AN5158" s="15"/>
      <c r="AO5158" s="15"/>
      <c r="AP5158" s="15"/>
      <c r="AQ5158" s="15"/>
      <c r="AR5158" s="15"/>
      <c r="AS5158" s="15"/>
      <c r="AT5158" s="15"/>
      <c r="AU5158" s="15"/>
      <c r="AV5158" s="15"/>
      <c r="AW5158" s="15"/>
    </row>
    <row r="5159" spans="3:49" x14ac:dyDescent="0.2">
      <c r="C5159" s="15"/>
      <c r="D5159" s="15"/>
      <c r="E5159" s="15"/>
      <c r="F5159" s="15"/>
      <c r="G5159" s="15"/>
      <c r="H5159" s="15"/>
      <c r="I5159" s="15"/>
      <c r="J5159" s="15"/>
      <c r="K5159" s="15"/>
      <c r="L5159" s="28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  <c r="AA5159" s="15"/>
      <c r="AB5159" s="15"/>
      <c r="AC5159" s="15"/>
      <c r="AD5159" s="15"/>
      <c r="AE5159" s="15"/>
      <c r="AF5159" s="15"/>
      <c r="AG5159" s="15"/>
      <c r="AH5159" s="15"/>
      <c r="AI5159" s="15"/>
      <c r="AJ5159" s="15"/>
      <c r="AK5159" s="15"/>
      <c r="AL5159" s="15"/>
      <c r="AM5159" s="15"/>
      <c r="AN5159" s="15"/>
      <c r="AO5159" s="15"/>
      <c r="AP5159" s="15"/>
      <c r="AQ5159" s="15"/>
      <c r="AR5159" s="15"/>
      <c r="AS5159" s="15"/>
      <c r="AT5159" s="15"/>
      <c r="AU5159" s="15"/>
      <c r="AV5159" s="15"/>
      <c r="AW5159" s="15"/>
    </row>
    <row r="5160" spans="3:49" x14ac:dyDescent="0.2">
      <c r="C5160" s="15"/>
      <c r="D5160" s="15"/>
      <c r="E5160" s="15"/>
      <c r="F5160" s="15"/>
      <c r="G5160" s="15"/>
      <c r="H5160" s="15"/>
      <c r="I5160" s="15"/>
      <c r="J5160" s="15"/>
      <c r="K5160" s="15"/>
      <c r="L5160" s="28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  <c r="AA5160" s="15"/>
      <c r="AB5160" s="15"/>
      <c r="AC5160" s="15"/>
      <c r="AD5160" s="15"/>
      <c r="AE5160" s="15"/>
      <c r="AF5160" s="15"/>
      <c r="AG5160" s="15"/>
      <c r="AH5160" s="15"/>
      <c r="AI5160" s="15"/>
      <c r="AJ5160" s="15"/>
      <c r="AK5160" s="15"/>
      <c r="AL5160" s="15"/>
      <c r="AM5160" s="15"/>
      <c r="AN5160" s="15"/>
      <c r="AO5160" s="15"/>
      <c r="AP5160" s="15"/>
      <c r="AQ5160" s="15"/>
      <c r="AR5160" s="15"/>
      <c r="AS5160" s="15"/>
      <c r="AT5160" s="15"/>
      <c r="AU5160" s="15"/>
      <c r="AV5160" s="15"/>
      <c r="AW5160" s="15"/>
    </row>
    <row r="5161" spans="3:49" x14ac:dyDescent="0.2">
      <c r="C5161" s="15"/>
      <c r="D5161" s="15"/>
      <c r="E5161" s="15"/>
      <c r="F5161" s="15"/>
      <c r="G5161" s="15"/>
      <c r="H5161" s="15"/>
      <c r="I5161" s="15"/>
      <c r="J5161" s="15"/>
      <c r="K5161" s="15"/>
      <c r="L5161" s="28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  <c r="AA5161" s="15"/>
      <c r="AB5161" s="15"/>
      <c r="AC5161" s="15"/>
      <c r="AD5161" s="15"/>
      <c r="AE5161" s="15"/>
      <c r="AF5161" s="15"/>
      <c r="AG5161" s="15"/>
      <c r="AH5161" s="15"/>
      <c r="AI5161" s="15"/>
      <c r="AJ5161" s="15"/>
      <c r="AK5161" s="15"/>
      <c r="AL5161" s="15"/>
      <c r="AM5161" s="15"/>
      <c r="AN5161" s="15"/>
      <c r="AO5161" s="15"/>
      <c r="AP5161" s="15"/>
      <c r="AQ5161" s="15"/>
      <c r="AR5161" s="15"/>
      <c r="AS5161" s="15"/>
      <c r="AT5161" s="15"/>
      <c r="AU5161" s="15"/>
      <c r="AV5161" s="15"/>
      <c r="AW5161" s="15"/>
    </row>
    <row r="5162" spans="3:49" x14ac:dyDescent="0.2">
      <c r="C5162" s="15"/>
      <c r="D5162" s="15"/>
      <c r="E5162" s="15"/>
      <c r="F5162" s="15"/>
      <c r="G5162" s="15"/>
      <c r="H5162" s="15"/>
      <c r="I5162" s="15"/>
      <c r="J5162" s="15"/>
      <c r="K5162" s="15"/>
      <c r="L5162" s="28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  <c r="AA5162" s="15"/>
      <c r="AB5162" s="15"/>
      <c r="AC5162" s="15"/>
      <c r="AD5162" s="15"/>
      <c r="AE5162" s="15"/>
      <c r="AF5162" s="15"/>
      <c r="AG5162" s="15"/>
      <c r="AH5162" s="15"/>
      <c r="AI5162" s="15"/>
      <c r="AJ5162" s="15"/>
      <c r="AK5162" s="15"/>
      <c r="AL5162" s="15"/>
      <c r="AM5162" s="15"/>
      <c r="AN5162" s="15"/>
      <c r="AO5162" s="15"/>
      <c r="AP5162" s="15"/>
      <c r="AQ5162" s="15"/>
      <c r="AR5162" s="15"/>
      <c r="AS5162" s="15"/>
      <c r="AT5162" s="15"/>
      <c r="AU5162" s="15"/>
      <c r="AV5162" s="15"/>
      <c r="AW5162" s="15"/>
    </row>
    <row r="5163" spans="3:49" x14ac:dyDescent="0.2">
      <c r="C5163" s="15"/>
      <c r="D5163" s="15"/>
      <c r="E5163" s="15"/>
      <c r="F5163" s="15"/>
      <c r="G5163" s="15"/>
      <c r="H5163" s="15"/>
      <c r="I5163" s="15"/>
      <c r="J5163" s="15"/>
      <c r="K5163" s="15"/>
      <c r="L5163" s="28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  <c r="AA5163" s="15"/>
      <c r="AB5163" s="15"/>
      <c r="AC5163" s="15"/>
      <c r="AD5163" s="15"/>
      <c r="AE5163" s="15"/>
      <c r="AF5163" s="15"/>
      <c r="AG5163" s="15"/>
      <c r="AH5163" s="15"/>
      <c r="AI5163" s="15"/>
      <c r="AJ5163" s="15"/>
      <c r="AK5163" s="15"/>
      <c r="AL5163" s="15"/>
      <c r="AM5163" s="15"/>
      <c r="AN5163" s="15"/>
      <c r="AO5163" s="15"/>
      <c r="AP5163" s="15"/>
      <c r="AQ5163" s="15"/>
      <c r="AR5163" s="15"/>
      <c r="AS5163" s="15"/>
      <c r="AT5163" s="15"/>
      <c r="AU5163" s="15"/>
      <c r="AV5163" s="15"/>
      <c r="AW5163" s="15"/>
    </row>
    <row r="5164" spans="3:49" x14ac:dyDescent="0.2">
      <c r="C5164" s="15"/>
      <c r="D5164" s="15"/>
      <c r="E5164" s="15"/>
      <c r="F5164" s="15"/>
      <c r="G5164" s="15"/>
      <c r="H5164" s="15"/>
      <c r="I5164" s="15"/>
      <c r="J5164" s="15"/>
      <c r="K5164" s="15"/>
      <c r="L5164" s="28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  <c r="AA5164" s="15"/>
      <c r="AB5164" s="15"/>
      <c r="AC5164" s="15"/>
      <c r="AD5164" s="15"/>
      <c r="AE5164" s="15"/>
      <c r="AF5164" s="15"/>
      <c r="AG5164" s="15"/>
      <c r="AH5164" s="15"/>
      <c r="AI5164" s="15"/>
      <c r="AJ5164" s="15"/>
      <c r="AK5164" s="15"/>
      <c r="AL5164" s="15"/>
      <c r="AM5164" s="15"/>
      <c r="AN5164" s="15"/>
      <c r="AO5164" s="15"/>
      <c r="AP5164" s="15"/>
      <c r="AQ5164" s="15"/>
      <c r="AR5164" s="15"/>
      <c r="AS5164" s="15"/>
      <c r="AT5164" s="15"/>
      <c r="AU5164" s="15"/>
      <c r="AV5164" s="15"/>
      <c r="AW5164" s="15"/>
    </row>
    <row r="5165" spans="3:49" x14ac:dyDescent="0.2">
      <c r="C5165" s="15"/>
      <c r="D5165" s="15"/>
      <c r="E5165" s="15"/>
      <c r="F5165" s="15"/>
      <c r="G5165" s="15"/>
      <c r="H5165" s="15"/>
      <c r="I5165" s="15"/>
      <c r="J5165" s="15"/>
      <c r="K5165" s="15"/>
      <c r="L5165" s="28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  <c r="AA5165" s="15"/>
      <c r="AB5165" s="15"/>
      <c r="AC5165" s="15"/>
      <c r="AD5165" s="15"/>
      <c r="AE5165" s="15"/>
      <c r="AF5165" s="15"/>
      <c r="AG5165" s="15"/>
      <c r="AH5165" s="15"/>
      <c r="AI5165" s="15"/>
      <c r="AJ5165" s="15"/>
      <c r="AK5165" s="15"/>
      <c r="AL5165" s="15"/>
      <c r="AM5165" s="15"/>
      <c r="AN5165" s="15"/>
      <c r="AO5165" s="15"/>
      <c r="AP5165" s="15"/>
      <c r="AQ5165" s="15"/>
      <c r="AR5165" s="15"/>
      <c r="AS5165" s="15"/>
      <c r="AT5165" s="15"/>
      <c r="AU5165" s="15"/>
      <c r="AV5165" s="15"/>
      <c r="AW5165" s="15"/>
    </row>
    <row r="5166" spans="3:49" x14ac:dyDescent="0.2">
      <c r="C5166" s="15"/>
      <c r="D5166" s="15"/>
      <c r="E5166" s="15"/>
      <c r="F5166" s="15"/>
      <c r="G5166" s="15"/>
      <c r="H5166" s="15"/>
      <c r="I5166" s="15"/>
      <c r="J5166" s="15"/>
      <c r="K5166" s="15"/>
      <c r="L5166" s="28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  <c r="AA5166" s="15"/>
      <c r="AB5166" s="15"/>
      <c r="AC5166" s="15"/>
      <c r="AD5166" s="15"/>
      <c r="AE5166" s="15"/>
      <c r="AF5166" s="15"/>
      <c r="AG5166" s="15"/>
      <c r="AH5166" s="15"/>
      <c r="AI5166" s="15"/>
      <c r="AJ5166" s="15"/>
      <c r="AK5166" s="15"/>
      <c r="AL5166" s="15"/>
      <c r="AM5166" s="15"/>
      <c r="AN5166" s="15"/>
      <c r="AO5166" s="15"/>
      <c r="AP5166" s="15"/>
      <c r="AQ5166" s="15"/>
      <c r="AR5166" s="15"/>
      <c r="AS5166" s="15"/>
      <c r="AT5166" s="15"/>
      <c r="AU5166" s="15"/>
      <c r="AV5166" s="15"/>
      <c r="AW5166" s="15"/>
    </row>
    <row r="5167" spans="3:49" x14ac:dyDescent="0.2">
      <c r="C5167" s="15"/>
      <c r="D5167" s="15"/>
      <c r="E5167" s="15"/>
      <c r="F5167" s="15"/>
      <c r="G5167" s="15"/>
      <c r="H5167" s="15"/>
      <c r="I5167" s="15"/>
      <c r="J5167" s="15"/>
      <c r="K5167" s="15"/>
      <c r="L5167" s="28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  <c r="AA5167" s="15"/>
      <c r="AB5167" s="15"/>
      <c r="AC5167" s="15"/>
      <c r="AD5167" s="15"/>
      <c r="AE5167" s="15"/>
      <c r="AF5167" s="15"/>
      <c r="AG5167" s="15"/>
      <c r="AH5167" s="15"/>
      <c r="AI5167" s="15"/>
      <c r="AJ5167" s="15"/>
      <c r="AK5167" s="15"/>
      <c r="AL5167" s="15"/>
      <c r="AM5167" s="15"/>
      <c r="AN5167" s="15"/>
      <c r="AO5167" s="15"/>
      <c r="AP5167" s="15"/>
      <c r="AQ5167" s="15"/>
      <c r="AR5167" s="15"/>
      <c r="AS5167" s="15"/>
      <c r="AT5167" s="15"/>
      <c r="AU5167" s="15"/>
      <c r="AV5167" s="15"/>
      <c r="AW5167" s="15"/>
    </row>
    <row r="5168" spans="3:49" x14ac:dyDescent="0.2">
      <c r="C5168" s="15"/>
      <c r="D5168" s="15"/>
      <c r="E5168" s="15"/>
      <c r="F5168" s="15"/>
      <c r="G5168" s="15"/>
      <c r="H5168" s="15"/>
      <c r="I5168" s="15"/>
      <c r="J5168" s="15"/>
      <c r="K5168" s="15"/>
      <c r="L5168" s="28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  <c r="AA5168" s="15"/>
      <c r="AB5168" s="15"/>
      <c r="AC5168" s="15"/>
      <c r="AD5168" s="15"/>
      <c r="AE5168" s="15"/>
      <c r="AF5168" s="15"/>
      <c r="AG5168" s="15"/>
      <c r="AH5168" s="15"/>
      <c r="AI5168" s="15"/>
      <c r="AJ5168" s="15"/>
      <c r="AK5168" s="15"/>
      <c r="AL5168" s="15"/>
      <c r="AM5168" s="15"/>
      <c r="AN5168" s="15"/>
      <c r="AO5168" s="15"/>
      <c r="AP5168" s="15"/>
      <c r="AQ5168" s="15"/>
      <c r="AR5168" s="15"/>
      <c r="AS5168" s="15"/>
      <c r="AT5168" s="15"/>
      <c r="AU5168" s="15"/>
      <c r="AV5168" s="15"/>
      <c r="AW5168" s="15"/>
    </row>
    <row r="5169" spans="3:49" x14ac:dyDescent="0.2">
      <c r="C5169" s="15"/>
      <c r="D5169" s="15"/>
      <c r="E5169" s="15"/>
      <c r="F5169" s="15"/>
      <c r="G5169" s="15"/>
      <c r="H5169" s="15"/>
      <c r="I5169" s="15"/>
      <c r="J5169" s="15"/>
      <c r="K5169" s="15"/>
      <c r="L5169" s="28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  <c r="AA5169" s="15"/>
      <c r="AB5169" s="15"/>
      <c r="AC5169" s="15"/>
      <c r="AD5169" s="15"/>
      <c r="AE5169" s="15"/>
      <c r="AF5169" s="15"/>
      <c r="AG5169" s="15"/>
      <c r="AH5169" s="15"/>
      <c r="AI5169" s="15"/>
      <c r="AJ5169" s="15"/>
      <c r="AK5169" s="15"/>
      <c r="AL5169" s="15"/>
      <c r="AM5169" s="15"/>
      <c r="AN5169" s="15"/>
      <c r="AO5169" s="15"/>
      <c r="AP5169" s="15"/>
      <c r="AQ5169" s="15"/>
      <c r="AR5169" s="15"/>
      <c r="AS5169" s="15"/>
      <c r="AT5169" s="15"/>
      <c r="AU5169" s="15"/>
      <c r="AV5169" s="15"/>
      <c r="AW5169" s="15"/>
    </row>
    <row r="5170" spans="3:49" x14ac:dyDescent="0.2">
      <c r="C5170" s="15"/>
      <c r="D5170" s="15"/>
      <c r="E5170" s="15"/>
      <c r="F5170" s="15"/>
      <c r="G5170" s="15"/>
      <c r="H5170" s="15"/>
      <c r="I5170" s="15"/>
      <c r="J5170" s="15"/>
      <c r="K5170" s="15"/>
      <c r="L5170" s="28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  <c r="AA5170" s="15"/>
      <c r="AB5170" s="15"/>
      <c r="AC5170" s="15"/>
      <c r="AD5170" s="15"/>
      <c r="AE5170" s="15"/>
      <c r="AF5170" s="15"/>
      <c r="AG5170" s="15"/>
      <c r="AH5170" s="15"/>
      <c r="AI5170" s="15"/>
      <c r="AJ5170" s="15"/>
      <c r="AK5170" s="15"/>
      <c r="AL5170" s="15"/>
      <c r="AM5170" s="15"/>
      <c r="AN5170" s="15"/>
      <c r="AO5170" s="15"/>
      <c r="AP5170" s="15"/>
      <c r="AQ5170" s="15"/>
      <c r="AR5170" s="15"/>
      <c r="AS5170" s="15"/>
      <c r="AT5170" s="15"/>
      <c r="AU5170" s="15"/>
      <c r="AV5170" s="15"/>
      <c r="AW5170" s="15"/>
    </row>
    <row r="5171" spans="3:49" x14ac:dyDescent="0.2">
      <c r="C5171" s="15"/>
      <c r="D5171" s="15"/>
      <c r="E5171" s="15"/>
      <c r="F5171" s="15"/>
      <c r="G5171" s="15"/>
      <c r="H5171" s="15"/>
      <c r="I5171" s="15"/>
      <c r="J5171" s="15"/>
      <c r="K5171" s="15"/>
      <c r="L5171" s="28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  <c r="AA5171" s="15"/>
      <c r="AB5171" s="15"/>
      <c r="AC5171" s="15"/>
      <c r="AD5171" s="15"/>
      <c r="AE5171" s="15"/>
      <c r="AF5171" s="15"/>
      <c r="AG5171" s="15"/>
      <c r="AH5171" s="15"/>
      <c r="AI5171" s="15"/>
      <c r="AJ5171" s="15"/>
      <c r="AK5171" s="15"/>
      <c r="AL5171" s="15"/>
      <c r="AM5171" s="15"/>
      <c r="AN5171" s="15"/>
      <c r="AO5171" s="15"/>
      <c r="AP5171" s="15"/>
      <c r="AQ5171" s="15"/>
      <c r="AR5171" s="15"/>
      <c r="AS5171" s="15"/>
      <c r="AT5171" s="15"/>
      <c r="AU5171" s="15"/>
      <c r="AV5171" s="15"/>
      <c r="AW5171" s="15"/>
    </row>
    <row r="5172" spans="3:49" x14ac:dyDescent="0.2">
      <c r="C5172" s="15"/>
      <c r="D5172" s="15"/>
      <c r="E5172" s="15"/>
      <c r="F5172" s="15"/>
      <c r="G5172" s="15"/>
      <c r="H5172" s="15"/>
      <c r="I5172" s="15"/>
      <c r="J5172" s="15"/>
      <c r="K5172" s="15"/>
      <c r="L5172" s="28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  <c r="AA5172" s="15"/>
      <c r="AB5172" s="15"/>
      <c r="AC5172" s="15"/>
      <c r="AD5172" s="15"/>
      <c r="AE5172" s="15"/>
      <c r="AF5172" s="15"/>
      <c r="AG5172" s="15"/>
      <c r="AH5172" s="15"/>
      <c r="AI5172" s="15"/>
      <c r="AJ5172" s="15"/>
      <c r="AK5172" s="15"/>
      <c r="AL5172" s="15"/>
      <c r="AM5172" s="15"/>
      <c r="AN5172" s="15"/>
      <c r="AO5172" s="15"/>
      <c r="AP5172" s="15"/>
      <c r="AQ5172" s="15"/>
      <c r="AR5172" s="15"/>
      <c r="AS5172" s="15"/>
      <c r="AT5172" s="15"/>
      <c r="AU5172" s="15"/>
      <c r="AV5172" s="15"/>
      <c r="AW5172" s="15"/>
    </row>
    <row r="5173" spans="3:49" x14ac:dyDescent="0.2">
      <c r="C5173" s="15"/>
      <c r="D5173" s="15"/>
      <c r="E5173" s="15"/>
      <c r="F5173" s="15"/>
      <c r="G5173" s="15"/>
      <c r="H5173" s="15"/>
      <c r="I5173" s="15"/>
      <c r="J5173" s="15"/>
      <c r="K5173" s="15"/>
      <c r="L5173" s="28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  <c r="AA5173" s="15"/>
      <c r="AB5173" s="15"/>
      <c r="AC5173" s="15"/>
      <c r="AD5173" s="15"/>
      <c r="AE5173" s="15"/>
      <c r="AF5173" s="15"/>
      <c r="AG5173" s="15"/>
      <c r="AH5173" s="15"/>
      <c r="AI5173" s="15"/>
      <c r="AJ5173" s="15"/>
      <c r="AK5173" s="15"/>
      <c r="AL5173" s="15"/>
      <c r="AM5173" s="15"/>
      <c r="AN5173" s="15"/>
      <c r="AO5173" s="15"/>
      <c r="AP5173" s="15"/>
      <c r="AQ5173" s="15"/>
      <c r="AR5173" s="15"/>
      <c r="AS5173" s="15"/>
      <c r="AT5173" s="15"/>
      <c r="AU5173" s="15"/>
      <c r="AV5173" s="15"/>
      <c r="AW5173" s="15"/>
    </row>
    <row r="5174" spans="3:49" x14ac:dyDescent="0.2">
      <c r="C5174" s="15"/>
      <c r="D5174" s="15"/>
      <c r="E5174" s="15"/>
      <c r="F5174" s="15"/>
      <c r="G5174" s="15"/>
      <c r="H5174" s="15"/>
      <c r="I5174" s="15"/>
      <c r="J5174" s="15"/>
      <c r="K5174" s="15"/>
      <c r="L5174" s="28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  <c r="AA5174" s="15"/>
      <c r="AB5174" s="15"/>
      <c r="AC5174" s="15"/>
      <c r="AD5174" s="15"/>
      <c r="AE5174" s="15"/>
      <c r="AF5174" s="15"/>
      <c r="AG5174" s="15"/>
      <c r="AH5174" s="15"/>
      <c r="AI5174" s="15"/>
      <c r="AJ5174" s="15"/>
      <c r="AK5174" s="15"/>
      <c r="AL5174" s="15"/>
      <c r="AM5174" s="15"/>
      <c r="AN5174" s="15"/>
      <c r="AO5174" s="15"/>
      <c r="AP5174" s="15"/>
      <c r="AQ5174" s="15"/>
      <c r="AR5174" s="15"/>
      <c r="AS5174" s="15"/>
      <c r="AT5174" s="15"/>
      <c r="AU5174" s="15"/>
      <c r="AV5174" s="15"/>
      <c r="AW5174" s="15"/>
    </row>
    <row r="5175" spans="3:49" x14ac:dyDescent="0.2">
      <c r="C5175" s="15"/>
      <c r="D5175" s="15"/>
      <c r="E5175" s="15"/>
      <c r="F5175" s="15"/>
      <c r="G5175" s="15"/>
      <c r="H5175" s="15"/>
      <c r="I5175" s="15"/>
      <c r="J5175" s="15"/>
      <c r="K5175" s="15"/>
      <c r="L5175" s="28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  <c r="AA5175" s="15"/>
      <c r="AB5175" s="15"/>
      <c r="AC5175" s="15"/>
      <c r="AD5175" s="15"/>
      <c r="AE5175" s="15"/>
      <c r="AF5175" s="15"/>
      <c r="AG5175" s="15"/>
      <c r="AH5175" s="15"/>
      <c r="AI5175" s="15"/>
      <c r="AJ5175" s="15"/>
      <c r="AK5175" s="15"/>
      <c r="AL5175" s="15"/>
      <c r="AM5175" s="15"/>
      <c r="AN5175" s="15"/>
      <c r="AO5175" s="15"/>
      <c r="AP5175" s="15"/>
      <c r="AQ5175" s="15"/>
      <c r="AR5175" s="15"/>
      <c r="AS5175" s="15"/>
      <c r="AT5175" s="15"/>
      <c r="AU5175" s="15"/>
      <c r="AV5175" s="15"/>
      <c r="AW5175" s="15"/>
    </row>
    <row r="5176" spans="3:49" x14ac:dyDescent="0.2">
      <c r="C5176" s="15"/>
      <c r="D5176" s="15"/>
      <c r="E5176" s="15"/>
      <c r="F5176" s="15"/>
      <c r="G5176" s="15"/>
      <c r="H5176" s="15"/>
      <c r="I5176" s="15"/>
      <c r="J5176" s="15"/>
      <c r="K5176" s="15"/>
      <c r="L5176" s="28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  <c r="AA5176" s="15"/>
      <c r="AB5176" s="15"/>
      <c r="AC5176" s="15"/>
      <c r="AD5176" s="15"/>
      <c r="AE5176" s="15"/>
      <c r="AF5176" s="15"/>
      <c r="AG5176" s="15"/>
      <c r="AH5176" s="15"/>
      <c r="AI5176" s="15"/>
      <c r="AJ5176" s="15"/>
      <c r="AK5176" s="15"/>
      <c r="AL5176" s="15"/>
      <c r="AM5176" s="15"/>
      <c r="AN5176" s="15"/>
      <c r="AO5176" s="15"/>
      <c r="AP5176" s="15"/>
      <c r="AQ5176" s="15"/>
      <c r="AR5176" s="15"/>
      <c r="AS5176" s="15"/>
      <c r="AT5176" s="15"/>
      <c r="AU5176" s="15"/>
      <c r="AV5176" s="15"/>
      <c r="AW5176" s="15"/>
    </row>
    <row r="5177" spans="3:49" x14ac:dyDescent="0.2">
      <c r="C5177" s="15"/>
      <c r="D5177" s="15"/>
      <c r="E5177" s="15"/>
      <c r="F5177" s="15"/>
      <c r="G5177" s="15"/>
      <c r="H5177" s="15"/>
      <c r="I5177" s="15"/>
      <c r="J5177" s="15"/>
      <c r="K5177" s="15"/>
      <c r="L5177" s="28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  <c r="AA5177" s="15"/>
      <c r="AB5177" s="15"/>
      <c r="AC5177" s="15"/>
      <c r="AD5177" s="15"/>
      <c r="AE5177" s="15"/>
      <c r="AF5177" s="15"/>
      <c r="AG5177" s="15"/>
      <c r="AH5177" s="15"/>
      <c r="AI5177" s="15"/>
      <c r="AJ5177" s="15"/>
      <c r="AK5177" s="15"/>
      <c r="AL5177" s="15"/>
      <c r="AM5177" s="15"/>
      <c r="AN5177" s="15"/>
      <c r="AO5177" s="15"/>
      <c r="AP5177" s="15"/>
      <c r="AQ5177" s="15"/>
      <c r="AR5177" s="15"/>
      <c r="AS5177" s="15"/>
      <c r="AT5177" s="15"/>
      <c r="AU5177" s="15"/>
      <c r="AV5177" s="15"/>
      <c r="AW5177" s="15"/>
    </row>
    <row r="5178" spans="3:49" x14ac:dyDescent="0.2">
      <c r="C5178" s="15"/>
      <c r="D5178" s="15"/>
      <c r="E5178" s="15"/>
      <c r="F5178" s="15"/>
      <c r="G5178" s="15"/>
      <c r="H5178" s="15"/>
      <c r="I5178" s="15"/>
      <c r="J5178" s="15"/>
      <c r="K5178" s="15"/>
      <c r="L5178" s="28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  <c r="AA5178" s="15"/>
      <c r="AB5178" s="15"/>
      <c r="AC5178" s="15"/>
      <c r="AD5178" s="15"/>
      <c r="AE5178" s="15"/>
      <c r="AF5178" s="15"/>
      <c r="AG5178" s="15"/>
      <c r="AH5178" s="15"/>
      <c r="AI5178" s="15"/>
      <c r="AJ5178" s="15"/>
      <c r="AK5178" s="15"/>
      <c r="AL5178" s="15"/>
      <c r="AM5178" s="15"/>
      <c r="AN5178" s="15"/>
      <c r="AO5178" s="15"/>
      <c r="AP5178" s="15"/>
      <c r="AQ5178" s="15"/>
      <c r="AR5178" s="15"/>
      <c r="AS5178" s="15"/>
      <c r="AT5178" s="15"/>
      <c r="AU5178" s="15"/>
      <c r="AV5178" s="15"/>
      <c r="AW5178" s="15"/>
    </row>
    <row r="5179" spans="3:49" x14ac:dyDescent="0.2">
      <c r="C5179" s="15"/>
      <c r="D5179" s="15"/>
      <c r="E5179" s="15"/>
      <c r="F5179" s="15"/>
      <c r="G5179" s="15"/>
      <c r="H5179" s="15"/>
      <c r="I5179" s="15"/>
      <c r="J5179" s="15"/>
      <c r="K5179" s="15"/>
      <c r="L5179" s="28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  <c r="AA5179" s="15"/>
      <c r="AB5179" s="15"/>
      <c r="AC5179" s="15"/>
      <c r="AD5179" s="15"/>
      <c r="AE5179" s="15"/>
      <c r="AF5179" s="15"/>
      <c r="AG5179" s="15"/>
      <c r="AH5179" s="15"/>
      <c r="AI5179" s="15"/>
      <c r="AJ5179" s="15"/>
      <c r="AK5179" s="15"/>
      <c r="AL5179" s="15"/>
      <c r="AM5179" s="15"/>
      <c r="AN5179" s="15"/>
      <c r="AO5179" s="15"/>
      <c r="AP5179" s="15"/>
      <c r="AQ5179" s="15"/>
      <c r="AR5179" s="15"/>
      <c r="AS5179" s="15"/>
      <c r="AT5179" s="15"/>
      <c r="AU5179" s="15"/>
      <c r="AV5179" s="15"/>
      <c r="AW5179" s="15"/>
    </row>
    <row r="5180" spans="3:49" x14ac:dyDescent="0.2">
      <c r="C5180" s="15"/>
      <c r="D5180" s="15"/>
      <c r="E5180" s="15"/>
      <c r="F5180" s="15"/>
      <c r="G5180" s="15"/>
      <c r="H5180" s="15"/>
      <c r="I5180" s="15"/>
      <c r="J5180" s="15"/>
      <c r="K5180" s="15"/>
      <c r="L5180" s="28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  <c r="AA5180" s="15"/>
      <c r="AB5180" s="15"/>
      <c r="AC5180" s="15"/>
      <c r="AD5180" s="15"/>
      <c r="AE5180" s="15"/>
      <c r="AF5180" s="15"/>
      <c r="AG5180" s="15"/>
      <c r="AH5180" s="15"/>
      <c r="AI5180" s="15"/>
      <c r="AJ5180" s="15"/>
      <c r="AK5180" s="15"/>
      <c r="AL5180" s="15"/>
      <c r="AM5180" s="15"/>
      <c r="AN5180" s="15"/>
      <c r="AO5180" s="15"/>
      <c r="AP5180" s="15"/>
      <c r="AQ5180" s="15"/>
      <c r="AR5180" s="15"/>
      <c r="AS5180" s="15"/>
      <c r="AT5180" s="15"/>
      <c r="AU5180" s="15"/>
      <c r="AV5180" s="15"/>
      <c r="AW5180" s="15"/>
    </row>
    <row r="5181" spans="3:49" x14ac:dyDescent="0.2">
      <c r="C5181" s="15"/>
      <c r="D5181" s="15"/>
      <c r="E5181" s="15"/>
      <c r="F5181" s="15"/>
      <c r="G5181" s="15"/>
      <c r="H5181" s="15"/>
      <c r="I5181" s="15"/>
      <c r="J5181" s="15"/>
      <c r="K5181" s="15"/>
      <c r="L5181" s="28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  <c r="AA5181" s="15"/>
      <c r="AB5181" s="15"/>
      <c r="AC5181" s="15"/>
      <c r="AD5181" s="15"/>
      <c r="AE5181" s="15"/>
      <c r="AF5181" s="15"/>
      <c r="AG5181" s="15"/>
      <c r="AH5181" s="15"/>
      <c r="AI5181" s="15"/>
      <c r="AJ5181" s="15"/>
      <c r="AK5181" s="15"/>
      <c r="AL5181" s="15"/>
      <c r="AM5181" s="15"/>
      <c r="AN5181" s="15"/>
      <c r="AO5181" s="15"/>
      <c r="AP5181" s="15"/>
      <c r="AQ5181" s="15"/>
      <c r="AR5181" s="15"/>
      <c r="AS5181" s="15"/>
      <c r="AT5181" s="15"/>
      <c r="AU5181" s="15"/>
      <c r="AV5181" s="15"/>
      <c r="AW5181" s="15"/>
    </row>
    <row r="5182" spans="3:49" x14ac:dyDescent="0.2">
      <c r="C5182" s="15"/>
      <c r="D5182" s="15"/>
      <c r="E5182" s="15"/>
      <c r="F5182" s="15"/>
      <c r="G5182" s="15"/>
      <c r="H5182" s="15"/>
      <c r="I5182" s="15"/>
      <c r="J5182" s="15"/>
      <c r="K5182" s="15"/>
      <c r="L5182" s="28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  <c r="AA5182" s="15"/>
      <c r="AB5182" s="15"/>
      <c r="AC5182" s="15"/>
      <c r="AD5182" s="15"/>
      <c r="AE5182" s="15"/>
      <c r="AF5182" s="15"/>
      <c r="AG5182" s="15"/>
      <c r="AH5182" s="15"/>
      <c r="AI5182" s="15"/>
      <c r="AJ5182" s="15"/>
      <c r="AK5182" s="15"/>
      <c r="AL5182" s="15"/>
      <c r="AM5182" s="15"/>
      <c r="AN5182" s="15"/>
      <c r="AO5182" s="15"/>
      <c r="AP5182" s="15"/>
      <c r="AQ5182" s="15"/>
      <c r="AR5182" s="15"/>
      <c r="AS5182" s="15"/>
      <c r="AT5182" s="15"/>
      <c r="AU5182" s="15"/>
      <c r="AV5182" s="15"/>
      <c r="AW5182" s="15"/>
    </row>
    <row r="5183" spans="3:49" x14ac:dyDescent="0.2">
      <c r="C5183" s="15"/>
      <c r="D5183" s="15"/>
      <c r="E5183" s="15"/>
      <c r="F5183" s="15"/>
      <c r="G5183" s="15"/>
      <c r="H5183" s="15"/>
      <c r="I5183" s="15"/>
      <c r="J5183" s="15"/>
      <c r="K5183" s="15"/>
      <c r="L5183" s="28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  <c r="AA5183" s="15"/>
      <c r="AB5183" s="15"/>
      <c r="AC5183" s="15"/>
      <c r="AD5183" s="15"/>
      <c r="AE5183" s="15"/>
      <c r="AF5183" s="15"/>
      <c r="AG5183" s="15"/>
      <c r="AH5183" s="15"/>
      <c r="AI5183" s="15"/>
      <c r="AJ5183" s="15"/>
      <c r="AK5183" s="15"/>
      <c r="AL5183" s="15"/>
      <c r="AM5183" s="15"/>
      <c r="AN5183" s="15"/>
      <c r="AO5183" s="15"/>
      <c r="AP5183" s="15"/>
      <c r="AQ5183" s="15"/>
      <c r="AR5183" s="15"/>
      <c r="AS5183" s="15"/>
      <c r="AT5183" s="15"/>
      <c r="AU5183" s="15"/>
      <c r="AV5183" s="15"/>
      <c r="AW5183" s="15"/>
    </row>
    <row r="5184" spans="3:49" x14ac:dyDescent="0.2">
      <c r="C5184" s="15"/>
      <c r="D5184" s="15"/>
      <c r="E5184" s="15"/>
      <c r="F5184" s="15"/>
      <c r="G5184" s="15"/>
      <c r="H5184" s="15"/>
      <c r="I5184" s="15"/>
      <c r="J5184" s="15"/>
      <c r="K5184" s="15"/>
      <c r="L5184" s="28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  <c r="AA5184" s="15"/>
      <c r="AB5184" s="15"/>
      <c r="AC5184" s="15"/>
      <c r="AD5184" s="15"/>
      <c r="AE5184" s="15"/>
      <c r="AF5184" s="15"/>
      <c r="AG5184" s="15"/>
      <c r="AH5184" s="15"/>
      <c r="AI5184" s="15"/>
      <c r="AJ5184" s="15"/>
      <c r="AK5184" s="15"/>
      <c r="AL5184" s="15"/>
      <c r="AM5184" s="15"/>
      <c r="AN5184" s="15"/>
      <c r="AO5184" s="15"/>
      <c r="AP5184" s="15"/>
      <c r="AQ5184" s="15"/>
      <c r="AR5184" s="15"/>
      <c r="AS5184" s="15"/>
      <c r="AT5184" s="15"/>
      <c r="AU5184" s="15"/>
      <c r="AV5184" s="15"/>
      <c r="AW5184" s="15"/>
    </row>
    <row r="5185" spans="3:49" x14ac:dyDescent="0.2">
      <c r="C5185" s="15"/>
      <c r="D5185" s="15"/>
      <c r="E5185" s="15"/>
      <c r="F5185" s="15"/>
      <c r="G5185" s="15"/>
      <c r="H5185" s="15"/>
      <c r="I5185" s="15"/>
      <c r="J5185" s="15"/>
      <c r="K5185" s="15"/>
      <c r="L5185" s="28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  <c r="AA5185" s="15"/>
      <c r="AB5185" s="15"/>
      <c r="AC5185" s="15"/>
      <c r="AD5185" s="15"/>
      <c r="AE5185" s="15"/>
      <c r="AF5185" s="15"/>
      <c r="AG5185" s="15"/>
      <c r="AH5185" s="15"/>
      <c r="AI5185" s="15"/>
      <c r="AJ5185" s="15"/>
      <c r="AK5185" s="15"/>
      <c r="AL5185" s="15"/>
      <c r="AM5185" s="15"/>
      <c r="AN5185" s="15"/>
      <c r="AO5185" s="15"/>
      <c r="AP5185" s="15"/>
      <c r="AQ5185" s="15"/>
      <c r="AR5185" s="15"/>
      <c r="AS5185" s="15"/>
      <c r="AT5185" s="15"/>
      <c r="AU5185" s="15"/>
      <c r="AV5185" s="15"/>
      <c r="AW5185" s="15"/>
    </row>
    <row r="5186" spans="3:49" x14ac:dyDescent="0.2">
      <c r="C5186" s="15"/>
      <c r="D5186" s="15"/>
      <c r="E5186" s="15"/>
      <c r="F5186" s="15"/>
      <c r="G5186" s="15"/>
      <c r="H5186" s="15"/>
      <c r="I5186" s="15"/>
      <c r="J5186" s="15"/>
      <c r="K5186" s="15"/>
      <c r="L5186" s="28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  <c r="AA5186" s="15"/>
      <c r="AB5186" s="15"/>
      <c r="AC5186" s="15"/>
      <c r="AD5186" s="15"/>
      <c r="AE5186" s="15"/>
      <c r="AF5186" s="15"/>
      <c r="AG5186" s="15"/>
      <c r="AH5186" s="15"/>
      <c r="AI5186" s="15"/>
      <c r="AJ5186" s="15"/>
      <c r="AK5186" s="15"/>
      <c r="AL5186" s="15"/>
      <c r="AM5186" s="15"/>
      <c r="AN5186" s="15"/>
      <c r="AO5186" s="15"/>
      <c r="AP5186" s="15"/>
      <c r="AQ5186" s="15"/>
      <c r="AR5186" s="15"/>
      <c r="AS5186" s="15"/>
      <c r="AT5186" s="15"/>
      <c r="AU5186" s="15"/>
      <c r="AV5186" s="15"/>
      <c r="AW5186" s="15"/>
    </row>
    <row r="5187" spans="3:49" x14ac:dyDescent="0.2">
      <c r="C5187" s="15"/>
      <c r="D5187" s="15"/>
      <c r="E5187" s="15"/>
      <c r="F5187" s="15"/>
      <c r="G5187" s="15"/>
      <c r="H5187" s="15"/>
      <c r="I5187" s="15"/>
      <c r="J5187" s="15"/>
      <c r="K5187" s="15"/>
      <c r="L5187" s="28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  <c r="AA5187" s="15"/>
      <c r="AB5187" s="15"/>
      <c r="AC5187" s="15"/>
      <c r="AD5187" s="15"/>
      <c r="AE5187" s="15"/>
      <c r="AF5187" s="15"/>
      <c r="AG5187" s="15"/>
      <c r="AH5187" s="15"/>
      <c r="AI5187" s="15"/>
      <c r="AJ5187" s="15"/>
      <c r="AK5187" s="15"/>
      <c r="AL5187" s="15"/>
      <c r="AM5187" s="15"/>
      <c r="AN5187" s="15"/>
      <c r="AO5187" s="15"/>
      <c r="AP5187" s="15"/>
      <c r="AQ5187" s="15"/>
      <c r="AR5187" s="15"/>
      <c r="AS5187" s="15"/>
      <c r="AT5187" s="15"/>
      <c r="AU5187" s="15"/>
      <c r="AV5187" s="15"/>
      <c r="AW5187" s="15"/>
    </row>
    <row r="5188" spans="3:49" x14ac:dyDescent="0.2">
      <c r="C5188" s="15"/>
      <c r="D5188" s="15"/>
      <c r="E5188" s="15"/>
      <c r="F5188" s="15"/>
      <c r="G5188" s="15"/>
      <c r="H5188" s="15"/>
      <c r="I5188" s="15"/>
      <c r="J5188" s="15"/>
      <c r="K5188" s="15"/>
      <c r="L5188" s="28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  <c r="AA5188" s="15"/>
      <c r="AB5188" s="15"/>
      <c r="AC5188" s="15"/>
      <c r="AD5188" s="15"/>
      <c r="AE5188" s="15"/>
      <c r="AF5188" s="15"/>
      <c r="AG5188" s="15"/>
      <c r="AH5188" s="15"/>
      <c r="AI5188" s="15"/>
      <c r="AJ5188" s="15"/>
      <c r="AK5188" s="15"/>
      <c r="AL5188" s="15"/>
      <c r="AM5188" s="15"/>
      <c r="AN5188" s="15"/>
      <c r="AO5188" s="15"/>
      <c r="AP5188" s="15"/>
      <c r="AQ5188" s="15"/>
      <c r="AR5188" s="15"/>
      <c r="AS5188" s="15"/>
      <c r="AT5188" s="15"/>
      <c r="AU5188" s="15"/>
      <c r="AV5188" s="15"/>
      <c r="AW5188" s="15"/>
    </row>
    <row r="5189" spans="3:49" x14ac:dyDescent="0.2">
      <c r="C5189" s="15"/>
      <c r="D5189" s="15"/>
      <c r="E5189" s="15"/>
      <c r="F5189" s="15"/>
      <c r="G5189" s="15"/>
      <c r="H5189" s="15"/>
      <c r="I5189" s="15"/>
      <c r="J5189" s="15"/>
      <c r="K5189" s="15"/>
      <c r="L5189" s="28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  <c r="AA5189" s="15"/>
      <c r="AB5189" s="15"/>
      <c r="AC5189" s="15"/>
      <c r="AD5189" s="15"/>
      <c r="AE5189" s="15"/>
      <c r="AF5189" s="15"/>
      <c r="AG5189" s="15"/>
      <c r="AH5189" s="15"/>
      <c r="AI5189" s="15"/>
      <c r="AJ5189" s="15"/>
      <c r="AK5189" s="15"/>
      <c r="AL5189" s="15"/>
      <c r="AM5189" s="15"/>
      <c r="AN5189" s="15"/>
      <c r="AO5189" s="15"/>
      <c r="AP5189" s="15"/>
      <c r="AQ5189" s="15"/>
      <c r="AR5189" s="15"/>
      <c r="AS5189" s="15"/>
      <c r="AT5189" s="15"/>
      <c r="AU5189" s="15"/>
      <c r="AV5189" s="15"/>
      <c r="AW5189" s="15"/>
    </row>
    <row r="5190" spans="3:49" x14ac:dyDescent="0.2">
      <c r="C5190" s="15"/>
      <c r="D5190" s="15"/>
      <c r="E5190" s="15"/>
      <c r="F5190" s="15"/>
      <c r="G5190" s="15"/>
      <c r="H5190" s="15"/>
      <c r="I5190" s="15"/>
      <c r="J5190" s="15"/>
      <c r="K5190" s="15"/>
      <c r="L5190" s="28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  <c r="AA5190" s="15"/>
      <c r="AB5190" s="15"/>
      <c r="AC5190" s="15"/>
      <c r="AD5190" s="15"/>
      <c r="AE5190" s="15"/>
      <c r="AF5190" s="15"/>
      <c r="AG5190" s="15"/>
      <c r="AH5190" s="15"/>
      <c r="AI5190" s="15"/>
      <c r="AJ5190" s="15"/>
      <c r="AK5190" s="15"/>
      <c r="AL5190" s="15"/>
      <c r="AM5190" s="15"/>
      <c r="AN5190" s="15"/>
      <c r="AO5190" s="15"/>
      <c r="AP5190" s="15"/>
      <c r="AQ5190" s="15"/>
      <c r="AR5190" s="15"/>
      <c r="AS5190" s="15"/>
      <c r="AT5190" s="15"/>
      <c r="AU5190" s="15"/>
      <c r="AV5190" s="15"/>
      <c r="AW5190" s="15"/>
    </row>
    <row r="5191" spans="3:49" x14ac:dyDescent="0.2">
      <c r="C5191" s="15"/>
      <c r="D5191" s="15"/>
      <c r="E5191" s="15"/>
      <c r="F5191" s="15"/>
      <c r="G5191" s="15"/>
      <c r="H5191" s="15"/>
      <c r="I5191" s="15"/>
      <c r="J5191" s="15"/>
      <c r="K5191" s="15"/>
      <c r="L5191" s="28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  <c r="AA5191" s="15"/>
      <c r="AB5191" s="15"/>
      <c r="AC5191" s="15"/>
      <c r="AD5191" s="15"/>
      <c r="AE5191" s="15"/>
      <c r="AF5191" s="15"/>
      <c r="AG5191" s="15"/>
      <c r="AH5191" s="15"/>
      <c r="AI5191" s="15"/>
      <c r="AJ5191" s="15"/>
      <c r="AK5191" s="15"/>
      <c r="AL5191" s="15"/>
      <c r="AM5191" s="15"/>
      <c r="AN5191" s="15"/>
      <c r="AO5191" s="15"/>
      <c r="AP5191" s="15"/>
      <c r="AQ5191" s="15"/>
      <c r="AR5191" s="15"/>
      <c r="AS5191" s="15"/>
      <c r="AT5191" s="15"/>
      <c r="AU5191" s="15"/>
      <c r="AV5191" s="15"/>
      <c r="AW5191" s="15"/>
    </row>
    <row r="5192" spans="3:49" x14ac:dyDescent="0.2">
      <c r="C5192" s="15"/>
      <c r="D5192" s="15"/>
      <c r="E5192" s="15"/>
      <c r="F5192" s="15"/>
      <c r="G5192" s="15"/>
      <c r="H5192" s="15"/>
      <c r="I5192" s="15"/>
      <c r="J5192" s="15"/>
      <c r="K5192" s="15"/>
      <c r="L5192" s="28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  <c r="AA5192" s="15"/>
      <c r="AB5192" s="15"/>
      <c r="AC5192" s="15"/>
      <c r="AD5192" s="15"/>
      <c r="AE5192" s="15"/>
      <c r="AF5192" s="15"/>
      <c r="AG5192" s="15"/>
      <c r="AH5192" s="15"/>
      <c r="AI5192" s="15"/>
      <c r="AJ5192" s="15"/>
      <c r="AK5192" s="15"/>
      <c r="AL5192" s="15"/>
      <c r="AM5192" s="15"/>
      <c r="AN5192" s="15"/>
      <c r="AO5192" s="15"/>
      <c r="AP5192" s="15"/>
      <c r="AQ5192" s="15"/>
      <c r="AR5192" s="15"/>
      <c r="AS5192" s="15"/>
      <c r="AT5192" s="15"/>
      <c r="AU5192" s="15"/>
      <c r="AV5192" s="15"/>
      <c r="AW5192" s="15"/>
    </row>
    <row r="5193" spans="3:49" x14ac:dyDescent="0.2">
      <c r="C5193" s="15"/>
      <c r="D5193" s="15"/>
      <c r="E5193" s="15"/>
      <c r="F5193" s="15"/>
      <c r="G5193" s="15"/>
      <c r="H5193" s="15"/>
      <c r="I5193" s="15"/>
      <c r="J5193" s="15"/>
      <c r="K5193" s="15"/>
      <c r="L5193" s="28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  <c r="AA5193" s="15"/>
      <c r="AB5193" s="15"/>
      <c r="AC5193" s="15"/>
      <c r="AD5193" s="15"/>
      <c r="AE5193" s="15"/>
      <c r="AF5193" s="15"/>
      <c r="AG5193" s="15"/>
      <c r="AH5193" s="15"/>
      <c r="AI5193" s="15"/>
      <c r="AJ5193" s="15"/>
      <c r="AK5193" s="15"/>
      <c r="AL5193" s="15"/>
      <c r="AM5193" s="15"/>
      <c r="AN5193" s="15"/>
      <c r="AO5193" s="15"/>
      <c r="AP5193" s="15"/>
      <c r="AQ5193" s="15"/>
      <c r="AR5193" s="15"/>
      <c r="AS5193" s="15"/>
      <c r="AT5193" s="15"/>
      <c r="AU5193" s="15"/>
      <c r="AV5193" s="15"/>
      <c r="AW5193" s="15"/>
    </row>
    <row r="5194" spans="3:49" x14ac:dyDescent="0.2">
      <c r="C5194" s="15"/>
      <c r="D5194" s="15"/>
      <c r="E5194" s="15"/>
      <c r="F5194" s="15"/>
      <c r="G5194" s="15"/>
      <c r="H5194" s="15"/>
      <c r="I5194" s="15"/>
      <c r="J5194" s="15"/>
      <c r="K5194" s="15"/>
      <c r="L5194" s="28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  <c r="AA5194" s="15"/>
      <c r="AB5194" s="15"/>
      <c r="AC5194" s="15"/>
      <c r="AD5194" s="15"/>
      <c r="AE5194" s="15"/>
      <c r="AF5194" s="15"/>
      <c r="AG5194" s="15"/>
      <c r="AH5194" s="15"/>
      <c r="AI5194" s="15"/>
      <c r="AJ5194" s="15"/>
      <c r="AK5194" s="15"/>
      <c r="AL5194" s="15"/>
      <c r="AM5194" s="15"/>
      <c r="AN5194" s="15"/>
      <c r="AO5194" s="15"/>
      <c r="AP5194" s="15"/>
      <c r="AQ5194" s="15"/>
      <c r="AR5194" s="15"/>
      <c r="AS5194" s="15"/>
      <c r="AT5194" s="15"/>
      <c r="AU5194" s="15"/>
      <c r="AV5194" s="15"/>
      <c r="AW5194" s="15"/>
    </row>
    <row r="5195" spans="3:49" x14ac:dyDescent="0.2">
      <c r="C5195" s="15"/>
      <c r="D5195" s="15"/>
      <c r="E5195" s="15"/>
      <c r="F5195" s="15"/>
      <c r="G5195" s="15"/>
      <c r="H5195" s="15"/>
      <c r="I5195" s="15"/>
      <c r="J5195" s="15"/>
      <c r="K5195" s="15"/>
      <c r="L5195" s="28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  <c r="AA5195" s="15"/>
      <c r="AB5195" s="15"/>
      <c r="AC5195" s="15"/>
      <c r="AD5195" s="15"/>
      <c r="AE5195" s="15"/>
      <c r="AF5195" s="15"/>
      <c r="AG5195" s="15"/>
      <c r="AH5195" s="15"/>
      <c r="AI5195" s="15"/>
      <c r="AJ5195" s="15"/>
      <c r="AK5195" s="15"/>
      <c r="AL5195" s="15"/>
      <c r="AM5195" s="15"/>
      <c r="AN5195" s="15"/>
      <c r="AO5195" s="15"/>
      <c r="AP5195" s="15"/>
      <c r="AQ5195" s="15"/>
      <c r="AR5195" s="15"/>
      <c r="AS5195" s="15"/>
      <c r="AT5195" s="15"/>
      <c r="AU5195" s="15"/>
      <c r="AV5195" s="15"/>
      <c r="AW5195" s="15"/>
    </row>
    <row r="5196" spans="3:49" x14ac:dyDescent="0.2">
      <c r="C5196" s="15"/>
      <c r="D5196" s="15"/>
      <c r="E5196" s="15"/>
      <c r="F5196" s="15"/>
      <c r="G5196" s="15"/>
      <c r="H5196" s="15"/>
      <c r="I5196" s="15"/>
      <c r="J5196" s="15"/>
      <c r="K5196" s="15"/>
      <c r="L5196" s="28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  <c r="AA5196" s="15"/>
      <c r="AB5196" s="15"/>
      <c r="AC5196" s="15"/>
      <c r="AD5196" s="15"/>
      <c r="AE5196" s="15"/>
      <c r="AF5196" s="15"/>
      <c r="AG5196" s="15"/>
      <c r="AH5196" s="15"/>
      <c r="AI5196" s="15"/>
      <c r="AJ5196" s="15"/>
      <c r="AK5196" s="15"/>
      <c r="AL5196" s="15"/>
      <c r="AM5196" s="15"/>
      <c r="AN5196" s="15"/>
      <c r="AO5196" s="15"/>
      <c r="AP5196" s="15"/>
      <c r="AQ5196" s="15"/>
      <c r="AR5196" s="15"/>
      <c r="AS5196" s="15"/>
      <c r="AT5196" s="15"/>
      <c r="AU5196" s="15"/>
      <c r="AV5196" s="15"/>
      <c r="AW5196" s="15"/>
    </row>
    <row r="5197" spans="3:49" x14ac:dyDescent="0.2">
      <c r="C5197" s="15"/>
      <c r="D5197" s="15"/>
      <c r="E5197" s="15"/>
      <c r="F5197" s="15"/>
      <c r="G5197" s="15"/>
      <c r="H5197" s="15"/>
      <c r="I5197" s="15"/>
      <c r="J5197" s="15"/>
      <c r="K5197" s="15"/>
      <c r="L5197" s="28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  <c r="AA5197" s="15"/>
      <c r="AB5197" s="15"/>
      <c r="AC5197" s="15"/>
      <c r="AD5197" s="15"/>
      <c r="AE5197" s="15"/>
      <c r="AF5197" s="15"/>
      <c r="AG5197" s="15"/>
      <c r="AH5197" s="15"/>
      <c r="AI5197" s="15"/>
      <c r="AJ5197" s="15"/>
      <c r="AK5197" s="15"/>
      <c r="AL5197" s="15"/>
      <c r="AM5197" s="15"/>
      <c r="AN5197" s="15"/>
      <c r="AO5197" s="15"/>
      <c r="AP5197" s="15"/>
      <c r="AQ5197" s="15"/>
      <c r="AR5197" s="15"/>
      <c r="AS5197" s="15"/>
      <c r="AT5197" s="15"/>
      <c r="AU5197" s="15"/>
      <c r="AV5197" s="15"/>
      <c r="AW5197" s="15"/>
    </row>
    <row r="5198" spans="3:49" x14ac:dyDescent="0.2">
      <c r="C5198" s="15"/>
      <c r="D5198" s="15"/>
      <c r="E5198" s="15"/>
      <c r="F5198" s="15"/>
      <c r="G5198" s="15"/>
      <c r="H5198" s="15"/>
      <c r="I5198" s="15"/>
      <c r="J5198" s="15"/>
      <c r="K5198" s="15"/>
      <c r="L5198" s="28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  <c r="AA5198" s="15"/>
      <c r="AB5198" s="15"/>
      <c r="AC5198" s="15"/>
      <c r="AD5198" s="15"/>
      <c r="AE5198" s="15"/>
      <c r="AF5198" s="15"/>
      <c r="AG5198" s="15"/>
      <c r="AH5198" s="15"/>
      <c r="AI5198" s="15"/>
      <c r="AJ5198" s="15"/>
      <c r="AK5198" s="15"/>
      <c r="AL5198" s="15"/>
      <c r="AM5198" s="15"/>
      <c r="AN5198" s="15"/>
      <c r="AO5198" s="15"/>
      <c r="AP5198" s="15"/>
      <c r="AQ5198" s="15"/>
      <c r="AR5198" s="15"/>
      <c r="AS5198" s="15"/>
      <c r="AT5198" s="15"/>
      <c r="AU5198" s="15"/>
      <c r="AV5198" s="15"/>
      <c r="AW5198" s="15"/>
    </row>
    <row r="5199" spans="3:49" x14ac:dyDescent="0.2">
      <c r="C5199" s="15"/>
      <c r="D5199" s="15"/>
      <c r="E5199" s="15"/>
      <c r="F5199" s="15"/>
      <c r="G5199" s="15"/>
      <c r="H5199" s="15"/>
      <c r="I5199" s="15"/>
      <c r="J5199" s="15"/>
      <c r="K5199" s="15"/>
      <c r="L5199" s="28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  <c r="AA5199" s="15"/>
      <c r="AB5199" s="15"/>
      <c r="AC5199" s="15"/>
      <c r="AD5199" s="15"/>
      <c r="AE5199" s="15"/>
      <c r="AF5199" s="15"/>
      <c r="AG5199" s="15"/>
      <c r="AH5199" s="15"/>
      <c r="AI5199" s="15"/>
      <c r="AJ5199" s="15"/>
      <c r="AK5199" s="15"/>
      <c r="AL5199" s="15"/>
      <c r="AM5199" s="15"/>
      <c r="AN5199" s="15"/>
      <c r="AO5199" s="15"/>
      <c r="AP5199" s="15"/>
      <c r="AQ5199" s="15"/>
      <c r="AR5199" s="15"/>
      <c r="AS5199" s="15"/>
      <c r="AT5199" s="15"/>
      <c r="AU5199" s="15"/>
      <c r="AV5199" s="15"/>
      <c r="AW5199" s="15"/>
    </row>
    <row r="5200" spans="3:49" x14ac:dyDescent="0.2">
      <c r="C5200" s="15"/>
      <c r="D5200" s="15"/>
      <c r="E5200" s="15"/>
      <c r="F5200" s="15"/>
      <c r="G5200" s="15"/>
      <c r="H5200" s="15"/>
      <c r="I5200" s="15"/>
      <c r="J5200" s="15"/>
      <c r="K5200" s="15"/>
      <c r="L5200" s="28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  <c r="AA5200" s="15"/>
      <c r="AB5200" s="15"/>
      <c r="AC5200" s="15"/>
      <c r="AD5200" s="15"/>
      <c r="AE5200" s="15"/>
      <c r="AF5200" s="15"/>
      <c r="AG5200" s="15"/>
      <c r="AH5200" s="15"/>
      <c r="AI5200" s="15"/>
      <c r="AJ5200" s="15"/>
      <c r="AK5200" s="15"/>
      <c r="AL5200" s="15"/>
      <c r="AM5200" s="15"/>
      <c r="AN5200" s="15"/>
      <c r="AO5200" s="15"/>
      <c r="AP5200" s="15"/>
      <c r="AQ5200" s="15"/>
      <c r="AR5200" s="15"/>
      <c r="AS5200" s="15"/>
      <c r="AT5200" s="15"/>
      <c r="AU5200" s="15"/>
      <c r="AV5200" s="15"/>
      <c r="AW5200" s="15"/>
    </row>
    <row r="5201" spans="3:49" x14ac:dyDescent="0.2">
      <c r="C5201" s="15"/>
      <c r="D5201" s="15"/>
      <c r="E5201" s="15"/>
      <c r="F5201" s="15"/>
      <c r="G5201" s="15"/>
      <c r="H5201" s="15"/>
      <c r="I5201" s="15"/>
      <c r="J5201" s="15"/>
      <c r="K5201" s="15"/>
      <c r="L5201" s="28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  <c r="AA5201" s="15"/>
      <c r="AB5201" s="15"/>
      <c r="AC5201" s="15"/>
      <c r="AD5201" s="15"/>
      <c r="AE5201" s="15"/>
      <c r="AF5201" s="15"/>
      <c r="AG5201" s="15"/>
      <c r="AH5201" s="15"/>
      <c r="AI5201" s="15"/>
      <c r="AJ5201" s="15"/>
      <c r="AK5201" s="15"/>
      <c r="AL5201" s="15"/>
      <c r="AM5201" s="15"/>
      <c r="AN5201" s="15"/>
      <c r="AO5201" s="15"/>
      <c r="AP5201" s="15"/>
      <c r="AQ5201" s="15"/>
      <c r="AR5201" s="15"/>
      <c r="AS5201" s="15"/>
      <c r="AT5201" s="15"/>
      <c r="AU5201" s="15"/>
      <c r="AV5201" s="15"/>
      <c r="AW5201" s="15"/>
    </row>
    <row r="5202" spans="3:49" x14ac:dyDescent="0.2">
      <c r="C5202" s="15"/>
      <c r="D5202" s="15"/>
      <c r="E5202" s="15"/>
      <c r="F5202" s="15"/>
      <c r="G5202" s="15"/>
      <c r="H5202" s="15"/>
      <c r="I5202" s="15"/>
      <c r="J5202" s="15"/>
      <c r="K5202" s="15"/>
      <c r="L5202" s="28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  <c r="AA5202" s="15"/>
      <c r="AB5202" s="15"/>
      <c r="AC5202" s="15"/>
      <c r="AD5202" s="15"/>
      <c r="AE5202" s="15"/>
      <c r="AF5202" s="15"/>
      <c r="AG5202" s="15"/>
      <c r="AH5202" s="15"/>
      <c r="AI5202" s="15"/>
      <c r="AJ5202" s="15"/>
      <c r="AK5202" s="15"/>
      <c r="AL5202" s="15"/>
      <c r="AM5202" s="15"/>
      <c r="AN5202" s="15"/>
      <c r="AO5202" s="15"/>
      <c r="AP5202" s="15"/>
      <c r="AQ5202" s="15"/>
      <c r="AR5202" s="15"/>
      <c r="AS5202" s="15"/>
      <c r="AT5202" s="15"/>
      <c r="AU5202" s="15"/>
      <c r="AV5202" s="15"/>
      <c r="AW5202" s="15"/>
    </row>
    <row r="5203" spans="3:49" x14ac:dyDescent="0.2">
      <c r="C5203" s="15"/>
      <c r="D5203" s="15"/>
      <c r="E5203" s="15"/>
      <c r="F5203" s="15"/>
      <c r="G5203" s="15"/>
      <c r="H5203" s="15"/>
      <c r="I5203" s="15"/>
      <c r="J5203" s="15"/>
      <c r="K5203" s="15"/>
      <c r="L5203" s="28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  <c r="AA5203" s="15"/>
      <c r="AB5203" s="15"/>
      <c r="AC5203" s="15"/>
      <c r="AD5203" s="15"/>
      <c r="AE5203" s="15"/>
      <c r="AF5203" s="15"/>
      <c r="AG5203" s="15"/>
      <c r="AH5203" s="15"/>
      <c r="AI5203" s="15"/>
      <c r="AJ5203" s="15"/>
      <c r="AK5203" s="15"/>
      <c r="AL5203" s="15"/>
      <c r="AM5203" s="15"/>
      <c r="AN5203" s="15"/>
      <c r="AO5203" s="15"/>
      <c r="AP5203" s="15"/>
      <c r="AQ5203" s="15"/>
      <c r="AR5203" s="15"/>
      <c r="AS5203" s="15"/>
      <c r="AT5203" s="15"/>
      <c r="AU5203" s="15"/>
      <c r="AV5203" s="15"/>
      <c r="AW5203" s="15"/>
    </row>
    <row r="5204" spans="3:49" x14ac:dyDescent="0.2">
      <c r="C5204" s="15"/>
      <c r="D5204" s="15"/>
      <c r="E5204" s="15"/>
      <c r="F5204" s="15"/>
      <c r="G5204" s="15"/>
      <c r="H5204" s="15"/>
      <c r="I5204" s="15"/>
      <c r="J5204" s="15"/>
      <c r="K5204" s="15"/>
      <c r="L5204" s="28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  <c r="AA5204" s="15"/>
      <c r="AB5204" s="15"/>
      <c r="AC5204" s="15"/>
      <c r="AD5204" s="15"/>
      <c r="AE5204" s="15"/>
      <c r="AF5204" s="15"/>
      <c r="AG5204" s="15"/>
      <c r="AH5204" s="15"/>
      <c r="AI5204" s="15"/>
      <c r="AJ5204" s="15"/>
      <c r="AK5204" s="15"/>
      <c r="AL5204" s="15"/>
      <c r="AM5204" s="15"/>
      <c r="AN5204" s="15"/>
      <c r="AO5204" s="15"/>
      <c r="AP5204" s="15"/>
      <c r="AQ5204" s="15"/>
      <c r="AR5204" s="15"/>
      <c r="AS5204" s="15"/>
      <c r="AT5204" s="15"/>
      <c r="AU5204" s="15"/>
      <c r="AV5204" s="15"/>
      <c r="AW5204" s="15"/>
    </row>
    <row r="5205" spans="3:49" x14ac:dyDescent="0.2">
      <c r="C5205" s="15"/>
      <c r="D5205" s="15"/>
      <c r="E5205" s="15"/>
      <c r="F5205" s="15"/>
      <c r="G5205" s="15"/>
      <c r="H5205" s="15"/>
      <c r="I5205" s="15"/>
      <c r="J5205" s="15"/>
      <c r="K5205" s="15"/>
      <c r="L5205" s="28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  <c r="AA5205" s="15"/>
      <c r="AB5205" s="15"/>
      <c r="AC5205" s="15"/>
      <c r="AD5205" s="15"/>
      <c r="AE5205" s="15"/>
      <c r="AF5205" s="15"/>
      <c r="AG5205" s="15"/>
      <c r="AH5205" s="15"/>
      <c r="AI5205" s="15"/>
      <c r="AJ5205" s="15"/>
      <c r="AK5205" s="15"/>
      <c r="AL5205" s="15"/>
      <c r="AM5205" s="15"/>
      <c r="AN5205" s="15"/>
      <c r="AO5205" s="15"/>
      <c r="AP5205" s="15"/>
      <c r="AQ5205" s="15"/>
      <c r="AR5205" s="15"/>
      <c r="AS5205" s="15"/>
      <c r="AT5205" s="15"/>
      <c r="AU5205" s="15"/>
      <c r="AV5205" s="15"/>
      <c r="AW5205" s="15"/>
    </row>
    <row r="5206" spans="3:49" x14ac:dyDescent="0.2">
      <c r="C5206" s="15"/>
      <c r="D5206" s="15"/>
      <c r="E5206" s="15"/>
      <c r="F5206" s="15"/>
      <c r="G5206" s="15"/>
      <c r="H5206" s="15"/>
      <c r="I5206" s="15"/>
      <c r="J5206" s="15"/>
      <c r="K5206" s="15"/>
      <c r="L5206" s="28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  <c r="AA5206" s="15"/>
      <c r="AB5206" s="15"/>
      <c r="AC5206" s="15"/>
      <c r="AD5206" s="15"/>
      <c r="AE5206" s="15"/>
      <c r="AF5206" s="15"/>
      <c r="AG5206" s="15"/>
      <c r="AH5206" s="15"/>
      <c r="AI5206" s="15"/>
      <c r="AJ5206" s="15"/>
      <c r="AK5206" s="15"/>
      <c r="AL5206" s="15"/>
      <c r="AM5206" s="15"/>
      <c r="AN5206" s="15"/>
      <c r="AO5206" s="15"/>
      <c r="AP5206" s="15"/>
      <c r="AQ5206" s="15"/>
      <c r="AR5206" s="15"/>
      <c r="AS5206" s="15"/>
      <c r="AT5206" s="15"/>
      <c r="AU5206" s="15"/>
      <c r="AV5206" s="15"/>
      <c r="AW5206" s="15"/>
    </row>
    <row r="5207" spans="3:49" x14ac:dyDescent="0.2">
      <c r="C5207" s="15"/>
      <c r="D5207" s="15"/>
      <c r="E5207" s="15"/>
      <c r="F5207" s="15"/>
      <c r="G5207" s="15"/>
      <c r="H5207" s="15"/>
      <c r="I5207" s="15"/>
      <c r="J5207" s="15"/>
      <c r="K5207" s="15"/>
      <c r="L5207" s="28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  <c r="AA5207" s="15"/>
      <c r="AB5207" s="15"/>
      <c r="AC5207" s="15"/>
      <c r="AD5207" s="15"/>
      <c r="AE5207" s="15"/>
      <c r="AF5207" s="15"/>
      <c r="AG5207" s="15"/>
      <c r="AH5207" s="15"/>
      <c r="AI5207" s="15"/>
      <c r="AJ5207" s="15"/>
      <c r="AK5207" s="15"/>
      <c r="AL5207" s="15"/>
      <c r="AM5207" s="15"/>
      <c r="AN5207" s="15"/>
      <c r="AO5207" s="15"/>
      <c r="AP5207" s="15"/>
      <c r="AQ5207" s="15"/>
      <c r="AR5207" s="15"/>
      <c r="AS5207" s="15"/>
      <c r="AT5207" s="15"/>
      <c r="AU5207" s="15"/>
      <c r="AV5207" s="15"/>
      <c r="AW5207" s="15"/>
    </row>
    <row r="5208" spans="3:49" x14ac:dyDescent="0.2">
      <c r="C5208" s="15"/>
      <c r="D5208" s="15"/>
      <c r="E5208" s="15"/>
      <c r="F5208" s="15"/>
      <c r="G5208" s="15"/>
      <c r="H5208" s="15"/>
      <c r="I5208" s="15"/>
      <c r="J5208" s="15"/>
      <c r="K5208" s="15"/>
      <c r="L5208" s="28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  <c r="AA5208" s="15"/>
      <c r="AB5208" s="15"/>
      <c r="AC5208" s="15"/>
      <c r="AD5208" s="15"/>
      <c r="AE5208" s="15"/>
      <c r="AF5208" s="15"/>
      <c r="AG5208" s="15"/>
      <c r="AH5208" s="15"/>
      <c r="AI5208" s="15"/>
      <c r="AJ5208" s="15"/>
      <c r="AK5208" s="15"/>
      <c r="AL5208" s="15"/>
      <c r="AM5208" s="15"/>
      <c r="AN5208" s="15"/>
      <c r="AO5208" s="15"/>
      <c r="AP5208" s="15"/>
      <c r="AQ5208" s="15"/>
      <c r="AR5208" s="15"/>
      <c r="AS5208" s="15"/>
      <c r="AT5208" s="15"/>
      <c r="AU5208" s="15"/>
      <c r="AV5208" s="15"/>
      <c r="AW5208" s="15"/>
    </row>
    <row r="5209" spans="3:49" x14ac:dyDescent="0.2">
      <c r="C5209" s="15"/>
      <c r="D5209" s="15"/>
      <c r="E5209" s="15"/>
      <c r="F5209" s="15"/>
      <c r="G5209" s="15"/>
      <c r="H5209" s="15"/>
      <c r="I5209" s="15"/>
      <c r="J5209" s="15"/>
      <c r="K5209" s="15"/>
      <c r="L5209" s="28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  <c r="AA5209" s="15"/>
      <c r="AB5209" s="15"/>
      <c r="AC5209" s="15"/>
      <c r="AD5209" s="15"/>
      <c r="AE5209" s="15"/>
      <c r="AF5209" s="15"/>
      <c r="AG5209" s="15"/>
      <c r="AH5209" s="15"/>
      <c r="AI5209" s="15"/>
      <c r="AJ5209" s="15"/>
      <c r="AK5209" s="15"/>
      <c r="AL5209" s="15"/>
      <c r="AM5209" s="15"/>
      <c r="AN5209" s="15"/>
      <c r="AO5209" s="15"/>
      <c r="AP5209" s="15"/>
      <c r="AQ5209" s="15"/>
      <c r="AR5209" s="15"/>
      <c r="AS5209" s="15"/>
      <c r="AT5209" s="15"/>
      <c r="AU5209" s="15"/>
      <c r="AV5209" s="15"/>
      <c r="AW5209" s="15"/>
    </row>
    <row r="5210" spans="3:49" x14ac:dyDescent="0.2">
      <c r="C5210" s="15"/>
      <c r="D5210" s="15"/>
      <c r="E5210" s="15"/>
      <c r="F5210" s="15"/>
      <c r="G5210" s="15"/>
      <c r="H5210" s="15"/>
      <c r="I5210" s="15"/>
      <c r="J5210" s="15"/>
      <c r="K5210" s="15"/>
      <c r="L5210" s="28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  <c r="AA5210" s="15"/>
      <c r="AB5210" s="15"/>
      <c r="AC5210" s="15"/>
      <c r="AD5210" s="15"/>
      <c r="AE5210" s="15"/>
      <c r="AF5210" s="15"/>
      <c r="AG5210" s="15"/>
      <c r="AH5210" s="15"/>
      <c r="AI5210" s="15"/>
      <c r="AJ5210" s="15"/>
      <c r="AK5210" s="15"/>
      <c r="AL5210" s="15"/>
      <c r="AM5210" s="15"/>
      <c r="AN5210" s="15"/>
      <c r="AO5210" s="15"/>
      <c r="AP5210" s="15"/>
      <c r="AQ5210" s="15"/>
      <c r="AR5210" s="15"/>
      <c r="AS5210" s="15"/>
      <c r="AT5210" s="15"/>
      <c r="AU5210" s="15"/>
      <c r="AV5210" s="15"/>
      <c r="AW5210" s="15"/>
    </row>
    <row r="5211" spans="3:49" x14ac:dyDescent="0.2">
      <c r="C5211" s="15"/>
      <c r="D5211" s="15"/>
      <c r="E5211" s="15"/>
      <c r="F5211" s="15"/>
      <c r="G5211" s="15"/>
      <c r="H5211" s="15"/>
      <c r="I5211" s="15"/>
      <c r="J5211" s="15"/>
      <c r="K5211" s="15"/>
      <c r="L5211" s="28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  <c r="AA5211" s="15"/>
      <c r="AB5211" s="15"/>
      <c r="AC5211" s="15"/>
      <c r="AD5211" s="15"/>
      <c r="AE5211" s="15"/>
      <c r="AF5211" s="15"/>
      <c r="AG5211" s="15"/>
      <c r="AH5211" s="15"/>
      <c r="AI5211" s="15"/>
      <c r="AJ5211" s="15"/>
      <c r="AK5211" s="15"/>
      <c r="AL5211" s="15"/>
      <c r="AM5211" s="15"/>
      <c r="AN5211" s="15"/>
      <c r="AO5211" s="15"/>
      <c r="AP5211" s="15"/>
      <c r="AQ5211" s="15"/>
      <c r="AR5211" s="15"/>
      <c r="AS5211" s="15"/>
      <c r="AT5211" s="15"/>
      <c r="AU5211" s="15"/>
      <c r="AV5211" s="15"/>
      <c r="AW5211" s="15"/>
    </row>
    <row r="5212" spans="3:49" x14ac:dyDescent="0.2">
      <c r="C5212" s="15"/>
      <c r="D5212" s="15"/>
      <c r="E5212" s="15"/>
      <c r="F5212" s="15"/>
      <c r="G5212" s="15"/>
      <c r="H5212" s="15"/>
      <c r="I5212" s="15"/>
      <c r="J5212" s="15"/>
      <c r="K5212" s="15"/>
      <c r="L5212" s="28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  <c r="AA5212" s="15"/>
      <c r="AB5212" s="15"/>
      <c r="AC5212" s="15"/>
      <c r="AD5212" s="15"/>
      <c r="AE5212" s="15"/>
      <c r="AF5212" s="15"/>
      <c r="AG5212" s="15"/>
      <c r="AH5212" s="15"/>
      <c r="AI5212" s="15"/>
      <c r="AJ5212" s="15"/>
      <c r="AK5212" s="15"/>
      <c r="AL5212" s="15"/>
      <c r="AM5212" s="15"/>
      <c r="AN5212" s="15"/>
      <c r="AO5212" s="15"/>
      <c r="AP5212" s="15"/>
      <c r="AQ5212" s="15"/>
      <c r="AR5212" s="15"/>
      <c r="AS5212" s="15"/>
      <c r="AT5212" s="15"/>
      <c r="AU5212" s="15"/>
      <c r="AV5212" s="15"/>
      <c r="AW5212" s="15"/>
    </row>
    <row r="5213" spans="3:49" x14ac:dyDescent="0.2">
      <c r="C5213" s="15"/>
      <c r="D5213" s="15"/>
      <c r="E5213" s="15"/>
      <c r="F5213" s="15"/>
      <c r="G5213" s="15"/>
      <c r="H5213" s="15"/>
      <c r="I5213" s="15"/>
      <c r="J5213" s="15"/>
      <c r="K5213" s="15"/>
      <c r="L5213" s="28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  <c r="AA5213" s="15"/>
      <c r="AB5213" s="15"/>
      <c r="AC5213" s="15"/>
      <c r="AD5213" s="15"/>
      <c r="AE5213" s="15"/>
      <c r="AF5213" s="15"/>
      <c r="AG5213" s="15"/>
      <c r="AH5213" s="15"/>
      <c r="AI5213" s="15"/>
      <c r="AJ5213" s="15"/>
      <c r="AK5213" s="15"/>
      <c r="AL5213" s="15"/>
      <c r="AM5213" s="15"/>
      <c r="AN5213" s="15"/>
      <c r="AO5213" s="15"/>
      <c r="AP5213" s="15"/>
      <c r="AQ5213" s="15"/>
      <c r="AR5213" s="15"/>
      <c r="AS5213" s="15"/>
      <c r="AT5213" s="15"/>
      <c r="AU5213" s="15"/>
      <c r="AV5213" s="15"/>
      <c r="AW5213" s="15"/>
    </row>
    <row r="5214" spans="3:49" x14ac:dyDescent="0.2">
      <c r="C5214" s="15"/>
      <c r="D5214" s="15"/>
      <c r="E5214" s="15"/>
      <c r="F5214" s="15"/>
      <c r="G5214" s="15"/>
      <c r="H5214" s="15"/>
      <c r="I5214" s="15"/>
      <c r="J5214" s="15"/>
      <c r="K5214" s="15"/>
      <c r="L5214" s="28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  <c r="AA5214" s="15"/>
      <c r="AB5214" s="15"/>
      <c r="AC5214" s="15"/>
      <c r="AD5214" s="15"/>
      <c r="AE5214" s="15"/>
      <c r="AF5214" s="15"/>
      <c r="AG5214" s="15"/>
      <c r="AH5214" s="15"/>
      <c r="AI5214" s="15"/>
      <c r="AJ5214" s="15"/>
      <c r="AK5214" s="15"/>
      <c r="AL5214" s="15"/>
      <c r="AM5214" s="15"/>
      <c r="AN5214" s="15"/>
      <c r="AO5214" s="15"/>
      <c r="AP5214" s="15"/>
      <c r="AQ5214" s="15"/>
      <c r="AR5214" s="15"/>
      <c r="AS5214" s="15"/>
      <c r="AT5214" s="15"/>
      <c r="AU5214" s="15"/>
      <c r="AV5214" s="15"/>
      <c r="AW5214" s="15"/>
    </row>
    <row r="5215" spans="3:49" x14ac:dyDescent="0.2">
      <c r="C5215" s="15"/>
      <c r="D5215" s="15"/>
      <c r="E5215" s="15"/>
      <c r="F5215" s="15"/>
      <c r="G5215" s="15"/>
      <c r="H5215" s="15"/>
      <c r="I5215" s="15"/>
      <c r="J5215" s="15"/>
      <c r="K5215" s="15"/>
      <c r="L5215" s="28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  <c r="AA5215" s="15"/>
      <c r="AB5215" s="15"/>
      <c r="AC5215" s="15"/>
      <c r="AD5215" s="15"/>
      <c r="AE5215" s="15"/>
      <c r="AF5215" s="15"/>
      <c r="AG5215" s="15"/>
      <c r="AH5215" s="15"/>
      <c r="AI5215" s="15"/>
      <c r="AJ5215" s="15"/>
      <c r="AK5215" s="15"/>
      <c r="AL5215" s="15"/>
      <c r="AM5215" s="15"/>
      <c r="AN5215" s="15"/>
      <c r="AO5215" s="15"/>
      <c r="AP5215" s="15"/>
      <c r="AQ5215" s="15"/>
      <c r="AR5215" s="15"/>
      <c r="AS5215" s="15"/>
      <c r="AT5215" s="15"/>
      <c r="AU5215" s="15"/>
      <c r="AV5215" s="15"/>
      <c r="AW5215" s="15"/>
    </row>
    <row r="5216" spans="3:49" x14ac:dyDescent="0.2">
      <c r="C5216" s="15"/>
      <c r="D5216" s="15"/>
      <c r="E5216" s="15"/>
      <c r="F5216" s="15"/>
      <c r="G5216" s="15"/>
      <c r="H5216" s="15"/>
      <c r="I5216" s="15"/>
      <c r="J5216" s="15"/>
      <c r="K5216" s="15"/>
      <c r="L5216" s="28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  <c r="AA5216" s="15"/>
      <c r="AB5216" s="15"/>
      <c r="AC5216" s="15"/>
      <c r="AD5216" s="15"/>
      <c r="AE5216" s="15"/>
      <c r="AF5216" s="15"/>
      <c r="AG5216" s="15"/>
      <c r="AH5216" s="15"/>
      <c r="AI5216" s="15"/>
      <c r="AJ5216" s="15"/>
      <c r="AK5216" s="15"/>
      <c r="AL5216" s="15"/>
      <c r="AM5216" s="15"/>
      <c r="AN5216" s="15"/>
      <c r="AO5216" s="15"/>
      <c r="AP5216" s="15"/>
      <c r="AQ5216" s="15"/>
      <c r="AR5216" s="15"/>
      <c r="AS5216" s="15"/>
      <c r="AT5216" s="15"/>
      <c r="AU5216" s="15"/>
      <c r="AV5216" s="15"/>
      <c r="AW5216" s="15"/>
    </row>
    <row r="5217" spans="3:49" x14ac:dyDescent="0.2">
      <c r="C5217" s="15"/>
      <c r="D5217" s="15"/>
      <c r="E5217" s="15"/>
      <c r="F5217" s="15"/>
      <c r="G5217" s="15"/>
      <c r="H5217" s="15"/>
      <c r="I5217" s="15"/>
      <c r="J5217" s="15"/>
      <c r="K5217" s="15"/>
      <c r="L5217" s="28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  <c r="AA5217" s="15"/>
      <c r="AB5217" s="15"/>
      <c r="AC5217" s="15"/>
      <c r="AD5217" s="15"/>
      <c r="AE5217" s="15"/>
      <c r="AF5217" s="15"/>
      <c r="AG5217" s="15"/>
      <c r="AH5217" s="15"/>
      <c r="AI5217" s="15"/>
      <c r="AJ5217" s="15"/>
      <c r="AK5217" s="15"/>
      <c r="AL5217" s="15"/>
      <c r="AM5217" s="15"/>
      <c r="AN5217" s="15"/>
      <c r="AO5217" s="15"/>
      <c r="AP5217" s="15"/>
      <c r="AQ5217" s="15"/>
      <c r="AR5217" s="15"/>
      <c r="AS5217" s="15"/>
      <c r="AT5217" s="15"/>
      <c r="AU5217" s="15"/>
      <c r="AV5217" s="15"/>
      <c r="AW5217" s="15"/>
    </row>
    <row r="5218" spans="3:49" x14ac:dyDescent="0.2">
      <c r="C5218" s="15"/>
      <c r="D5218" s="15"/>
      <c r="E5218" s="15"/>
      <c r="F5218" s="15"/>
      <c r="G5218" s="15"/>
      <c r="H5218" s="15"/>
      <c r="I5218" s="15"/>
      <c r="J5218" s="15"/>
      <c r="K5218" s="15"/>
      <c r="L5218" s="28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  <c r="AA5218" s="15"/>
      <c r="AB5218" s="15"/>
      <c r="AC5218" s="15"/>
      <c r="AD5218" s="15"/>
      <c r="AE5218" s="15"/>
      <c r="AF5218" s="15"/>
      <c r="AG5218" s="15"/>
      <c r="AH5218" s="15"/>
      <c r="AI5218" s="15"/>
      <c r="AJ5218" s="15"/>
      <c r="AK5218" s="15"/>
      <c r="AL5218" s="15"/>
      <c r="AM5218" s="15"/>
      <c r="AN5218" s="15"/>
      <c r="AO5218" s="15"/>
      <c r="AP5218" s="15"/>
      <c r="AQ5218" s="15"/>
      <c r="AR5218" s="15"/>
      <c r="AS5218" s="15"/>
      <c r="AT5218" s="15"/>
      <c r="AU5218" s="15"/>
      <c r="AV5218" s="15"/>
      <c r="AW5218" s="15"/>
    </row>
    <row r="5219" spans="3:49" x14ac:dyDescent="0.2">
      <c r="C5219" s="15"/>
      <c r="D5219" s="15"/>
      <c r="E5219" s="15"/>
      <c r="F5219" s="15"/>
      <c r="G5219" s="15"/>
      <c r="H5219" s="15"/>
      <c r="I5219" s="15"/>
      <c r="J5219" s="15"/>
      <c r="K5219" s="15"/>
      <c r="L5219" s="28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  <c r="AA5219" s="15"/>
      <c r="AB5219" s="15"/>
      <c r="AC5219" s="15"/>
      <c r="AD5219" s="15"/>
      <c r="AE5219" s="15"/>
      <c r="AF5219" s="15"/>
      <c r="AG5219" s="15"/>
      <c r="AH5219" s="15"/>
      <c r="AI5219" s="15"/>
      <c r="AJ5219" s="15"/>
      <c r="AK5219" s="15"/>
      <c r="AL5219" s="15"/>
      <c r="AM5219" s="15"/>
      <c r="AN5219" s="15"/>
      <c r="AO5219" s="15"/>
      <c r="AP5219" s="15"/>
      <c r="AQ5219" s="15"/>
      <c r="AR5219" s="15"/>
      <c r="AS5219" s="15"/>
      <c r="AT5219" s="15"/>
      <c r="AU5219" s="15"/>
      <c r="AV5219" s="15"/>
      <c r="AW5219" s="15"/>
    </row>
    <row r="5220" spans="3:49" x14ac:dyDescent="0.2">
      <c r="C5220" s="15"/>
      <c r="D5220" s="15"/>
      <c r="E5220" s="15"/>
      <c r="F5220" s="15"/>
      <c r="G5220" s="15"/>
      <c r="H5220" s="15"/>
      <c r="I5220" s="15"/>
      <c r="J5220" s="15"/>
      <c r="K5220" s="15"/>
      <c r="L5220" s="28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  <c r="AA5220" s="15"/>
      <c r="AB5220" s="15"/>
      <c r="AC5220" s="15"/>
      <c r="AD5220" s="15"/>
      <c r="AE5220" s="15"/>
      <c r="AF5220" s="15"/>
      <c r="AG5220" s="15"/>
      <c r="AH5220" s="15"/>
      <c r="AI5220" s="15"/>
      <c r="AJ5220" s="15"/>
      <c r="AK5220" s="15"/>
      <c r="AL5220" s="15"/>
      <c r="AM5220" s="15"/>
      <c r="AN5220" s="15"/>
      <c r="AO5220" s="15"/>
      <c r="AP5220" s="15"/>
      <c r="AQ5220" s="15"/>
      <c r="AR5220" s="15"/>
      <c r="AS5220" s="15"/>
      <c r="AT5220" s="15"/>
      <c r="AU5220" s="15"/>
      <c r="AV5220" s="15"/>
      <c r="AW5220" s="15"/>
    </row>
    <row r="5221" spans="3:49" x14ac:dyDescent="0.2">
      <c r="C5221" s="15"/>
      <c r="D5221" s="15"/>
      <c r="E5221" s="15"/>
      <c r="F5221" s="15"/>
      <c r="G5221" s="15"/>
      <c r="H5221" s="15"/>
      <c r="I5221" s="15"/>
      <c r="J5221" s="15"/>
      <c r="K5221" s="15"/>
      <c r="L5221" s="28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  <c r="AA5221" s="15"/>
      <c r="AB5221" s="15"/>
      <c r="AC5221" s="15"/>
      <c r="AD5221" s="15"/>
      <c r="AE5221" s="15"/>
      <c r="AF5221" s="15"/>
      <c r="AG5221" s="15"/>
      <c r="AH5221" s="15"/>
      <c r="AI5221" s="15"/>
      <c r="AJ5221" s="15"/>
      <c r="AK5221" s="15"/>
      <c r="AL5221" s="15"/>
      <c r="AM5221" s="15"/>
      <c r="AN5221" s="15"/>
      <c r="AO5221" s="15"/>
      <c r="AP5221" s="15"/>
      <c r="AQ5221" s="15"/>
      <c r="AR5221" s="15"/>
      <c r="AS5221" s="15"/>
      <c r="AT5221" s="15"/>
      <c r="AU5221" s="15"/>
      <c r="AV5221" s="15"/>
      <c r="AW5221" s="15"/>
    </row>
    <row r="5222" spans="3:49" x14ac:dyDescent="0.2">
      <c r="C5222" s="15"/>
      <c r="D5222" s="15"/>
      <c r="E5222" s="15"/>
      <c r="F5222" s="15"/>
      <c r="G5222" s="15"/>
      <c r="H5222" s="15"/>
      <c r="I5222" s="15"/>
      <c r="J5222" s="15"/>
      <c r="K5222" s="15"/>
      <c r="L5222" s="28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  <c r="AA5222" s="15"/>
      <c r="AB5222" s="15"/>
      <c r="AC5222" s="15"/>
      <c r="AD5222" s="15"/>
      <c r="AE5222" s="15"/>
      <c r="AF5222" s="15"/>
      <c r="AG5222" s="15"/>
      <c r="AH5222" s="15"/>
      <c r="AI5222" s="15"/>
      <c r="AJ5222" s="15"/>
      <c r="AK5222" s="15"/>
      <c r="AL5222" s="15"/>
      <c r="AM5222" s="15"/>
      <c r="AN5222" s="15"/>
      <c r="AO5222" s="15"/>
      <c r="AP5222" s="15"/>
      <c r="AQ5222" s="15"/>
      <c r="AR5222" s="15"/>
      <c r="AS5222" s="15"/>
      <c r="AT5222" s="15"/>
      <c r="AU5222" s="15"/>
      <c r="AV5222" s="15"/>
      <c r="AW5222" s="15"/>
    </row>
    <row r="5223" spans="3:49" x14ac:dyDescent="0.2">
      <c r="C5223" s="15"/>
      <c r="D5223" s="15"/>
      <c r="E5223" s="15"/>
      <c r="F5223" s="15"/>
      <c r="G5223" s="15"/>
      <c r="H5223" s="15"/>
      <c r="I5223" s="15"/>
      <c r="J5223" s="15"/>
      <c r="K5223" s="15"/>
      <c r="L5223" s="28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  <c r="AA5223" s="15"/>
      <c r="AB5223" s="15"/>
      <c r="AC5223" s="15"/>
      <c r="AD5223" s="15"/>
      <c r="AE5223" s="15"/>
      <c r="AF5223" s="15"/>
      <c r="AG5223" s="15"/>
      <c r="AH5223" s="15"/>
      <c r="AI5223" s="15"/>
      <c r="AJ5223" s="15"/>
      <c r="AK5223" s="15"/>
      <c r="AL5223" s="15"/>
      <c r="AM5223" s="15"/>
      <c r="AN5223" s="15"/>
      <c r="AO5223" s="15"/>
      <c r="AP5223" s="15"/>
      <c r="AQ5223" s="15"/>
      <c r="AR5223" s="15"/>
      <c r="AS5223" s="15"/>
      <c r="AT5223" s="15"/>
      <c r="AU5223" s="15"/>
      <c r="AV5223" s="15"/>
      <c r="AW5223" s="15"/>
    </row>
    <row r="5224" spans="3:49" x14ac:dyDescent="0.2">
      <c r="C5224" s="15"/>
      <c r="D5224" s="15"/>
      <c r="E5224" s="15"/>
      <c r="F5224" s="15"/>
      <c r="G5224" s="15"/>
      <c r="H5224" s="15"/>
      <c r="I5224" s="15"/>
      <c r="J5224" s="15"/>
      <c r="K5224" s="15"/>
      <c r="L5224" s="28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  <c r="AA5224" s="15"/>
      <c r="AB5224" s="15"/>
      <c r="AC5224" s="15"/>
      <c r="AD5224" s="15"/>
      <c r="AE5224" s="15"/>
      <c r="AF5224" s="15"/>
      <c r="AG5224" s="15"/>
      <c r="AH5224" s="15"/>
      <c r="AI5224" s="15"/>
      <c r="AJ5224" s="15"/>
      <c r="AK5224" s="15"/>
      <c r="AL5224" s="15"/>
      <c r="AM5224" s="15"/>
      <c r="AN5224" s="15"/>
      <c r="AO5224" s="15"/>
      <c r="AP5224" s="15"/>
      <c r="AQ5224" s="15"/>
      <c r="AR5224" s="15"/>
      <c r="AS5224" s="15"/>
      <c r="AT5224" s="15"/>
      <c r="AU5224" s="15"/>
      <c r="AV5224" s="15"/>
      <c r="AW5224" s="15"/>
    </row>
    <row r="5225" spans="3:49" x14ac:dyDescent="0.2">
      <c r="C5225" s="15"/>
      <c r="D5225" s="15"/>
      <c r="E5225" s="15"/>
      <c r="F5225" s="15"/>
      <c r="G5225" s="15"/>
      <c r="H5225" s="15"/>
      <c r="I5225" s="15"/>
      <c r="J5225" s="15"/>
      <c r="K5225" s="15"/>
      <c r="L5225" s="28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  <c r="AA5225" s="15"/>
      <c r="AB5225" s="15"/>
      <c r="AC5225" s="15"/>
      <c r="AD5225" s="15"/>
      <c r="AE5225" s="15"/>
      <c r="AF5225" s="15"/>
      <c r="AG5225" s="15"/>
      <c r="AH5225" s="15"/>
      <c r="AI5225" s="15"/>
      <c r="AJ5225" s="15"/>
      <c r="AK5225" s="15"/>
      <c r="AL5225" s="15"/>
      <c r="AM5225" s="15"/>
      <c r="AN5225" s="15"/>
      <c r="AO5225" s="15"/>
      <c r="AP5225" s="15"/>
      <c r="AQ5225" s="15"/>
      <c r="AR5225" s="15"/>
      <c r="AS5225" s="15"/>
      <c r="AT5225" s="15"/>
      <c r="AU5225" s="15"/>
      <c r="AV5225" s="15"/>
      <c r="AW5225" s="15"/>
    </row>
    <row r="5226" spans="3:49" x14ac:dyDescent="0.2">
      <c r="C5226" s="15"/>
      <c r="D5226" s="15"/>
      <c r="E5226" s="15"/>
      <c r="F5226" s="15"/>
      <c r="G5226" s="15"/>
      <c r="H5226" s="15"/>
      <c r="I5226" s="15"/>
      <c r="J5226" s="15"/>
      <c r="K5226" s="15"/>
      <c r="L5226" s="28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  <c r="AA5226" s="15"/>
      <c r="AB5226" s="15"/>
      <c r="AC5226" s="15"/>
      <c r="AD5226" s="15"/>
      <c r="AE5226" s="15"/>
      <c r="AF5226" s="15"/>
      <c r="AG5226" s="15"/>
      <c r="AH5226" s="15"/>
      <c r="AI5226" s="15"/>
      <c r="AJ5226" s="15"/>
      <c r="AK5226" s="15"/>
      <c r="AL5226" s="15"/>
      <c r="AM5226" s="15"/>
      <c r="AN5226" s="15"/>
      <c r="AO5226" s="15"/>
      <c r="AP5226" s="15"/>
      <c r="AQ5226" s="15"/>
      <c r="AR5226" s="15"/>
      <c r="AS5226" s="15"/>
      <c r="AT5226" s="15"/>
      <c r="AU5226" s="15"/>
      <c r="AV5226" s="15"/>
      <c r="AW5226" s="15"/>
    </row>
    <row r="5227" spans="3:49" x14ac:dyDescent="0.2">
      <c r="C5227" s="15"/>
      <c r="D5227" s="15"/>
      <c r="E5227" s="15"/>
      <c r="F5227" s="15"/>
      <c r="G5227" s="15"/>
      <c r="H5227" s="15"/>
      <c r="I5227" s="15"/>
      <c r="J5227" s="15"/>
      <c r="K5227" s="15"/>
      <c r="L5227" s="28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  <c r="AA5227" s="15"/>
      <c r="AB5227" s="15"/>
      <c r="AC5227" s="15"/>
      <c r="AD5227" s="15"/>
      <c r="AE5227" s="15"/>
      <c r="AF5227" s="15"/>
      <c r="AG5227" s="15"/>
      <c r="AH5227" s="15"/>
      <c r="AI5227" s="15"/>
      <c r="AJ5227" s="15"/>
      <c r="AK5227" s="15"/>
      <c r="AL5227" s="15"/>
      <c r="AM5227" s="15"/>
      <c r="AN5227" s="15"/>
      <c r="AO5227" s="15"/>
      <c r="AP5227" s="15"/>
      <c r="AQ5227" s="15"/>
      <c r="AR5227" s="15"/>
      <c r="AS5227" s="15"/>
      <c r="AT5227" s="15"/>
      <c r="AU5227" s="15"/>
      <c r="AV5227" s="15"/>
      <c r="AW5227" s="15"/>
    </row>
    <row r="5228" spans="3:49" x14ac:dyDescent="0.2">
      <c r="C5228" s="15"/>
      <c r="D5228" s="15"/>
      <c r="E5228" s="15"/>
      <c r="F5228" s="15"/>
      <c r="G5228" s="15"/>
      <c r="H5228" s="15"/>
      <c r="I5228" s="15"/>
      <c r="J5228" s="15"/>
      <c r="K5228" s="15"/>
      <c r="L5228" s="28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  <c r="AA5228" s="15"/>
      <c r="AB5228" s="15"/>
      <c r="AC5228" s="15"/>
      <c r="AD5228" s="15"/>
      <c r="AE5228" s="15"/>
      <c r="AF5228" s="15"/>
      <c r="AG5228" s="15"/>
      <c r="AH5228" s="15"/>
      <c r="AI5228" s="15"/>
      <c r="AJ5228" s="15"/>
      <c r="AK5228" s="15"/>
      <c r="AL5228" s="15"/>
      <c r="AM5228" s="15"/>
      <c r="AN5228" s="15"/>
      <c r="AO5228" s="15"/>
      <c r="AP5228" s="15"/>
      <c r="AQ5228" s="15"/>
      <c r="AR5228" s="15"/>
      <c r="AS5228" s="15"/>
      <c r="AT5228" s="15"/>
      <c r="AU5228" s="15"/>
      <c r="AV5228" s="15"/>
      <c r="AW5228" s="15"/>
    </row>
    <row r="5229" spans="3:49" x14ac:dyDescent="0.2">
      <c r="C5229" s="15"/>
      <c r="D5229" s="15"/>
      <c r="E5229" s="15"/>
      <c r="F5229" s="15"/>
      <c r="G5229" s="15"/>
      <c r="H5229" s="15"/>
      <c r="I5229" s="15"/>
      <c r="J5229" s="15"/>
      <c r="K5229" s="15"/>
      <c r="L5229" s="28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  <c r="AA5229" s="15"/>
      <c r="AB5229" s="15"/>
      <c r="AC5229" s="15"/>
      <c r="AD5229" s="15"/>
      <c r="AE5229" s="15"/>
      <c r="AF5229" s="15"/>
      <c r="AG5229" s="15"/>
      <c r="AH5229" s="15"/>
      <c r="AI5229" s="15"/>
      <c r="AJ5229" s="15"/>
      <c r="AK5229" s="15"/>
      <c r="AL5229" s="15"/>
      <c r="AM5229" s="15"/>
      <c r="AN5229" s="15"/>
      <c r="AO5229" s="15"/>
      <c r="AP5229" s="15"/>
      <c r="AQ5229" s="15"/>
      <c r="AR5229" s="15"/>
      <c r="AS5229" s="15"/>
      <c r="AT5229" s="15"/>
      <c r="AU5229" s="15"/>
      <c r="AV5229" s="15"/>
      <c r="AW5229" s="15"/>
    </row>
    <row r="5230" spans="3:49" x14ac:dyDescent="0.2">
      <c r="C5230" s="15"/>
      <c r="D5230" s="15"/>
      <c r="E5230" s="15"/>
      <c r="F5230" s="15"/>
      <c r="G5230" s="15"/>
      <c r="H5230" s="15"/>
      <c r="I5230" s="15"/>
      <c r="J5230" s="15"/>
      <c r="K5230" s="15"/>
      <c r="L5230" s="28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  <c r="AA5230" s="15"/>
      <c r="AB5230" s="15"/>
      <c r="AC5230" s="15"/>
      <c r="AD5230" s="15"/>
      <c r="AE5230" s="15"/>
      <c r="AF5230" s="15"/>
      <c r="AG5230" s="15"/>
      <c r="AH5230" s="15"/>
      <c r="AI5230" s="15"/>
      <c r="AJ5230" s="15"/>
      <c r="AK5230" s="15"/>
      <c r="AL5230" s="15"/>
      <c r="AM5230" s="15"/>
      <c r="AN5230" s="15"/>
      <c r="AO5230" s="15"/>
      <c r="AP5230" s="15"/>
      <c r="AQ5230" s="15"/>
      <c r="AR5230" s="15"/>
      <c r="AS5230" s="15"/>
      <c r="AT5230" s="15"/>
      <c r="AU5230" s="15"/>
      <c r="AV5230" s="15"/>
      <c r="AW5230" s="15"/>
    </row>
    <row r="5231" spans="3:49" x14ac:dyDescent="0.2">
      <c r="C5231" s="15"/>
      <c r="D5231" s="15"/>
      <c r="E5231" s="15"/>
      <c r="F5231" s="15"/>
      <c r="G5231" s="15"/>
      <c r="H5231" s="15"/>
      <c r="I5231" s="15"/>
      <c r="J5231" s="15"/>
      <c r="K5231" s="15"/>
      <c r="L5231" s="28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  <c r="AA5231" s="15"/>
      <c r="AB5231" s="15"/>
      <c r="AC5231" s="15"/>
      <c r="AD5231" s="15"/>
      <c r="AE5231" s="15"/>
      <c r="AF5231" s="15"/>
      <c r="AG5231" s="15"/>
      <c r="AH5231" s="15"/>
      <c r="AI5231" s="15"/>
      <c r="AJ5231" s="15"/>
      <c r="AK5231" s="15"/>
      <c r="AL5231" s="15"/>
      <c r="AM5231" s="15"/>
      <c r="AN5231" s="15"/>
      <c r="AO5231" s="15"/>
      <c r="AP5231" s="15"/>
      <c r="AQ5231" s="15"/>
      <c r="AR5231" s="15"/>
      <c r="AS5231" s="15"/>
      <c r="AT5231" s="15"/>
      <c r="AU5231" s="15"/>
      <c r="AV5231" s="15"/>
      <c r="AW5231" s="15"/>
    </row>
    <row r="5232" spans="3:49" x14ac:dyDescent="0.2">
      <c r="C5232" s="15"/>
      <c r="D5232" s="15"/>
      <c r="E5232" s="15"/>
      <c r="F5232" s="15"/>
      <c r="G5232" s="15"/>
      <c r="H5232" s="15"/>
      <c r="I5232" s="15"/>
      <c r="J5232" s="15"/>
      <c r="K5232" s="15"/>
      <c r="L5232" s="28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  <c r="AA5232" s="15"/>
      <c r="AB5232" s="15"/>
      <c r="AC5232" s="15"/>
      <c r="AD5232" s="15"/>
      <c r="AE5232" s="15"/>
      <c r="AF5232" s="15"/>
      <c r="AG5232" s="15"/>
      <c r="AH5232" s="15"/>
      <c r="AI5232" s="15"/>
      <c r="AJ5232" s="15"/>
      <c r="AK5232" s="15"/>
      <c r="AL5232" s="15"/>
      <c r="AM5232" s="15"/>
      <c r="AN5232" s="15"/>
      <c r="AO5232" s="15"/>
      <c r="AP5232" s="15"/>
      <c r="AQ5232" s="15"/>
      <c r="AR5232" s="15"/>
      <c r="AS5232" s="15"/>
      <c r="AT5232" s="15"/>
      <c r="AU5232" s="15"/>
      <c r="AV5232" s="15"/>
      <c r="AW5232" s="15"/>
    </row>
    <row r="5233" spans="3:49" x14ac:dyDescent="0.2">
      <c r="C5233" s="15"/>
      <c r="D5233" s="15"/>
      <c r="E5233" s="15"/>
      <c r="F5233" s="15"/>
      <c r="G5233" s="15"/>
      <c r="H5233" s="15"/>
      <c r="I5233" s="15"/>
      <c r="J5233" s="15"/>
      <c r="K5233" s="15"/>
      <c r="L5233" s="28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  <c r="AA5233" s="15"/>
      <c r="AB5233" s="15"/>
      <c r="AC5233" s="15"/>
      <c r="AD5233" s="15"/>
      <c r="AE5233" s="15"/>
      <c r="AF5233" s="15"/>
      <c r="AG5233" s="15"/>
      <c r="AH5233" s="15"/>
      <c r="AI5233" s="15"/>
      <c r="AJ5233" s="15"/>
      <c r="AK5233" s="15"/>
      <c r="AL5233" s="15"/>
      <c r="AM5233" s="15"/>
      <c r="AN5233" s="15"/>
      <c r="AO5233" s="15"/>
      <c r="AP5233" s="15"/>
      <c r="AQ5233" s="15"/>
      <c r="AR5233" s="15"/>
      <c r="AS5233" s="15"/>
      <c r="AT5233" s="15"/>
      <c r="AU5233" s="15"/>
      <c r="AV5233" s="15"/>
      <c r="AW5233" s="15"/>
    </row>
    <row r="5234" spans="3:49" x14ac:dyDescent="0.2">
      <c r="C5234" s="15"/>
      <c r="D5234" s="15"/>
      <c r="E5234" s="15"/>
      <c r="F5234" s="15"/>
      <c r="G5234" s="15"/>
      <c r="H5234" s="15"/>
      <c r="I5234" s="15"/>
      <c r="J5234" s="15"/>
      <c r="K5234" s="15"/>
      <c r="L5234" s="28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  <c r="AA5234" s="15"/>
      <c r="AB5234" s="15"/>
      <c r="AC5234" s="15"/>
      <c r="AD5234" s="15"/>
      <c r="AE5234" s="15"/>
      <c r="AF5234" s="15"/>
      <c r="AG5234" s="15"/>
      <c r="AH5234" s="15"/>
      <c r="AI5234" s="15"/>
      <c r="AJ5234" s="15"/>
      <c r="AK5234" s="15"/>
      <c r="AL5234" s="15"/>
      <c r="AM5234" s="15"/>
      <c r="AN5234" s="15"/>
      <c r="AO5234" s="15"/>
      <c r="AP5234" s="15"/>
      <c r="AQ5234" s="15"/>
      <c r="AR5234" s="15"/>
      <c r="AS5234" s="15"/>
      <c r="AT5234" s="15"/>
      <c r="AU5234" s="15"/>
      <c r="AV5234" s="15"/>
      <c r="AW5234" s="15"/>
    </row>
    <row r="5235" spans="3:49" x14ac:dyDescent="0.2">
      <c r="C5235" s="15"/>
      <c r="D5235" s="15"/>
      <c r="E5235" s="15"/>
      <c r="F5235" s="15"/>
      <c r="G5235" s="15"/>
      <c r="H5235" s="15"/>
      <c r="I5235" s="15"/>
      <c r="J5235" s="15"/>
      <c r="K5235" s="15"/>
      <c r="L5235" s="28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  <c r="AA5235" s="15"/>
      <c r="AB5235" s="15"/>
      <c r="AC5235" s="15"/>
      <c r="AD5235" s="15"/>
      <c r="AE5235" s="15"/>
      <c r="AF5235" s="15"/>
      <c r="AG5235" s="15"/>
      <c r="AH5235" s="15"/>
      <c r="AI5235" s="15"/>
      <c r="AJ5235" s="15"/>
      <c r="AK5235" s="15"/>
      <c r="AL5235" s="15"/>
      <c r="AM5235" s="15"/>
      <c r="AN5235" s="15"/>
      <c r="AO5235" s="15"/>
      <c r="AP5235" s="15"/>
      <c r="AQ5235" s="15"/>
      <c r="AR5235" s="15"/>
      <c r="AS5235" s="15"/>
      <c r="AT5235" s="15"/>
      <c r="AU5235" s="15"/>
      <c r="AV5235" s="15"/>
      <c r="AW5235" s="15"/>
    </row>
    <row r="5236" spans="3:49" x14ac:dyDescent="0.2">
      <c r="C5236" s="15"/>
      <c r="D5236" s="15"/>
      <c r="E5236" s="15"/>
      <c r="F5236" s="15"/>
      <c r="G5236" s="15"/>
      <c r="H5236" s="15"/>
      <c r="I5236" s="15"/>
      <c r="J5236" s="15"/>
      <c r="K5236" s="15"/>
      <c r="L5236" s="28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  <c r="AA5236" s="15"/>
      <c r="AB5236" s="15"/>
      <c r="AC5236" s="15"/>
      <c r="AD5236" s="15"/>
      <c r="AE5236" s="15"/>
      <c r="AF5236" s="15"/>
      <c r="AG5236" s="15"/>
      <c r="AH5236" s="15"/>
      <c r="AI5236" s="15"/>
      <c r="AJ5236" s="15"/>
      <c r="AK5236" s="15"/>
      <c r="AL5236" s="15"/>
      <c r="AM5236" s="15"/>
      <c r="AN5236" s="15"/>
      <c r="AO5236" s="15"/>
      <c r="AP5236" s="15"/>
      <c r="AQ5236" s="15"/>
      <c r="AR5236" s="15"/>
      <c r="AS5236" s="15"/>
      <c r="AT5236" s="15"/>
      <c r="AU5236" s="15"/>
      <c r="AV5236" s="15"/>
      <c r="AW5236" s="15"/>
    </row>
    <row r="5237" spans="3:49" x14ac:dyDescent="0.2">
      <c r="C5237" s="15"/>
      <c r="D5237" s="15"/>
      <c r="E5237" s="15"/>
      <c r="F5237" s="15"/>
      <c r="G5237" s="15"/>
      <c r="H5237" s="15"/>
      <c r="I5237" s="15"/>
      <c r="J5237" s="15"/>
      <c r="K5237" s="15"/>
      <c r="L5237" s="28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  <c r="AA5237" s="15"/>
      <c r="AB5237" s="15"/>
      <c r="AC5237" s="15"/>
      <c r="AD5237" s="15"/>
      <c r="AE5237" s="15"/>
      <c r="AF5237" s="15"/>
      <c r="AG5237" s="15"/>
      <c r="AH5237" s="15"/>
      <c r="AI5237" s="15"/>
      <c r="AJ5237" s="15"/>
      <c r="AK5237" s="15"/>
      <c r="AL5237" s="15"/>
      <c r="AM5237" s="15"/>
      <c r="AN5237" s="15"/>
      <c r="AO5237" s="15"/>
      <c r="AP5237" s="15"/>
      <c r="AQ5237" s="15"/>
      <c r="AR5237" s="15"/>
      <c r="AS5237" s="15"/>
      <c r="AT5237" s="15"/>
      <c r="AU5237" s="15"/>
      <c r="AV5237" s="15"/>
      <c r="AW5237" s="15"/>
    </row>
    <row r="5238" spans="3:49" x14ac:dyDescent="0.2">
      <c r="C5238" s="15"/>
      <c r="D5238" s="15"/>
      <c r="E5238" s="15"/>
      <c r="F5238" s="15"/>
      <c r="G5238" s="15"/>
      <c r="H5238" s="15"/>
      <c r="I5238" s="15"/>
      <c r="J5238" s="15"/>
      <c r="K5238" s="15"/>
      <c r="L5238" s="28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  <c r="AA5238" s="15"/>
      <c r="AB5238" s="15"/>
      <c r="AC5238" s="15"/>
      <c r="AD5238" s="15"/>
      <c r="AE5238" s="15"/>
      <c r="AF5238" s="15"/>
      <c r="AG5238" s="15"/>
      <c r="AH5238" s="15"/>
      <c r="AI5238" s="15"/>
      <c r="AJ5238" s="15"/>
      <c r="AK5238" s="15"/>
      <c r="AL5238" s="15"/>
      <c r="AM5238" s="15"/>
      <c r="AN5238" s="15"/>
      <c r="AO5238" s="15"/>
      <c r="AP5238" s="15"/>
      <c r="AQ5238" s="15"/>
      <c r="AR5238" s="15"/>
      <c r="AS5238" s="15"/>
      <c r="AT5238" s="15"/>
      <c r="AU5238" s="15"/>
      <c r="AV5238" s="15"/>
      <c r="AW5238" s="15"/>
    </row>
    <row r="5239" spans="3:49" x14ac:dyDescent="0.2">
      <c r="C5239" s="15"/>
      <c r="D5239" s="15"/>
      <c r="E5239" s="15"/>
      <c r="F5239" s="15"/>
      <c r="G5239" s="15"/>
      <c r="H5239" s="15"/>
      <c r="I5239" s="15"/>
      <c r="J5239" s="15"/>
      <c r="K5239" s="15"/>
      <c r="L5239" s="28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  <c r="AA5239" s="15"/>
      <c r="AB5239" s="15"/>
      <c r="AC5239" s="15"/>
      <c r="AD5239" s="15"/>
      <c r="AE5239" s="15"/>
      <c r="AF5239" s="15"/>
      <c r="AG5239" s="15"/>
      <c r="AH5239" s="15"/>
      <c r="AI5239" s="15"/>
      <c r="AJ5239" s="15"/>
      <c r="AK5239" s="15"/>
      <c r="AL5239" s="15"/>
      <c r="AM5239" s="15"/>
      <c r="AN5239" s="15"/>
      <c r="AO5239" s="15"/>
      <c r="AP5239" s="15"/>
      <c r="AQ5239" s="15"/>
      <c r="AR5239" s="15"/>
      <c r="AS5239" s="15"/>
      <c r="AT5239" s="15"/>
      <c r="AU5239" s="15"/>
      <c r="AV5239" s="15"/>
      <c r="AW5239" s="15"/>
    </row>
    <row r="5240" spans="3:49" x14ac:dyDescent="0.2">
      <c r="C5240" s="15"/>
      <c r="D5240" s="15"/>
      <c r="E5240" s="15"/>
      <c r="F5240" s="15"/>
      <c r="G5240" s="15"/>
      <c r="H5240" s="15"/>
      <c r="I5240" s="15"/>
      <c r="J5240" s="15"/>
      <c r="K5240" s="15"/>
      <c r="L5240" s="28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  <c r="AA5240" s="15"/>
      <c r="AB5240" s="15"/>
      <c r="AC5240" s="15"/>
      <c r="AD5240" s="15"/>
      <c r="AE5240" s="15"/>
      <c r="AF5240" s="15"/>
      <c r="AG5240" s="15"/>
      <c r="AH5240" s="15"/>
      <c r="AI5240" s="15"/>
      <c r="AJ5240" s="15"/>
      <c r="AK5240" s="15"/>
      <c r="AL5240" s="15"/>
      <c r="AM5240" s="15"/>
      <c r="AN5240" s="15"/>
      <c r="AO5240" s="15"/>
      <c r="AP5240" s="15"/>
      <c r="AQ5240" s="15"/>
      <c r="AR5240" s="15"/>
      <c r="AS5240" s="15"/>
      <c r="AT5240" s="15"/>
      <c r="AU5240" s="15"/>
      <c r="AV5240" s="15"/>
      <c r="AW5240" s="15"/>
    </row>
    <row r="5241" spans="3:49" x14ac:dyDescent="0.2">
      <c r="C5241" s="15"/>
      <c r="D5241" s="15"/>
      <c r="E5241" s="15"/>
      <c r="F5241" s="15"/>
      <c r="G5241" s="15"/>
      <c r="H5241" s="15"/>
      <c r="I5241" s="15"/>
      <c r="J5241" s="15"/>
      <c r="K5241" s="15"/>
      <c r="L5241" s="28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  <c r="AA5241" s="15"/>
      <c r="AB5241" s="15"/>
      <c r="AC5241" s="15"/>
      <c r="AD5241" s="15"/>
      <c r="AE5241" s="15"/>
      <c r="AF5241" s="15"/>
      <c r="AG5241" s="15"/>
      <c r="AH5241" s="15"/>
      <c r="AI5241" s="15"/>
      <c r="AJ5241" s="15"/>
      <c r="AK5241" s="15"/>
      <c r="AL5241" s="15"/>
      <c r="AM5241" s="15"/>
      <c r="AN5241" s="15"/>
      <c r="AO5241" s="15"/>
      <c r="AP5241" s="15"/>
      <c r="AQ5241" s="15"/>
      <c r="AR5241" s="15"/>
      <c r="AS5241" s="15"/>
      <c r="AT5241" s="15"/>
      <c r="AU5241" s="15"/>
      <c r="AV5241" s="15"/>
      <c r="AW5241" s="15"/>
    </row>
    <row r="5242" spans="3:49" x14ac:dyDescent="0.2">
      <c r="C5242" s="15"/>
      <c r="D5242" s="15"/>
      <c r="E5242" s="15"/>
      <c r="F5242" s="15"/>
      <c r="G5242" s="15"/>
      <c r="H5242" s="15"/>
      <c r="I5242" s="15"/>
      <c r="J5242" s="15"/>
      <c r="K5242" s="15"/>
      <c r="L5242" s="28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  <c r="AA5242" s="15"/>
      <c r="AB5242" s="15"/>
      <c r="AC5242" s="15"/>
      <c r="AD5242" s="15"/>
      <c r="AE5242" s="15"/>
      <c r="AF5242" s="15"/>
      <c r="AG5242" s="15"/>
      <c r="AH5242" s="15"/>
      <c r="AI5242" s="15"/>
      <c r="AJ5242" s="15"/>
      <c r="AK5242" s="15"/>
      <c r="AL5242" s="15"/>
      <c r="AM5242" s="15"/>
      <c r="AN5242" s="15"/>
      <c r="AO5242" s="15"/>
      <c r="AP5242" s="15"/>
      <c r="AQ5242" s="15"/>
      <c r="AR5242" s="15"/>
      <c r="AS5242" s="15"/>
      <c r="AT5242" s="15"/>
      <c r="AU5242" s="15"/>
      <c r="AV5242" s="15"/>
      <c r="AW5242" s="15"/>
    </row>
    <row r="5243" spans="3:49" x14ac:dyDescent="0.2">
      <c r="C5243" s="15"/>
      <c r="D5243" s="15"/>
      <c r="E5243" s="15"/>
      <c r="F5243" s="15"/>
      <c r="G5243" s="15"/>
      <c r="H5243" s="15"/>
      <c r="I5243" s="15"/>
      <c r="J5243" s="15"/>
      <c r="K5243" s="15"/>
      <c r="L5243" s="28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  <c r="AA5243" s="15"/>
      <c r="AB5243" s="15"/>
      <c r="AC5243" s="15"/>
      <c r="AD5243" s="15"/>
      <c r="AE5243" s="15"/>
      <c r="AF5243" s="15"/>
      <c r="AG5243" s="15"/>
      <c r="AH5243" s="15"/>
      <c r="AI5243" s="15"/>
      <c r="AJ5243" s="15"/>
      <c r="AK5243" s="15"/>
      <c r="AL5243" s="15"/>
      <c r="AM5243" s="15"/>
      <c r="AN5243" s="15"/>
      <c r="AO5243" s="15"/>
      <c r="AP5243" s="15"/>
      <c r="AQ5243" s="15"/>
      <c r="AR5243" s="15"/>
      <c r="AS5243" s="15"/>
      <c r="AT5243" s="15"/>
      <c r="AU5243" s="15"/>
      <c r="AV5243" s="15"/>
      <c r="AW5243" s="15"/>
    </row>
    <row r="5244" spans="3:49" x14ac:dyDescent="0.2">
      <c r="C5244" s="15"/>
      <c r="D5244" s="15"/>
      <c r="E5244" s="15"/>
      <c r="F5244" s="15"/>
      <c r="G5244" s="15"/>
      <c r="H5244" s="15"/>
      <c r="I5244" s="15"/>
      <c r="J5244" s="15"/>
      <c r="K5244" s="15"/>
      <c r="L5244" s="28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  <c r="AA5244" s="15"/>
      <c r="AB5244" s="15"/>
      <c r="AC5244" s="15"/>
      <c r="AD5244" s="15"/>
      <c r="AE5244" s="15"/>
      <c r="AF5244" s="15"/>
      <c r="AG5244" s="15"/>
      <c r="AH5244" s="15"/>
      <c r="AI5244" s="15"/>
      <c r="AJ5244" s="15"/>
      <c r="AK5244" s="15"/>
      <c r="AL5244" s="15"/>
      <c r="AM5244" s="15"/>
      <c r="AN5244" s="15"/>
      <c r="AO5244" s="15"/>
      <c r="AP5244" s="15"/>
      <c r="AQ5244" s="15"/>
      <c r="AR5244" s="15"/>
      <c r="AS5244" s="15"/>
      <c r="AT5244" s="15"/>
      <c r="AU5244" s="15"/>
      <c r="AV5244" s="15"/>
      <c r="AW5244" s="15"/>
    </row>
    <row r="5245" spans="3:49" x14ac:dyDescent="0.2">
      <c r="C5245" s="15"/>
      <c r="D5245" s="15"/>
      <c r="E5245" s="15"/>
      <c r="F5245" s="15"/>
      <c r="G5245" s="15"/>
      <c r="H5245" s="15"/>
      <c r="I5245" s="15"/>
      <c r="J5245" s="15"/>
      <c r="K5245" s="15"/>
      <c r="L5245" s="28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  <c r="AA5245" s="15"/>
      <c r="AB5245" s="15"/>
      <c r="AC5245" s="15"/>
      <c r="AD5245" s="15"/>
      <c r="AE5245" s="15"/>
      <c r="AF5245" s="15"/>
      <c r="AG5245" s="15"/>
      <c r="AH5245" s="15"/>
      <c r="AI5245" s="15"/>
      <c r="AJ5245" s="15"/>
      <c r="AK5245" s="15"/>
      <c r="AL5245" s="15"/>
      <c r="AM5245" s="15"/>
      <c r="AN5245" s="15"/>
      <c r="AO5245" s="15"/>
      <c r="AP5245" s="15"/>
      <c r="AQ5245" s="15"/>
      <c r="AR5245" s="15"/>
      <c r="AS5245" s="15"/>
      <c r="AT5245" s="15"/>
      <c r="AU5245" s="15"/>
      <c r="AV5245" s="15"/>
      <c r="AW5245" s="15"/>
    </row>
    <row r="5246" spans="3:49" x14ac:dyDescent="0.2">
      <c r="C5246" s="15"/>
      <c r="D5246" s="15"/>
      <c r="E5246" s="15"/>
      <c r="F5246" s="15"/>
      <c r="G5246" s="15"/>
      <c r="H5246" s="15"/>
      <c r="I5246" s="15"/>
      <c r="J5246" s="15"/>
      <c r="K5246" s="15"/>
      <c r="L5246" s="28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  <c r="AA5246" s="15"/>
      <c r="AB5246" s="15"/>
      <c r="AC5246" s="15"/>
      <c r="AD5246" s="15"/>
      <c r="AE5246" s="15"/>
      <c r="AF5246" s="15"/>
      <c r="AG5246" s="15"/>
      <c r="AH5246" s="15"/>
      <c r="AI5246" s="15"/>
      <c r="AJ5246" s="15"/>
      <c r="AK5246" s="15"/>
      <c r="AL5246" s="15"/>
      <c r="AM5246" s="15"/>
      <c r="AN5246" s="15"/>
      <c r="AO5246" s="15"/>
      <c r="AP5246" s="15"/>
      <c r="AQ5246" s="15"/>
      <c r="AR5246" s="15"/>
      <c r="AS5246" s="15"/>
      <c r="AT5246" s="15"/>
      <c r="AU5246" s="15"/>
      <c r="AV5246" s="15"/>
      <c r="AW5246" s="15"/>
    </row>
    <row r="5247" spans="3:49" x14ac:dyDescent="0.2">
      <c r="C5247" s="15"/>
      <c r="D5247" s="15"/>
      <c r="E5247" s="15"/>
      <c r="F5247" s="15"/>
      <c r="G5247" s="15"/>
      <c r="H5247" s="15"/>
      <c r="I5247" s="15"/>
      <c r="J5247" s="15"/>
      <c r="K5247" s="15"/>
      <c r="L5247" s="28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  <c r="AA5247" s="15"/>
      <c r="AB5247" s="15"/>
      <c r="AC5247" s="15"/>
      <c r="AD5247" s="15"/>
      <c r="AE5247" s="15"/>
      <c r="AF5247" s="15"/>
      <c r="AG5247" s="15"/>
      <c r="AH5247" s="15"/>
      <c r="AI5247" s="15"/>
      <c r="AJ5247" s="15"/>
      <c r="AK5247" s="15"/>
      <c r="AL5247" s="15"/>
      <c r="AM5247" s="15"/>
      <c r="AN5247" s="15"/>
      <c r="AO5247" s="15"/>
      <c r="AP5247" s="15"/>
      <c r="AQ5247" s="15"/>
      <c r="AR5247" s="15"/>
      <c r="AS5247" s="15"/>
      <c r="AT5247" s="15"/>
      <c r="AU5247" s="15"/>
      <c r="AV5247" s="15"/>
      <c r="AW5247" s="15"/>
    </row>
    <row r="5248" spans="3:49" x14ac:dyDescent="0.2">
      <c r="C5248" s="15"/>
      <c r="D5248" s="15"/>
      <c r="E5248" s="15"/>
      <c r="F5248" s="15"/>
      <c r="G5248" s="15"/>
      <c r="H5248" s="15"/>
      <c r="I5248" s="15"/>
      <c r="J5248" s="15"/>
      <c r="K5248" s="15"/>
      <c r="L5248" s="28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  <c r="AA5248" s="15"/>
      <c r="AB5248" s="15"/>
      <c r="AC5248" s="15"/>
      <c r="AD5248" s="15"/>
      <c r="AE5248" s="15"/>
      <c r="AF5248" s="15"/>
      <c r="AG5248" s="15"/>
      <c r="AH5248" s="15"/>
      <c r="AI5248" s="15"/>
      <c r="AJ5248" s="15"/>
      <c r="AK5248" s="15"/>
      <c r="AL5248" s="15"/>
      <c r="AM5248" s="15"/>
      <c r="AN5248" s="15"/>
      <c r="AO5248" s="15"/>
      <c r="AP5248" s="15"/>
      <c r="AQ5248" s="15"/>
      <c r="AR5248" s="15"/>
      <c r="AS5248" s="15"/>
      <c r="AT5248" s="15"/>
      <c r="AU5248" s="15"/>
      <c r="AV5248" s="15"/>
      <c r="AW5248" s="15"/>
    </row>
    <row r="5249" spans="3:49" x14ac:dyDescent="0.2">
      <c r="C5249" s="15"/>
      <c r="D5249" s="15"/>
      <c r="E5249" s="15"/>
      <c r="F5249" s="15"/>
      <c r="G5249" s="15"/>
      <c r="H5249" s="15"/>
      <c r="I5249" s="15"/>
      <c r="J5249" s="15"/>
      <c r="K5249" s="15"/>
      <c r="L5249" s="28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  <c r="AA5249" s="15"/>
      <c r="AB5249" s="15"/>
      <c r="AC5249" s="15"/>
      <c r="AD5249" s="15"/>
      <c r="AE5249" s="15"/>
      <c r="AF5249" s="15"/>
      <c r="AG5249" s="15"/>
      <c r="AH5249" s="15"/>
      <c r="AI5249" s="15"/>
      <c r="AJ5249" s="15"/>
      <c r="AK5249" s="15"/>
      <c r="AL5249" s="15"/>
      <c r="AM5249" s="15"/>
      <c r="AN5249" s="15"/>
      <c r="AO5249" s="15"/>
      <c r="AP5249" s="15"/>
      <c r="AQ5249" s="15"/>
      <c r="AR5249" s="15"/>
      <c r="AS5249" s="15"/>
      <c r="AT5249" s="15"/>
      <c r="AU5249" s="15"/>
      <c r="AV5249" s="15"/>
      <c r="AW5249" s="15"/>
    </row>
    <row r="5250" spans="3:49" x14ac:dyDescent="0.2">
      <c r="C5250" s="15"/>
      <c r="D5250" s="15"/>
      <c r="E5250" s="15"/>
      <c r="F5250" s="15"/>
      <c r="G5250" s="15"/>
      <c r="H5250" s="15"/>
      <c r="I5250" s="15"/>
      <c r="J5250" s="15"/>
      <c r="K5250" s="15"/>
      <c r="L5250" s="28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  <c r="AA5250" s="15"/>
      <c r="AB5250" s="15"/>
      <c r="AC5250" s="15"/>
      <c r="AD5250" s="15"/>
      <c r="AE5250" s="15"/>
      <c r="AF5250" s="15"/>
      <c r="AG5250" s="15"/>
      <c r="AH5250" s="15"/>
      <c r="AI5250" s="15"/>
      <c r="AJ5250" s="15"/>
      <c r="AK5250" s="15"/>
      <c r="AL5250" s="15"/>
      <c r="AM5250" s="15"/>
      <c r="AN5250" s="15"/>
      <c r="AO5250" s="15"/>
      <c r="AP5250" s="15"/>
      <c r="AQ5250" s="15"/>
      <c r="AR5250" s="15"/>
      <c r="AS5250" s="15"/>
      <c r="AT5250" s="15"/>
      <c r="AU5250" s="15"/>
      <c r="AV5250" s="15"/>
      <c r="AW5250" s="15"/>
    </row>
    <row r="5251" spans="3:49" x14ac:dyDescent="0.2">
      <c r="C5251" s="15"/>
      <c r="D5251" s="15"/>
      <c r="E5251" s="15"/>
      <c r="F5251" s="15"/>
      <c r="G5251" s="15"/>
      <c r="H5251" s="15"/>
      <c r="I5251" s="15"/>
      <c r="J5251" s="15"/>
      <c r="K5251" s="15"/>
      <c r="L5251" s="28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  <c r="AA5251" s="15"/>
      <c r="AB5251" s="15"/>
      <c r="AC5251" s="15"/>
      <c r="AD5251" s="15"/>
      <c r="AE5251" s="15"/>
      <c r="AF5251" s="15"/>
      <c r="AG5251" s="15"/>
      <c r="AH5251" s="15"/>
      <c r="AI5251" s="15"/>
      <c r="AJ5251" s="15"/>
      <c r="AK5251" s="15"/>
      <c r="AL5251" s="15"/>
      <c r="AM5251" s="15"/>
      <c r="AN5251" s="15"/>
      <c r="AO5251" s="15"/>
      <c r="AP5251" s="15"/>
      <c r="AQ5251" s="15"/>
      <c r="AR5251" s="15"/>
      <c r="AS5251" s="15"/>
      <c r="AT5251" s="15"/>
      <c r="AU5251" s="15"/>
      <c r="AV5251" s="15"/>
      <c r="AW5251" s="15"/>
    </row>
    <row r="5252" spans="3:49" x14ac:dyDescent="0.2">
      <c r="C5252" s="15"/>
      <c r="D5252" s="15"/>
      <c r="E5252" s="15"/>
      <c r="F5252" s="15"/>
      <c r="G5252" s="15"/>
      <c r="H5252" s="15"/>
      <c r="I5252" s="15"/>
      <c r="J5252" s="15"/>
      <c r="K5252" s="15"/>
      <c r="L5252" s="28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  <c r="AA5252" s="15"/>
      <c r="AB5252" s="15"/>
      <c r="AC5252" s="15"/>
      <c r="AD5252" s="15"/>
      <c r="AE5252" s="15"/>
      <c r="AF5252" s="15"/>
      <c r="AG5252" s="15"/>
      <c r="AH5252" s="15"/>
      <c r="AI5252" s="15"/>
      <c r="AJ5252" s="15"/>
      <c r="AK5252" s="15"/>
      <c r="AL5252" s="15"/>
      <c r="AM5252" s="15"/>
      <c r="AN5252" s="15"/>
      <c r="AO5252" s="15"/>
      <c r="AP5252" s="15"/>
      <c r="AQ5252" s="15"/>
      <c r="AR5252" s="15"/>
      <c r="AS5252" s="15"/>
      <c r="AT5252" s="15"/>
      <c r="AU5252" s="15"/>
      <c r="AV5252" s="15"/>
      <c r="AW5252" s="15"/>
    </row>
    <row r="5253" spans="3:49" x14ac:dyDescent="0.2">
      <c r="C5253" s="15"/>
      <c r="D5253" s="15"/>
      <c r="E5253" s="15"/>
      <c r="F5253" s="15"/>
      <c r="G5253" s="15"/>
      <c r="H5253" s="15"/>
      <c r="I5253" s="15"/>
      <c r="J5253" s="15"/>
      <c r="K5253" s="15"/>
      <c r="L5253" s="28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  <c r="AA5253" s="15"/>
      <c r="AB5253" s="15"/>
      <c r="AC5253" s="15"/>
      <c r="AD5253" s="15"/>
      <c r="AE5253" s="15"/>
      <c r="AF5253" s="15"/>
      <c r="AG5253" s="15"/>
      <c r="AH5253" s="15"/>
      <c r="AI5253" s="15"/>
      <c r="AJ5253" s="15"/>
      <c r="AK5253" s="15"/>
      <c r="AL5253" s="15"/>
      <c r="AM5253" s="15"/>
      <c r="AN5253" s="15"/>
      <c r="AO5253" s="15"/>
      <c r="AP5253" s="15"/>
      <c r="AQ5253" s="15"/>
      <c r="AR5253" s="15"/>
      <c r="AS5253" s="15"/>
      <c r="AT5253" s="15"/>
      <c r="AU5253" s="15"/>
      <c r="AV5253" s="15"/>
      <c r="AW5253" s="15"/>
    </row>
    <row r="5254" spans="3:49" x14ac:dyDescent="0.2">
      <c r="C5254" s="15"/>
      <c r="D5254" s="15"/>
      <c r="E5254" s="15"/>
      <c r="F5254" s="15"/>
      <c r="G5254" s="15"/>
      <c r="H5254" s="15"/>
      <c r="I5254" s="15"/>
      <c r="J5254" s="15"/>
      <c r="K5254" s="15"/>
      <c r="L5254" s="28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  <c r="AA5254" s="15"/>
      <c r="AB5254" s="15"/>
      <c r="AC5254" s="15"/>
      <c r="AD5254" s="15"/>
      <c r="AE5254" s="15"/>
      <c r="AF5254" s="15"/>
      <c r="AG5254" s="15"/>
      <c r="AH5254" s="15"/>
      <c r="AI5254" s="15"/>
      <c r="AJ5254" s="15"/>
      <c r="AK5254" s="15"/>
      <c r="AL5254" s="15"/>
      <c r="AM5254" s="15"/>
      <c r="AN5254" s="15"/>
      <c r="AO5254" s="15"/>
      <c r="AP5254" s="15"/>
      <c r="AQ5254" s="15"/>
      <c r="AR5254" s="15"/>
      <c r="AS5254" s="15"/>
      <c r="AT5254" s="15"/>
      <c r="AU5254" s="15"/>
      <c r="AV5254" s="15"/>
      <c r="AW5254" s="15"/>
    </row>
    <row r="5255" spans="3:49" x14ac:dyDescent="0.2">
      <c r="C5255" s="15"/>
      <c r="D5255" s="15"/>
      <c r="E5255" s="15"/>
      <c r="F5255" s="15"/>
      <c r="G5255" s="15"/>
      <c r="H5255" s="15"/>
      <c r="I5255" s="15"/>
      <c r="J5255" s="15"/>
      <c r="K5255" s="15"/>
      <c r="L5255" s="28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  <c r="AA5255" s="15"/>
      <c r="AB5255" s="15"/>
      <c r="AC5255" s="15"/>
      <c r="AD5255" s="15"/>
      <c r="AE5255" s="15"/>
      <c r="AF5255" s="15"/>
      <c r="AG5255" s="15"/>
      <c r="AH5255" s="15"/>
      <c r="AI5255" s="15"/>
      <c r="AJ5255" s="15"/>
      <c r="AK5255" s="15"/>
      <c r="AL5255" s="15"/>
      <c r="AM5255" s="15"/>
      <c r="AN5255" s="15"/>
      <c r="AO5255" s="15"/>
      <c r="AP5255" s="15"/>
      <c r="AQ5255" s="15"/>
      <c r="AR5255" s="15"/>
      <c r="AS5255" s="15"/>
      <c r="AT5255" s="15"/>
      <c r="AU5255" s="15"/>
      <c r="AV5255" s="15"/>
      <c r="AW5255" s="15"/>
    </row>
    <row r="5256" spans="3:49" x14ac:dyDescent="0.2">
      <c r="C5256" s="15"/>
      <c r="D5256" s="15"/>
      <c r="E5256" s="15"/>
      <c r="F5256" s="15"/>
      <c r="G5256" s="15"/>
      <c r="H5256" s="15"/>
      <c r="I5256" s="15"/>
      <c r="J5256" s="15"/>
      <c r="K5256" s="15"/>
      <c r="L5256" s="28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  <c r="AA5256" s="15"/>
      <c r="AB5256" s="15"/>
      <c r="AC5256" s="15"/>
      <c r="AD5256" s="15"/>
      <c r="AE5256" s="15"/>
      <c r="AF5256" s="15"/>
      <c r="AG5256" s="15"/>
      <c r="AH5256" s="15"/>
      <c r="AI5256" s="15"/>
      <c r="AJ5256" s="15"/>
      <c r="AK5256" s="15"/>
      <c r="AL5256" s="15"/>
      <c r="AM5256" s="15"/>
      <c r="AN5256" s="15"/>
      <c r="AO5256" s="15"/>
      <c r="AP5256" s="15"/>
      <c r="AQ5256" s="15"/>
      <c r="AR5256" s="15"/>
      <c r="AS5256" s="15"/>
      <c r="AT5256" s="15"/>
      <c r="AU5256" s="15"/>
      <c r="AV5256" s="15"/>
      <c r="AW5256" s="15"/>
    </row>
    <row r="5257" spans="3:49" x14ac:dyDescent="0.2">
      <c r="C5257" s="15"/>
      <c r="D5257" s="15"/>
      <c r="E5257" s="15"/>
      <c r="F5257" s="15"/>
      <c r="G5257" s="15"/>
      <c r="H5257" s="15"/>
      <c r="I5257" s="15"/>
      <c r="J5257" s="15"/>
      <c r="K5257" s="15"/>
      <c r="L5257" s="28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  <c r="AA5257" s="15"/>
      <c r="AB5257" s="15"/>
      <c r="AC5257" s="15"/>
      <c r="AD5257" s="15"/>
      <c r="AE5257" s="15"/>
      <c r="AF5257" s="15"/>
      <c r="AG5257" s="15"/>
      <c r="AH5257" s="15"/>
      <c r="AI5257" s="15"/>
      <c r="AJ5257" s="15"/>
      <c r="AK5257" s="15"/>
      <c r="AL5257" s="15"/>
      <c r="AM5257" s="15"/>
      <c r="AN5257" s="15"/>
      <c r="AO5257" s="15"/>
      <c r="AP5257" s="15"/>
      <c r="AQ5257" s="15"/>
      <c r="AR5257" s="15"/>
      <c r="AS5257" s="15"/>
      <c r="AT5257" s="15"/>
      <c r="AU5257" s="15"/>
      <c r="AV5257" s="15"/>
      <c r="AW5257" s="15"/>
    </row>
    <row r="5258" spans="3:49" x14ac:dyDescent="0.2">
      <c r="C5258" s="15"/>
      <c r="D5258" s="15"/>
      <c r="E5258" s="15"/>
      <c r="F5258" s="15"/>
      <c r="G5258" s="15"/>
      <c r="H5258" s="15"/>
      <c r="I5258" s="15"/>
      <c r="J5258" s="15"/>
      <c r="K5258" s="15"/>
      <c r="L5258" s="28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  <c r="AA5258" s="15"/>
      <c r="AB5258" s="15"/>
      <c r="AC5258" s="15"/>
      <c r="AD5258" s="15"/>
      <c r="AE5258" s="15"/>
      <c r="AF5258" s="15"/>
      <c r="AG5258" s="15"/>
      <c r="AH5258" s="15"/>
      <c r="AI5258" s="15"/>
      <c r="AJ5258" s="15"/>
      <c r="AK5258" s="15"/>
      <c r="AL5258" s="15"/>
      <c r="AM5258" s="15"/>
      <c r="AN5258" s="15"/>
      <c r="AO5258" s="15"/>
      <c r="AP5258" s="15"/>
      <c r="AQ5258" s="15"/>
      <c r="AR5258" s="15"/>
      <c r="AS5258" s="15"/>
      <c r="AT5258" s="15"/>
      <c r="AU5258" s="15"/>
      <c r="AV5258" s="15"/>
      <c r="AW5258" s="15"/>
    </row>
    <row r="5259" spans="3:49" x14ac:dyDescent="0.2">
      <c r="C5259" s="15"/>
      <c r="D5259" s="15"/>
      <c r="E5259" s="15"/>
      <c r="F5259" s="15"/>
      <c r="G5259" s="15"/>
      <c r="H5259" s="15"/>
      <c r="I5259" s="15"/>
      <c r="J5259" s="15"/>
      <c r="K5259" s="15"/>
      <c r="L5259" s="28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  <c r="AA5259" s="15"/>
      <c r="AB5259" s="15"/>
      <c r="AC5259" s="15"/>
      <c r="AD5259" s="15"/>
      <c r="AE5259" s="15"/>
      <c r="AF5259" s="15"/>
      <c r="AG5259" s="15"/>
      <c r="AH5259" s="15"/>
      <c r="AI5259" s="15"/>
      <c r="AJ5259" s="15"/>
      <c r="AK5259" s="15"/>
      <c r="AL5259" s="15"/>
      <c r="AM5259" s="15"/>
      <c r="AN5259" s="15"/>
      <c r="AO5259" s="15"/>
      <c r="AP5259" s="15"/>
      <c r="AQ5259" s="15"/>
      <c r="AR5259" s="15"/>
      <c r="AS5259" s="15"/>
      <c r="AT5259" s="15"/>
      <c r="AU5259" s="15"/>
      <c r="AV5259" s="15"/>
      <c r="AW5259" s="15"/>
    </row>
    <row r="5260" spans="3:49" x14ac:dyDescent="0.2">
      <c r="C5260" s="15"/>
      <c r="D5260" s="15"/>
      <c r="E5260" s="15"/>
      <c r="F5260" s="15"/>
      <c r="G5260" s="15"/>
      <c r="H5260" s="15"/>
      <c r="I5260" s="15"/>
      <c r="J5260" s="15"/>
      <c r="K5260" s="15"/>
      <c r="L5260" s="28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  <c r="AA5260" s="15"/>
      <c r="AB5260" s="15"/>
      <c r="AC5260" s="15"/>
      <c r="AD5260" s="15"/>
      <c r="AE5260" s="15"/>
      <c r="AF5260" s="15"/>
      <c r="AG5260" s="15"/>
      <c r="AH5260" s="15"/>
      <c r="AI5260" s="15"/>
      <c r="AJ5260" s="15"/>
      <c r="AK5260" s="15"/>
      <c r="AL5260" s="15"/>
      <c r="AM5260" s="15"/>
      <c r="AN5260" s="15"/>
      <c r="AO5260" s="15"/>
      <c r="AP5260" s="15"/>
      <c r="AQ5260" s="15"/>
      <c r="AR5260" s="15"/>
      <c r="AS5260" s="15"/>
      <c r="AT5260" s="15"/>
      <c r="AU5260" s="15"/>
      <c r="AV5260" s="15"/>
      <c r="AW5260" s="15"/>
    </row>
    <row r="5261" spans="3:49" x14ac:dyDescent="0.2">
      <c r="C5261" s="15"/>
      <c r="D5261" s="15"/>
      <c r="E5261" s="15"/>
      <c r="F5261" s="15"/>
      <c r="G5261" s="15"/>
      <c r="H5261" s="15"/>
      <c r="I5261" s="15"/>
      <c r="J5261" s="15"/>
      <c r="K5261" s="15"/>
      <c r="L5261" s="28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  <c r="AA5261" s="15"/>
      <c r="AB5261" s="15"/>
      <c r="AC5261" s="15"/>
      <c r="AD5261" s="15"/>
      <c r="AE5261" s="15"/>
      <c r="AF5261" s="15"/>
      <c r="AG5261" s="15"/>
      <c r="AH5261" s="15"/>
      <c r="AI5261" s="15"/>
      <c r="AJ5261" s="15"/>
      <c r="AK5261" s="15"/>
      <c r="AL5261" s="15"/>
      <c r="AM5261" s="15"/>
      <c r="AN5261" s="15"/>
      <c r="AO5261" s="15"/>
      <c r="AP5261" s="15"/>
      <c r="AQ5261" s="15"/>
      <c r="AR5261" s="15"/>
      <c r="AS5261" s="15"/>
      <c r="AT5261" s="15"/>
      <c r="AU5261" s="15"/>
      <c r="AV5261" s="15"/>
      <c r="AW5261" s="15"/>
    </row>
    <row r="5262" spans="3:49" x14ac:dyDescent="0.2">
      <c r="C5262" s="15"/>
      <c r="D5262" s="15"/>
      <c r="E5262" s="15"/>
      <c r="F5262" s="15"/>
      <c r="G5262" s="15"/>
      <c r="H5262" s="15"/>
      <c r="I5262" s="15"/>
      <c r="J5262" s="15"/>
      <c r="K5262" s="15"/>
      <c r="L5262" s="28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  <c r="AA5262" s="15"/>
      <c r="AB5262" s="15"/>
      <c r="AC5262" s="15"/>
      <c r="AD5262" s="15"/>
      <c r="AE5262" s="15"/>
      <c r="AF5262" s="15"/>
      <c r="AG5262" s="15"/>
      <c r="AH5262" s="15"/>
      <c r="AI5262" s="15"/>
      <c r="AJ5262" s="15"/>
      <c r="AK5262" s="15"/>
      <c r="AL5262" s="15"/>
      <c r="AM5262" s="15"/>
      <c r="AN5262" s="15"/>
      <c r="AO5262" s="15"/>
      <c r="AP5262" s="15"/>
      <c r="AQ5262" s="15"/>
      <c r="AR5262" s="15"/>
      <c r="AS5262" s="15"/>
      <c r="AT5262" s="15"/>
      <c r="AU5262" s="15"/>
      <c r="AV5262" s="15"/>
      <c r="AW5262" s="15"/>
    </row>
    <row r="5263" spans="3:49" x14ac:dyDescent="0.2">
      <c r="C5263" s="15"/>
      <c r="D5263" s="15"/>
      <c r="E5263" s="15"/>
      <c r="F5263" s="15"/>
      <c r="G5263" s="15"/>
      <c r="H5263" s="15"/>
      <c r="I5263" s="15"/>
      <c r="J5263" s="15"/>
      <c r="K5263" s="15"/>
      <c r="L5263" s="28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  <c r="AA5263" s="15"/>
      <c r="AB5263" s="15"/>
      <c r="AC5263" s="15"/>
      <c r="AD5263" s="15"/>
      <c r="AE5263" s="15"/>
      <c r="AF5263" s="15"/>
      <c r="AG5263" s="15"/>
      <c r="AH5263" s="15"/>
      <c r="AI5263" s="15"/>
      <c r="AJ5263" s="15"/>
      <c r="AK5263" s="15"/>
      <c r="AL5263" s="15"/>
      <c r="AM5263" s="15"/>
      <c r="AN5263" s="15"/>
      <c r="AO5263" s="15"/>
      <c r="AP5263" s="15"/>
      <c r="AQ5263" s="15"/>
      <c r="AR5263" s="15"/>
      <c r="AS5263" s="15"/>
      <c r="AT5263" s="15"/>
      <c r="AU5263" s="15"/>
      <c r="AV5263" s="15"/>
      <c r="AW5263" s="15"/>
    </row>
    <row r="5264" spans="3:49" x14ac:dyDescent="0.2">
      <c r="C5264" s="15"/>
      <c r="D5264" s="15"/>
      <c r="E5264" s="15"/>
      <c r="F5264" s="15"/>
      <c r="G5264" s="15"/>
      <c r="H5264" s="15"/>
      <c r="I5264" s="15"/>
      <c r="J5264" s="15"/>
      <c r="K5264" s="15"/>
      <c r="L5264" s="28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  <c r="AA5264" s="15"/>
      <c r="AB5264" s="15"/>
      <c r="AC5264" s="15"/>
      <c r="AD5264" s="15"/>
      <c r="AE5264" s="15"/>
      <c r="AF5264" s="15"/>
      <c r="AG5264" s="15"/>
      <c r="AH5264" s="15"/>
      <c r="AI5264" s="15"/>
      <c r="AJ5264" s="15"/>
      <c r="AK5264" s="15"/>
      <c r="AL5264" s="15"/>
      <c r="AM5264" s="15"/>
      <c r="AN5264" s="15"/>
      <c r="AO5264" s="15"/>
      <c r="AP5264" s="15"/>
      <c r="AQ5264" s="15"/>
      <c r="AR5264" s="15"/>
      <c r="AS5264" s="15"/>
      <c r="AT5264" s="15"/>
      <c r="AU5264" s="15"/>
      <c r="AV5264" s="15"/>
      <c r="AW5264" s="15"/>
    </row>
    <row r="5265" spans="3:49" x14ac:dyDescent="0.2">
      <c r="C5265" s="15"/>
      <c r="D5265" s="15"/>
      <c r="E5265" s="15"/>
      <c r="F5265" s="15"/>
      <c r="G5265" s="15"/>
      <c r="H5265" s="15"/>
      <c r="I5265" s="15"/>
      <c r="J5265" s="15"/>
      <c r="K5265" s="15"/>
      <c r="L5265" s="28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  <c r="AA5265" s="15"/>
      <c r="AB5265" s="15"/>
      <c r="AC5265" s="15"/>
      <c r="AD5265" s="15"/>
      <c r="AE5265" s="15"/>
      <c r="AF5265" s="15"/>
      <c r="AG5265" s="15"/>
      <c r="AH5265" s="15"/>
      <c r="AI5265" s="15"/>
      <c r="AJ5265" s="15"/>
      <c r="AK5265" s="15"/>
      <c r="AL5265" s="15"/>
      <c r="AM5265" s="15"/>
      <c r="AN5265" s="15"/>
      <c r="AO5265" s="15"/>
      <c r="AP5265" s="15"/>
      <c r="AQ5265" s="15"/>
      <c r="AR5265" s="15"/>
      <c r="AS5265" s="15"/>
      <c r="AT5265" s="15"/>
      <c r="AU5265" s="15"/>
      <c r="AV5265" s="15"/>
      <c r="AW5265" s="15"/>
    </row>
    <row r="5266" spans="3:49" x14ac:dyDescent="0.2">
      <c r="C5266" s="15"/>
      <c r="D5266" s="15"/>
      <c r="E5266" s="15"/>
      <c r="F5266" s="15"/>
      <c r="G5266" s="15"/>
      <c r="H5266" s="15"/>
      <c r="I5266" s="15"/>
      <c r="J5266" s="15"/>
      <c r="K5266" s="15"/>
      <c r="L5266" s="28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  <c r="AA5266" s="15"/>
      <c r="AB5266" s="15"/>
      <c r="AC5266" s="15"/>
      <c r="AD5266" s="15"/>
      <c r="AE5266" s="15"/>
      <c r="AF5266" s="15"/>
      <c r="AG5266" s="15"/>
      <c r="AH5266" s="15"/>
      <c r="AI5266" s="15"/>
      <c r="AJ5266" s="15"/>
      <c r="AK5266" s="15"/>
      <c r="AL5266" s="15"/>
      <c r="AM5266" s="15"/>
      <c r="AN5266" s="15"/>
      <c r="AO5266" s="15"/>
      <c r="AP5266" s="15"/>
      <c r="AQ5266" s="15"/>
      <c r="AR5266" s="15"/>
      <c r="AS5266" s="15"/>
      <c r="AT5266" s="15"/>
      <c r="AU5266" s="15"/>
      <c r="AV5266" s="15"/>
      <c r="AW5266" s="15"/>
    </row>
    <row r="5267" spans="3:49" x14ac:dyDescent="0.2">
      <c r="C5267" s="15"/>
      <c r="D5267" s="15"/>
      <c r="E5267" s="15"/>
      <c r="F5267" s="15"/>
      <c r="G5267" s="15"/>
      <c r="H5267" s="15"/>
      <c r="I5267" s="15"/>
      <c r="J5267" s="15"/>
      <c r="K5267" s="15"/>
      <c r="L5267" s="28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  <c r="AA5267" s="15"/>
      <c r="AB5267" s="15"/>
      <c r="AC5267" s="15"/>
      <c r="AD5267" s="15"/>
      <c r="AE5267" s="15"/>
      <c r="AF5267" s="15"/>
      <c r="AG5267" s="15"/>
      <c r="AH5267" s="15"/>
      <c r="AI5267" s="15"/>
      <c r="AJ5267" s="15"/>
      <c r="AK5267" s="15"/>
      <c r="AL5267" s="15"/>
      <c r="AM5267" s="15"/>
      <c r="AN5267" s="15"/>
      <c r="AO5267" s="15"/>
      <c r="AP5267" s="15"/>
      <c r="AQ5267" s="15"/>
      <c r="AR5267" s="15"/>
      <c r="AS5267" s="15"/>
      <c r="AT5267" s="15"/>
      <c r="AU5267" s="15"/>
      <c r="AV5267" s="15"/>
      <c r="AW5267" s="15"/>
    </row>
    <row r="5268" spans="3:49" x14ac:dyDescent="0.2">
      <c r="C5268" s="15"/>
      <c r="D5268" s="15"/>
      <c r="E5268" s="15"/>
      <c r="F5268" s="15"/>
      <c r="G5268" s="15"/>
      <c r="H5268" s="15"/>
      <c r="I5268" s="15"/>
      <c r="J5268" s="15"/>
      <c r="K5268" s="15"/>
      <c r="L5268" s="28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  <c r="AA5268" s="15"/>
      <c r="AB5268" s="15"/>
      <c r="AC5268" s="15"/>
      <c r="AD5268" s="15"/>
      <c r="AE5268" s="15"/>
      <c r="AF5268" s="15"/>
      <c r="AG5268" s="15"/>
      <c r="AH5268" s="15"/>
      <c r="AI5268" s="15"/>
      <c r="AJ5268" s="15"/>
      <c r="AK5268" s="15"/>
      <c r="AL5268" s="15"/>
      <c r="AM5268" s="15"/>
      <c r="AN5268" s="15"/>
      <c r="AO5268" s="15"/>
      <c r="AP5268" s="15"/>
      <c r="AQ5268" s="15"/>
      <c r="AR5268" s="15"/>
      <c r="AS5268" s="15"/>
      <c r="AT5268" s="15"/>
      <c r="AU5268" s="15"/>
      <c r="AV5268" s="15"/>
      <c r="AW5268" s="15"/>
    </row>
    <row r="5269" spans="3:49" x14ac:dyDescent="0.2">
      <c r="C5269" s="15"/>
      <c r="D5269" s="15"/>
      <c r="E5269" s="15"/>
      <c r="F5269" s="15"/>
      <c r="G5269" s="15"/>
      <c r="H5269" s="15"/>
      <c r="I5269" s="15"/>
      <c r="J5269" s="15"/>
      <c r="K5269" s="15"/>
      <c r="L5269" s="28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  <c r="AA5269" s="15"/>
      <c r="AB5269" s="15"/>
      <c r="AC5269" s="15"/>
      <c r="AD5269" s="15"/>
      <c r="AE5269" s="15"/>
      <c r="AF5269" s="15"/>
      <c r="AG5269" s="15"/>
      <c r="AH5269" s="15"/>
      <c r="AI5269" s="15"/>
      <c r="AJ5269" s="15"/>
      <c r="AK5269" s="15"/>
      <c r="AL5269" s="15"/>
      <c r="AM5269" s="15"/>
      <c r="AN5269" s="15"/>
      <c r="AO5269" s="15"/>
      <c r="AP5269" s="15"/>
      <c r="AQ5269" s="15"/>
      <c r="AR5269" s="15"/>
      <c r="AS5269" s="15"/>
      <c r="AT5269" s="15"/>
      <c r="AU5269" s="15"/>
      <c r="AV5269" s="15"/>
      <c r="AW5269" s="15"/>
    </row>
    <row r="5270" spans="3:49" x14ac:dyDescent="0.2">
      <c r="C5270" s="15"/>
      <c r="D5270" s="15"/>
      <c r="E5270" s="15"/>
      <c r="F5270" s="15"/>
      <c r="G5270" s="15"/>
      <c r="H5270" s="15"/>
      <c r="I5270" s="15"/>
      <c r="J5270" s="15"/>
      <c r="K5270" s="15"/>
      <c r="L5270" s="28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  <c r="AA5270" s="15"/>
      <c r="AB5270" s="15"/>
      <c r="AC5270" s="15"/>
      <c r="AD5270" s="15"/>
      <c r="AE5270" s="15"/>
      <c r="AF5270" s="15"/>
      <c r="AG5270" s="15"/>
      <c r="AH5270" s="15"/>
      <c r="AI5270" s="15"/>
      <c r="AJ5270" s="15"/>
      <c r="AK5270" s="15"/>
      <c r="AL5270" s="15"/>
      <c r="AM5270" s="15"/>
      <c r="AN5270" s="15"/>
      <c r="AO5270" s="15"/>
      <c r="AP5270" s="15"/>
      <c r="AQ5270" s="15"/>
      <c r="AR5270" s="15"/>
      <c r="AS5270" s="15"/>
      <c r="AT5270" s="15"/>
      <c r="AU5270" s="15"/>
      <c r="AV5270" s="15"/>
      <c r="AW5270" s="15"/>
    </row>
    <row r="5271" spans="3:49" x14ac:dyDescent="0.2">
      <c r="C5271" s="15"/>
      <c r="D5271" s="15"/>
      <c r="E5271" s="15"/>
      <c r="F5271" s="15"/>
      <c r="G5271" s="15"/>
      <c r="H5271" s="15"/>
      <c r="I5271" s="15"/>
      <c r="J5271" s="15"/>
      <c r="K5271" s="15"/>
      <c r="L5271" s="28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  <c r="AA5271" s="15"/>
      <c r="AB5271" s="15"/>
      <c r="AC5271" s="15"/>
      <c r="AD5271" s="15"/>
      <c r="AE5271" s="15"/>
      <c r="AF5271" s="15"/>
      <c r="AG5271" s="15"/>
      <c r="AH5271" s="15"/>
      <c r="AI5271" s="15"/>
      <c r="AJ5271" s="15"/>
      <c r="AK5271" s="15"/>
      <c r="AL5271" s="15"/>
      <c r="AM5271" s="15"/>
      <c r="AN5271" s="15"/>
      <c r="AO5271" s="15"/>
      <c r="AP5271" s="15"/>
      <c r="AQ5271" s="15"/>
      <c r="AR5271" s="15"/>
      <c r="AS5271" s="15"/>
      <c r="AT5271" s="15"/>
      <c r="AU5271" s="15"/>
      <c r="AV5271" s="15"/>
      <c r="AW5271" s="15"/>
    </row>
    <row r="5272" spans="3:49" x14ac:dyDescent="0.2">
      <c r="C5272" s="15"/>
      <c r="D5272" s="15"/>
      <c r="E5272" s="15"/>
      <c r="F5272" s="15"/>
      <c r="G5272" s="15"/>
      <c r="H5272" s="15"/>
      <c r="I5272" s="15"/>
      <c r="J5272" s="15"/>
      <c r="K5272" s="15"/>
      <c r="L5272" s="28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  <c r="AA5272" s="15"/>
      <c r="AB5272" s="15"/>
      <c r="AC5272" s="15"/>
      <c r="AD5272" s="15"/>
      <c r="AE5272" s="15"/>
      <c r="AF5272" s="15"/>
      <c r="AG5272" s="15"/>
      <c r="AH5272" s="15"/>
      <c r="AI5272" s="15"/>
      <c r="AJ5272" s="15"/>
      <c r="AK5272" s="15"/>
      <c r="AL5272" s="15"/>
      <c r="AM5272" s="15"/>
      <c r="AN5272" s="15"/>
      <c r="AO5272" s="15"/>
      <c r="AP5272" s="15"/>
      <c r="AQ5272" s="15"/>
      <c r="AR5272" s="15"/>
      <c r="AS5272" s="15"/>
      <c r="AT5272" s="15"/>
      <c r="AU5272" s="15"/>
      <c r="AV5272" s="15"/>
      <c r="AW5272" s="15"/>
    </row>
    <row r="5273" spans="3:49" x14ac:dyDescent="0.2">
      <c r="C5273" s="15"/>
      <c r="D5273" s="15"/>
      <c r="E5273" s="15"/>
      <c r="F5273" s="15"/>
      <c r="G5273" s="15"/>
      <c r="H5273" s="15"/>
      <c r="I5273" s="15"/>
      <c r="J5273" s="15"/>
      <c r="K5273" s="15"/>
      <c r="L5273" s="28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  <c r="AA5273" s="15"/>
      <c r="AB5273" s="15"/>
      <c r="AC5273" s="15"/>
      <c r="AD5273" s="15"/>
      <c r="AE5273" s="15"/>
      <c r="AF5273" s="15"/>
      <c r="AG5273" s="15"/>
      <c r="AH5273" s="15"/>
      <c r="AI5273" s="15"/>
      <c r="AJ5273" s="15"/>
      <c r="AK5273" s="15"/>
      <c r="AL5273" s="15"/>
      <c r="AM5273" s="15"/>
      <c r="AN5273" s="15"/>
      <c r="AO5273" s="15"/>
      <c r="AP5273" s="15"/>
      <c r="AQ5273" s="15"/>
      <c r="AR5273" s="15"/>
      <c r="AS5273" s="15"/>
      <c r="AT5273" s="15"/>
      <c r="AU5273" s="15"/>
      <c r="AV5273" s="15"/>
      <c r="AW5273" s="15"/>
    </row>
    <row r="5274" spans="3:49" x14ac:dyDescent="0.2">
      <c r="C5274" s="15"/>
      <c r="D5274" s="15"/>
      <c r="E5274" s="15"/>
      <c r="F5274" s="15"/>
      <c r="G5274" s="15"/>
      <c r="H5274" s="15"/>
      <c r="I5274" s="15"/>
      <c r="J5274" s="15"/>
      <c r="K5274" s="15"/>
      <c r="L5274" s="28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  <c r="AA5274" s="15"/>
      <c r="AB5274" s="15"/>
      <c r="AC5274" s="15"/>
      <c r="AD5274" s="15"/>
      <c r="AE5274" s="15"/>
      <c r="AF5274" s="15"/>
      <c r="AG5274" s="15"/>
      <c r="AH5274" s="15"/>
      <c r="AI5274" s="15"/>
      <c r="AJ5274" s="15"/>
      <c r="AK5274" s="15"/>
      <c r="AL5274" s="15"/>
      <c r="AM5274" s="15"/>
      <c r="AN5274" s="15"/>
      <c r="AO5274" s="15"/>
      <c r="AP5274" s="15"/>
      <c r="AQ5274" s="15"/>
      <c r="AR5274" s="15"/>
      <c r="AS5274" s="15"/>
      <c r="AT5274" s="15"/>
      <c r="AU5274" s="15"/>
      <c r="AV5274" s="15"/>
      <c r="AW5274" s="15"/>
    </row>
    <row r="5275" spans="3:49" x14ac:dyDescent="0.2">
      <c r="C5275" s="15"/>
      <c r="D5275" s="15"/>
      <c r="E5275" s="15"/>
      <c r="F5275" s="15"/>
      <c r="G5275" s="15"/>
      <c r="H5275" s="15"/>
      <c r="I5275" s="15"/>
      <c r="J5275" s="15"/>
      <c r="K5275" s="15"/>
      <c r="L5275" s="28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  <c r="AA5275" s="15"/>
      <c r="AB5275" s="15"/>
      <c r="AC5275" s="15"/>
      <c r="AD5275" s="15"/>
      <c r="AE5275" s="15"/>
      <c r="AF5275" s="15"/>
      <c r="AG5275" s="15"/>
      <c r="AH5275" s="15"/>
      <c r="AI5275" s="15"/>
      <c r="AJ5275" s="15"/>
      <c r="AK5275" s="15"/>
      <c r="AL5275" s="15"/>
      <c r="AM5275" s="15"/>
      <c r="AN5275" s="15"/>
      <c r="AO5275" s="15"/>
      <c r="AP5275" s="15"/>
      <c r="AQ5275" s="15"/>
      <c r="AR5275" s="15"/>
      <c r="AS5275" s="15"/>
      <c r="AT5275" s="15"/>
      <c r="AU5275" s="15"/>
      <c r="AV5275" s="15"/>
      <c r="AW5275" s="15"/>
    </row>
    <row r="5276" spans="3:49" x14ac:dyDescent="0.2">
      <c r="C5276" s="15"/>
      <c r="D5276" s="15"/>
      <c r="E5276" s="15"/>
      <c r="F5276" s="15"/>
      <c r="G5276" s="15"/>
      <c r="H5276" s="15"/>
      <c r="I5276" s="15"/>
      <c r="J5276" s="15"/>
      <c r="K5276" s="15"/>
      <c r="L5276" s="28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  <c r="AA5276" s="15"/>
      <c r="AB5276" s="15"/>
      <c r="AC5276" s="15"/>
      <c r="AD5276" s="15"/>
      <c r="AE5276" s="15"/>
      <c r="AF5276" s="15"/>
      <c r="AG5276" s="15"/>
      <c r="AH5276" s="15"/>
      <c r="AI5276" s="15"/>
      <c r="AJ5276" s="15"/>
      <c r="AK5276" s="15"/>
      <c r="AL5276" s="15"/>
      <c r="AM5276" s="15"/>
      <c r="AN5276" s="15"/>
      <c r="AO5276" s="15"/>
      <c r="AP5276" s="15"/>
      <c r="AQ5276" s="15"/>
      <c r="AR5276" s="15"/>
      <c r="AS5276" s="15"/>
      <c r="AT5276" s="15"/>
      <c r="AU5276" s="15"/>
      <c r="AV5276" s="15"/>
      <c r="AW5276" s="15"/>
    </row>
    <row r="5277" spans="3:49" x14ac:dyDescent="0.2">
      <c r="C5277" s="15"/>
      <c r="D5277" s="15"/>
      <c r="E5277" s="15"/>
      <c r="F5277" s="15"/>
      <c r="G5277" s="15"/>
      <c r="H5277" s="15"/>
      <c r="I5277" s="15"/>
      <c r="J5277" s="15"/>
      <c r="K5277" s="15"/>
      <c r="L5277" s="28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  <c r="AA5277" s="15"/>
      <c r="AB5277" s="15"/>
      <c r="AC5277" s="15"/>
      <c r="AD5277" s="15"/>
      <c r="AE5277" s="15"/>
      <c r="AF5277" s="15"/>
      <c r="AG5277" s="15"/>
      <c r="AH5277" s="15"/>
      <c r="AI5277" s="15"/>
      <c r="AJ5277" s="15"/>
      <c r="AK5277" s="15"/>
      <c r="AL5277" s="15"/>
      <c r="AM5277" s="15"/>
      <c r="AN5277" s="15"/>
      <c r="AO5277" s="15"/>
      <c r="AP5277" s="15"/>
      <c r="AQ5277" s="15"/>
      <c r="AR5277" s="15"/>
      <c r="AS5277" s="15"/>
      <c r="AT5277" s="15"/>
      <c r="AU5277" s="15"/>
      <c r="AV5277" s="15"/>
      <c r="AW5277" s="15"/>
    </row>
    <row r="5278" spans="3:49" x14ac:dyDescent="0.2">
      <c r="C5278" s="15"/>
      <c r="D5278" s="15"/>
      <c r="E5278" s="15"/>
      <c r="F5278" s="15"/>
      <c r="G5278" s="15"/>
      <c r="H5278" s="15"/>
      <c r="I5278" s="15"/>
      <c r="J5278" s="15"/>
      <c r="K5278" s="15"/>
      <c r="L5278" s="28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  <c r="AA5278" s="15"/>
      <c r="AB5278" s="15"/>
      <c r="AC5278" s="15"/>
      <c r="AD5278" s="15"/>
      <c r="AE5278" s="15"/>
      <c r="AF5278" s="15"/>
      <c r="AG5278" s="15"/>
      <c r="AH5278" s="15"/>
      <c r="AI5278" s="15"/>
      <c r="AJ5278" s="15"/>
      <c r="AK5278" s="15"/>
      <c r="AL5278" s="15"/>
      <c r="AM5278" s="15"/>
      <c r="AN5278" s="15"/>
      <c r="AO5278" s="15"/>
      <c r="AP5278" s="15"/>
      <c r="AQ5278" s="15"/>
      <c r="AR5278" s="15"/>
      <c r="AS5278" s="15"/>
      <c r="AT5278" s="15"/>
      <c r="AU5278" s="15"/>
      <c r="AV5278" s="15"/>
      <c r="AW5278" s="15"/>
    </row>
    <row r="5279" spans="3:49" x14ac:dyDescent="0.2">
      <c r="C5279" s="15"/>
      <c r="D5279" s="15"/>
      <c r="E5279" s="15"/>
      <c r="F5279" s="15"/>
      <c r="G5279" s="15"/>
      <c r="H5279" s="15"/>
      <c r="I5279" s="15"/>
      <c r="J5279" s="15"/>
      <c r="K5279" s="15"/>
      <c r="L5279" s="28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  <c r="AA5279" s="15"/>
      <c r="AB5279" s="15"/>
      <c r="AC5279" s="15"/>
      <c r="AD5279" s="15"/>
      <c r="AE5279" s="15"/>
      <c r="AF5279" s="15"/>
      <c r="AG5279" s="15"/>
      <c r="AH5279" s="15"/>
      <c r="AI5279" s="15"/>
      <c r="AJ5279" s="15"/>
      <c r="AK5279" s="15"/>
      <c r="AL5279" s="15"/>
      <c r="AM5279" s="15"/>
      <c r="AN5279" s="15"/>
      <c r="AO5279" s="15"/>
      <c r="AP5279" s="15"/>
      <c r="AQ5279" s="15"/>
      <c r="AR5279" s="15"/>
      <c r="AS5279" s="15"/>
      <c r="AT5279" s="15"/>
      <c r="AU5279" s="15"/>
      <c r="AV5279" s="15"/>
      <c r="AW5279" s="15"/>
    </row>
    <row r="5280" spans="3:49" x14ac:dyDescent="0.2">
      <c r="C5280" s="15"/>
      <c r="D5280" s="15"/>
      <c r="E5280" s="15"/>
      <c r="F5280" s="15"/>
      <c r="G5280" s="15"/>
      <c r="H5280" s="15"/>
      <c r="I5280" s="15"/>
      <c r="J5280" s="15"/>
      <c r="K5280" s="15"/>
      <c r="L5280" s="28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  <c r="AA5280" s="15"/>
      <c r="AB5280" s="15"/>
      <c r="AC5280" s="15"/>
      <c r="AD5280" s="15"/>
      <c r="AE5280" s="15"/>
      <c r="AF5280" s="15"/>
      <c r="AG5280" s="15"/>
      <c r="AH5280" s="15"/>
      <c r="AI5280" s="15"/>
      <c r="AJ5280" s="15"/>
      <c r="AK5280" s="15"/>
      <c r="AL5280" s="15"/>
      <c r="AM5280" s="15"/>
      <c r="AN5280" s="15"/>
      <c r="AO5280" s="15"/>
      <c r="AP5280" s="15"/>
      <c r="AQ5280" s="15"/>
      <c r="AR5280" s="15"/>
      <c r="AS5280" s="15"/>
      <c r="AT5280" s="15"/>
      <c r="AU5280" s="15"/>
      <c r="AV5280" s="15"/>
      <c r="AW5280" s="15"/>
    </row>
    <row r="5281" spans="3:49" x14ac:dyDescent="0.2">
      <c r="C5281" s="15"/>
      <c r="D5281" s="15"/>
      <c r="E5281" s="15"/>
      <c r="F5281" s="15"/>
      <c r="G5281" s="15"/>
      <c r="H5281" s="15"/>
      <c r="I5281" s="15"/>
      <c r="J5281" s="15"/>
      <c r="K5281" s="15"/>
      <c r="L5281" s="28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  <c r="AA5281" s="15"/>
      <c r="AB5281" s="15"/>
      <c r="AC5281" s="15"/>
      <c r="AD5281" s="15"/>
      <c r="AE5281" s="15"/>
      <c r="AF5281" s="15"/>
      <c r="AG5281" s="15"/>
      <c r="AH5281" s="15"/>
      <c r="AI5281" s="15"/>
      <c r="AJ5281" s="15"/>
      <c r="AK5281" s="15"/>
      <c r="AL5281" s="15"/>
      <c r="AM5281" s="15"/>
      <c r="AN5281" s="15"/>
      <c r="AO5281" s="15"/>
      <c r="AP5281" s="15"/>
      <c r="AQ5281" s="15"/>
      <c r="AR5281" s="15"/>
      <c r="AS5281" s="15"/>
      <c r="AT5281" s="15"/>
      <c r="AU5281" s="15"/>
      <c r="AV5281" s="15"/>
      <c r="AW5281" s="15"/>
    </row>
    <row r="5282" spans="3:49" x14ac:dyDescent="0.2">
      <c r="C5282" s="15"/>
      <c r="D5282" s="15"/>
      <c r="E5282" s="15"/>
      <c r="F5282" s="15"/>
      <c r="G5282" s="15"/>
      <c r="H5282" s="15"/>
      <c r="I5282" s="15"/>
      <c r="J5282" s="15"/>
      <c r="K5282" s="15"/>
      <c r="L5282" s="28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  <c r="AA5282" s="15"/>
      <c r="AB5282" s="15"/>
      <c r="AC5282" s="15"/>
      <c r="AD5282" s="15"/>
      <c r="AE5282" s="15"/>
      <c r="AF5282" s="15"/>
      <c r="AG5282" s="15"/>
      <c r="AH5282" s="15"/>
      <c r="AI5282" s="15"/>
      <c r="AJ5282" s="15"/>
      <c r="AK5282" s="15"/>
      <c r="AL5282" s="15"/>
      <c r="AM5282" s="15"/>
      <c r="AN5282" s="15"/>
      <c r="AO5282" s="15"/>
      <c r="AP5282" s="15"/>
      <c r="AQ5282" s="15"/>
      <c r="AR5282" s="15"/>
      <c r="AS5282" s="15"/>
      <c r="AT5282" s="15"/>
      <c r="AU5282" s="15"/>
      <c r="AV5282" s="15"/>
      <c r="AW5282" s="15"/>
    </row>
    <row r="5283" spans="3:49" x14ac:dyDescent="0.2">
      <c r="C5283" s="15"/>
      <c r="D5283" s="15"/>
      <c r="E5283" s="15"/>
      <c r="F5283" s="15"/>
      <c r="G5283" s="15"/>
      <c r="H5283" s="15"/>
      <c r="I5283" s="15"/>
      <c r="J5283" s="15"/>
      <c r="K5283" s="15"/>
      <c r="L5283" s="28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  <c r="AA5283" s="15"/>
      <c r="AB5283" s="15"/>
      <c r="AC5283" s="15"/>
      <c r="AD5283" s="15"/>
      <c r="AE5283" s="15"/>
      <c r="AF5283" s="15"/>
      <c r="AG5283" s="15"/>
      <c r="AH5283" s="15"/>
      <c r="AI5283" s="15"/>
      <c r="AJ5283" s="15"/>
      <c r="AK5283" s="15"/>
      <c r="AL5283" s="15"/>
      <c r="AM5283" s="15"/>
      <c r="AN5283" s="15"/>
      <c r="AO5283" s="15"/>
      <c r="AP5283" s="15"/>
      <c r="AQ5283" s="15"/>
      <c r="AR5283" s="15"/>
      <c r="AS5283" s="15"/>
      <c r="AT5283" s="15"/>
      <c r="AU5283" s="15"/>
      <c r="AV5283" s="15"/>
      <c r="AW5283" s="15"/>
    </row>
    <row r="5284" spans="3:49" x14ac:dyDescent="0.2">
      <c r="C5284" s="15"/>
      <c r="D5284" s="15"/>
      <c r="E5284" s="15"/>
      <c r="F5284" s="15"/>
      <c r="G5284" s="15"/>
      <c r="H5284" s="15"/>
      <c r="I5284" s="15"/>
      <c r="J5284" s="15"/>
      <c r="K5284" s="15"/>
      <c r="L5284" s="28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  <c r="AA5284" s="15"/>
      <c r="AB5284" s="15"/>
      <c r="AC5284" s="15"/>
      <c r="AD5284" s="15"/>
      <c r="AE5284" s="15"/>
      <c r="AF5284" s="15"/>
      <c r="AG5284" s="15"/>
      <c r="AH5284" s="15"/>
      <c r="AI5284" s="15"/>
      <c r="AJ5284" s="15"/>
      <c r="AK5284" s="15"/>
      <c r="AL5284" s="15"/>
      <c r="AM5284" s="15"/>
      <c r="AN5284" s="15"/>
      <c r="AO5284" s="15"/>
      <c r="AP5284" s="15"/>
      <c r="AQ5284" s="15"/>
      <c r="AR5284" s="15"/>
      <c r="AS5284" s="15"/>
      <c r="AT5284" s="15"/>
      <c r="AU5284" s="15"/>
      <c r="AV5284" s="15"/>
      <c r="AW5284" s="15"/>
    </row>
    <row r="5285" spans="3:49" x14ac:dyDescent="0.2">
      <c r="C5285" s="15"/>
      <c r="D5285" s="15"/>
      <c r="E5285" s="15"/>
      <c r="F5285" s="15"/>
      <c r="G5285" s="15"/>
      <c r="H5285" s="15"/>
      <c r="I5285" s="15"/>
      <c r="J5285" s="15"/>
      <c r="K5285" s="15"/>
      <c r="L5285" s="28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  <c r="AA5285" s="15"/>
      <c r="AB5285" s="15"/>
      <c r="AC5285" s="15"/>
      <c r="AD5285" s="15"/>
      <c r="AE5285" s="15"/>
      <c r="AF5285" s="15"/>
      <c r="AG5285" s="15"/>
      <c r="AH5285" s="15"/>
      <c r="AI5285" s="15"/>
      <c r="AJ5285" s="15"/>
      <c r="AK5285" s="15"/>
      <c r="AL5285" s="15"/>
      <c r="AM5285" s="15"/>
      <c r="AN5285" s="15"/>
      <c r="AO5285" s="15"/>
      <c r="AP5285" s="15"/>
      <c r="AQ5285" s="15"/>
      <c r="AR5285" s="15"/>
      <c r="AS5285" s="15"/>
      <c r="AT5285" s="15"/>
      <c r="AU5285" s="15"/>
      <c r="AV5285" s="15"/>
      <c r="AW5285" s="15"/>
    </row>
    <row r="5286" spans="3:49" x14ac:dyDescent="0.2">
      <c r="C5286" s="15"/>
      <c r="D5286" s="15"/>
      <c r="E5286" s="15"/>
      <c r="F5286" s="15"/>
      <c r="G5286" s="15"/>
      <c r="H5286" s="15"/>
      <c r="I5286" s="15"/>
      <c r="J5286" s="15"/>
      <c r="K5286" s="15"/>
      <c r="L5286" s="28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  <c r="AA5286" s="15"/>
      <c r="AB5286" s="15"/>
      <c r="AC5286" s="15"/>
      <c r="AD5286" s="15"/>
      <c r="AE5286" s="15"/>
      <c r="AF5286" s="15"/>
      <c r="AG5286" s="15"/>
      <c r="AH5286" s="15"/>
      <c r="AI5286" s="15"/>
      <c r="AJ5286" s="15"/>
      <c r="AK5286" s="15"/>
      <c r="AL5286" s="15"/>
      <c r="AM5286" s="15"/>
      <c r="AN5286" s="15"/>
      <c r="AO5286" s="15"/>
      <c r="AP5286" s="15"/>
      <c r="AQ5286" s="15"/>
      <c r="AR5286" s="15"/>
      <c r="AS5286" s="15"/>
      <c r="AT5286" s="15"/>
      <c r="AU5286" s="15"/>
      <c r="AV5286" s="15"/>
      <c r="AW5286" s="15"/>
    </row>
    <row r="5287" spans="3:49" x14ac:dyDescent="0.2">
      <c r="C5287" s="15"/>
      <c r="D5287" s="15"/>
      <c r="E5287" s="15"/>
      <c r="F5287" s="15"/>
      <c r="G5287" s="15"/>
      <c r="H5287" s="15"/>
      <c r="I5287" s="15"/>
      <c r="J5287" s="15"/>
      <c r="K5287" s="15"/>
      <c r="L5287" s="28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  <c r="AA5287" s="15"/>
      <c r="AB5287" s="15"/>
      <c r="AC5287" s="15"/>
      <c r="AD5287" s="15"/>
      <c r="AE5287" s="15"/>
      <c r="AF5287" s="15"/>
      <c r="AG5287" s="15"/>
      <c r="AH5287" s="15"/>
      <c r="AI5287" s="15"/>
      <c r="AJ5287" s="15"/>
      <c r="AK5287" s="15"/>
      <c r="AL5287" s="15"/>
      <c r="AM5287" s="15"/>
      <c r="AN5287" s="15"/>
      <c r="AO5287" s="15"/>
      <c r="AP5287" s="15"/>
      <c r="AQ5287" s="15"/>
      <c r="AR5287" s="15"/>
      <c r="AS5287" s="15"/>
      <c r="AT5287" s="15"/>
      <c r="AU5287" s="15"/>
      <c r="AV5287" s="15"/>
      <c r="AW5287" s="15"/>
    </row>
    <row r="5288" spans="3:49" x14ac:dyDescent="0.2">
      <c r="C5288" s="15"/>
      <c r="D5288" s="15"/>
      <c r="E5288" s="15"/>
      <c r="F5288" s="15"/>
      <c r="G5288" s="15"/>
      <c r="H5288" s="15"/>
      <c r="I5288" s="15"/>
      <c r="J5288" s="15"/>
      <c r="K5288" s="15"/>
      <c r="L5288" s="28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  <c r="AA5288" s="15"/>
      <c r="AB5288" s="15"/>
      <c r="AC5288" s="15"/>
      <c r="AD5288" s="15"/>
      <c r="AE5288" s="15"/>
      <c r="AF5288" s="15"/>
      <c r="AG5288" s="15"/>
      <c r="AH5288" s="15"/>
      <c r="AI5288" s="15"/>
      <c r="AJ5288" s="15"/>
      <c r="AK5288" s="15"/>
      <c r="AL5288" s="15"/>
      <c r="AM5288" s="15"/>
      <c r="AN5288" s="15"/>
      <c r="AO5288" s="15"/>
      <c r="AP5288" s="15"/>
      <c r="AQ5288" s="15"/>
      <c r="AR5288" s="15"/>
      <c r="AS5288" s="15"/>
      <c r="AT5288" s="15"/>
      <c r="AU5288" s="15"/>
      <c r="AV5288" s="15"/>
      <c r="AW5288" s="15"/>
    </row>
    <row r="5289" spans="3:49" x14ac:dyDescent="0.2">
      <c r="C5289" s="15"/>
      <c r="D5289" s="15"/>
      <c r="E5289" s="15"/>
      <c r="F5289" s="15"/>
      <c r="G5289" s="15"/>
      <c r="H5289" s="15"/>
      <c r="I5289" s="15"/>
      <c r="J5289" s="15"/>
      <c r="K5289" s="15"/>
      <c r="L5289" s="28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  <c r="AA5289" s="15"/>
      <c r="AB5289" s="15"/>
      <c r="AC5289" s="15"/>
      <c r="AD5289" s="15"/>
      <c r="AE5289" s="15"/>
      <c r="AF5289" s="15"/>
      <c r="AG5289" s="15"/>
      <c r="AH5289" s="15"/>
      <c r="AI5289" s="15"/>
      <c r="AJ5289" s="15"/>
      <c r="AK5289" s="15"/>
      <c r="AL5289" s="15"/>
      <c r="AM5289" s="15"/>
      <c r="AN5289" s="15"/>
      <c r="AO5289" s="15"/>
      <c r="AP5289" s="15"/>
      <c r="AQ5289" s="15"/>
      <c r="AR5289" s="15"/>
      <c r="AS5289" s="15"/>
      <c r="AT5289" s="15"/>
      <c r="AU5289" s="15"/>
      <c r="AV5289" s="15"/>
      <c r="AW5289" s="15"/>
    </row>
    <row r="5290" spans="3:49" x14ac:dyDescent="0.2">
      <c r="C5290" s="15"/>
      <c r="D5290" s="15"/>
      <c r="E5290" s="15"/>
      <c r="F5290" s="15"/>
      <c r="G5290" s="15"/>
      <c r="H5290" s="15"/>
      <c r="I5290" s="15"/>
      <c r="J5290" s="15"/>
      <c r="K5290" s="15"/>
      <c r="L5290" s="28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  <c r="AA5290" s="15"/>
      <c r="AB5290" s="15"/>
      <c r="AC5290" s="15"/>
      <c r="AD5290" s="15"/>
      <c r="AE5290" s="15"/>
      <c r="AF5290" s="15"/>
      <c r="AG5290" s="15"/>
      <c r="AH5290" s="15"/>
      <c r="AI5290" s="15"/>
      <c r="AJ5290" s="15"/>
      <c r="AK5290" s="15"/>
      <c r="AL5290" s="15"/>
      <c r="AM5290" s="15"/>
      <c r="AN5290" s="15"/>
      <c r="AO5290" s="15"/>
      <c r="AP5290" s="15"/>
      <c r="AQ5290" s="15"/>
      <c r="AR5290" s="15"/>
      <c r="AS5290" s="15"/>
      <c r="AT5290" s="15"/>
      <c r="AU5290" s="15"/>
      <c r="AV5290" s="15"/>
      <c r="AW5290" s="15"/>
    </row>
    <row r="5291" spans="3:49" x14ac:dyDescent="0.2">
      <c r="C5291" s="15"/>
      <c r="D5291" s="15"/>
      <c r="E5291" s="15"/>
      <c r="F5291" s="15"/>
      <c r="G5291" s="15"/>
      <c r="H5291" s="15"/>
      <c r="I5291" s="15"/>
      <c r="J5291" s="15"/>
      <c r="K5291" s="15"/>
      <c r="L5291" s="28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  <c r="AA5291" s="15"/>
      <c r="AB5291" s="15"/>
      <c r="AC5291" s="15"/>
      <c r="AD5291" s="15"/>
      <c r="AE5291" s="15"/>
      <c r="AF5291" s="15"/>
      <c r="AG5291" s="15"/>
      <c r="AH5291" s="15"/>
      <c r="AI5291" s="15"/>
      <c r="AJ5291" s="15"/>
      <c r="AK5291" s="15"/>
      <c r="AL5291" s="15"/>
      <c r="AM5291" s="15"/>
      <c r="AN5291" s="15"/>
      <c r="AO5291" s="15"/>
      <c r="AP5291" s="15"/>
      <c r="AQ5291" s="15"/>
      <c r="AR5291" s="15"/>
      <c r="AS5291" s="15"/>
      <c r="AT5291" s="15"/>
      <c r="AU5291" s="15"/>
      <c r="AV5291" s="15"/>
      <c r="AW5291" s="15"/>
    </row>
    <row r="5292" spans="3:49" x14ac:dyDescent="0.2">
      <c r="C5292" s="15"/>
      <c r="D5292" s="15"/>
      <c r="E5292" s="15"/>
      <c r="F5292" s="15"/>
      <c r="G5292" s="15"/>
      <c r="H5292" s="15"/>
      <c r="I5292" s="15"/>
      <c r="J5292" s="15"/>
      <c r="K5292" s="15"/>
      <c r="L5292" s="28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  <c r="AA5292" s="15"/>
      <c r="AB5292" s="15"/>
      <c r="AC5292" s="15"/>
      <c r="AD5292" s="15"/>
      <c r="AE5292" s="15"/>
      <c r="AF5292" s="15"/>
      <c r="AG5292" s="15"/>
      <c r="AH5292" s="15"/>
      <c r="AI5292" s="15"/>
      <c r="AJ5292" s="15"/>
      <c r="AK5292" s="15"/>
      <c r="AL5292" s="15"/>
      <c r="AM5292" s="15"/>
      <c r="AN5292" s="15"/>
      <c r="AO5292" s="15"/>
      <c r="AP5292" s="15"/>
      <c r="AQ5292" s="15"/>
      <c r="AR5292" s="15"/>
      <c r="AS5292" s="15"/>
      <c r="AT5292" s="15"/>
      <c r="AU5292" s="15"/>
      <c r="AV5292" s="15"/>
      <c r="AW5292" s="15"/>
    </row>
    <row r="5293" spans="3:49" x14ac:dyDescent="0.2">
      <c r="C5293" s="15"/>
      <c r="D5293" s="15"/>
      <c r="E5293" s="15"/>
      <c r="F5293" s="15"/>
      <c r="G5293" s="15"/>
      <c r="H5293" s="15"/>
      <c r="I5293" s="15"/>
      <c r="J5293" s="15"/>
      <c r="K5293" s="15"/>
      <c r="L5293" s="28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  <c r="AA5293" s="15"/>
      <c r="AB5293" s="15"/>
      <c r="AC5293" s="15"/>
      <c r="AD5293" s="15"/>
      <c r="AE5293" s="15"/>
      <c r="AF5293" s="15"/>
      <c r="AG5293" s="15"/>
      <c r="AH5293" s="15"/>
      <c r="AI5293" s="15"/>
      <c r="AJ5293" s="15"/>
      <c r="AK5293" s="15"/>
      <c r="AL5293" s="15"/>
      <c r="AM5293" s="15"/>
      <c r="AN5293" s="15"/>
      <c r="AO5293" s="15"/>
      <c r="AP5293" s="15"/>
      <c r="AQ5293" s="15"/>
      <c r="AR5293" s="15"/>
      <c r="AS5293" s="15"/>
      <c r="AT5293" s="15"/>
      <c r="AU5293" s="15"/>
      <c r="AV5293" s="15"/>
      <c r="AW5293" s="15"/>
    </row>
    <row r="5294" spans="3:49" x14ac:dyDescent="0.2">
      <c r="C5294" s="15"/>
      <c r="D5294" s="15"/>
      <c r="E5294" s="15"/>
      <c r="F5294" s="15"/>
      <c r="G5294" s="15"/>
      <c r="H5294" s="15"/>
      <c r="I5294" s="15"/>
      <c r="J5294" s="15"/>
      <c r="K5294" s="15"/>
      <c r="L5294" s="28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  <c r="AA5294" s="15"/>
      <c r="AB5294" s="15"/>
      <c r="AC5294" s="15"/>
      <c r="AD5294" s="15"/>
      <c r="AE5294" s="15"/>
      <c r="AF5294" s="15"/>
      <c r="AG5294" s="15"/>
      <c r="AH5294" s="15"/>
      <c r="AI5294" s="15"/>
      <c r="AJ5294" s="15"/>
      <c r="AK5294" s="15"/>
      <c r="AL5294" s="15"/>
      <c r="AM5294" s="15"/>
      <c r="AN5294" s="15"/>
      <c r="AO5294" s="15"/>
      <c r="AP5294" s="15"/>
      <c r="AQ5294" s="15"/>
      <c r="AR5294" s="15"/>
      <c r="AS5294" s="15"/>
      <c r="AT5294" s="15"/>
      <c r="AU5294" s="15"/>
      <c r="AV5294" s="15"/>
      <c r="AW5294" s="15"/>
    </row>
    <row r="5295" spans="3:49" x14ac:dyDescent="0.2">
      <c r="C5295" s="15"/>
      <c r="D5295" s="15"/>
      <c r="E5295" s="15"/>
      <c r="F5295" s="15"/>
      <c r="G5295" s="15"/>
      <c r="H5295" s="15"/>
      <c r="I5295" s="15"/>
      <c r="J5295" s="15"/>
      <c r="K5295" s="15"/>
      <c r="L5295" s="28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  <c r="AA5295" s="15"/>
      <c r="AB5295" s="15"/>
      <c r="AC5295" s="15"/>
      <c r="AD5295" s="15"/>
      <c r="AE5295" s="15"/>
      <c r="AF5295" s="15"/>
      <c r="AG5295" s="15"/>
      <c r="AH5295" s="15"/>
      <c r="AI5295" s="15"/>
      <c r="AJ5295" s="15"/>
      <c r="AK5295" s="15"/>
      <c r="AL5295" s="15"/>
      <c r="AM5295" s="15"/>
      <c r="AN5295" s="15"/>
      <c r="AO5295" s="15"/>
      <c r="AP5295" s="15"/>
      <c r="AQ5295" s="15"/>
      <c r="AR5295" s="15"/>
      <c r="AS5295" s="15"/>
      <c r="AT5295" s="15"/>
      <c r="AU5295" s="15"/>
      <c r="AV5295" s="15"/>
      <c r="AW5295" s="15"/>
    </row>
    <row r="5296" spans="3:49" x14ac:dyDescent="0.2">
      <c r="C5296" s="15"/>
      <c r="D5296" s="15"/>
      <c r="E5296" s="15"/>
      <c r="F5296" s="15"/>
      <c r="G5296" s="15"/>
      <c r="H5296" s="15"/>
      <c r="I5296" s="15"/>
      <c r="J5296" s="15"/>
      <c r="K5296" s="15"/>
      <c r="L5296" s="28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  <c r="AA5296" s="15"/>
      <c r="AB5296" s="15"/>
      <c r="AC5296" s="15"/>
      <c r="AD5296" s="15"/>
      <c r="AE5296" s="15"/>
      <c r="AF5296" s="15"/>
      <c r="AG5296" s="15"/>
      <c r="AH5296" s="15"/>
      <c r="AI5296" s="15"/>
      <c r="AJ5296" s="15"/>
      <c r="AK5296" s="15"/>
      <c r="AL5296" s="15"/>
      <c r="AM5296" s="15"/>
      <c r="AN5296" s="15"/>
      <c r="AO5296" s="15"/>
      <c r="AP5296" s="15"/>
      <c r="AQ5296" s="15"/>
      <c r="AR5296" s="15"/>
      <c r="AS5296" s="15"/>
      <c r="AT5296" s="15"/>
      <c r="AU5296" s="15"/>
      <c r="AV5296" s="15"/>
      <c r="AW5296" s="15"/>
    </row>
    <row r="5297" spans="3:49" x14ac:dyDescent="0.2">
      <c r="C5297" s="15"/>
      <c r="D5297" s="15"/>
      <c r="E5297" s="15"/>
      <c r="F5297" s="15"/>
      <c r="G5297" s="15"/>
      <c r="H5297" s="15"/>
      <c r="I5297" s="15"/>
      <c r="J5297" s="15"/>
      <c r="K5297" s="15"/>
      <c r="L5297" s="28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  <c r="AA5297" s="15"/>
      <c r="AB5297" s="15"/>
      <c r="AC5297" s="15"/>
      <c r="AD5297" s="15"/>
      <c r="AE5297" s="15"/>
      <c r="AF5297" s="15"/>
      <c r="AG5297" s="15"/>
      <c r="AH5297" s="15"/>
      <c r="AI5297" s="15"/>
      <c r="AJ5297" s="15"/>
      <c r="AK5297" s="15"/>
      <c r="AL5297" s="15"/>
      <c r="AM5297" s="15"/>
      <c r="AN5297" s="15"/>
      <c r="AO5297" s="15"/>
      <c r="AP5297" s="15"/>
      <c r="AQ5297" s="15"/>
      <c r="AR5297" s="15"/>
      <c r="AS5297" s="15"/>
      <c r="AT5297" s="15"/>
      <c r="AU5297" s="15"/>
      <c r="AV5297" s="15"/>
      <c r="AW5297" s="15"/>
    </row>
    <row r="5298" spans="3:49" x14ac:dyDescent="0.2">
      <c r="C5298" s="15"/>
      <c r="D5298" s="15"/>
      <c r="E5298" s="15"/>
      <c r="F5298" s="15"/>
      <c r="G5298" s="15"/>
      <c r="H5298" s="15"/>
      <c r="I5298" s="15"/>
      <c r="J5298" s="15"/>
      <c r="K5298" s="15"/>
      <c r="L5298" s="28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  <c r="AA5298" s="15"/>
      <c r="AB5298" s="15"/>
      <c r="AC5298" s="15"/>
      <c r="AD5298" s="15"/>
      <c r="AE5298" s="15"/>
      <c r="AF5298" s="15"/>
      <c r="AG5298" s="15"/>
      <c r="AH5298" s="15"/>
      <c r="AI5298" s="15"/>
      <c r="AJ5298" s="15"/>
      <c r="AK5298" s="15"/>
      <c r="AL5298" s="15"/>
      <c r="AM5298" s="15"/>
      <c r="AN5298" s="15"/>
      <c r="AO5298" s="15"/>
      <c r="AP5298" s="15"/>
      <c r="AQ5298" s="15"/>
      <c r="AR5298" s="15"/>
      <c r="AS5298" s="15"/>
      <c r="AT5298" s="15"/>
      <c r="AU5298" s="15"/>
      <c r="AV5298" s="15"/>
      <c r="AW5298" s="15"/>
    </row>
    <row r="5299" spans="3:49" x14ac:dyDescent="0.2">
      <c r="C5299" s="15"/>
      <c r="D5299" s="15"/>
      <c r="E5299" s="15"/>
      <c r="F5299" s="15"/>
      <c r="G5299" s="15"/>
      <c r="H5299" s="15"/>
      <c r="I5299" s="15"/>
      <c r="J5299" s="15"/>
      <c r="K5299" s="15"/>
      <c r="L5299" s="28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  <c r="AA5299" s="15"/>
      <c r="AB5299" s="15"/>
      <c r="AC5299" s="15"/>
      <c r="AD5299" s="15"/>
      <c r="AE5299" s="15"/>
      <c r="AF5299" s="15"/>
      <c r="AG5299" s="15"/>
      <c r="AH5299" s="15"/>
      <c r="AI5299" s="15"/>
      <c r="AJ5299" s="15"/>
      <c r="AK5299" s="15"/>
      <c r="AL5299" s="15"/>
      <c r="AM5299" s="15"/>
      <c r="AN5299" s="15"/>
      <c r="AO5299" s="15"/>
      <c r="AP5299" s="15"/>
      <c r="AQ5299" s="15"/>
      <c r="AR5299" s="15"/>
      <c r="AS5299" s="15"/>
      <c r="AT5299" s="15"/>
      <c r="AU5299" s="15"/>
      <c r="AV5299" s="15"/>
      <c r="AW5299" s="15"/>
    </row>
    <row r="5300" spans="3:49" x14ac:dyDescent="0.2">
      <c r="C5300" s="15"/>
      <c r="D5300" s="15"/>
      <c r="E5300" s="15"/>
      <c r="F5300" s="15"/>
      <c r="G5300" s="15"/>
      <c r="H5300" s="15"/>
      <c r="I5300" s="15"/>
      <c r="J5300" s="15"/>
      <c r="K5300" s="15"/>
      <c r="L5300" s="28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  <c r="AA5300" s="15"/>
      <c r="AB5300" s="15"/>
      <c r="AC5300" s="15"/>
      <c r="AD5300" s="15"/>
      <c r="AE5300" s="15"/>
      <c r="AF5300" s="15"/>
      <c r="AG5300" s="15"/>
      <c r="AH5300" s="15"/>
      <c r="AI5300" s="15"/>
      <c r="AJ5300" s="15"/>
      <c r="AK5300" s="15"/>
      <c r="AL5300" s="15"/>
      <c r="AM5300" s="15"/>
      <c r="AN5300" s="15"/>
      <c r="AO5300" s="15"/>
      <c r="AP5300" s="15"/>
      <c r="AQ5300" s="15"/>
      <c r="AR5300" s="15"/>
      <c r="AS5300" s="15"/>
      <c r="AT5300" s="15"/>
      <c r="AU5300" s="15"/>
      <c r="AV5300" s="15"/>
      <c r="AW5300" s="15"/>
    </row>
    <row r="5301" spans="3:49" x14ac:dyDescent="0.2">
      <c r="C5301" s="15"/>
      <c r="D5301" s="15"/>
      <c r="E5301" s="15"/>
      <c r="F5301" s="15"/>
      <c r="G5301" s="15"/>
      <c r="H5301" s="15"/>
      <c r="I5301" s="15"/>
      <c r="J5301" s="15"/>
      <c r="K5301" s="15"/>
      <c r="L5301" s="28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  <c r="AA5301" s="15"/>
      <c r="AB5301" s="15"/>
      <c r="AC5301" s="15"/>
      <c r="AD5301" s="15"/>
      <c r="AE5301" s="15"/>
      <c r="AF5301" s="15"/>
      <c r="AG5301" s="15"/>
      <c r="AH5301" s="15"/>
      <c r="AI5301" s="15"/>
      <c r="AJ5301" s="15"/>
      <c r="AK5301" s="15"/>
      <c r="AL5301" s="15"/>
      <c r="AM5301" s="15"/>
      <c r="AN5301" s="15"/>
      <c r="AO5301" s="15"/>
      <c r="AP5301" s="15"/>
      <c r="AQ5301" s="15"/>
      <c r="AR5301" s="15"/>
      <c r="AS5301" s="15"/>
      <c r="AT5301" s="15"/>
      <c r="AU5301" s="15"/>
      <c r="AV5301" s="15"/>
      <c r="AW5301" s="15"/>
    </row>
    <row r="5302" spans="3:49" x14ac:dyDescent="0.2">
      <c r="C5302" s="15"/>
      <c r="D5302" s="15"/>
      <c r="E5302" s="15"/>
      <c r="F5302" s="15"/>
      <c r="G5302" s="15"/>
      <c r="H5302" s="15"/>
      <c r="I5302" s="15"/>
      <c r="J5302" s="15"/>
      <c r="K5302" s="15"/>
      <c r="L5302" s="28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  <c r="AA5302" s="15"/>
      <c r="AB5302" s="15"/>
      <c r="AC5302" s="15"/>
      <c r="AD5302" s="15"/>
      <c r="AE5302" s="15"/>
      <c r="AF5302" s="15"/>
      <c r="AG5302" s="15"/>
      <c r="AH5302" s="15"/>
      <c r="AI5302" s="15"/>
      <c r="AJ5302" s="15"/>
      <c r="AK5302" s="15"/>
      <c r="AL5302" s="15"/>
      <c r="AM5302" s="15"/>
      <c r="AN5302" s="15"/>
      <c r="AO5302" s="15"/>
      <c r="AP5302" s="15"/>
      <c r="AQ5302" s="15"/>
      <c r="AR5302" s="15"/>
      <c r="AS5302" s="15"/>
      <c r="AT5302" s="15"/>
      <c r="AU5302" s="15"/>
      <c r="AV5302" s="15"/>
      <c r="AW5302" s="15"/>
    </row>
    <row r="5303" spans="3:49" x14ac:dyDescent="0.2">
      <c r="C5303" s="15"/>
      <c r="D5303" s="15"/>
      <c r="E5303" s="15"/>
      <c r="F5303" s="15"/>
      <c r="G5303" s="15"/>
      <c r="H5303" s="15"/>
      <c r="I5303" s="15"/>
      <c r="J5303" s="15"/>
      <c r="K5303" s="15"/>
      <c r="L5303" s="28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  <c r="AA5303" s="15"/>
      <c r="AB5303" s="15"/>
      <c r="AC5303" s="15"/>
      <c r="AD5303" s="15"/>
      <c r="AE5303" s="15"/>
      <c r="AF5303" s="15"/>
      <c r="AG5303" s="15"/>
      <c r="AH5303" s="15"/>
      <c r="AI5303" s="15"/>
      <c r="AJ5303" s="15"/>
      <c r="AK5303" s="15"/>
      <c r="AL5303" s="15"/>
      <c r="AM5303" s="15"/>
      <c r="AN5303" s="15"/>
      <c r="AO5303" s="15"/>
      <c r="AP5303" s="15"/>
      <c r="AQ5303" s="15"/>
      <c r="AR5303" s="15"/>
      <c r="AS5303" s="15"/>
      <c r="AT5303" s="15"/>
      <c r="AU5303" s="15"/>
      <c r="AV5303" s="15"/>
      <c r="AW5303" s="15"/>
    </row>
    <row r="5304" spans="3:49" x14ac:dyDescent="0.2">
      <c r="C5304" s="15"/>
      <c r="D5304" s="15"/>
      <c r="E5304" s="15"/>
      <c r="F5304" s="15"/>
      <c r="G5304" s="15"/>
      <c r="H5304" s="15"/>
      <c r="I5304" s="15"/>
      <c r="J5304" s="15"/>
      <c r="K5304" s="15"/>
      <c r="L5304" s="28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  <c r="AA5304" s="15"/>
      <c r="AB5304" s="15"/>
      <c r="AC5304" s="15"/>
      <c r="AD5304" s="15"/>
      <c r="AE5304" s="15"/>
      <c r="AF5304" s="15"/>
      <c r="AG5304" s="15"/>
      <c r="AH5304" s="15"/>
      <c r="AI5304" s="15"/>
      <c r="AJ5304" s="15"/>
      <c r="AK5304" s="15"/>
      <c r="AL5304" s="15"/>
      <c r="AM5304" s="15"/>
      <c r="AN5304" s="15"/>
      <c r="AO5304" s="15"/>
      <c r="AP5304" s="15"/>
      <c r="AQ5304" s="15"/>
      <c r="AR5304" s="15"/>
      <c r="AS5304" s="15"/>
      <c r="AT5304" s="15"/>
      <c r="AU5304" s="15"/>
      <c r="AV5304" s="15"/>
      <c r="AW5304" s="15"/>
    </row>
    <row r="5305" spans="3:49" x14ac:dyDescent="0.2">
      <c r="C5305" s="15"/>
      <c r="D5305" s="15"/>
      <c r="E5305" s="15"/>
      <c r="F5305" s="15"/>
      <c r="G5305" s="15"/>
      <c r="H5305" s="15"/>
      <c r="I5305" s="15"/>
      <c r="J5305" s="15"/>
      <c r="K5305" s="15"/>
      <c r="L5305" s="28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  <c r="AA5305" s="15"/>
      <c r="AB5305" s="15"/>
      <c r="AC5305" s="15"/>
      <c r="AD5305" s="15"/>
      <c r="AE5305" s="15"/>
      <c r="AF5305" s="15"/>
      <c r="AG5305" s="15"/>
      <c r="AH5305" s="15"/>
      <c r="AI5305" s="15"/>
      <c r="AJ5305" s="15"/>
      <c r="AK5305" s="15"/>
      <c r="AL5305" s="15"/>
      <c r="AM5305" s="15"/>
      <c r="AN5305" s="15"/>
      <c r="AO5305" s="15"/>
      <c r="AP5305" s="15"/>
      <c r="AQ5305" s="15"/>
      <c r="AR5305" s="15"/>
      <c r="AS5305" s="15"/>
      <c r="AT5305" s="15"/>
      <c r="AU5305" s="15"/>
      <c r="AV5305" s="15"/>
      <c r="AW5305" s="15"/>
    </row>
    <row r="5306" spans="3:49" x14ac:dyDescent="0.2">
      <c r="C5306" s="15"/>
      <c r="D5306" s="15"/>
      <c r="E5306" s="15"/>
      <c r="F5306" s="15"/>
      <c r="G5306" s="15"/>
      <c r="H5306" s="15"/>
      <c r="I5306" s="15"/>
      <c r="J5306" s="15"/>
      <c r="K5306" s="15"/>
      <c r="L5306" s="28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  <c r="AA5306" s="15"/>
      <c r="AB5306" s="15"/>
      <c r="AC5306" s="15"/>
      <c r="AD5306" s="15"/>
      <c r="AE5306" s="15"/>
      <c r="AF5306" s="15"/>
      <c r="AG5306" s="15"/>
      <c r="AH5306" s="15"/>
      <c r="AI5306" s="15"/>
      <c r="AJ5306" s="15"/>
      <c r="AK5306" s="15"/>
      <c r="AL5306" s="15"/>
      <c r="AM5306" s="15"/>
      <c r="AN5306" s="15"/>
      <c r="AO5306" s="15"/>
      <c r="AP5306" s="15"/>
      <c r="AQ5306" s="15"/>
      <c r="AR5306" s="15"/>
      <c r="AS5306" s="15"/>
      <c r="AT5306" s="15"/>
      <c r="AU5306" s="15"/>
      <c r="AV5306" s="15"/>
      <c r="AW5306" s="15"/>
    </row>
    <row r="5307" spans="3:49" x14ac:dyDescent="0.2">
      <c r="C5307" s="15"/>
      <c r="D5307" s="15"/>
      <c r="E5307" s="15"/>
      <c r="F5307" s="15"/>
      <c r="G5307" s="15"/>
      <c r="H5307" s="15"/>
      <c r="I5307" s="15"/>
      <c r="J5307" s="15"/>
      <c r="K5307" s="15"/>
      <c r="L5307" s="28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  <c r="AA5307" s="15"/>
      <c r="AB5307" s="15"/>
      <c r="AC5307" s="15"/>
      <c r="AD5307" s="15"/>
      <c r="AE5307" s="15"/>
      <c r="AF5307" s="15"/>
      <c r="AG5307" s="15"/>
      <c r="AH5307" s="15"/>
      <c r="AI5307" s="15"/>
      <c r="AJ5307" s="15"/>
      <c r="AK5307" s="15"/>
      <c r="AL5307" s="15"/>
      <c r="AM5307" s="15"/>
      <c r="AN5307" s="15"/>
      <c r="AO5307" s="15"/>
      <c r="AP5307" s="15"/>
      <c r="AQ5307" s="15"/>
      <c r="AR5307" s="15"/>
      <c r="AS5307" s="15"/>
      <c r="AT5307" s="15"/>
      <c r="AU5307" s="15"/>
      <c r="AV5307" s="15"/>
      <c r="AW5307" s="15"/>
    </row>
    <row r="5308" spans="3:49" x14ac:dyDescent="0.2">
      <c r="C5308" s="15"/>
      <c r="D5308" s="15"/>
      <c r="E5308" s="15"/>
      <c r="F5308" s="15"/>
      <c r="G5308" s="15"/>
      <c r="H5308" s="15"/>
      <c r="I5308" s="15"/>
      <c r="J5308" s="15"/>
      <c r="K5308" s="15"/>
      <c r="L5308" s="28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  <c r="AA5308" s="15"/>
      <c r="AB5308" s="15"/>
      <c r="AC5308" s="15"/>
      <c r="AD5308" s="15"/>
      <c r="AE5308" s="15"/>
      <c r="AF5308" s="15"/>
      <c r="AG5308" s="15"/>
      <c r="AH5308" s="15"/>
      <c r="AI5308" s="15"/>
      <c r="AJ5308" s="15"/>
      <c r="AK5308" s="15"/>
      <c r="AL5308" s="15"/>
      <c r="AM5308" s="15"/>
      <c r="AN5308" s="15"/>
      <c r="AO5308" s="15"/>
      <c r="AP5308" s="15"/>
      <c r="AQ5308" s="15"/>
      <c r="AR5308" s="15"/>
      <c r="AS5308" s="15"/>
      <c r="AT5308" s="15"/>
      <c r="AU5308" s="15"/>
      <c r="AV5308" s="15"/>
      <c r="AW5308" s="15"/>
    </row>
    <row r="5309" spans="3:49" x14ac:dyDescent="0.2">
      <c r="C5309" s="15"/>
      <c r="D5309" s="15"/>
      <c r="E5309" s="15"/>
      <c r="F5309" s="15"/>
      <c r="G5309" s="15"/>
      <c r="H5309" s="15"/>
      <c r="I5309" s="15"/>
      <c r="J5309" s="15"/>
      <c r="K5309" s="15"/>
      <c r="L5309" s="28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  <c r="AA5309" s="15"/>
      <c r="AB5309" s="15"/>
      <c r="AC5309" s="15"/>
      <c r="AD5309" s="15"/>
      <c r="AE5309" s="15"/>
      <c r="AF5309" s="15"/>
      <c r="AG5309" s="15"/>
      <c r="AH5309" s="15"/>
      <c r="AI5309" s="15"/>
      <c r="AJ5309" s="15"/>
      <c r="AK5309" s="15"/>
      <c r="AL5309" s="15"/>
      <c r="AM5309" s="15"/>
      <c r="AN5309" s="15"/>
      <c r="AO5309" s="15"/>
      <c r="AP5309" s="15"/>
      <c r="AQ5309" s="15"/>
      <c r="AR5309" s="15"/>
      <c r="AS5309" s="15"/>
      <c r="AT5309" s="15"/>
      <c r="AU5309" s="15"/>
      <c r="AV5309" s="15"/>
      <c r="AW5309" s="15"/>
    </row>
    <row r="5310" spans="3:49" x14ac:dyDescent="0.2">
      <c r="C5310" s="15"/>
      <c r="D5310" s="15"/>
      <c r="E5310" s="15"/>
      <c r="F5310" s="15"/>
      <c r="G5310" s="15"/>
      <c r="H5310" s="15"/>
      <c r="I5310" s="15"/>
      <c r="J5310" s="15"/>
      <c r="K5310" s="15"/>
      <c r="L5310" s="28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  <c r="AA5310" s="15"/>
      <c r="AB5310" s="15"/>
      <c r="AC5310" s="15"/>
      <c r="AD5310" s="15"/>
      <c r="AE5310" s="15"/>
      <c r="AF5310" s="15"/>
      <c r="AG5310" s="15"/>
      <c r="AH5310" s="15"/>
      <c r="AI5310" s="15"/>
      <c r="AJ5310" s="15"/>
      <c r="AK5310" s="15"/>
      <c r="AL5310" s="15"/>
      <c r="AM5310" s="15"/>
      <c r="AN5310" s="15"/>
      <c r="AO5310" s="15"/>
      <c r="AP5310" s="15"/>
      <c r="AQ5310" s="15"/>
      <c r="AR5310" s="15"/>
      <c r="AS5310" s="15"/>
      <c r="AT5310" s="15"/>
      <c r="AU5310" s="15"/>
      <c r="AV5310" s="15"/>
      <c r="AW5310" s="15"/>
    </row>
    <row r="5311" spans="3:49" x14ac:dyDescent="0.2">
      <c r="C5311" s="15"/>
      <c r="D5311" s="15"/>
      <c r="E5311" s="15"/>
      <c r="F5311" s="15"/>
      <c r="G5311" s="15"/>
      <c r="H5311" s="15"/>
      <c r="I5311" s="15"/>
      <c r="J5311" s="15"/>
      <c r="K5311" s="15"/>
      <c r="L5311" s="28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  <c r="AA5311" s="15"/>
      <c r="AB5311" s="15"/>
      <c r="AC5311" s="15"/>
      <c r="AD5311" s="15"/>
      <c r="AE5311" s="15"/>
      <c r="AF5311" s="15"/>
      <c r="AG5311" s="15"/>
      <c r="AH5311" s="15"/>
      <c r="AI5311" s="15"/>
      <c r="AJ5311" s="15"/>
      <c r="AK5311" s="15"/>
      <c r="AL5311" s="15"/>
      <c r="AM5311" s="15"/>
      <c r="AN5311" s="15"/>
      <c r="AO5311" s="15"/>
      <c r="AP5311" s="15"/>
      <c r="AQ5311" s="15"/>
      <c r="AR5311" s="15"/>
      <c r="AS5311" s="15"/>
      <c r="AT5311" s="15"/>
      <c r="AU5311" s="15"/>
      <c r="AV5311" s="15"/>
      <c r="AW5311" s="15"/>
    </row>
    <row r="5312" spans="3:49" x14ac:dyDescent="0.2">
      <c r="C5312" s="15"/>
      <c r="D5312" s="15"/>
      <c r="E5312" s="15"/>
      <c r="F5312" s="15"/>
      <c r="G5312" s="15"/>
      <c r="H5312" s="15"/>
      <c r="I5312" s="15"/>
      <c r="J5312" s="15"/>
      <c r="K5312" s="15"/>
      <c r="L5312" s="28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  <c r="AA5312" s="15"/>
      <c r="AB5312" s="15"/>
      <c r="AC5312" s="15"/>
      <c r="AD5312" s="15"/>
      <c r="AE5312" s="15"/>
      <c r="AF5312" s="15"/>
      <c r="AG5312" s="15"/>
      <c r="AH5312" s="15"/>
      <c r="AI5312" s="15"/>
      <c r="AJ5312" s="15"/>
      <c r="AK5312" s="15"/>
      <c r="AL5312" s="15"/>
      <c r="AM5312" s="15"/>
      <c r="AN5312" s="15"/>
      <c r="AO5312" s="15"/>
      <c r="AP5312" s="15"/>
      <c r="AQ5312" s="15"/>
      <c r="AR5312" s="15"/>
      <c r="AS5312" s="15"/>
      <c r="AT5312" s="15"/>
      <c r="AU5312" s="15"/>
      <c r="AV5312" s="15"/>
      <c r="AW5312" s="15"/>
    </row>
    <row r="5313" spans="3:49" x14ac:dyDescent="0.2">
      <c r="C5313" s="15"/>
      <c r="D5313" s="15"/>
      <c r="E5313" s="15"/>
      <c r="F5313" s="15"/>
      <c r="G5313" s="15"/>
      <c r="H5313" s="15"/>
      <c r="I5313" s="15"/>
      <c r="J5313" s="15"/>
      <c r="K5313" s="15"/>
      <c r="L5313" s="28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  <c r="AA5313" s="15"/>
      <c r="AB5313" s="15"/>
      <c r="AC5313" s="15"/>
      <c r="AD5313" s="15"/>
      <c r="AE5313" s="15"/>
      <c r="AF5313" s="15"/>
      <c r="AG5313" s="15"/>
      <c r="AH5313" s="15"/>
      <c r="AI5313" s="15"/>
      <c r="AJ5313" s="15"/>
      <c r="AK5313" s="15"/>
      <c r="AL5313" s="15"/>
      <c r="AM5313" s="15"/>
      <c r="AN5313" s="15"/>
      <c r="AO5313" s="15"/>
      <c r="AP5313" s="15"/>
      <c r="AQ5313" s="15"/>
      <c r="AR5313" s="15"/>
      <c r="AS5313" s="15"/>
      <c r="AT5313" s="15"/>
      <c r="AU5313" s="15"/>
      <c r="AV5313" s="15"/>
      <c r="AW5313" s="15"/>
    </row>
    <row r="5314" spans="3:49" x14ac:dyDescent="0.2">
      <c r="C5314" s="15"/>
      <c r="D5314" s="15"/>
      <c r="E5314" s="15"/>
      <c r="F5314" s="15"/>
      <c r="G5314" s="15"/>
      <c r="H5314" s="15"/>
      <c r="I5314" s="15"/>
      <c r="J5314" s="15"/>
      <c r="K5314" s="15"/>
      <c r="L5314" s="28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  <c r="AA5314" s="15"/>
      <c r="AB5314" s="15"/>
      <c r="AC5314" s="15"/>
      <c r="AD5314" s="15"/>
      <c r="AE5314" s="15"/>
      <c r="AF5314" s="15"/>
      <c r="AG5314" s="15"/>
      <c r="AH5314" s="15"/>
      <c r="AI5314" s="15"/>
      <c r="AJ5314" s="15"/>
      <c r="AK5314" s="15"/>
      <c r="AL5314" s="15"/>
      <c r="AM5314" s="15"/>
      <c r="AN5314" s="15"/>
      <c r="AO5314" s="15"/>
      <c r="AP5314" s="15"/>
      <c r="AQ5314" s="15"/>
      <c r="AR5314" s="15"/>
      <c r="AS5314" s="15"/>
      <c r="AT5314" s="15"/>
      <c r="AU5314" s="15"/>
      <c r="AV5314" s="15"/>
      <c r="AW5314" s="15"/>
    </row>
    <row r="5315" spans="3:49" x14ac:dyDescent="0.2">
      <c r="C5315" s="15"/>
      <c r="D5315" s="15"/>
      <c r="E5315" s="15"/>
      <c r="F5315" s="15"/>
      <c r="G5315" s="15"/>
      <c r="H5315" s="15"/>
      <c r="I5315" s="15"/>
      <c r="J5315" s="15"/>
      <c r="K5315" s="15"/>
      <c r="L5315" s="28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  <c r="AA5315" s="15"/>
      <c r="AB5315" s="15"/>
      <c r="AC5315" s="15"/>
      <c r="AD5315" s="15"/>
      <c r="AE5315" s="15"/>
      <c r="AF5315" s="15"/>
      <c r="AG5315" s="15"/>
      <c r="AH5315" s="15"/>
      <c r="AI5315" s="15"/>
      <c r="AJ5315" s="15"/>
      <c r="AK5315" s="15"/>
      <c r="AL5315" s="15"/>
      <c r="AM5315" s="15"/>
      <c r="AN5315" s="15"/>
      <c r="AO5315" s="15"/>
      <c r="AP5315" s="15"/>
      <c r="AQ5315" s="15"/>
      <c r="AR5315" s="15"/>
      <c r="AS5315" s="15"/>
      <c r="AT5315" s="15"/>
      <c r="AU5315" s="15"/>
      <c r="AV5315" s="15"/>
      <c r="AW5315" s="15"/>
    </row>
    <row r="5316" spans="3:49" x14ac:dyDescent="0.2">
      <c r="C5316" s="15"/>
      <c r="D5316" s="15"/>
      <c r="E5316" s="15"/>
      <c r="F5316" s="15"/>
      <c r="G5316" s="15"/>
      <c r="H5316" s="15"/>
      <c r="I5316" s="15"/>
      <c r="J5316" s="15"/>
      <c r="K5316" s="15"/>
      <c r="L5316" s="28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  <c r="AA5316" s="15"/>
      <c r="AB5316" s="15"/>
      <c r="AC5316" s="15"/>
      <c r="AD5316" s="15"/>
      <c r="AE5316" s="15"/>
      <c r="AF5316" s="15"/>
      <c r="AG5316" s="15"/>
      <c r="AH5316" s="15"/>
      <c r="AI5316" s="15"/>
      <c r="AJ5316" s="15"/>
      <c r="AK5316" s="15"/>
      <c r="AL5316" s="15"/>
      <c r="AM5316" s="15"/>
      <c r="AN5316" s="15"/>
      <c r="AO5316" s="15"/>
      <c r="AP5316" s="15"/>
      <c r="AQ5316" s="15"/>
      <c r="AR5316" s="15"/>
      <c r="AS5316" s="15"/>
      <c r="AT5316" s="15"/>
      <c r="AU5316" s="15"/>
      <c r="AV5316" s="15"/>
      <c r="AW5316" s="15"/>
    </row>
    <row r="5317" spans="3:49" x14ac:dyDescent="0.2">
      <c r="C5317" s="15"/>
      <c r="D5317" s="15"/>
      <c r="E5317" s="15"/>
      <c r="F5317" s="15"/>
      <c r="G5317" s="15"/>
      <c r="H5317" s="15"/>
      <c r="I5317" s="15"/>
      <c r="J5317" s="15"/>
      <c r="K5317" s="15"/>
      <c r="L5317" s="28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  <c r="AA5317" s="15"/>
      <c r="AB5317" s="15"/>
      <c r="AC5317" s="15"/>
      <c r="AD5317" s="15"/>
      <c r="AE5317" s="15"/>
      <c r="AF5317" s="15"/>
      <c r="AG5317" s="15"/>
      <c r="AH5317" s="15"/>
      <c r="AI5317" s="15"/>
      <c r="AJ5317" s="15"/>
      <c r="AK5317" s="15"/>
      <c r="AL5317" s="15"/>
      <c r="AM5317" s="15"/>
      <c r="AN5317" s="15"/>
      <c r="AO5317" s="15"/>
      <c r="AP5317" s="15"/>
      <c r="AQ5317" s="15"/>
      <c r="AR5317" s="15"/>
      <c r="AS5317" s="15"/>
      <c r="AT5317" s="15"/>
      <c r="AU5317" s="15"/>
      <c r="AV5317" s="15"/>
      <c r="AW5317" s="15"/>
    </row>
    <row r="5318" spans="3:49" x14ac:dyDescent="0.2">
      <c r="C5318" s="15"/>
      <c r="D5318" s="15"/>
      <c r="E5318" s="15"/>
      <c r="F5318" s="15"/>
      <c r="G5318" s="15"/>
      <c r="H5318" s="15"/>
      <c r="I5318" s="15"/>
      <c r="J5318" s="15"/>
      <c r="K5318" s="15"/>
      <c r="L5318" s="28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  <c r="AA5318" s="15"/>
      <c r="AB5318" s="15"/>
      <c r="AC5318" s="15"/>
      <c r="AD5318" s="15"/>
      <c r="AE5318" s="15"/>
      <c r="AF5318" s="15"/>
      <c r="AG5318" s="15"/>
      <c r="AH5318" s="15"/>
      <c r="AI5318" s="15"/>
      <c r="AJ5318" s="15"/>
      <c r="AK5318" s="15"/>
      <c r="AL5318" s="15"/>
      <c r="AM5318" s="15"/>
      <c r="AN5318" s="15"/>
      <c r="AO5318" s="15"/>
      <c r="AP5318" s="15"/>
      <c r="AQ5318" s="15"/>
      <c r="AR5318" s="15"/>
      <c r="AS5318" s="15"/>
      <c r="AT5318" s="15"/>
      <c r="AU5318" s="15"/>
      <c r="AV5318" s="15"/>
      <c r="AW5318" s="15"/>
    </row>
    <row r="5319" spans="3:49" x14ac:dyDescent="0.2">
      <c r="C5319" s="15"/>
      <c r="D5319" s="15"/>
      <c r="E5319" s="15"/>
      <c r="F5319" s="15"/>
      <c r="G5319" s="15"/>
      <c r="H5319" s="15"/>
      <c r="I5319" s="15"/>
      <c r="J5319" s="15"/>
      <c r="K5319" s="15"/>
      <c r="L5319" s="28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  <c r="AA5319" s="15"/>
      <c r="AB5319" s="15"/>
      <c r="AC5319" s="15"/>
      <c r="AD5319" s="15"/>
      <c r="AE5319" s="15"/>
      <c r="AF5319" s="15"/>
      <c r="AG5319" s="15"/>
      <c r="AH5319" s="15"/>
      <c r="AI5319" s="15"/>
      <c r="AJ5319" s="15"/>
      <c r="AK5319" s="15"/>
      <c r="AL5319" s="15"/>
      <c r="AM5319" s="15"/>
      <c r="AN5319" s="15"/>
      <c r="AO5319" s="15"/>
      <c r="AP5319" s="15"/>
      <c r="AQ5319" s="15"/>
      <c r="AR5319" s="15"/>
      <c r="AS5319" s="15"/>
      <c r="AT5319" s="15"/>
      <c r="AU5319" s="15"/>
      <c r="AV5319" s="15"/>
      <c r="AW5319" s="15"/>
    </row>
    <row r="5320" spans="3:49" x14ac:dyDescent="0.2">
      <c r="C5320" s="15"/>
      <c r="D5320" s="15"/>
      <c r="E5320" s="15"/>
      <c r="F5320" s="15"/>
      <c r="G5320" s="15"/>
      <c r="H5320" s="15"/>
      <c r="I5320" s="15"/>
      <c r="J5320" s="15"/>
      <c r="K5320" s="15"/>
      <c r="L5320" s="28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  <c r="AA5320" s="15"/>
      <c r="AB5320" s="15"/>
      <c r="AC5320" s="15"/>
      <c r="AD5320" s="15"/>
      <c r="AE5320" s="15"/>
      <c r="AF5320" s="15"/>
      <c r="AG5320" s="15"/>
      <c r="AH5320" s="15"/>
      <c r="AI5320" s="15"/>
      <c r="AJ5320" s="15"/>
      <c r="AK5320" s="15"/>
      <c r="AL5320" s="15"/>
      <c r="AM5320" s="15"/>
      <c r="AN5320" s="15"/>
      <c r="AO5320" s="15"/>
      <c r="AP5320" s="15"/>
      <c r="AQ5320" s="15"/>
      <c r="AR5320" s="15"/>
      <c r="AS5320" s="15"/>
      <c r="AT5320" s="15"/>
      <c r="AU5320" s="15"/>
      <c r="AV5320" s="15"/>
      <c r="AW5320" s="15"/>
    </row>
    <row r="5321" spans="3:49" x14ac:dyDescent="0.2">
      <c r="C5321" s="15"/>
      <c r="D5321" s="15"/>
      <c r="E5321" s="15"/>
      <c r="F5321" s="15"/>
      <c r="G5321" s="15"/>
      <c r="H5321" s="15"/>
      <c r="I5321" s="15"/>
      <c r="J5321" s="15"/>
      <c r="K5321" s="15"/>
      <c r="L5321" s="28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  <c r="AA5321" s="15"/>
      <c r="AB5321" s="15"/>
      <c r="AC5321" s="15"/>
      <c r="AD5321" s="15"/>
      <c r="AE5321" s="15"/>
      <c r="AF5321" s="15"/>
      <c r="AG5321" s="15"/>
      <c r="AH5321" s="15"/>
      <c r="AI5321" s="15"/>
      <c r="AJ5321" s="15"/>
      <c r="AK5321" s="15"/>
      <c r="AL5321" s="15"/>
      <c r="AM5321" s="15"/>
      <c r="AN5321" s="15"/>
      <c r="AO5321" s="15"/>
      <c r="AP5321" s="15"/>
      <c r="AQ5321" s="15"/>
      <c r="AR5321" s="15"/>
      <c r="AS5321" s="15"/>
      <c r="AT5321" s="15"/>
      <c r="AU5321" s="15"/>
      <c r="AV5321" s="15"/>
      <c r="AW5321" s="15"/>
    </row>
    <row r="5322" spans="3:49" x14ac:dyDescent="0.2">
      <c r="C5322" s="15"/>
      <c r="D5322" s="15"/>
      <c r="E5322" s="15"/>
      <c r="F5322" s="15"/>
      <c r="G5322" s="15"/>
      <c r="H5322" s="15"/>
      <c r="I5322" s="15"/>
      <c r="J5322" s="15"/>
      <c r="K5322" s="15"/>
      <c r="L5322" s="28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  <c r="AA5322" s="15"/>
      <c r="AB5322" s="15"/>
      <c r="AC5322" s="15"/>
      <c r="AD5322" s="15"/>
      <c r="AE5322" s="15"/>
      <c r="AF5322" s="15"/>
      <c r="AG5322" s="15"/>
      <c r="AH5322" s="15"/>
      <c r="AI5322" s="15"/>
      <c r="AJ5322" s="15"/>
      <c r="AK5322" s="15"/>
      <c r="AL5322" s="15"/>
      <c r="AM5322" s="15"/>
      <c r="AN5322" s="15"/>
      <c r="AO5322" s="15"/>
      <c r="AP5322" s="15"/>
      <c r="AQ5322" s="15"/>
      <c r="AR5322" s="15"/>
      <c r="AS5322" s="15"/>
      <c r="AT5322" s="15"/>
      <c r="AU5322" s="15"/>
      <c r="AV5322" s="15"/>
      <c r="AW5322" s="15"/>
    </row>
    <row r="5323" spans="3:49" x14ac:dyDescent="0.2">
      <c r="C5323" s="15"/>
      <c r="D5323" s="15"/>
      <c r="E5323" s="15"/>
      <c r="F5323" s="15"/>
      <c r="G5323" s="15"/>
      <c r="H5323" s="15"/>
      <c r="I5323" s="15"/>
      <c r="J5323" s="15"/>
      <c r="K5323" s="15"/>
      <c r="L5323" s="28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  <c r="AA5323" s="15"/>
      <c r="AB5323" s="15"/>
      <c r="AC5323" s="15"/>
      <c r="AD5323" s="15"/>
      <c r="AE5323" s="15"/>
      <c r="AF5323" s="15"/>
      <c r="AG5323" s="15"/>
      <c r="AH5323" s="15"/>
      <c r="AI5323" s="15"/>
      <c r="AJ5323" s="15"/>
      <c r="AK5323" s="15"/>
      <c r="AL5323" s="15"/>
      <c r="AM5323" s="15"/>
      <c r="AN5323" s="15"/>
      <c r="AO5323" s="15"/>
      <c r="AP5323" s="15"/>
      <c r="AQ5323" s="15"/>
      <c r="AR5323" s="15"/>
      <c r="AS5323" s="15"/>
      <c r="AT5323" s="15"/>
      <c r="AU5323" s="15"/>
      <c r="AV5323" s="15"/>
      <c r="AW5323" s="15"/>
    </row>
    <row r="5324" spans="3:49" x14ac:dyDescent="0.2">
      <c r="C5324" s="15"/>
      <c r="D5324" s="15"/>
      <c r="E5324" s="15"/>
      <c r="F5324" s="15"/>
      <c r="G5324" s="15"/>
      <c r="H5324" s="15"/>
      <c r="I5324" s="15"/>
      <c r="J5324" s="15"/>
      <c r="K5324" s="15"/>
      <c r="L5324" s="28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  <c r="AA5324" s="15"/>
      <c r="AB5324" s="15"/>
      <c r="AC5324" s="15"/>
      <c r="AD5324" s="15"/>
      <c r="AE5324" s="15"/>
      <c r="AF5324" s="15"/>
      <c r="AG5324" s="15"/>
      <c r="AH5324" s="15"/>
      <c r="AI5324" s="15"/>
      <c r="AJ5324" s="15"/>
      <c r="AK5324" s="15"/>
      <c r="AL5324" s="15"/>
      <c r="AM5324" s="15"/>
      <c r="AN5324" s="15"/>
      <c r="AO5324" s="15"/>
      <c r="AP5324" s="15"/>
      <c r="AQ5324" s="15"/>
      <c r="AR5324" s="15"/>
      <c r="AS5324" s="15"/>
      <c r="AT5324" s="15"/>
      <c r="AU5324" s="15"/>
      <c r="AV5324" s="15"/>
      <c r="AW5324" s="15"/>
    </row>
    <row r="5325" spans="3:49" x14ac:dyDescent="0.2">
      <c r="C5325" s="15"/>
      <c r="D5325" s="15"/>
      <c r="E5325" s="15"/>
      <c r="F5325" s="15"/>
      <c r="G5325" s="15"/>
      <c r="H5325" s="15"/>
      <c r="I5325" s="15"/>
      <c r="J5325" s="15"/>
      <c r="K5325" s="15"/>
      <c r="L5325" s="28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  <c r="AA5325" s="15"/>
      <c r="AB5325" s="15"/>
      <c r="AC5325" s="15"/>
      <c r="AD5325" s="15"/>
      <c r="AE5325" s="15"/>
      <c r="AF5325" s="15"/>
      <c r="AG5325" s="15"/>
      <c r="AH5325" s="15"/>
      <c r="AI5325" s="15"/>
      <c r="AJ5325" s="15"/>
      <c r="AK5325" s="15"/>
      <c r="AL5325" s="15"/>
      <c r="AM5325" s="15"/>
      <c r="AN5325" s="15"/>
      <c r="AO5325" s="15"/>
      <c r="AP5325" s="15"/>
      <c r="AQ5325" s="15"/>
      <c r="AR5325" s="15"/>
      <c r="AS5325" s="15"/>
      <c r="AT5325" s="15"/>
      <c r="AU5325" s="15"/>
      <c r="AV5325" s="15"/>
      <c r="AW5325" s="15"/>
    </row>
    <row r="5326" spans="3:49" x14ac:dyDescent="0.2">
      <c r="C5326" s="15"/>
      <c r="D5326" s="15"/>
      <c r="E5326" s="15"/>
      <c r="F5326" s="15"/>
      <c r="G5326" s="15"/>
      <c r="H5326" s="15"/>
      <c r="I5326" s="15"/>
      <c r="J5326" s="15"/>
      <c r="K5326" s="15"/>
      <c r="L5326" s="28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  <c r="AA5326" s="15"/>
      <c r="AB5326" s="15"/>
      <c r="AC5326" s="15"/>
      <c r="AD5326" s="15"/>
      <c r="AE5326" s="15"/>
      <c r="AF5326" s="15"/>
      <c r="AG5326" s="15"/>
      <c r="AH5326" s="15"/>
      <c r="AI5326" s="15"/>
      <c r="AJ5326" s="15"/>
      <c r="AK5326" s="15"/>
      <c r="AL5326" s="15"/>
      <c r="AM5326" s="15"/>
      <c r="AN5326" s="15"/>
      <c r="AO5326" s="15"/>
      <c r="AP5326" s="15"/>
      <c r="AQ5326" s="15"/>
      <c r="AR5326" s="15"/>
      <c r="AS5326" s="15"/>
      <c r="AT5326" s="15"/>
      <c r="AU5326" s="15"/>
      <c r="AV5326" s="15"/>
      <c r="AW5326" s="15"/>
    </row>
    <row r="5327" spans="3:49" x14ac:dyDescent="0.2">
      <c r="C5327" s="15"/>
      <c r="D5327" s="15"/>
      <c r="E5327" s="15"/>
      <c r="F5327" s="15"/>
      <c r="G5327" s="15"/>
      <c r="H5327" s="15"/>
      <c r="I5327" s="15"/>
      <c r="J5327" s="15"/>
      <c r="K5327" s="15"/>
      <c r="L5327" s="28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  <c r="AA5327" s="15"/>
      <c r="AB5327" s="15"/>
      <c r="AC5327" s="15"/>
      <c r="AD5327" s="15"/>
      <c r="AE5327" s="15"/>
      <c r="AF5327" s="15"/>
      <c r="AG5327" s="15"/>
      <c r="AH5327" s="15"/>
      <c r="AI5327" s="15"/>
      <c r="AJ5327" s="15"/>
      <c r="AK5327" s="15"/>
      <c r="AL5327" s="15"/>
      <c r="AM5327" s="15"/>
      <c r="AN5327" s="15"/>
      <c r="AO5327" s="15"/>
      <c r="AP5327" s="15"/>
      <c r="AQ5327" s="15"/>
      <c r="AR5327" s="15"/>
      <c r="AS5327" s="15"/>
      <c r="AT5327" s="15"/>
      <c r="AU5327" s="15"/>
      <c r="AV5327" s="15"/>
      <c r="AW5327" s="15"/>
    </row>
    <row r="5328" spans="3:49" x14ac:dyDescent="0.2">
      <c r="C5328" s="15"/>
      <c r="D5328" s="15"/>
      <c r="E5328" s="15"/>
      <c r="F5328" s="15"/>
      <c r="G5328" s="15"/>
      <c r="H5328" s="15"/>
      <c r="I5328" s="15"/>
      <c r="J5328" s="15"/>
      <c r="K5328" s="15"/>
      <c r="L5328" s="28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  <c r="AA5328" s="15"/>
      <c r="AB5328" s="15"/>
      <c r="AC5328" s="15"/>
      <c r="AD5328" s="15"/>
      <c r="AE5328" s="15"/>
      <c r="AF5328" s="15"/>
      <c r="AG5328" s="15"/>
      <c r="AH5328" s="15"/>
      <c r="AI5328" s="15"/>
      <c r="AJ5328" s="15"/>
      <c r="AK5328" s="15"/>
      <c r="AL5328" s="15"/>
      <c r="AM5328" s="15"/>
      <c r="AN5328" s="15"/>
      <c r="AO5328" s="15"/>
      <c r="AP5328" s="15"/>
      <c r="AQ5328" s="15"/>
      <c r="AR5328" s="15"/>
      <c r="AS5328" s="15"/>
      <c r="AT5328" s="15"/>
      <c r="AU5328" s="15"/>
      <c r="AV5328" s="15"/>
      <c r="AW5328" s="15"/>
    </row>
    <row r="5329" spans="3:49" x14ac:dyDescent="0.2">
      <c r="C5329" s="15"/>
      <c r="D5329" s="15"/>
      <c r="E5329" s="15"/>
      <c r="F5329" s="15"/>
      <c r="G5329" s="15"/>
      <c r="H5329" s="15"/>
      <c r="I5329" s="15"/>
      <c r="J5329" s="15"/>
      <c r="K5329" s="15"/>
      <c r="L5329" s="28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  <c r="AA5329" s="15"/>
      <c r="AB5329" s="15"/>
      <c r="AC5329" s="15"/>
      <c r="AD5329" s="15"/>
      <c r="AE5329" s="15"/>
      <c r="AF5329" s="15"/>
      <c r="AG5329" s="15"/>
      <c r="AH5329" s="15"/>
      <c r="AI5329" s="15"/>
      <c r="AJ5329" s="15"/>
      <c r="AK5329" s="15"/>
      <c r="AL5329" s="15"/>
      <c r="AM5329" s="15"/>
      <c r="AN5329" s="15"/>
      <c r="AO5329" s="15"/>
      <c r="AP5329" s="15"/>
      <c r="AQ5329" s="15"/>
      <c r="AR5329" s="15"/>
      <c r="AS5329" s="15"/>
      <c r="AT5329" s="15"/>
      <c r="AU5329" s="15"/>
      <c r="AV5329" s="15"/>
      <c r="AW5329" s="15"/>
    </row>
    <row r="5330" spans="3:49" x14ac:dyDescent="0.2">
      <c r="C5330" s="15"/>
      <c r="D5330" s="15"/>
      <c r="E5330" s="15"/>
      <c r="F5330" s="15"/>
      <c r="G5330" s="15"/>
      <c r="H5330" s="15"/>
      <c r="I5330" s="15"/>
      <c r="J5330" s="15"/>
      <c r="K5330" s="15"/>
      <c r="L5330" s="28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  <c r="AA5330" s="15"/>
      <c r="AB5330" s="15"/>
      <c r="AC5330" s="15"/>
      <c r="AD5330" s="15"/>
      <c r="AE5330" s="15"/>
      <c r="AF5330" s="15"/>
      <c r="AG5330" s="15"/>
      <c r="AH5330" s="15"/>
      <c r="AI5330" s="15"/>
      <c r="AJ5330" s="15"/>
      <c r="AK5330" s="15"/>
      <c r="AL5330" s="15"/>
      <c r="AM5330" s="15"/>
      <c r="AN5330" s="15"/>
      <c r="AO5330" s="15"/>
      <c r="AP5330" s="15"/>
      <c r="AQ5330" s="15"/>
      <c r="AR5330" s="15"/>
      <c r="AS5330" s="15"/>
      <c r="AT5330" s="15"/>
      <c r="AU5330" s="15"/>
      <c r="AV5330" s="15"/>
      <c r="AW5330" s="15"/>
    </row>
    <row r="5331" spans="3:49" x14ac:dyDescent="0.2">
      <c r="C5331" s="15"/>
      <c r="D5331" s="15"/>
      <c r="E5331" s="15"/>
      <c r="F5331" s="15"/>
      <c r="G5331" s="15"/>
      <c r="H5331" s="15"/>
      <c r="I5331" s="15"/>
      <c r="J5331" s="15"/>
      <c r="K5331" s="15"/>
      <c r="L5331" s="28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  <c r="AA5331" s="15"/>
      <c r="AB5331" s="15"/>
      <c r="AC5331" s="15"/>
      <c r="AD5331" s="15"/>
      <c r="AE5331" s="15"/>
      <c r="AF5331" s="15"/>
      <c r="AG5331" s="15"/>
      <c r="AH5331" s="15"/>
      <c r="AI5331" s="15"/>
      <c r="AJ5331" s="15"/>
      <c r="AK5331" s="15"/>
      <c r="AL5331" s="15"/>
      <c r="AM5331" s="15"/>
      <c r="AN5331" s="15"/>
      <c r="AO5331" s="15"/>
      <c r="AP5331" s="15"/>
      <c r="AQ5331" s="15"/>
      <c r="AR5331" s="15"/>
      <c r="AS5331" s="15"/>
      <c r="AT5331" s="15"/>
      <c r="AU5331" s="15"/>
      <c r="AV5331" s="15"/>
      <c r="AW5331" s="15"/>
    </row>
    <row r="5332" spans="3:49" x14ac:dyDescent="0.2">
      <c r="C5332" s="15"/>
      <c r="D5332" s="15"/>
      <c r="E5332" s="15"/>
      <c r="F5332" s="15"/>
      <c r="G5332" s="15"/>
      <c r="H5332" s="15"/>
      <c r="I5332" s="15"/>
      <c r="J5332" s="15"/>
      <c r="K5332" s="15"/>
      <c r="L5332" s="28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  <c r="AA5332" s="15"/>
      <c r="AB5332" s="15"/>
      <c r="AC5332" s="15"/>
      <c r="AD5332" s="15"/>
      <c r="AE5332" s="15"/>
      <c r="AF5332" s="15"/>
      <c r="AG5332" s="15"/>
      <c r="AH5332" s="15"/>
      <c r="AI5332" s="15"/>
      <c r="AJ5332" s="15"/>
      <c r="AK5332" s="15"/>
      <c r="AL5332" s="15"/>
      <c r="AM5332" s="15"/>
      <c r="AN5332" s="15"/>
      <c r="AO5332" s="15"/>
      <c r="AP5332" s="15"/>
      <c r="AQ5332" s="15"/>
      <c r="AR5332" s="15"/>
      <c r="AS5332" s="15"/>
      <c r="AT5332" s="15"/>
      <c r="AU5332" s="15"/>
      <c r="AV5332" s="15"/>
      <c r="AW5332" s="15"/>
    </row>
    <row r="5333" spans="3:49" x14ac:dyDescent="0.2">
      <c r="C5333" s="15"/>
      <c r="D5333" s="15"/>
      <c r="E5333" s="15"/>
      <c r="F5333" s="15"/>
      <c r="G5333" s="15"/>
      <c r="H5333" s="15"/>
      <c r="I5333" s="15"/>
      <c r="J5333" s="15"/>
      <c r="K5333" s="15"/>
      <c r="L5333" s="28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  <c r="AA5333" s="15"/>
      <c r="AB5333" s="15"/>
      <c r="AC5333" s="15"/>
      <c r="AD5333" s="15"/>
      <c r="AE5333" s="15"/>
      <c r="AF5333" s="15"/>
      <c r="AG5333" s="15"/>
      <c r="AH5333" s="15"/>
      <c r="AI5333" s="15"/>
      <c r="AJ5333" s="15"/>
      <c r="AK5333" s="15"/>
      <c r="AL5333" s="15"/>
      <c r="AM5333" s="15"/>
      <c r="AN5333" s="15"/>
      <c r="AO5333" s="15"/>
      <c r="AP5333" s="15"/>
      <c r="AQ5333" s="15"/>
      <c r="AR5333" s="15"/>
      <c r="AS5333" s="15"/>
      <c r="AT5333" s="15"/>
      <c r="AU5333" s="15"/>
      <c r="AV5333" s="15"/>
      <c r="AW5333" s="15"/>
    </row>
    <row r="5334" spans="3:49" x14ac:dyDescent="0.2">
      <c r="C5334" s="15"/>
      <c r="D5334" s="15"/>
      <c r="E5334" s="15"/>
      <c r="F5334" s="15"/>
      <c r="G5334" s="15"/>
      <c r="H5334" s="15"/>
      <c r="I5334" s="15"/>
      <c r="J5334" s="15"/>
      <c r="K5334" s="15"/>
      <c r="L5334" s="28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  <c r="AA5334" s="15"/>
      <c r="AB5334" s="15"/>
      <c r="AC5334" s="15"/>
      <c r="AD5334" s="15"/>
      <c r="AE5334" s="15"/>
      <c r="AF5334" s="15"/>
      <c r="AG5334" s="15"/>
      <c r="AH5334" s="15"/>
      <c r="AI5334" s="15"/>
      <c r="AJ5334" s="15"/>
      <c r="AK5334" s="15"/>
      <c r="AL5334" s="15"/>
      <c r="AM5334" s="15"/>
      <c r="AN5334" s="15"/>
      <c r="AO5334" s="15"/>
      <c r="AP5334" s="15"/>
      <c r="AQ5334" s="15"/>
      <c r="AR5334" s="15"/>
      <c r="AS5334" s="15"/>
      <c r="AT5334" s="15"/>
      <c r="AU5334" s="15"/>
      <c r="AV5334" s="15"/>
      <c r="AW5334" s="15"/>
    </row>
    <row r="5335" spans="3:49" x14ac:dyDescent="0.2">
      <c r="C5335" s="15"/>
      <c r="D5335" s="15"/>
      <c r="E5335" s="15"/>
      <c r="F5335" s="15"/>
      <c r="G5335" s="15"/>
      <c r="H5335" s="15"/>
      <c r="I5335" s="15"/>
      <c r="J5335" s="15"/>
      <c r="K5335" s="15"/>
      <c r="L5335" s="28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  <c r="AA5335" s="15"/>
      <c r="AB5335" s="15"/>
      <c r="AC5335" s="15"/>
      <c r="AD5335" s="15"/>
      <c r="AE5335" s="15"/>
      <c r="AF5335" s="15"/>
      <c r="AG5335" s="15"/>
      <c r="AH5335" s="15"/>
      <c r="AI5335" s="15"/>
      <c r="AJ5335" s="15"/>
      <c r="AK5335" s="15"/>
      <c r="AL5335" s="15"/>
      <c r="AM5335" s="15"/>
      <c r="AN5335" s="15"/>
      <c r="AO5335" s="15"/>
      <c r="AP5335" s="15"/>
      <c r="AQ5335" s="15"/>
      <c r="AR5335" s="15"/>
      <c r="AS5335" s="15"/>
      <c r="AT5335" s="15"/>
      <c r="AU5335" s="15"/>
      <c r="AV5335" s="15"/>
      <c r="AW5335" s="15"/>
    </row>
    <row r="5336" spans="3:49" x14ac:dyDescent="0.2">
      <c r="C5336" s="15"/>
      <c r="D5336" s="15"/>
      <c r="E5336" s="15"/>
      <c r="F5336" s="15"/>
      <c r="G5336" s="15"/>
      <c r="H5336" s="15"/>
      <c r="I5336" s="15"/>
      <c r="J5336" s="15"/>
      <c r="K5336" s="15"/>
      <c r="L5336" s="28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  <c r="AA5336" s="15"/>
      <c r="AB5336" s="15"/>
      <c r="AC5336" s="15"/>
      <c r="AD5336" s="15"/>
      <c r="AE5336" s="15"/>
      <c r="AF5336" s="15"/>
      <c r="AG5336" s="15"/>
      <c r="AH5336" s="15"/>
      <c r="AI5336" s="15"/>
      <c r="AJ5336" s="15"/>
      <c r="AK5336" s="15"/>
      <c r="AL5336" s="15"/>
      <c r="AM5336" s="15"/>
      <c r="AN5336" s="15"/>
      <c r="AO5336" s="15"/>
      <c r="AP5336" s="15"/>
      <c r="AQ5336" s="15"/>
      <c r="AR5336" s="15"/>
      <c r="AS5336" s="15"/>
      <c r="AT5336" s="15"/>
      <c r="AU5336" s="15"/>
      <c r="AV5336" s="15"/>
      <c r="AW5336" s="15"/>
    </row>
    <row r="5337" spans="3:49" x14ac:dyDescent="0.2">
      <c r="C5337" s="15"/>
      <c r="D5337" s="15"/>
      <c r="E5337" s="15"/>
      <c r="F5337" s="15"/>
      <c r="G5337" s="15"/>
      <c r="H5337" s="15"/>
      <c r="I5337" s="15"/>
      <c r="J5337" s="15"/>
      <c r="K5337" s="15"/>
      <c r="L5337" s="28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  <c r="AA5337" s="15"/>
      <c r="AB5337" s="15"/>
      <c r="AC5337" s="15"/>
      <c r="AD5337" s="15"/>
      <c r="AE5337" s="15"/>
      <c r="AF5337" s="15"/>
      <c r="AG5337" s="15"/>
      <c r="AH5337" s="15"/>
      <c r="AI5337" s="15"/>
      <c r="AJ5337" s="15"/>
      <c r="AK5337" s="15"/>
      <c r="AL5337" s="15"/>
      <c r="AM5337" s="15"/>
      <c r="AN5337" s="15"/>
      <c r="AO5337" s="15"/>
      <c r="AP5337" s="15"/>
      <c r="AQ5337" s="15"/>
      <c r="AR5337" s="15"/>
      <c r="AS5337" s="15"/>
      <c r="AT5337" s="15"/>
      <c r="AU5337" s="15"/>
      <c r="AV5337" s="15"/>
      <c r="AW5337" s="15"/>
    </row>
    <row r="5338" spans="3:49" x14ac:dyDescent="0.2">
      <c r="C5338" s="15"/>
      <c r="D5338" s="15"/>
      <c r="E5338" s="15"/>
      <c r="F5338" s="15"/>
      <c r="G5338" s="15"/>
      <c r="H5338" s="15"/>
      <c r="I5338" s="15"/>
      <c r="J5338" s="15"/>
      <c r="K5338" s="15"/>
      <c r="L5338" s="28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  <c r="AA5338" s="15"/>
      <c r="AB5338" s="15"/>
      <c r="AC5338" s="15"/>
      <c r="AD5338" s="15"/>
      <c r="AE5338" s="15"/>
      <c r="AF5338" s="15"/>
      <c r="AG5338" s="15"/>
      <c r="AH5338" s="15"/>
      <c r="AI5338" s="15"/>
      <c r="AJ5338" s="15"/>
      <c r="AK5338" s="15"/>
      <c r="AL5338" s="15"/>
      <c r="AM5338" s="15"/>
      <c r="AN5338" s="15"/>
      <c r="AO5338" s="15"/>
      <c r="AP5338" s="15"/>
      <c r="AQ5338" s="15"/>
      <c r="AR5338" s="15"/>
      <c r="AS5338" s="15"/>
      <c r="AT5338" s="15"/>
      <c r="AU5338" s="15"/>
      <c r="AV5338" s="15"/>
      <c r="AW5338" s="15"/>
    </row>
    <row r="5339" spans="3:49" x14ac:dyDescent="0.2">
      <c r="C5339" s="15"/>
      <c r="D5339" s="15"/>
      <c r="E5339" s="15"/>
      <c r="F5339" s="15"/>
      <c r="G5339" s="15"/>
      <c r="H5339" s="15"/>
      <c r="I5339" s="15"/>
      <c r="J5339" s="15"/>
      <c r="K5339" s="15"/>
      <c r="L5339" s="28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  <c r="AA5339" s="15"/>
      <c r="AB5339" s="15"/>
      <c r="AC5339" s="15"/>
      <c r="AD5339" s="15"/>
      <c r="AE5339" s="15"/>
      <c r="AF5339" s="15"/>
      <c r="AG5339" s="15"/>
      <c r="AH5339" s="15"/>
      <c r="AI5339" s="15"/>
      <c r="AJ5339" s="15"/>
      <c r="AK5339" s="15"/>
      <c r="AL5339" s="15"/>
      <c r="AM5339" s="15"/>
      <c r="AN5339" s="15"/>
      <c r="AO5339" s="15"/>
      <c r="AP5339" s="15"/>
      <c r="AQ5339" s="15"/>
      <c r="AR5339" s="15"/>
      <c r="AS5339" s="15"/>
      <c r="AT5339" s="15"/>
      <c r="AU5339" s="15"/>
      <c r="AV5339" s="15"/>
      <c r="AW5339" s="15"/>
    </row>
    <row r="5340" spans="3:49" x14ac:dyDescent="0.2">
      <c r="C5340" s="15"/>
      <c r="D5340" s="15"/>
      <c r="E5340" s="15"/>
      <c r="F5340" s="15"/>
      <c r="G5340" s="15"/>
      <c r="H5340" s="15"/>
      <c r="I5340" s="15"/>
      <c r="J5340" s="15"/>
      <c r="K5340" s="15"/>
      <c r="L5340" s="28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  <c r="AA5340" s="15"/>
      <c r="AB5340" s="15"/>
      <c r="AC5340" s="15"/>
      <c r="AD5340" s="15"/>
      <c r="AE5340" s="15"/>
      <c r="AF5340" s="15"/>
      <c r="AG5340" s="15"/>
      <c r="AH5340" s="15"/>
      <c r="AI5340" s="15"/>
      <c r="AJ5340" s="15"/>
      <c r="AK5340" s="15"/>
      <c r="AL5340" s="15"/>
      <c r="AM5340" s="15"/>
      <c r="AN5340" s="15"/>
      <c r="AO5340" s="15"/>
      <c r="AP5340" s="15"/>
      <c r="AQ5340" s="15"/>
      <c r="AR5340" s="15"/>
      <c r="AS5340" s="15"/>
      <c r="AT5340" s="15"/>
      <c r="AU5340" s="15"/>
      <c r="AV5340" s="15"/>
      <c r="AW5340" s="15"/>
    </row>
    <row r="5341" spans="3:49" x14ac:dyDescent="0.2">
      <c r="C5341" s="15"/>
      <c r="D5341" s="15"/>
      <c r="E5341" s="15"/>
      <c r="F5341" s="15"/>
      <c r="G5341" s="15"/>
      <c r="H5341" s="15"/>
      <c r="I5341" s="15"/>
      <c r="J5341" s="15"/>
      <c r="K5341" s="15"/>
      <c r="L5341" s="28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  <c r="AA5341" s="15"/>
      <c r="AB5341" s="15"/>
      <c r="AC5341" s="15"/>
      <c r="AD5341" s="15"/>
      <c r="AE5341" s="15"/>
      <c r="AF5341" s="15"/>
      <c r="AG5341" s="15"/>
      <c r="AH5341" s="15"/>
      <c r="AI5341" s="15"/>
      <c r="AJ5341" s="15"/>
      <c r="AK5341" s="15"/>
      <c r="AL5341" s="15"/>
      <c r="AM5341" s="15"/>
      <c r="AN5341" s="15"/>
      <c r="AO5341" s="15"/>
      <c r="AP5341" s="15"/>
      <c r="AQ5341" s="15"/>
      <c r="AR5341" s="15"/>
      <c r="AS5341" s="15"/>
      <c r="AT5341" s="15"/>
      <c r="AU5341" s="15"/>
      <c r="AV5341" s="15"/>
      <c r="AW5341" s="15"/>
    </row>
    <row r="5342" spans="3:49" x14ac:dyDescent="0.2">
      <c r="C5342" s="15"/>
      <c r="D5342" s="15"/>
      <c r="E5342" s="15"/>
      <c r="F5342" s="15"/>
      <c r="G5342" s="15"/>
      <c r="H5342" s="15"/>
      <c r="I5342" s="15"/>
      <c r="J5342" s="15"/>
      <c r="K5342" s="15"/>
      <c r="L5342" s="28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  <c r="AA5342" s="15"/>
      <c r="AB5342" s="15"/>
      <c r="AC5342" s="15"/>
      <c r="AD5342" s="15"/>
      <c r="AE5342" s="15"/>
      <c r="AF5342" s="15"/>
      <c r="AG5342" s="15"/>
      <c r="AH5342" s="15"/>
      <c r="AI5342" s="15"/>
      <c r="AJ5342" s="15"/>
      <c r="AK5342" s="15"/>
      <c r="AL5342" s="15"/>
      <c r="AM5342" s="15"/>
      <c r="AN5342" s="15"/>
      <c r="AO5342" s="15"/>
      <c r="AP5342" s="15"/>
      <c r="AQ5342" s="15"/>
      <c r="AR5342" s="15"/>
      <c r="AS5342" s="15"/>
      <c r="AT5342" s="15"/>
      <c r="AU5342" s="15"/>
      <c r="AV5342" s="15"/>
      <c r="AW5342" s="15"/>
    </row>
    <row r="5343" spans="3:49" x14ac:dyDescent="0.2">
      <c r="C5343" s="15"/>
      <c r="D5343" s="15"/>
      <c r="E5343" s="15"/>
      <c r="F5343" s="15"/>
      <c r="G5343" s="15"/>
      <c r="H5343" s="15"/>
      <c r="I5343" s="15"/>
      <c r="J5343" s="15"/>
      <c r="K5343" s="15"/>
      <c r="L5343" s="28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  <c r="AA5343" s="15"/>
      <c r="AB5343" s="15"/>
      <c r="AC5343" s="15"/>
      <c r="AD5343" s="15"/>
      <c r="AE5343" s="15"/>
      <c r="AF5343" s="15"/>
      <c r="AG5343" s="15"/>
      <c r="AH5343" s="15"/>
      <c r="AI5343" s="15"/>
      <c r="AJ5343" s="15"/>
      <c r="AK5343" s="15"/>
      <c r="AL5343" s="15"/>
      <c r="AM5343" s="15"/>
      <c r="AN5343" s="15"/>
      <c r="AO5343" s="15"/>
      <c r="AP5343" s="15"/>
      <c r="AQ5343" s="15"/>
      <c r="AR5343" s="15"/>
      <c r="AS5343" s="15"/>
      <c r="AT5343" s="15"/>
      <c r="AU5343" s="15"/>
      <c r="AV5343" s="15"/>
      <c r="AW5343" s="15"/>
    </row>
    <row r="5344" spans="3:49" x14ac:dyDescent="0.2">
      <c r="C5344" s="15"/>
      <c r="D5344" s="15"/>
      <c r="E5344" s="15"/>
      <c r="F5344" s="15"/>
      <c r="G5344" s="15"/>
      <c r="H5344" s="15"/>
      <c r="I5344" s="15"/>
      <c r="J5344" s="15"/>
      <c r="K5344" s="15"/>
      <c r="L5344" s="28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  <c r="AA5344" s="15"/>
      <c r="AB5344" s="15"/>
      <c r="AC5344" s="15"/>
      <c r="AD5344" s="15"/>
      <c r="AE5344" s="15"/>
      <c r="AF5344" s="15"/>
      <c r="AG5344" s="15"/>
      <c r="AH5344" s="15"/>
      <c r="AI5344" s="15"/>
      <c r="AJ5344" s="15"/>
      <c r="AK5344" s="15"/>
      <c r="AL5344" s="15"/>
      <c r="AM5344" s="15"/>
      <c r="AN5344" s="15"/>
      <c r="AO5344" s="15"/>
      <c r="AP5344" s="15"/>
      <c r="AQ5344" s="15"/>
      <c r="AR5344" s="15"/>
      <c r="AS5344" s="15"/>
      <c r="AT5344" s="15"/>
      <c r="AU5344" s="15"/>
      <c r="AV5344" s="15"/>
      <c r="AW5344" s="15"/>
    </row>
    <row r="5345" spans="3:49" x14ac:dyDescent="0.2">
      <c r="C5345" s="15"/>
      <c r="D5345" s="15"/>
      <c r="E5345" s="15"/>
      <c r="F5345" s="15"/>
      <c r="G5345" s="15"/>
      <c r="H5345" s="15"/>
      <c r="I5345" s="15"/>
      <c r="J5345" s="15"/>
      <c r="K5345" s="15"/>
      <c r="L5345" s="28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  <c r="AA5345" s="15"/>
      <c r="AB5345" s="15"/>
      <c r="AC5345" s="15"/>
      <c r="AD5345" s="15"/>
      <c r="AE5345" s="15"/>
      <c r="AF5345" s="15"/>
      <c r="AG5345" s="15"/>
      <c r="AH5345" s="15"/>
      <c r="AI5345" s="15"/>
      <c r="AJ5345" s="15"/>
      <c r="AK5345" s="15"/>
      <c r="AL5345" s="15"/>
      <c r="AM5345" s="15"/>
      <c r="AN5345" s="15"/>
      <c r="AO5345" s="15"/>
      <c r="AP5345" s="15"/>
      <c r="AQ5345" s="15"/>
      <c r="AR5345" s="15"/>
      <c r="AS5345" s="15"/>
      <c r="AT5345" s="15"/>
      <c r="AU5345" s="15"/>
      <c r="AV5345" s="15"/>
      <c r="AW5345" s="15"/>
    </row>
    <row r="5346" spans="3:49" x14ac:dyDescent="0.2">
      <c r="C5346" s="15"/>
      <c r="D5346" s="15"/>
      <c r="E5346" s="15"/>
      <c r="F5346" s="15"/>
      <c r="G5346" s="15"/>
      <c r="H5346" s="15"/>
      <c r="I5346" s="15"/>
      <c r="J5346" s="15"/>
      <c r="K5346" s="15"/>
      <c r="L5346" s="28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  <c r="AA5346" s="15"/>
      <c r="AB5346" s="15"/>
      <c r="AC5346" s="15"/>
      <c r="AD5346" s="15"/>
      <c r="AE5346" s="15"/>
      <c r="AF5346" s="15"/>
      <c r="AG5346" s="15"/>
      <c r="AH5346" s="15"/>
      <c r="AI5346" s="15"/>
      <c r="AJ5346" s="15"/>
      <c r="AK5346" s="15"/>
      <c r="AL5346" s="15"/>
      <c r="AM5346" s="15"/>
      <c r="AN5346" s="15"/>
      <c r="AO5346" s="15"/>
      <c r="AP5346" s="15"/>
      <c r="AQ5346" s="15"/>
      <c r="AR5346" s="15"/>
      <c r="AS5346" s="15"/>
      <c r="AT5346" s="15"/>
      <c r="AU5346" s="15"/>
      <c r="AV5346" s="15"/>
      <c r="AW5346" s="15"/>
    </row>
    <row r="5347" spans="3:49" x14ac:dyDescent="0.2">
      <c r="C5347" s="15"/>
      <c r="D5347" s="15"/>
      <c r="E5347" s="15"/>
      <c r="F5347" s="15"/>
      <c r="G5347" s="15"/>
      <c r="H5347" s="15"/>
      <c r="I5347" s="15"/>
      <c r="J5347" s="15"/>
      <c r="K5347" s="15"/>
      <c r="L5347" s="28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  <c r="AA5347" s="15"/>
      <c r="AB5347" s="15"/>
      <c r="AC5347" s="15"/>
      <c r="AD5347" s="15"/>
      <c r="AE5347" s="15"/>
      <c r="AF5347" s="15"/>
      <c r="AG5347" s="15"/>
      <c r="AH5347" s="15"/>
      <c r="AI5347" s="15"/>
      <c r="AJ5347" s="15"/>
      <c r="AK5347" s="15"/>
      <c r="AL5347" s="15"/>
      <c r="AM5347" s="15"/>
      <c r="AN5347" s="15"/>
      <c r="AO5347" s="15"/>
      <c r="AP5347" s="15"/>
      <c r="AQ5347" s="15"/>
      <c r="AR5347" s="15"/>
      <c r="AS5347" s="15"/>
      <c r="AT5347" s="15"/>
      <c r="AU5347" s="15"/>
      <c r="AV5347" s="15"/>
      <c r="AW5347" s="15"/>
    </row>
    <row r="5348" spans="3:49" x14ac:dyDescent="0.2">
      <c r="C5348" s="15"/>
      <c r="D5348" s="15"/>
      <c r="E5348" s="15"/>
      <c r="F5348" s="15"/>
      <c r="G5348" s="15"/>
      <c r="H5348" s="15"/>
      <c r="I5348" s="15"/>
      <c r="J5348" s="15"/>
      <c r="K5348" s="15"/>
      <c r="L5348" s="28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  <c r="AA5348" s="15"/>
      <c r="AB5348" s="15"/>
      <c r="AC5348" s="15"/>
      <c r="AD5348" s="15"/>
      <c r="AE5348" s="15"/>
      <c r="AF5348" s="15"/>
      <c r="AG5348" s="15"/>
      <c r="AH5348" s="15"/>
      <c r="AI5348" s="15"/>
      <c r="AJ5348" s="15"/>
      <c r="AK5348" s="15"/>
      <c r="AL5348" s="15"/>
      <c r="AM5348" s="15"/>
      <c r="AN5348" s="15"/>
      <c r="AO5348" s="15"/>
      <c r="AP5348" s="15"/>
      <c r="AQ5348" s="15"/>
      <c r="AR5348" s="15"/>
      <c r="AS5348" s="15"/>
      <c r="AT5348" s="15"/>
      <c r="AU5348" s="15"/>
      <c r="AV5348" s="15"/>
      <c r="AW5348" s="15"/>
    </row>
    <row r="5349" spans="3:49" x14ac:dyDescent="0.2">
      <c r="C5349" s="15"/>
      <c r="D5349" s="15"/>
      <c r="E5349" s="15"/>
      <c r="F5349" s="15"/>
      <c r="G5349" s="15"/>
      <c r="H5349" s="15"/>
      <c r="I5349" s="15"/>
      <c r="J5349" s="15"/>
      <c r="K5349" s="15"/>
      <c r="L5349" s="28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  <c r="AA5349" s="15"/>
      <c r="AB5349" s="15"/>
      <c r="AC5349" s="15"/>
      <c r="AD5349" s="15"/>
      <c r="AE5349" s="15"/>
      <c r="AF5349" s="15"/>
      <c r="AG5349" s="15"/>
      <c r="AH5349" s="15"/>
      <c r="AI5349" s="15"/>
      <c r="AJ5349" s="15"/>
      <c r="AK5349" s="15"/>
      <c r="AL5349" s="15"/>
      <c r="AM5349" s="15"/>
      <c r="AN5349" s="15"/>
      <c r="AO5349" s="15"/>
      <c r="AP5349" s="15"/>
      <c r="AQ5349" s="15"/>
      <c r="AR5349" s="15"/>
      <c r="AS5349" s="15"/>
      <c r="AT5349" s="15"/>
      <c r="AU5349" s="15"/>
      <c r="AV5349" s="15"/>
      <c r="AW5349" s="15"/>
    </row>
    <row r="5350" spans="3:49" x14ac:dyDescent="0.2">
      <c r="C5350" s="15"/>
      <c r="D5350" s="15"/>
      <c r="E5350" s="15"/>
      <c r="F5350" s="15"/>
      <c r="G5350" s="15"/>
      <c r="H5350" s="15"/>
      <c r="I5350" s="15"/>
      <c r="J5350" s="15"/>
      <c r="K5350" s="15"/>
      <c r="L5350" s="28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  <c r="AA5350" s="15"/>
      <c r="AB5350" s="15"/>
      <c r="AC5350" s="15"/>
      <c r="AD5350" s="15"/>
      <c r="AE5350" s="15"/>
      <c r="AF5350" s="15"/>
      <c r="AG5350" s="15"/>
      <c r="AH5350" s="15"/>
      <c r="AI5350" s="15"/>
      <c r="AJ5350" s="15"/>
      <c r="AK5350" s="15"/>
      <c r="AL5350" s="15"/>
      <c r="AM5350" s="15"/>
      <c r="AN5350" s="15"/>
      <c r="AO5350" s="15"/>
      <c r="AP5350" s="15"/>
      <c r="AQ5350" s="15"/>
      <c r="AR5350" s="15"/>
      <c r="AS5350" s="15"/>
      <c r="AT5350" s="15"/>
      <c r="AU5350" s="15"/>
      <c r="AV5350" s="15"/>
      <c r="AW5350" s="15"/>
    </row>
    <row r="5351" spans="3:49" x14ac:dyDescent="0.2">
      <c r="C5351" s="15"/>
      <c r="D5351" s="15"/>
      <c r="E5351" s="15"/>
      <c r="F5351" s="15"/>
      <c r="G5351" s="15"/>
      <c r="H5351" s="15"/>
      <c r="I5351" s="15"/>
      <c r="J5351" s="15"/>
      <c r="K5351" s="15"/>
      <c r="L5351" s="28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  <c r="AA5351" s="15"/>
      <c r="AB5351" s="15"/>
      <c r="AC5351" s="15"/>
      <c r="AD5351" s="15"/>
      <c r="AE5351" s="15"/>
      <c r="AF5351" s="15"/>
      <c r="AG5351" s="15"/>
      <c r="AH5351" s="15"/>
      <c r="AI5351" s="15"/>
      <c r="AJ5351" s="15"/>
      <c r="AK5351" s="15"/>
      <c r="AL5351" s="15"/>
      <c r="AM5351" s="15"/>
      <c r="AN5351" s="15"/>
      <c r="AO5351" s="15"/>
      <c r="AP5351" s="15"/>
      <c r="AQ5351" s="15"/>
      <c r="AR5351" s="15"/>
      <c r="AS5351" s="15"/>
      <c r="AT5351" s="15"/>
      <c r="AU5351" s="15"/>
      <c r="AV5351" s="15"/>
      <c r="AW5351" s="15"/>
    </row>
    <row r="5352" spans="3:49" x14ac:dyDescent="0.2">
      <c r="C5352" s="15"/>
      <c r="D5352" s="15"/>
      <c r="E5352" s="15"/>
      <c r="F5352" s="15"/>
      <c r="G5352" s="15"/>
      <c r="H5352" s="15"/>
      <c r="I5352" s="15"/>
      <c r="J5352" s="15"/>
      <c r="K5352" s="15"/>
      <c r="L5352" s="28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  <c r="AA5352" s="15"/>
      <c r="AB5352" s="15"/>
      <c r="AC5352" s="15"/>
      <c r="AD5352" s="15"/>
      <c r="AE5352" s="15"/>
      <c r="AF5352" s="15"/>
      <c r="AG5352" s="15"/>
      <c r="AH5352" s="15"/>
      <c r="AI5352" s="15"/>
      <c r="AJ5352" s="15"/>
      <c r="AK5352" s="15"/>
      <c r="AL5352" s="15"/>
      <c r="AM5352" s="15"/>
      <c r="AN5352" s="15"/>
      <c r="AO5352" s="15"/>
      <c r="AP5352" s="15"/>
      <c r="AQ5352" s="15"/>
      <c r="AR5352" s="15"/>
      <c r="AS5352" s="15"/>
      <c r="AT5352" s="15"/>
      <c r="AU5352" s="15"/>
      <c r="AV5352" s="15"/>
      <c r="AW5352" s="15"/>
    </row>
    <row r="5353" spans="3:49" x14ac:dyDescent="0.2">
      <c r="C5353" s="15"/>
      <c r="D5353" s="15"/>
      <c r="E5353" s="15"/>
      <c r="F5353" s="15"/>
      <c r="G5353" s="15"/>
      <c r="H5353" s="15"/>
      <c r="I5353" s="15"/>
      <c r="J5353" s="15"/>
      <c r="K5353" s="15"/>
      <c r="L5353" s="28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  <c r="AA5353" s="15"/>
      <c r="AB5353" s="15"/>
      <c r="AC5353" s="15"/>
      <c r="AD5353" s="15"/>
      <c r="AE5353" s="15"/>
      <c r="AF5353" s="15"/>
      <c r="AG5353" s="15"/>
      <c r="AH5353" s="15"/>
      <c r="AI5353" s="15"/>
      <c r="AJ5353" s="15"/>
      <c r="AK5353" s="15"/>
      <c r="AL5353" s="15"/>
      <c r="AM5353" s="15"/>
      <c r="AN5353" s="15"/>
      <c r="AO5353" s="15"/>
      <c r="AP5353" s="15"/>
      <c r="AQ5353" s="15"/>
      <c r="AR5353" s="15"/>
      <c r="AS5353" s="15"/>
      <c r="AT5353" s="15"/>
      <c r="AU5353" s="15"/>
      <c r="AV5353" s="15"/>
      <c r="AW5353" s="15"/>
    </row>
    <row r="5354" spans="3:49" x14ac:dyDescent="0.2">
      <c r="C5354" s="15"/>
      <c r="D5354" s="15"/>
      <c r="E5354" s="15"/>
      <c r="F5354" s="15"/>
      <c r="G5354" s="15"/>
      <c r="H5354" s="15"/>
      <c r="I5354" s="15"/>
      <c r="J5354" s="15"/>
      <c r="K5354" s="15"/>
      <c r="L5354" s="28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  <c r="AA5354" s="15"/>
      <c r="AB5354" s="15"/>
      <c r="AC5354" s="15"/>
      <c r="AD5354" s="15"/>
      <c r="AE5354" s="15"/>
      <c r="AF5354" s="15"/>
      <c r="AG5354" s="15"/>
      <c r="AH5354" s="15"/>
      <c r="AI5354" s="15"/>
      <c r="AJ5354" s="15"/>
      <c r="AK5354" s="15"/>
      <c r="AL5354" s="15"/>
      <c r="AM5354" s="15"/>
      <c r="AN5354" s="15"/>
      <c r="AO5354" s="15"/>
      <c r="AP5354" s="15"/>
      <c r="AQ5354" s="15"/>
      <c r="AR5354" s="15"/>
      <c r="AS5354" s="15"/>
      <c r="AT5354" s="15"/>
      <c r="AU5354" s="15"/>
      <c r="AV5354" s="15"/>
      <c r="AW5354" s="15"/>
    </row>
    <row r="5355" spans="3:49" x14ac:dyDescent="0.2">
      <c r="C5355" s="15"/>
      <c r="D5355" s="15"/>
      <c r="E5355" s="15"/>
      <c r="F5355" s="15"/>
      <c r="G5355" s="15"/>
      <c r="H5355" s="15"/>
      <c r="I5355" s="15"/>
      <c r="J5355" s="15"/>
      <c r="K5355" s="15"/>
      <c r="L5355" s="28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  <c r="AA5355" s="15"/>
      <c r="AB5355" s="15"/>
      <c r="AC5355" s="15"/>
      <c r="AD5355" s="15"/>
      <c r="AE5355" s="15"/>
      <c r="AF5355" s="15"/>
      <c r="AG5355" s="15"/>
      <c r="AH5355" s="15"/>
      <c r="AI5355" s="15"/>
      <c r="AJ5355" s="15"/>
      <c r="AK5355" s="15"/>
      <c r="AL5355" s="15"/>
      <c r="AM5355" s="15"/>
      <c r="AN5355" s="15"/>
      <c r="AO5355" s="15"/>
      <c r="AP5355" s="15"/>
      <c r="AQ5355" s="15"/>
      <c r="AR5355" s="15"/>
      <c r="AS5355" s="15"/>
      <c r="AT5355" s="15"/>
      <c r="AU5355" s="15"/>
      <c r="AV5355" s="15"/>
      <c r="AW5355" s="15"/>
    </row>
    <row r="5356" spans="3:49" x14ac:dyDescent="0.2">
      <c r="C5356" s="15"/>
      <c r="D5356" s="15"/>
      <c r="E5356" s="15"/>
      <c r="F5356" s="15"/>
      <c r="G5356" s="15"/>
      <c r="H5356" s="15"/>
      <c r="I5356" s="15"/>
      <c r="J5356" s="15"/>
      <c r="K5356" s="15"/>
      <c r="L5356" s="28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  <c r="AA5356" s="15"/>
      <c r="AB5356" s="15"/>
      <c r="AC5356" s="15"/>
      <c r="AD5356" s="15"/>
      <c r="AE5356" s="15"/>
      <c r="AF5356" s="15"/>
      <c r="AG5356" s="15"/>
      <c r="AH5356" s="15"/>
      <c r="AI5356" s="15"/>
      <c r="AJ5356" s="15"/>
      <c r="AK5356" s="15"/>
      <c r="AL5356" s="15"/>
      <c r="AM5356" s="15"/>
      <c r="AN5356" s="15"/>
      <c r="AO5356" s="15"/>
      <c r="AP5356" s="15"/>
      <c r="AQ5356" s="15"/>
      <c r="AR5356" s="15"/>
      <c r="AS5356" s="15"/>
      <c r="AT5356" s="15"/>
      <c r="AU5356" s="15"/>
      <c r="AV5356" s="15"/>
      <c r="AW5356" s="15"/>
    </row>
    <row r="5357" spans="3:49" x14ac:dyDescent="0.2">
      <c r="C5357" s="15"/>
      <c r="D5357" s="15"/>
      <c r="E5357" s="15"/>
      <c r="F5357" s="15"/>
      <c r="G5357" s="15"/>
      <c r="H5357" s="15"/>
      <c r="I5357" s="15"/>
      <c r="J5357" s="15"/>
      <c r="K5357" s="15"/>
      <c r="L5357" s="28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  <c r="AA5357" s="15"/>
      <c r="AB5357" s="15"/>
      <c r="AC5357" s="15"/>
      <c r="AD5357" s="15"/>
      <c r="AE5357" s="15"/>
      <c r="AF5357" s="15"/>
      <c r="AG5357" s="15"/>
      <c r="AH5357" s="15"/>
      <c r="AI5357" s="15"/>
      <c r="AJ5357" s="15"/>
      <c r="AK5357" s="15"/>
      <c r="AL5357" s="15"/>
      <c r="AM5357" s="15"/>
      <c r="AN5357" s="15"/>
      <c r="AO5357" s="15"/>
      <c r="AP5357" s="15"/>
      <c r="AQ5357" s="15"/>
      <c r="AR5357" s="15"/>
      <c r="AS5357" s="15"/>
      <c r="AT5357" s="15"/>
      <c r="AU5357" s="15"/>
      <c r="AV5357" s="15"/>
      <c r="AW5357" s="15"/>
    </row>
    <row r="5358" spans="3:49" x14ac:dyDescent="0.2">
      <c r="C5358" s="15"/>
      <c r="D5358" s="15"/>
      <c r="E5358" s="15"/>
      <c r="F5358" s="15"/>
      <c r="G5358" s="15"/>
      <c r="H5358" s="15"/>
      <c r="I5358" s="15"/>
      <c r="J5358" s="15"/>
      <c r="K5358" s="15"/>
      <c r="L5358" s="28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  <c r="AA5358" s="15"/>
      <c r="AB5358" s="15"/>
      <c r="AC5358" s="15"/>
      <c r="AD5358" s="15"/>
      <c r="AE5358" s="15"/>
      <c r="AF5358" s="15"/>
      <c r="AG5358" s="15"/>
      <c r="AH5358" s="15"/>
      <c r="AI5358" s="15"/>
      <c r="AJ5358" s="15"/>
      <c r="AK5358" s="15"/>
      <c r="AL5358" s="15"/>
      <c r="AM5358" s="15"/>
      <c r="AN5358" s="15"/>
      <c r="AO5358" s="15"/>
      <c r="AP5358" s="15"/>
      <c r="AQ5358" s="15"/>
      <c r="AR5358" s="15"/>
      <c r="AS5358" s="15"/>
      <c r="AT5358" s="15"/>
      <c r="AU5358" s="15"/>
      <c r="AV5358" s="15"/>
      <c r="AW5358" s="15"/>
    </row>
    <row r="5359" spans="3:49" x14ac:dyDescent="0.2">
      <c r="C5359" s="15"/>
      <c r="D5359" s="15"/>
      <c r="E5359" s="15"/>
      <c r="F5359" s="15"/>
      <c r="G5359" s="15"/>
      <c r="H5359" s="15"/>
      <c r="I5359" s="15"/>
      <c r="J5359" s="15"/>
      <c r="K5359" s="15"/>
      <c r="L5359" s="28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  <c r="AA5359" s="15"/>
      <c r="AB5359" s="15"/>
      <c r="AC5359" s="15"/>
      <c r="AD5359" s="15"/>
      <c r="AE5359" s="15"/>
      <c r="AF5359" s="15"/>
      <c r="AG5359" s="15"/>
      <c r="AH5359" s="15"/>
      <c r="AI5359" s="15"/>
      <c r="AJ5359" s="15"/>
      <c r="AK5359" s="15"/>
      <c r="AL5359" s="15"/>
      <c r="AM5359" s="15"/>
      <c r="AN5359" s="15"/>
      <c r="AO5359" s="15"/>
      <c r="AP5359" s="15"/>
      <c r="AQ5359" s="15"/>
      <c r="AR5359" s="15"/>
      <c r="AS5359" s="15"/>
      <c r="AT5359" s="15"/>
      <c r="AU5359" s="15"/>
      <c r="AV5359" s="15"/>
      <c r="AW5359" s="15"/>
    </row>
    <row r="5360" spans="3:49" x14ac:dyDescent="0.2">
      <c r="C5360" s="15"/>
      <c r="D5360" s="15"/>
      <c r="E5360" s="15"/>
      <c r="F5360" s="15"/>
      <c r="G5360" s="15"/>
      <c r="H5360" s="15"/>
      <c r="I5360" s="15"/>
      <c r="J5360" s="15"/>
      <c r="K5360" s="15"/>
      <c r="L5360" s="28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  <c r="AA5360" s="15"/>
      <c r="AB5360" s="15"/>
      <c r="AC5360" s="15"/>
      <c r="AD5360" s="15"/>
      <c r="AE5360" s="15"/>
      <c r="AF5360" s="15"/>
      <c r="AG5360" s="15"/>
      <c r="AH5360" s="15"/>
      <c r="AI5360" s="15"/>
      <c r="AJ5360" s="15"/>
      <c r="AK5360" s="15"/>
      <c r="AL5360" s="15"/>
      <c r="AM5360" s="15"/>
      <c r="AN5360" s="15"/>
      <c r="AO5360" s="15"/>
      <c r="AP5360" s="15"/>
      <c r="AQ5360" s="15"/>
      <c r="AR5360" s="15"/>
      <c r="AS5360" s="15"/>
      <c r="AT5360" s="15"/>
      <c r="AU5360" s="15"/>
      <c r="AV5360" s="15"/>
      <c r="AW5360" s="15"/>
    </row>
    <row r="5361" spans="3:49" x14ac:dyDescent="0.2">
      <c r="C5361" s="15"/>
      <c r="D5361" s="15"/>
      <c r="E5361" s="15"/>
      <c r="F5361" s="15"/>
      <c r="G5361" s="15"/>
      <c r="H5361" s="15"/>
      <c r="I5361" s="15"/>
      <c r="J5361" s="15"/>
      <c r="K5361" s="15"/>
      <c r="L5361" s="28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  <c r="AA5361" s="15"/>
      <c r="AB5361" s="15"/>
      <c r="AC5361" s="15"/>
      <c r="AD5361" s="15"/>
      <c r="AE5361" s="15"/>
      <c r="AF5361" s="15"/>
      <c r="AG5361" s="15"/>
      <c r="AH5361" s="15"/>
      <c r="AI5361" s="15"/>
      <c r="AJ5361" s="15"/>
      <c r="AK5361" s="15"/>
      <c r="AL5361" s="15"/>
      <c r="AM5361" s="15"/>
      <c r="AN5361" s="15"/>
      <c r="AO5361" s="15"/>
      <c r="AP5361" s="15"/>
      <c r="AQ5361" s="15"/>
      <c r="AR5361" s="15"/>
      <c r="AS5361" s="15"/>
      <c r="AT5361" s="15"/>
      <c r="AU5361" s="15"/>
      <c r="AV5361" s="15"/>
      <c r="AW5361" s="15"/>
    </row>
    <row r="5362" spans="3:49" x14ac:dyDescent="0.2">
      <c r="C5362" s="15"/>
      <c r="D5362" s="15"/>
      <c r="E5362" s="15"/>
      <c r="F5362" s="15"/>
      <c r="G5362" s="15"/>
      <c r="H5362" s="15"/>
      <c r="I5362" s="15"/>
      <c r="J5362" s="15"/>
      <c r="K5362" s="15"/>
      <c r="L5362" s="28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  <c r="AA5362" s="15"/>
      <c r="AB5362" s="15"/>
      <c r="AC5362" s="15"/>
      <c r="AD5362" s="15"/>
      <c r="AE5362" s="15"/>
      <c r="AF5362" s="15"/>
      <c r="AG5362" s="15"/>
      <c r="AH5362" s="15"/>
      <c r="AI5362" s="15"/>
      <c r="AJ5362" s="15"/>
      <c r="AK5362" s="15"/>
      <c r="AL5362" s="15"/>
      <c r="AM5362" s="15"/>
      <c r="AN5362" s="15"/>
      <c r="AO5362" s="15"/>
      <c r="AP5362" s="15"/>
      <c r="AQ5362" s="15"/>
      <c r="AR5362" s="15"/>
      <c r="AS5362" s="15"/>
      <c r="AT5362" s="15"/>
      <c r="AU5362" s="15"/>
      <c r="AV5362" s="15"/>
      <c r="AW5362" s="15"/>
    </row>
    <row r="5363" spans="3:49" x14ac:dyDescent="0.2">
      <c r="C5363" s="15"/>
      <c r="D5363" s="15"/>
      <c r="E5363" s="15"/>
      <c r="F5363" s="15"/>
      <c r="G5363" s="15"/>
      <c r="H5363" s="15"/>
      <c r="I5363" s="15"/>
      <c r="J5363" s="15"/>
      <c r="K5363" s="15"/>
      <c r="L5363" s="28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  <c r="AA5363" s="15"/>
      <c r="AB5363" s="15"/>
      <c r="AC5363" s="15"/>
      <c r="AD5363" s="15"/>
      <c r="AE5363" s="15"/>
      <c r="AF5363" s="15"/>
      <c r="AG5363" s="15"/>
      <c r="AH5363" s="15"/>
      <c r="AI5363" s="15"/>
      <c r="AJ5363" s="15"/>
      <c r="AK5363" s="15"/>
      <c r="AL5363" s="15"/>
      <c r="AM5363" s="15"/>
      <c r="AN5363" s="15"/>
      <c r="AO5363" s="15"/>
      <c r="AP5363" s="15"/>
      <c r="AQ5363" s="15"/>
      <c r="AR5363" s="15"/>
      <c r="AS5363" s="15"/>
      <c r="AT5363" s="15"/>
      <c r="AU5363" s="15"/>
      <c r="AV5363" s="15"/>
      <c r="AW5363" s="15"/>
    </row>
    <row r="5364" spans="3:49" x14ac:dyDescent="0.2">
      <c r="C5364" s="15"/>
      <c r="D5364" s="15"/>
      <c r="E5364" s="15"/>
      <c r="F5364" s="15"/>
      <c r="G5364" s="15"/>
      <c r="H5364" s="15"/>
      <c r="I5364" s="15"/>
      <c r="J5364" s="15"/>
      <c r="K5364" s="15"/>
      <c r="L5364" s="28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  <c r="AA5364" s="15"/>
      <c r="AB5364" s="15"/>
      <c r="AC5364" s="15"/>
      <c r="AD5364" s="15"/>
      <c r="AE5364" s="15"/>
      <c r="AF5364" s="15"/>
      <c r="AG5364" s="15"/>
      <c r="AH5364" s="15"/>
      <c r="AI5364" s="15"/>
      <c r="AJ5364" s="15"/>
      <c r="AK5364" s="15"/>
      <c r="AL5364" s="15"/>
      <c r="AM5364" s="15"/>
      <c r="AN5364" s="15"/>
      <c r="AO5364" s="15"/>
      <c r="AP5364" s="15"/>
      <c r="AQ5364" s="15"/>
      <c r="AR5364" s="15"/>
      <c r="AS5364" s="15"/>
      <c r="AT5364" s="15"/>
      <c r="AU5364" s="15"/>
      <c r="AV5364" s="15"/>
      <c r="AW5364" s="15"/>
    </row>
    <row r="5365" spans="3:49" x14ac:dyDescent="0.2">
      <c r="C5365" s="15"/>
      <c r="D5365" s="15"/>
      <c r="E5365" s="15"/>
      <c r="F5365" s="15"/>
      <c r="G5365" s="15"/>
      <c r="H5365" s="15"/>
      <c r="I5365" s="15"/>
      <c r="J5365" s="15"/>
      <c r="K5365" s="15"/>
      <c r="L5365" s="28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  <c r="AA5365" s="15"/>
      <c r="AB5365" s="15"/>
      <c r="AC5365" s="15"/>
      <c r="AD5365" s="15"/>
      <c r="AE5365" s="15"/>
      <c r="AF5365" s="15"/>
      <c r="AG5365" s="15"/>
      <c r="AH5365" s="15"/>
      <c r="AI5365" s="15"/>
      <c r="AJ5365" s="15"/>
      <c r="AK5365" s="15"/>
      <c r="AL5365" s="15"/>
      <c r="AM5365" s="15"/>
      <c r="AN5365" s="15"/>
      <c r="AO5365" s="15"/>
      <c r="AP5365" s="15"/>
      <c r="AQ5365" s="15"/>
      <c r="AR5365" s="15"/>
      <c r="AS5365" s="15"/>
      <c r="AT5365" s="15"/>
      <c r="AU5365" s="15"/>
      <c r="AV5365" s="15"/>
      <c r="AW5365" s="15"/>
    </row>
    <row r="5366" spans="3:49" x14ac:dyDescent="0.2">
      <c r="C5366" s="15"/>
      <c r="D5366" s="15"/>
      <c r="E5366" s="15"/>
      <c r="F5366" s="15"/>
      <c r="G5366" s="15"/>
      <c r="H5366" s="15"/>
      <c r="I5366" s="15"/>
      <c r="J5366" s="15"/>
      <c r="K5366" s="15"/>
      <c r="L5366" s="28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  <c r="AA5366" s="15"/>
      <c r="AB5366" s="15"/>
      <c r="AC5366" s="15"/>
      <c r="AD5366" s="15"/>
      <c r="AE5366" s="15"/>
      <c r="AF5366" s="15"/>
      <c r="AG5366" s="15"/>
      <c r="AH5366" s="15"/>
      <c r="AI5366" s="15"/>
      <c r="AJ5366" s="15"/>
      <c r="AK5366" s="15"/>
      <c r="AL5366" s="15"/>
      <c r="AM5366" s="15"/>
      <c r="AN5366" s="15"/>
      <c r="AO5366" s="15"/>
      <c r="AP5366" s="15"/>
      <c r="AQ5366" s="15"/>
      <c r="AR5366" s="15"/>
      <c r="AS5366" s="15"/>
      <c r="AT5366" s="15"/>
      <c r="AU5366" s="15"/>
      <c r="AV5366" s="15"/>
      <c r="AW5366" s="15"/>
    </row>
    <row r="5367" spans="3:49" x14ac:dyDescent="0.2">
      <c r="C5367" s="15"/>
      <c r="D5367" s="15"/>
      <c r="E5367" s="15"/>
      <c r="F5367" s="15"/>
      <c r="G5367" s="15"/>
      <c r="H5367" s="15"/>
      <c r="I5367" s="15"/>
      <c r="J5367" s="15"/>
      <c r="K5367" s="15"/>
      <c r="L5367" s="28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  <c r="AA5367" s="15"/>
      <c r="AB5367" s="15"/>
      <c r="AC5367" s="15"/>
      <c r="AD5367" s="15"/>
      <c r="AE5367" s="15"/>
      <c r="AF5367" s="15"/>
      <c r="AG5367" s="15"/>
      <c r="AH5367" s="15"/>
      <c r="AI5367" s="15"/>
      <c r="AJ5367" s="15"/>
      <c r="AK5367" s="15"/>
      <c r="AL5367" s="15"/>
      <c r="AM5367" s="15"/>
      <c r="AN5367" s="15"/>
      <c r="AO5367" s="15"/>
      <c r="AP5367" s="15"/>
      <c r="AQ5367" s="15"/>
      <c r="AR5367" s="15"/>
      <c r="AS5367" s="15"/>
      <c r="AT5367" s="15"/>
      <c r="AU5367" s="15"/>
      <c r="AV5367" s="15"/>
      <c r="AW5367" s="15"/>
    </row>
    <row r="5368" spans="3:49" x14ac:dyDescent="0.2">
      <c r="C5368" s="15"/>
      <c r="D5368" s="15"/>
      <c r="E5368" s="15"/>
      <c r="F5368" s="15"/>
      <c r="G5368" s="15"/>
      <c r="H5368" s="15"/>
      <c r="I5368" s="15"/>
      <c r="J5368" s="15"/>
      <c r="K5368" s="15"/>
      <c r="L5368" s="28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  <c r="AA5368" s="15"/>
      <c r="AB5368" s="15"/>
      <c r="AC5368" s="15"/>
      <c r="AD5368" s="15"/>
      <c r="AE5368" s="15"/>
      <c r="AF5368" s="15"/>
      <c r="AG5368" s="15"/>
      <c r="AH5368" s="15"/>
      <c r="AI5368" s="15"/>
      <c r="AJ5368" s="15"/>
      <c r="AK5368" s="15"/>
      <c r="AL5368" s="15"/>
      <c r="AM5368" s="15"/>
      <c r="AN5368" s="15"/>
      <c r="AO5368" s="15"/>
      <c r="AP5368" s="15"/>
      <c r="AQ5368" s="15"/>
      <c r="AR5368" s="15"/>
      <c r="AS5368" s="15"/>
      <c r="AT5368" s="15"/>
      <c r="AU5368" s="15"/>
      <c r="AV5368" s="15"/>
      <c r="AW5368" s="15"/>
    </row>
    <row r="5369" spans="3:49" x14ac:dyDescent="0.2">
      <c r="C5369" s="15"/>
      <c r="D5369" s="15"/>
      <c r="E5369" s="15"/>
      <c r="F5369" s="15"/>
      <c r="G5369" s="15"/>
      <c r="H5369" s="15"/>
      <c r="I5369" s="15"/>
      <c r="J5369" s="15"/>
      <c r="K5369" s="15"/>
      <c r="L5369" s="28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  <c r="AA5369" s="15"/>
      <c r="AB5369" s="15"/>
      <c r="AC5369" s="15"/>
      <c r="AD5369" s="15"/>
      <c r="AE5369" s="15"/>
      <c r="AF5369" s="15"/>
      <c r="AG5369" s="15"/>
      <c r="AH5369" s="15"/>
      <c r="AI5369" s="15"/>
      <c r="AJ5369" s="15"/>
      <c r="AK5369" s="15"/>
      <c r="AL5369" s="15"/>
      <c r="AM5369" s="15"/>
      <c r="AN5369" s="15"/>
      <c r="AO5369" s="15"/>
      <c r="AP5369" s="15"/>
      <c r="AQ5369" s="15"/>
      <c r="AR5369" s="15"/>
      <c r="AS5369" s="15"/>
      <c r="AT5369" s="15"/>
      <c r="AU5369" s="15"/>
      <c r="AV5369" s="15"/>
      <c r="AW5369" s="15"/>
    </row>
    <row r="5370" spans="3:49" x14ac:dyDescent="0.2">
      <c r="C5370" s="15"/>
      <c r="D5370" s="15"/>
      <c r="E5370" s="15"/>
      <c r="F5370" s="15"/>
      <c r="G5370" s="15"/>
      <c r="H5370" s="15"/>
      <c r="I5370" s="15"/>
      <c r="J5370" s="15"/>
      <c r="K5370" s="15"/>
      <c r="L5370" s="28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  <c r="AA5370" s="15"/>
      <c r="AB5370" s="15"/>
      <c r="AC5370" s="15"/>
      <c r="AD5370" s="15"/>
      <c r="AE5370" s="15"/>
      <c r="AF5370" s="15"/>
      <c r="AG5370" s="15"/>
      <c r="AH5370" s="15"/>
      <c r="AI5370" s="15"/>
      <c r="AJ5370" s="15"/>
      <c r="AK5370" s="15"/>
      <c r="AL5370" s="15"/>
      <c r="AM5370" s="15"/>
      <c r="AN5370" s="15"/>
      <c r="AO5370" s="15"/>
      <c r="AP5370" s="15"/>
      <c r="AQ5370" s="15"/>
      <c r="AR5370" s="15"/>
      <c r="AS5370" s="15"/>
      <c r="AT5370" s="15"/>
      <c r="AU5370" s="15"/>
      <c r="AV5370" s="15"/>
      <c r="AW5370" s="15"/>
    </row>
    <row r="5371" spans="3:49" x14ac:dyDescent="0.2">
      <c r="C5371" s="15"/>
      <c r="D5371" s="15"/>
      <c r="E5371" s="15"/>
      <c r="F5371" s="15"/>
      <c r="G5371" s="15"/>
      <c r="H5371" s="15"/>
      <c r="I5371" s="15"/>
      <c r="J5371" s="15"/>
      <c r="K5371" s="15"/>
      <c r="L5371" s="28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  <c r="AA5371" s="15"/>
      <c r="AB5371" s="15"/>
      <c r="AC5371" s="15"/>
      <c r="AD5371" s="15"/>
      <c r="AE5371" s="15"/>
      <c r="AF5371" s="15"/>
      <c r="AG5371" s="15"/>
      <c r="AH5371" s="15"/>
      <c r="AI5371" s="15"/>
      <c r="AJ5371" s="15"/>
      <c r="AK5371" s="15"/>
      <c r="AL5371" s="15"/>
      <c r="AM5371" s="15"/>
      <c r="AN5371" s="15"/>
      <c r="AO5371" s="15"/>
      <c r="AP5371" s="15"/>
      <c r="AQ5371" s="15"/>
      <c r="AR5371" s="15"/>
      <c r="AS5371" s="15"/>
      <c r="AT5371" s="15"/>
      <c r="AU5371" s="15"/>
      <c r="AV5371" s="15"/>
      <c r="AW5371" s="15"/>
    </row>
    <row r="5372" spans="3:49" x14ac:dyDescent="0.2">
      <c r="C5372" s="15"/>
      <c r="D5372" s="15"/>
      <c r="E5372" s="15"/>
      <c r="F5372" s="15"/>
      <c r="G5372" s="15"/>
      <c r="H5372" s="15"/>
      <c r="I5372" s="15"/>
      <c r="J5372" s="15"/>
      <c r="K5372" s="15"/>
      <c r="L5372" s="28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  <c r="AA5372" s="15"/>
      <c r="AB5372" s="15"/>
      <c r="AC5372" s="15"/>
      <c r="AD5372" s="15"/>
      <c r="AE5372" s="15"/>
      <c r="AF5372" s="15"/>
      <c r="AG5372" s="15"/>
      <c r="AH5372" s="15"/>
      <c r="AI5372" s="15"/>
      <c r="AJ5372" s="15"/>
      <c r="AK5372" s="15"/>
      <c r="AL5372" s="15"/>
      <c r="AM5372" s="15"/>
      <c r="AN5372" s="15"/>
      <c r="AO5372" s="15"/>
      <c r="AP5372" s="15"/>
      <c r="AQ5372" s="15"/>
      <c r="AR5372" s="15"/>
      <c r="AS5372" s="15"/>
      <c r="AT5372" s="15"/>
      <c r="AU5372" s="15"/>
      <c r="AV5372" s="15"/>
      <c r="AW5372" s="15"/>
    </row>
    <row r="5373" spans="3:49" x14ac:dyDescent="0.2">
      <c r="C5373" s="15"/>
      <c r="D5373" s="15"/>
      <c r="E5373" s="15"/>
      <c r="F5373" s="15"/>
      <c r="G5373" s="15"/>
      <c r="H5373" s="15"/>
      <c r="I5373" s="15"/>
      <c r="J5373" s="15"/>
      <c r="K5373" s="15"/>
      <c r="L5373" s="28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  <c r="AA5373" s="15"/>
      <c r="AB5373" s="15"/>
      <c r="AC5373" s="15"/>
      <c r="AD5373" s="15"/>
      <c r="AE5373" s="15"/>
      <c r="AF5373" s="15"/>
      <c r="AG5373" s="15"/>
      <c r="AH5373" s="15"/>
      <c r="AI5373" s="15"/>
      <c r="AJ5373" s="15"/>
      <c r="AK5373" s="15"/>
      <c r="AL5373" s="15"/>
      <c r="AM5373" s="15"/>
      <c r="AN5373" s="15"/>
      <c r="AO5373" s="15"/>
      <c r="AP5373" s="15"/>
      <c r="AQ5373" s="15"/>
      <c r="AR5373" s="15"/>
      <c r="AS5373" s="15"/>
      <c r="AT5373" s="15"/>
      <c r="AU5373" s="15"/>
      <c r="AV5373" s="15"/>
      <c r="AW5373" s="15"/>
    </row>
    <row r="5374" spans="3:49" x14ac:dyDescent="0.2">
      <c r="C5374" s="15"/>
      <c r="D5374" s="15"/>
      <c r="E5374" s="15"/>
      <c r="F5374" s="15"/>
      <c r="G5374" s="15"/>
      <c r="H5374" s="15"/>
      <c r="I5374" s="15"/>
      <c r="J5374" s="15"/>
      <c r="K5374" s="15"/>
      <c r="L5374" s="28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  <c r="AA5374" s="15"/>
      <c r="AB5374" s="15"/>
      <c r="AC5374" s="15"/>
      <c r="AD5374" s="15"/>
      <c r="AE5374" s="15"/>
      <c r="AF5374" s="15"/>
      <c r="AG5374" s="15"/>
      <c r="AH5374" s="15"/>
      <c r="AI5374" s="15"/>
      <c r="AJ5374" s="15"/>
      <c r="AK5374" s="15"/>
      <c r="AL5374" s="15"/>
      <c r="AM5374" s="15"/>
      <c r="AN5374" s="15"/>
      <c r="AO5374" s="15"/>
      <c r="AP5374" s="15"/>
      <c r="AQ5374" s="15"/>
      <c r="AR5374" s="15"/>
      <c r="AS5374" s="15"/>
      <c r="AT5374" s="15"/>
      <c r="AU5374" s="15"/>
      <c r="AV5374" s="15"/>
      <c r="AW5374" s="15"/>
    </row>
    <row r="5375" spans="3:49" x14ac:dyDescent="0.2">
      <c r="C5375" s="15"/>
      <c r="D5375" s="15"/>
      <c r="E5375" s="15"/>
      <c r="F5375" s="15"/>
      <c r="G5375" s="15"/>
      <c r="H5375" s="15"/>
      <c r="I5375" s="15"/>
      <c r="J5375" s="15"/>
      <c r="K5375" s="15"/>
      <c r="L5375" s="28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  <c r="AA5375" s="15"/>
      <c r="AB5375" s="15"/>
      <c r="AC5375" s="15"/>
      <c r="AD5375" s="15"/>
      <c r="AE5375" s="15"/>
      <c r="AF5375" s="15"/>
      <c r="AG5375" s="15"/>
      <c r="AH5375" s="15"/>
      <c r="AI5375" s="15"/>
      <c r="AJ5375" s="15"/>
      <c r="AK5375" s="15"/>
      <c r="AL5375" s="15"/>
      <c r="AM5375" s="15"/>
      <c r="AN5375" s="15"/>
      <c r="AO5375" s="15"/>
      <c r="AP5375" s="15"/>
      <c r="AQ5375" s="15"/>
      <c r="AR5375" s="15"/>
      <c r="AS5375" s="15"/>
      <c r="AT5375" s="15"/>
      <c r="AU5375" s="15"/>
      <c r="AV5375" s="15"/>
      <c r="AW5375" s="15"/>
    </row>
    <row r="5376" spans="3:49" x14ac:dyDescent="0.2">
      <c r="C5376" s="15"/>
      <c r="D5376" s="15"/>
      <c r="E5376" s="15"/>
      <c r="F5376" s="15"/>
      <c r="G5376" s="15"/>
      <c r="H5376" s="15"/>
      <c r="I5376" s="15"/>
      <c r="J5376" s="15"/>
      <c r="K5376" s="15"/>
      <c r="L5376" s="28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  <c r="AA5376" s="15"/>
      <c r="AB5376" s="15"/>
      <c r="AC5376" s="15"/>
      <c r="AD5376" s="15"/>
      <c r="AE5376" s="15"/>
      <c r="AF5376" s="15"/>
      <c r="AG5376" s="15"/>
      <c r="AH5376" s="15"/>
      <c r="AI5376" s="15"/>
      <c r="AJ5376" s="15"/>
      <c r="AK5376" s="15"/>
      <c r="AL5376" s="15"/>
      <c r="AM5376" s="15"/>
      <c r="AN5376" s="15"/>
      <c r="AO5376" s="15"/>
      <c r="AP5376" s="15"/>
      <c r="AQ5376" s="15"/>
      <c r="AR5376" s="15"/>
      <c r="AS5376" s="15"/>
      <c r="AT5376" s="15"/>
      <c r="AU5376" s="15"/>
      <c r="AV5376" s="15"/>
      <c r="AW5376" s="15"/>
    </row>
    <row r="5377" spans="3:49" x14ac:dyDescent="0.2">
      <c r="C5377" s="15"/>
      <c r="D5377" s="15"/>
      <c r="E5377" s="15"/>
      <c r="F5377" s="15"/>
      <c r="G5377" s="15"/>
      <c r="H5377" s="15"/>
      <c r="I5377" s="15"/>
      <c r="J5377" s="15"/>
      <c r="K5377" s="15"/>
      <c r="L5377" s="28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  <c r="AA5377" s="15"/>
      <c r="AB5377" s="15"/>
      <c r="AC5377" s="15"/>
      <c r="AD5377" s="15"/>
      <c r="AE5377" s="15"/>
      <c r="AF5377" s="15"/>
      <c r="AG5377" s="15"/>
      <c r="AH5377" s="15"/>
      <c r="AI5377" s="15"/>
      <c r="AJ5377" s="15"/>
      <c r="AK5377" s="15"/>
      <c r="AL5377" s="15"/>
      <c r="AM5377" s="15"/>
      <c r="AN5377" s="15"/>
      <c r="AO5377" s="15"/>
      <c r="AP5377" s="15"/>
      <c r="AQ5377" s="15"/>
      <c r="AR5377" s="15"/>
      <c r="AS5377" s="15"/>
      <c r="AT5377" s="15"/>
      <c r="AU5377" s="15"/>
      <c r="AV5377" s="15"/>
      <c r="AW5377" s="15"/>
    </row>
    <row r="5378" spans="3:49" x14ac:dyDescent="0.2">
      <c r="C5378" s="15"/>
      <c r="D5378" s="15"/>
      <c r="E5378" s="15"/>
      <c r="F5378" s="15"/>
      <c r="G5378" s="15"/>
      <c r="H5378" s="15"/>
      <c r="I5378" s="15"/>
      <c r="J5378" s="15"/>
      <c r="K5378" s="15"/>
      <c r="L5378" s="28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  <c r="AA5378" s="15"/>
      <c r="AB5378" s="15"/>
      <c r="AC5378" s="15"/>
      <c r="AD5378" s="15"/>
      <c r="AE5378" s="15"/>
      <c r="AF5378" s="15"/>
      <c r="AG5378" s="15"/>
      <c r="AH5378" s="15"/>
      <c r="AI5378" s="15"/>
      <c r="AJ5378" s="15"/>
      <c r="AK5378" s="15"/>
      <c r="AL5378" s="15"/>
      <c r="AM5378" s="15"/>
      <c r="AN5378" s="15"/>
      <c r="AO5378" s="15"/>
      <c r="AP5378" s="15"/>
      <c r="AQ5378" s="15"/>
      <c r="AR5378" s="15"/>
      <c r="AS5378" s="15"/>
      <c r="AT5378" s="15"/>
      <c r="AU5378" s="15"/>
      <c r="AV5378" s="15"/>
      <c r="AW5378" s="15"/>
    </row>
    <row r="5379" spans="3:49" x14ac:dyDescent="0.2">
      <c r="C5379" s="15"/>
      <c r="D5379" s="15"/>
      <c r="E5379" s="15"/>
      <c r="F5379" s="15"/>
      <c r="G5379" s="15"/>
      <c r="H5379" s="15"/>
      <c r="I5379" s="15"/>
      <c r="J5379" s="15"/>
      <c r="K5379" s="15"/>
      <c r="L5379" s="28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  <c r="AA5379" s="15"/>
      <c r="AB5379" s="15"/>
      <c r="AC5379" s="15"/>
      <c r="AD5379" s="15"/>
      <c r="AE5379" s="15"/>
      <c r="AF5379" s="15"/>
      <c r="AG5379" s="15"/>
      <c r="AH5379" s="15"/>
      <c r="AI5379" s="15"/>
      <c r="AJ5379" s="15"/>
      <c r="AK5379" s="15"/>
      <c r="AL5379" s="15"/>
      <c r="AM5379" s="15"/>
      <c r="AN5379" s="15"/>
      <c r="AO5379" s="15"/>
      <c r="AP5379" s="15"/>
      <c r="AQ5379" s="15"/>
      <c r="AR5379" s="15"/>
      <c r="AS5379" s="15"/>
      <c r="AT5379" s="15"/>
      <c r="AU5379" s="15"/>
      <c r="AV5379" s="15"/>
      <c r="AW5379" s="15"/>
    </row>
    <row r="5380" spans="3:49" x14ac:dyDescent="0.2">
      <c r="C5380" s="15"/>
      <c r="D5380" s="15"/>
      <c r="E5380" s="15"/>
      <c r="F5380" s="15"/>
      <c r="G5380" s="15"/>
      <c r="H5380" s="15"/>
      <c r="I5380" s="15"/>
      <c r="J5380" s="15"/>
      <c r="K5380" s="15"/>
      <c r="L5380" s="28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  <c r="AA5380" s="15"/>
      <c r="AB5380" s="15"/>
      <c r="AC5380" s="15"/>
      <c r="AD5380" s="15"/>
      <c r="AE5380" s="15"/>
      <c r="AF5380" s="15"/>
      <c r="AG5380" s="15"/>
      <c r="AH5380" s="15"/>
      <c r="AI5380" s="15"/>
      <c r="AJ5380" s="15"/>
      <c r="AK5380" s="15"/>
      <c r="AL5380" s="15"/>
      <c r="AM5380" s="15"/>
      <c r="AN5380" s="15"/>
      <c r="AO5380" s="15"/>
      <c r="AP5380" s="15"/>
      <c r="AQ5380" s="15"/>
      <c r="AR5380" s="15"/>
      <c r="AS5380" s="15"/>
      <c r="AT5380" s="15"/>
      <c r="AU5380" s="15"/>
      <c r="AV5380" s="15"/>
      <c r="AW5380" s="15"/>
    </row>
    <row r="5381" spans="3:49" x14ac:dyDescent="0.2">
      <c r="C5381" s="15"/>
      <c r="D5381" s="15"/>
      <c r="E5381" s="15"/>
      <c r="F5381" s="15"/>
      <c r="G5381" s="15"/>
      <c r="H5381" s="15"/>
      <c r="I5381" s="15"/>
      <c r="J5381" s="15"/>
      <c r="K5381" s="15"/>
      <c r="L5381" s="28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  <c r="AA5381" s="15"/>
      <c r="AB5381" s="15"/>
      <c r="AC5381" s="15"/>
      <c r="AD5381" s="15"/>
      <c r="AE5381" s="15"/>
      <c r="AF5381" s="15"/>
      <c r="AG5381" s="15"/>
      <c r="AH5381" s="15"/>
      <c r="AI5381" s="15"/>
      <c r="AJ5381" s="15"/>
      <c r="AK5381" s="15"/>
      <c r="AL5381" s="15"/>
      <c r="AM5381" s="15"/>
      <c r="AN5381" s="15"/>
      <c r="AO5381" s="15"/>
      <c r="AP5381" s="15"/>
      <c r="AQ5381" s="15"/>
      <c r="AR5381" s="15"/>
      <c r="AS5381" s="15"/>
      <c r="AT5381" s="15"/>
      <c r="AU5381" s="15"/>
      <c r="AV5381" s="15"/>
      <c r="AW5381" s="15"/>
    </row>
    <row r="5382" spans="3:49" x14ac:dyDescent="0.2">
      <c r="C5382" s="15"/>
      <c r="D5382" s="15"/>
      <c r="E5382" s="15"/>
      <c r="F5382" s="15"/>
      <c r="G5382" s="15"/>
      <c r="H5382" s="15"/>
      <c r="I5382" s="15"/>
      <c r="J5382" s="15"/>
      <c r="K5382" s="15"/>
      <c r="L5382" s="28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  <c r="AA5382" s="15"/>
      <c r="AB5382" s="15"/>
      <c r="AC5382" s="15"/>
      <c r="AD5382" s="15"/>
      <c r="AE5382" s="15"/>
      <c r="AF5382" s="15"/>
      <c r="AG5382" s="15"/>
      <c r="AH5382" s="15"/>
      <c r="AI5382" s="15"/>
      <c r="AJ5382" s="15"/>
      <c r="AK5382" s="15"/>
      <c r="AL5382" s="15"/>
      <c r="AM5382" s="15"/>
      <c r="AN5382" s="15"/>
      <c r="AO5382" s="15"/>
      <c r="AP5382" s="15"/>
      <c r="AQ5382" s="15"/>
      <c r="AR5382" s="15"/>
      <c r="AS5382" s="15"/>
      <c r="AT5382" s="15"/>
      <c r="AU5382" s="15"/>
      <c r="AV5382" s="15"/>
      <c r="AW5382" s="15"/>
    </row>
    <row r="5383" spans="3:49" x14ac:dyDescent="0.2">
      <c r="C5383" s="15"/>
      <c r="D5383" s="15"/>
      <c r="E5383" s="15"/>
      <c r="F5383" s="15"/>
      <c r="G5383" s="15"/>
      <c r="H5383" s="15"/>
      <c r="I5383" s="15"/>
      <c r="J5383" s="15"/>
      <c r="K5383" s="15"/>
      <c r="L5383" s="28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  <c r="AA5383" s="15"/>
      <c r="AB5383" s="15"/>
      <c r="AC5383" s="15"/>
      <c r="AD5383" s="15"/>
      <c r="AE5383" s="15"/>
      <c r="AF5383" s="15"/>
      <c r="AG5383" s="15"/>
      <c r="AH5383" s="15"/>
      <c r="AI5383" s="15"/>
      <c r="AJ5383" s="15"/>
      <c r="AK5383" s="15"/>
      <c r="AL5383" s="15"/>
      <c r="AM5383" s="15"/>
      <c r="AN5383" s="15"/>
      <c r="AO5383" s="15"/>
      <c r="AP5383" s="15"/>
      <c r="AQ5383" s="15"/>
      <c r="AR5383" s="15"/>
      <c r="AS5383" s="15"/>
      <c r="AT5383" s="15"/>
      <c r="AU5383" s="15"/>
      <c r="AV5383" s="15"/>
      <c r="AW5383" s="15"/>
    </row>
    <row r="5384" spans="3:49" x14ac:dyDescent="0.2">
      <c r="C5384" s="15"/>
      <c r="D5384" s="15"/>
      <c r="E5384" s="15"/>
      <c r="F5384" s="15"/>
      <c r="G5384" s="15"/>
      <c r="H5384" s="15"/>
      <c r="I5384" s="15"/>
      <c r="J5384" s="15"/>
      <c r="K5384" s="15"/>
      <c r="L5384" s="28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  <c r="AA5384" s="15"/>
      <c r="AB5384" s="15"/>
      <c r="AC5384" s="15"/>
      <c r="AD5384" s="15"/>
      <c r="AE5384" s="15"/>
      <c r="AF5384" s="15"/>
      <c r="AG5384" s="15"/>
      <c r="AH5384" s="15"/>
      <c r="AI5384" s="15"/>
      <c r="AJ5384" s="15"/>
      <c r="AK5384" s="15"/>
      <c r="AL5384" s="15"/>
      <c r="AM5384" s="15"/>
      <c r="AN5384" s="15"/>
      <c r="AO5384" s="15"/>
      <c r="AP5384" s="15"/>
      <c r="AQ5384" s="15"/>
      <c r="AR5384" s="15"/>
      <c r="AS5384" s="15"/>
      <c r="AT5384" s="15"/>
      <c r="AU5384" s="15"/>
      <c r="AV5384" s="15"/>
      <c r="AW5384" s="15"/>
    </row>
    <row r="5385" spans="3:49" x14ac:dyDescent="0.2">
      <c r="C5385" s="15"/>
      <c r="D5385" s="15"/>
      <c r="E5385" s="15"/>
      <c r="F5385" s="15"/>
      <c r="G5385" s="15"/>
      <c r="H5385" s="15"/>
      <c r="I5385" s="15"/>
      <c r="J5385" s="15"/>
      <c r="K5385" s="15"/>
      <c r="L5385" s="28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  <c r="AA5385" s="15"/>
      <c r="AB5385" s="15"/>
      <c r="AC5385" s="15"/>
      <c r="AD5385" s="15"/>
      <c r="AE5385" s="15"/>
      <c r="AF5385" s="15"/>
      <c r="AG5385" s="15"/>
      <c r="AH5385" s="15"/>
      <c r="AI5385" s="15"/>
      <c r="AJ5385" s="15"/>
      <c r="AK5385" s="15"/>
      <c r="AL5385" s="15"/>
      <c r="AM5385" s="15"/>
      <c r="AN5385" s="15"/>
      <c r="AO5385" s="15"/>
      <c r="AP5385" s="15"/>
      <c r="AQ5385" s="15"/>
      <c r="AR5385" s="15"/>
      <c r="AS5385" s="15"/>
      <c r="AT5385" s="15"/>
      <c r="AU5385" s="15"/>
      <c r="AV5385" s="15"/>
      <c r="AW5385" s="15"/>
    </row>
    <row r="5386" spans="3:49" x14ac:dyDescent="0.2">
      <c r="C5386" s="15"/>
      <c r="D5386" s="15"/>
      <c r="E5386" s="15"/>
      <c r="F5386" s="15"/>
      <c r="G5386" s="15"/>
      <c r="H5386" s="15"/>
      <c r="I5386" s="15"/>
      <c r="J5386" s="15"/>
      <c r="K5386" s="15"/>
      <c r="L5386" s="28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  <c r="AA5386" s="15"/>
      <c r="AB5386" s="15"/>
      <c r="AC5386" s="15"/>
      <c r="AD5386" s="15"/>
      <c r="AE5386" s="15"/>
      <c r="AF5386" s="15"/>
      <c r="AG5386" s="15"/>
      <c r="AH5386" s="15"/>
      <c r="AI5386" s="15"/>
      <c r="AJ5386" s="15"/>
      <c r="AK5386" s="15"/>
      <c r="AL5386" s="15"/>
      <c r="AM5386" s="15"/>
      <c r="AN5386" s="15"/>
      <c r="AO5386" s="15"/>
      <c r="AP5386" s="15"/>
      <c r="AQ5386" s="15"/>
      <c r="AR5386" s="15"/>
      <c r="AS5386" s="15"/>
      <c r="AT5386" s="15"/>
      <c r="AU5386" s="15"/>
      <c r="AV5386" s="15"/>
      <c r="AW5386" s="15"/>
    </row>
    <row r="5387" spans="3:49" x14ac:dyDescent="0.2">
      <c r="C5387" s="15"/>
      <c r="D5387" s="15"/>
      <c r="E5387" s="15"/>
      <c r="F5387" s="15"/>
      <c r="G5387" s="15"/>
      <c r="H5387" s="15"/>
      <c r="I5387" s="15"/>
      <c r="J5387" s="15"/>
      <c r="K5387" s="15"/>
      <c r="L5387" s="28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  <c r="AA5387" s="15"/>
      <c r="AB5387" s="15"/>
      <c r="AC5387" s="15"/>
      <c r="AD5387" s="15"/>
      <c r="AE5387" s="15"/>
      <c r="AF5387" s="15"/>
      <c r="AG5387" s="15"/>
      <c r="AH5387" s="15"/>
      <c r="AI5387" s="15"/>
      <c r="AJ5387" s="15"/>
      <c r="AK5387" s="15"/>
      <c r="AL5387" s="15"/>
      <c r="AM5387" s="15"/>
      <c r="AN5387" s="15"/>
      <c r="AO5387" s="15"/>
      <c r="AP5387" s="15"/>
      <c r="AQ5387" s="15"/>
      <c r="AR5387" s="15"/>
      <c r="AS5387" s="15"/>
      <c r="AT5387" s="15"/>
      <c r="AU5387" s="15"/>
      <c r="AV5387" s="15"/>
      <c r="AW5387" s="15"/>
    </row>
    <row r="5388" spans="3:49" x14ac:dyDescent="0.2">
      <c r="C5388" s="15"/>
      <c r="D5388" s="15"/>
      <c r="E5388" s="15"/>
      <c r="F5388" s="15"/>
      <c r="G5388" s="15"/>
      <c r="H5388" s="15"/>
      <c r="I5388" s="15"/>
      <c r="J5388" s="15"/>
      <c r="K5388" s="15"/>
      <c r="L5388" s="28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  <c r="AA5388" s="15"/>
      <c r="AB5388" s="15"/>
      <c r="AC5388" s="15"/>
      <c r="AD5388" s="15"/>
      <c r="AE5388" s="15"/>
      <c r="AF5388" s="15"/>
      <c r="AG5388" s="15"/>
      <c r="AH5388" s="15"/>
      <c r="AI5388" s="15"/>
      <c r="AJ5388" s="15"/>
      <c r="AK5388" s="15"/>
      <c r="AL5388" s="15"/>
      <c r="AM5388" s="15"/>
      <c r="AN5388" s="15"/>
      <c r="AO5388" s="15"/>
      <c r="AP5388" s="15"/>
      <c r="AQ5388" s="15"/>
      <c r="AR5388" s="15"/>
      <c r="AS5388" s="15"/>
      <c r="AT5388" s="15"/>
      <c r="AU5388" s="15"/>
      <c r="AV5388" s="15"/>
      <c r="AW5388" s="15"/>
    </row>
    <row r="5389" spans="3:49" x14ac:dyDescent="0.2">
      <c r="C5389" s="15"/>
      <c r="D5389" s="15"/>
      <c r="E5389" s="15"/>
      <c r="F5389" s="15"/>
      <c r="G5389" s="15"/>
      <c r="H5389" s="15"/>
      <c r="I5389" s="15"/>
      <c r="J5389" s="15"/>
      <c r="K5389" s="15"/>
      <c r="L5389" s="28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  <c r="AA5389" s="15"/>
      <c r="AB5389" s="15"/>
      <c r="AC5389" s="15"/>
      <c r="AD5389" s="15"/>
      <c r="AE5389" s="15"/>
      <c r="AF5389" s="15"/>
      <c r="AG5389" s="15"/>
      <c r="AH5389" s="15"/>
      <c r="AI5389" s="15"/>
      <c r="AJ5389" s="15"/>
      <c r="AK5389" s="15"/>
      <c r="AL5389" s="15"/>
      <c r="AM5389" s="15"/>
      <c r="AN5389" s="15"/>
      <c r="AO5389" s="15"/>
      <c r="AP5389" s="15"/>
      <c r="AQ5389" s="15"/>
      <c r="AR5389" s="15"/>
      <c r="AS5389" s="15"/>
      <c r="AT5389" s="15"/>
      <c r="AU5389" s="15"/>
      <c r="AV5389" s="15"/>
      <c r="AW5389" s="15"/>
    </row>
    <row r="5390" spans="3:49" x14ac:dyDescent="0.2">
      <c r="C5390" s="15"/>
      <c r="D5390" s="15"/>
      <c r="E5390" s="15"/>
      <c r="F5390" s="15"/>
      <c r="G5390" s="15"/>
      <c r="H5390" s="15"/>
      <c r="I5390" s="15"/>
      <c r="J5390" s="15"/>
      <c r="K5390" s="15"/>
      <c r="L5390" s="28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  <c r="AA5390" s="15"/>
      <c r="AB5390" s="15"/>
      <c r="AC5390" s="15"/>
      <c r="AD5390" s="15"/>
      <c r="AE5390" s="15"/>
      <c r="AF5390" s="15"/>
      <c r="AG5390" s="15"/>
      <c r="AH5390" s="15"/>
      <c r="AI5390" s="15"/>
      <c r="AJ5390" s="15"/>
      <c r="AK5390" s="15"/>
      <c r="AL5390" s="15"/>
      <c r="AM5390" s="15"/>
      <c r="AN5390" s="15"/>
      <c r="AO5390" s="15"/>
      <c r="AP5390" s="15"/>
      <c r="AQ5390" s="15"/>
      <c r="AR5390" s="15"/>
      <c r="AS5390" s="15"/>
      <c r="AT5390" s="15"/>
      <c r="AU5390" s="15"/>
      <c r="AV5390" s="15"/>
      <c r="AW5390" s="15"/>
    </row>
    <row r="5391" spans="3:49" x14ac:dyDescent="0.2">
      <c r="C5391" s="15"/>
      <c r="D5391" s="15"/>
      <c r="E5391" s="15"/>
      <c r="F5391" s="15"/>
      <c r="G5391" s="15"/>
      <c r="H5391" s="15"/>
      <c r="I5391" s="15"/>
      <c r="J5391" s="15"/>
      <c r="K5391" s="15"/>
      <c r="L5391" s="28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  <c r="AA5391" s="15"/>
      <c r="AB5391" s="15"/>
      <c r="AC5391" s="15"/>
      <c r="AD5391" s="15"/>
      <c r="AE5391" s="15"/>
      <c r="AF5391" s="15"/>
      <c r="AG5391" s="15"/>
      <c r="AH5391" s="15"/>
      <c r="AI5391" s="15"/>
      <c r="AJ5391" s="15"/>
      <c r="AK5391" s="15"/>
      <c r="AL5391" s="15"/>
      <c r="AM5391" s="15"/>
      <c r="AN5391" s="15"/>
      <c r="AO5391" s="15"/>
      <c r="AP5391" s="15"/>
      <c r="AQ5391" s="15"/>
      <c r="AR5391" s="15"/>
      <c r="AS5391" s="15"/>
      <c r="AT5391" s="15"/>
      <c r="AU5391" s="15"/>
      <c r="AV5391" s="15"/>
      <c r="AW5391" s="15"/>
    </row>
    <row r="5392" spans="3:49" x14ac:dyDescent="0.2">
      <c r="C5392" s="15"/>
      <c r="D5392" s="15"/>
      <c r="E5392" s="15"/>
      <c r="F5392" s="15"/>
      <c r="G5392" s="15"/>
      <c r="H5392" s="15"/>
      <c r="I5392" s="15"/>
      <c r="J5392" s="15"/>
      <c r="K5392" s="15"/>
      <c r="L5392" s="28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  <c r="AA5392" s="15"/>
      <c r="AB5392" s="15"/>
      <c r="AC5392" s="15"/>
      <c r="AD5392" s="15"/>
      <c r="AE5392" s="15"/>
      <c r="AF5392" s="15"/>
      <c r="AG5392" s="15"/>
      <c r="AH5392" s="15"/>
      <c r="AI5392" s="15"/>
      <c r="AJ5392" s="15"/>
      <c r="AK5392" s="15"/>
      <c r="AL5392" s="15"/>
      <c r="AM5392" s="15"/>
      <c r="AN5392" s="15"/>
      <c r="AO5392" s="15"/>
      <c r="AP5392" s="15"/>
      <c r="AQ5392" s="15"/>
      <c r="AR5392" s="15"/>
      <c r="AS5392" s="15"/>
      <c r="AT5392" s="15"/>
      <c r="AU5392" s="15"/>
      <c r="AV5392" s="15"/>
      <c r="AW5392" s="15"/>
    </row>
    <row r="5393" spans="3:49" x14ac:dyDescent="0.2">
      <c r="C5393" s="15"/>
      <c r="D5393" s="15"/>
      <c r="E5393" s="15"/>
      <c r="F5393" s="15"/>
      <c r="G5393" s="15"/>
      <c r="H5393" s="15"/>
      <c r="I5393" s="15"/>
      <c r="J5393" s="15"/>
      <c r="K5393" s="15"/>
      <c r="L5393" s="28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  <c r="AA5393" s="15"/>
      <c r="AB5393" s="15"/>
      <c r="AC5393" s="15"/>
      <c r="AD5393" s="15"/>
      <c r="AE5393" s="15"/>
      <c r="AF5393" s="15"/>
      <c r="AG5393" s="15"/>
      <c r="AH5393" s="15"/>
      <c r="AI5393" s="15"/>
      <c r="AJ5393" s="15"/>
      <c r="AK5393" s="15"/>
      <c r="AL5393" s="15"/>
      <c r="AM5393" s="15"/>
      <c r="AN5393" s="15"/>
      <c r="AO5393" s="15"/>
      <c r="AP5393" s="15"/>
      <c r="AQ5393" s="15"/>
      <c r="AR5393" s="15"/>
      <c r="AS5393" s="15"/>
      <c r="AT5393" s="15"/>
      <c r="AU5393" s="15"/>
      <c r="AV5393" s="15"/>
      <c r="AW5393" s="15"/>
    </row>
    <row r="5394" spans="3:49" x14ac:dyDescent="0.2">
      <c r="C5394" s="15"/>
      <c r="D5394" s="15"/>
      <c r="E5394" s="15"/>
      <c r="F5394" s="15"/>
      <c r="G5394" s="15"/>
      <c r="H5394" s="15"/>
      <c r="I5394" s="15"/>
      <c r="J5394" s="15"/>
      <c r="K5394" s="15"/>
      <c r="L5394" s="28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  <c r="AA5394" s="15"/>
      <c r="AB5394" s="15"/>
      <c r="AC5394" s="15"/>
      <c r="AD5394" s="15"/>
      <c r="AE5394" s="15"/>
      <c r="AF5394" s="15"/>
      <c r="AG5394" s="15"/>
      <c r="AH5394" s="15"/>
      <c r="AI5394" s="15"/>
      <c r="AJ5394" s="15"/>
      <c r="AK5394" s="15"/>
      <c r="AL5394" s="15"/>
      <c r="AM5394" s="15"/>
      <c r="AN5394" s="15"/>
      <c r="AO5394" s="15"/>
      <c r="AP5394" s="15"/>
      <c r="AQ5394" s="15"/>
      <c r="AR5394" s="15"/>
      <c r="AS5394" s="15"/>
      <c r="AT5394" s="15"/>
      <c r="AU5394" s="15"/>
      <c r="AV5394" s="15"/>
      <c r="AW5394" s="15"/>
    </row>
    <row r="5395" spans="3:49" x14ac:dyDescent="0.2">
      <c r="C5395" s="15"/>
      <c r="D5395" s="15"/>
      <c r="E5395" s="15"/>
      <c r="F5395" s="15"/>
      <c r="G5395" s="15"/>
      <c r="H5395" s="15"/>
      <c r="I5395" s="15"/>
      <c r="J5395" s="15"/>
      <c r="K5395" s="15"/>
      <c r="L5395" s="28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  <c r="AA5395" s="15"/>
      <c r="AB5395" s="15"/>
      <c r="AC5395" s="15"/>
      <c r="AD5395" s="15"/>
      <c r="AE5395" s="15"/>
      <c r="AF5395" s="15"/>
      <c r="AG5395" s="15"/>
      <c r="AH5395" s="15"/>
      <c r="AI5395" s="15"/>
      <c r="AJ5395" s="15"/>
      <c r="AK5395" s="15"/>
      <c r="AL5395" s="15"/>
      <c r="AM5395" s="15"/>
      <c r="AN5395" s="15"/>
      <c r="AO5395" s="15"/>
      <c r="AP5395" s="15"/>
      <c r="AQ5395" s="15"/>
      <c r="AR5395" s="15"/>
      <c r="AS5395" s="15"/>
      <c r="AT5395" s="15"/>
      <c r="AU5395" s="15"/>
      <c r="AV5395" s="15"/>
      <c r="AW5395" s="15"/>
    </row>
    <row r="5396" spans="3:49" x14ac:dyDescent="0.2">
      <c r="C5396" s="15"/>
      <c r="D5396" s="15"/>
      <c r="E5396" s="15"/>
      <c r="F5396" s="15"/>
      <c r="G5396" s="15"/>
      <c r="H5396" s="15"/>
      <c r="I5396" s="15"/>
      <c r="J5396" s="15"/>
      <c r="K5396" s="15"/>
      <c r="L5396" s="28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  <c r="AA5396" s="15"/>
      <c r="AB5396" s="15"/>
      <c r="AC5396" s="15"/>
      <c r="AD5396" s="15"/>
      <c r="AE5396" s="15"/>
      <c r="AF5396" s="15"/>
      <c r="AG5396" s="15"/>
      <c r="AH5396" s="15"/>
      <c r="AI5396" s="15"/>
      <c r="AJ5396" s="15"/>
      <c r="AK5396" s="15"/>
      <c r="AL5396" s="15"/>
      <c r="AM5396" s="15"/>
      <c r="AN5396" s="15"/>
      <c r="AO5396" s="15"/>
      <c r="AP5396" s="15"/>
      <c r="AQ5396" s="15"/>
      <c r="AR5396" s="15"/>
      <c r="AS5396" s="15"/>
      <c r="AT5396" s="15"/>
      <c r="AU5396" s="15"/>
      <c r="AV5396" s="15"/>
      <c r="AW5396" s="15"/>
    </row>
    <row r="5397" spans="3:49" x14ac:dyDescent="0.2">
      <c r="C5397" s="15"/>
      <c r="D5397" s="15"/>
      <c r="E5397" s="15"/>
      <c r="F5397" s="15"/>
      <c r="G5397" s="15"/>
      <c r="H5397" s="15"/>
      <c r="I5397" s="15"/>
      <c r="J5397" s="15"/>
      <c r="K5397" s="15"/>
      <c r="L5397" s="28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  <c r="AA5397" s="15"/>
      <c r="AB5397" s="15"/>
      <c r="AC5397" s="15"/>
      <c r="AD5397" s="15"/>
      <c r="AE5397" s="15"/>
      <c r="AF5397" s="15"/>
      <c r="AG5397" s="15"/>
      <c r="AH5397" s="15"/>
      <c r="AI5397" s="15"/>
      <c r="AJ5397" s="15"/>
      <c r="AK5397" s="15"/>
      <c r="AL5397" s="15"/>
      <c r="AM5397" s="15"/>
      <c r="AN5397" s="15"/>
      <c r="AO5397" s="15"/>
      <c r="AP5397" s="15"/>
      <c r="AQ5397" s="15"/>
      <c r="AR5397" s="15"/>
      <c r="AS5397" s="15"/>
      <c r="AT5397" s="15"/>
      <c r="AU5397" s="15"/>
      <c r="AV5397" s="15"/>
      <c r="AW5397" s="15"/>
    </row>
    <row r="5398" spans="3:49" x14ac:dyDescent="0.2">
      <c r="C5398" s="15"/>
      <c r="D5398" s="15"/>
      <c r="E5398" s="15"/>
      <c r="F5398" s="15"/>
      <c r="G5398" s="15"/>
      <c r="H5398" s="15"/>
      <c r="I5398" s="15"/>
      <c r="J5398" s="15"/>
      <c r="K5398" s="15"/>
      <c r="L5398" s="28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  <c r="AA5398" s="15"/>
      <c r="AB5398" s="15"/>
      <c r="AC5398" s="15"/>
      <c r="AD5398" s="15"/>
      <c r="AE5398" s="15"/>
      <c r="AF5398" s="15"/>
      <c r="AG5398" s="15"/>
      <c r="AH5398" s="15"/>
      <c r="AI5398" s="15"/>
      <c r="AJ5398" s="15"/>
      <c r="AK5398" s="15"/>
      <c r="AL5398" s="15"/>
      <c r="AM5398" s="15"/>
      <c r="AN5398" s="15"/>
      <c r="AO5398" s="15"/>
      <c r="AP5398" s="15"/>
      <c r="AQ5398" s="15"/>
      <c r="AR5398" s="15"/>
      <c r="AS5398" s="15"/>
      <c r="AT5398" s="15"/>
      <c r="AU5398" s="15"/>
      <c r="AV5398" s="15"/>
      <c r="AW5398" s="15"/>
    </row>
    <row r="5399" spans="3:49" x14ac:dyDescent="0.2">
      <c r="C5399" s="15"/>
      <c r="D5399" s="15"/>
      <c r="E5399" s="15"/>
      <c r="F5399" s="15"/>
      <c r="G5399" s="15"/>
      <c r="H5399" s="15"/>
      <c r="I5399" s="15"/>
      <c r="J5399" s="15"/>
      <c r="K5399" s="15"/>
      <c r="L5399" s="28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  <c r="AA5399" s="15"/>
      <c r="AB5399" s="15"/>
      <c r="AC5399" s="15"/>
      <c r="AD5399" s="15"/>
      <c r="AE5399" s="15"/>
      <c r="AF5399" s="15"/>
      <c r="AG5399" s="15"/>
      <c r="AH5399" s="15"/>
      <c r="AI5399" s="15"/>
      <c r="AJ5399" s="15"/>
      <c r="AK5399" s="15"/>
      <c r="AL5399" s="15"/>
      <c r="AM5399" s="15"/>
      <c r="AN5399" s="15"/>
      <c r="AO5399" s="15"/>
      <c r="AP5399" s="15"/>
      <c r="AQ5399" s="15"/>
      <c r="AR5399" s="15"/>
      <c r="AS5399" s="15"/>
      <c r="AT5399" s="15"/>
      <c r="AU5399" s="15"/>
      <c r="AV5399" s="15"/>
      <c r="AW5399" s="15"/>
    </row>
    <row r="5400" spans="3:49" x14ac:dyDescent="0.2">
      <c r="C5400" s="15"/>
      <c r="D5400" s="15"/>
      <c r="E5400" s="15"/>
      <c r="F5400" s="15"/>
      <c r="G5400" s="15"/>
      <c r="H5400" s="15"/>
      <c r="I5400" s="15"/>
      <c r="J5400" s="15"/>
      <c r="K5400" s="15"/>
      <c r="L5400" s="28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  <c r="AA5400" s="15"/>
      <c r="AB5400" s="15"/>
      <c r="AC5400" s="15"/>
      <c r="AD5400" s="15"/>
      <c r="AE5400" s="15"/>
      <c r="AF5400" s="15"/>
      <c r="AG5400" s="15"/>
      <c r="AH5400" s="15"/>
      <c r="AI5400" s="15"/>
      <c r="AJ5400" s="15"/>
      <c r="AK5400" s="15"/>
      <c r="AL5400" s="15"/>
      <c r="AM5400" s="15"/>
      <c r="AN5400" s="15"/>
      <c r="AO5400" s="15"/>
      <c r="AP5400" s="15"/>
      <c r="AQ5400" s="15"/>
      <c r="AR5400" s="15"/>
      <c r="AS5400" s="15"/>
      <c r="AT5400" s="15"/>
      <c r="AU5400" s="15"/>
      <c r="AV5400" s="15"/>
      <c r="AW5400" s="15"/>
    </row>
    <row r="5401" spans="3:49" x14ac:dyDescent="0.2">
      <c r="C5401" s="15"/>
      <c r="D5401" s="15"/>
      <c r="E5401" s="15"/>
      <c r="F5401" s="15"/>
      <c r="G5401" s="15"/>
      <c r="H5401" s="15"/>
      <c r="I5401" s="15"/>
      <c r="J5401" s="15"/>
      <c r="K5401" s="15"/>
      <c r="L5401" s="28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  <c r="AA5401" s="15"/>
      <c r="AB5401" s="15"/>
      <c r="AC5401" s="15"/>
      <c r="AD5401" s="15"/>
      <c r="AE5401" s="15"/>
      <c r="AF5401" s="15"/>
      <c r="AG5401" s="15"/>
      <c r="AH5401" s="15"/>
      <c r="AI5401" s="15"/>
      <c r="AJ5401" s="15"/>
      <c r="AK5401" s="15"/>
      <c r="AL5401" s="15"/>
      <c r="AM5401" s="15"/>
      <c r="AN5401" s="15"/>
      <c r="AO5401" s="15"/>
      <c r="AP5401" s="15"/>
      <c r="AQ5401" s="15"/>
      <c r="AR5401" s="15"/>
      <c r="AS5401" s="15"/>
      <c r="AT5401" s="15"/>
      <c r="AU5401" s="15"/>
      <c r="AV5401" s="15"/>
      <c r="AW5401" s="15"/>
    </row>
    <row r="5402" spans="3:49" x14ac:dyDescent="0.2">
      <c r="C5402" s="15"/>
      <c r="D5402" s="15"/>
      <c r="E5402" s="15"/>
      <c r="F5402" s="15"/>
      <c r="G5402" s="15"/>
      <c r="H5402" s="15"/>
      <c r="I5402" s="15"/>
      <c r="J5402" s="15"/>
      <c r="K5402" s="15"/>
      <c r="L5402" s="28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  <c r="AA5402" s="15"/>
      <c r="AB5402" s="15"/>
      <c r="AC5402" s="15"/>
      <c r="AD5402" s="15"/>
      <c r="AE5402" s="15"/>
      <c r="AF5402" s="15"/>
      <c r="AG5402" s="15"/>
      <c r="AH5402" s="15"/>
      <c r="AI5402" s="15"/>
      <c r="AJ5402" s="15"/>
      <c r="AK5402" s="15"/>
      <c r="AL5402" s="15"/>
      <c r="AM5402" s="15"/>
      <c r="AN5402" s="15"/>
      <c r="AO5402" s="15"/>
      <c r="AP5402" s="15"/>
      <c r="AQ5402" s="15"/>
      <c r="AR5402" s="15"/>
      <c r="AS5402" s="15"/>
      <c r="AT5402" s="15"/>
      <c r="AU5402" s="15"/>
      <c r="AV5402" s="15"/>
      <c r="AW5402" s="15"/>
    </row>
    <row r="5403" spans="3:49" x14ac:dyDescent="0.2">
      <c r="C5403" s="15"/>
      <c r="D5403" s="15"/>
      <c r="E5403" s="15"/>
      <c r="F5403" s="15"/>
      <c r="G5403" s="15"/>
      <c r="H5403" s="15"/>
      <c r="I5403" s="15"/>
      <c r="J5403" s="15"/>
      <c r="K5403" s="15"/>
      <c r="L5403" s="28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  <c r="AA5403" s="15"/>
      <c r="AB5403" s="15"/>
      <c r="AC5403" s="15"/>
      <c r="AD5403" s="15"/>
      <c r="AE5403" s="15"/>
      <c r="AF5403" s="15"/>
      <c r="AG5403" s="15"/>
      <c r="AH5403" s="15"/>
      <c r="AI5403" s="15"/>
      <c r="AJ5403" s="15"/>
      <c r="AK5403" s="15"/>
      <c r="AL5403" s="15"/>
      <c r="AM5403" s="15"/>
      <c r="AN5403" s="15"/>
      <c r="AO5403" s="15"/>
      <c r="AP5403" s="15"/>
      <c r="AQ5403" s="15"/>
      <c r="AR5403" s="15"/>
      <c r="AS5403" s="15"/>
      <c r="AT5403" s="15"/>
      <c r="AU5403" s="15"/>
      <c r="AV5403" s="15"/>
      <c r="AW5403" s="15"/>
    </row>
    <row r="5404" spans="3:49" x14ac:dyDescent="0.2">
      <c r="C5404" s="15"/>
      <c r="D5404" s="15"/>
      <c r="E5404" s="15"/>
      <c r="F5404" s="15"/>
      <c r="G5404" s="15"/>
      <c r="H5404" s="15"/>
      <c r="I5404" s="15"/>
      <c r="J5404" s="15"/>
      <c r="K5404" s="15"/>
      <c r="L5404" s="28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  <c r="AA5404" s="15"/>
      <c r="AB5404" s="15"/>
      <c r="AC5404" s="15"/>
      <c r="AD5404" s="15"/>
      <c r="AE5404" s="15"/>
      <c r="AF5404" s="15"/>
      <c r="AG5404" s="15"/>
      <c r="AH5404" s="15"/>
      <c r="AI5404" s="15"/>
      <c r="AJ5404" s="15"/>
      <c r="AK5404" s="15"/>
      <c r="AL5404" s="15"/>
      <c r="AM5404" s="15"/>
      <c r="AN5404" s="15"/>
      <c r="AO5404" s="15"/>
      <c r="AP5404" s="15"/>
      <c r="AQ5404" s="15"/>
      <c r="AR5404" s="15"/>
      <c r="AS5404" s="15"/>
      <c r="AT5404" s="15"/>
      <c r="AU5404" s="15"/>
      <c r="AV5404" s="15"/>
      <c r="AW5404" s="15"/>
    </row>
    <row r="5405" spans="3:49" x14ac:dyDescent="0.2">
      <c r="C5405" s="15"/>
      <c r="D5405" s="15"/>
      <c r="E5405" s="15"/>
      <c r="F5405" s="15"/>
      <c r="G5405" s="15"/>
      <c r="H5405" s="15"/>
      <c r="I5405" s="15"/>
      <c r="J5405" s="15"/>
      <c r="K5405" s="15"/>
      <c r="L5405" s="28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  <c r="AA5405" s="15"/>
      <c r="AB5405" s="15"/>
      <c r="AC5405" s="15"/>
      <c r="AD5405" s="15"/>
      <c r="AE5405" s="15"/>
      <c r="AF5405" s="15"/>
      <c r="AG5405" s="15"/>
      <c r="AH5405" s="15"/>
      <c r="AI5405" s="15"/>
      <c r="AJ5405" s="15"/>
      <c r="AK5405" s="15"/>
      <c r="AL5405" s="15"/>
      <c r="AM5405" s="15"/>
      <c r="AN5405" s="15"/>
      <c r="AO5405" s="15"/>
      <c r="AP5405" s="15"/>
      <c r="AQ5405" s="15"/>
      <c r="AR5405" s="15"/>
      <c r="AS5405" s="15"/>
      <c r="AT5405" s="15"/>
      <c r="AU5405" s="15"/>
      <c r="AV5405" s="15"/>
      <c r="AW5405" s="15"/>
    </row>
    <row r="5406" spans="3:49" x14ac:dyDescent="0.2">
      <c r="C5406" s="15"/>
      <c r="D5406" s="15"/>
      <c r="E5406" s="15"/>
      <c r="F5406" s="15"/>
      <c r="G5406" s="15"/>
      <c r="H5406" s="15"/>
      <c r="I5406" s="15"/>
      <c r="J5406" s="15"/>
      <c r="K5406" s="15"/>
      <c r="L5406" s="28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  <c r="AA5406" s="15"/>
      <c r="AB5406" s="15"/>
      <c r="AC5406" s="15"/>
      <c r="AD5406" s="15"/>
      <c r="AE5406" s="15"/>
      <c r="AF5406" s="15"/>
      <c r="AG5406" s="15"/>
      <c r="AH5406" s="15"/>
      <c r="AI5406" s="15"/>
      <c r="AJ5406" s="15"/>
      <c r="AK5406" s="15"/>
      <c r="AL5406" s="15"/>
      <c r="AM5406" s="15"/>
      <c r="AN5406" s="15"/>
      <c r="AO5406" s="15"/>
      <c r="AP5406" s="15"/>
      <c r="AQ5406" s="15"/>
      <c r="AR5406" s="15"/>
      <c r="AS5406" s="15"/>
      <c r="AT5406" s="15"/>
      <c r="AU5406" s="15"/>
      <c r="AV5406" s="15"/>
      <c r="AW5406" s="15"/>
    </row>
    <row r="5407" spans="3:49" x14ac:dyDescent="0.2">
      <c r="C5407" s="15"/>
      <c r="D5407" s="15"/>
      <c r="E5407" s="15"/>
      <c r="F5407" s="15"/>
      <c r="G5407" s="15"/>
      <c r="H5407" s="15"/>
      <c r="I5407" s="15"/>
      <c r="J5407" s="15"/>
      <c r="K5407" s="15"/>
      <c r="L5407" s="28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  <c r="AA5407" s="15"/>
      <c r="AB5407" s="15"/>
      <c r="AC5407" s="15"/>
      <c r="AD5407" s="15"/>
      <c r="AE5407" s="15"/>
      <c r="AF5407" s="15"/>
      <c r="AG5407" s="15"/>
      <c r="AH5407" s="15"/>
      <c r="AI5407" s="15"/>
      <c r="AJ5407" s="15"/>
      <c r="AK5407" s="15"/>
      <c r="AL5407" s="15"/>
      <c r="AM5407" s="15"/>
      <c r="AN5407" s="15"/>
      <c r="AO5407" s="15"/>
      <c r="AP5407" s="15"/>
      <c r="AQ5407" s="15"/>
      <c r="AR5407" s="15"/>
      <c r="AS5407" s="15"/>
      <c r="AT5407" s="15"/>
      <c r="AU5407" s="15"/>
      <c r="AV5407" s="15"/>
      <c r="AW5407" s="15"/>
    </row>
    <row r="5408" spans="3:49" x14ac:dyDescent="0.2">
      <c r="C5408" s="15"/>
      <c r="D5408" s="15"/>
      <c r="E5408" s="15"/>
      <c r="F5408" s="15"/>
      <c r="G5408" s="15"/>
      <c r="H5408" s="15"/>
      <c r="I5408" s="15"/>
      <c r="J5408" s="15"/>
      <c r="K5408" s="15"/>
      <c r="L5408" s="28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  <c r="AA5408" s="15"/>
      <c r="AB5408" s="15"/>
      <c r="AC5408" s="15"/>
      <c r="AD5408" s="15"/>
      <c r="AE5408" s="15"/>
      <c r="AF5408" s="15"/>
      <c r="AG5408" s="15"/>
      <c r="AH5408" s="15"/>
      <c r="AI5408" s="15"/>
      <c r="AJ5408" s="15"/>
      <c r="AK5408" s="15"/>
      <c r="AL5408" s="15"/>
      <c r="AM5408" s="15"/>
      <c r="AN5408" s="15"/>
      <c r="AO5408" s="15"/>
      <c r="AP5408" s="15"/>
      <c r="AQ5408" s="15"/>
      <c r="AR5408" s="15"/>
      <c r="AS5408" s="15"/>
      <c r="AT5408" s="15"/>
      <c r="AU5408" s="15"/>
      <c r="AV5408" s="15"/>
      <c r="AW5408" s="15"/>
    </row>
    <row r="5409" spans="3:49" x14ac:dyDescent="0.2">
      <c r="C5409" s="15"/>
      <c r="D5409" s="15"/>
      <c r="E5409" s="15"/>
      <c r="F5409" s="15"/>
      <c r="G5409" s="15"/>
      <c r="H5409" s="15"/>
      <c r="I5409" s="15"/>
      <c r="J5409" s="15"/>
      <c r="K5409" s="15"/>
      <c r="L5409" s="28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  <c r="AA5409" s="15"/>
      <c r="AB5409" s="15"/>
      <c r="AC5409" s="15"/>
      <c r="AD5409" s="15"/>
      <c r="AE5409" s="15"/>
      <c r="AF5409" s="15"/>
      <c r="AG5409" s="15"/>
      <c r="AH5409" s="15"/>
      <c r="AI5409" s="15"/>
      <c r="AJ5409" s="15"/>
      <c r="AK5409" s="15"/>
      <c r="AL5409" s="15"/>
      <c r="AM5409" s="15"/>
      <c r="AN5409" s="15"/>
      <c r="AO5409" s="15"/>
      <c r="AP5409" s="15"/>
      <c r="AQ5409" s="15"/>
      <c r="AR5409" s="15"/>
      <c r="AS5409" s="15"/>
      <c r="AT5409" s="15"/>
      <c r="AU5409" s="15"/>
      <c r="AV5409" s="15"/>
      <c r="AW5409" s="15"/>
    </row>
    <row r="5410" spans="3:49" x14ac:dyDescent="0.2">
      <c r="C5410" s="15"/>
      <c r="D5410" s="15"/>
      <c r="E5410" s="15"/>
      <c r="F5410" s="15"/>
      <c r="G5410" s="15"/>
      <c r="H5410" s="15"/>
      <c r="I5410" s="15"/>
      <c r="J5410" s="15"/>
      <c r="K5410" s="15"/>
      <c r="L5410" s="28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  <c r="AA5410" s="15"/>
      <c r="AB5410" s="15"/>
      <c r="AC5410" s="15"/>
      <c r="AD5410" s="15"/>
      <c r="AE5410" s="15"/>
      <c r="AF5410" s="15"/>
      <c r="AG5410" s="15"/>
      <c r="AH5410" s="15"/>
      <c r="AI5410" s="15"/>
      <c r="AJ5410" s="15"/>
      <c r="AK5410" s="15"/>
      <c r="AL5410" s="15"/>
      <c r="AM5410" s="15"/>
      <c r="AN5410" s="15"/>
      <c r="AO5410" s="15"/>
      <c r="AP5410" s="15"/>
      <c r="AQ5410" s="15"/>
      <c r="AR5410" s="15"/>
      <c r="AS5410" s="15"/>
      <c r="AT5410" s="15"/>
      <c r="AU5410" s="15"/>
      <c r="AV5410" s="15"/>
      <c r="AW5410" s="15"/>
    </row>
    <row r="5411" spans="3:49" x14ac:dyDescent="0.2">
      <c r="C5411" s="15"/>
      <c r="D5411" s="15"/>
      <c r="E5411" s="15"/>
      <c r="F5411" s="15"/>
      <c r="G5411" s="15"/>
      <c r="H5411" s="15"/>
      <c r="I5411" s="15"/>
      <c r="J5411" s="15"/>
      <c r="K5411" s="15"/>
      <c r="L5411" s="28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  <c r="AA5411" s="15"/>
      <c r="AB5411" s="15"/>
      <c r="AC5411" s="15"/>
      <c r="AD5411" s="15"/>
      <c r="AE5411" s="15"/>
      <c r="AF5411" s="15"/>
      <c r="AG5411" s="15"/>
      <c r="AH5411" s="15"/>
      <c r="AI5411" s="15"/>
      <c r="AJ5411" s="15"/>
      <c r="AK5411" s="15"/>
      <c r="AL5411" s="15"/>
      <c r="AM5411" s="15"/>
      <c r="AN5411" s="15"/>
      <c r="AO5411" s="15"/>
      <c r="AP5411" s="15"/>
      <c r="AQ5411" s="15"/>
      <c r="AR5411" s="15"/>
      <c r="AS5411" s="15"/>
      <c r="AT5411" s="15"/>
      <c r="AU5411" s="15"/>
      <c r="AV5411" s="15"/>
      <c r="AW5411" s="15"/>
    </row>
    <row r="5412" spans="3:49" x14ac:dyDescent="0.2">
      <c r="C5412" s="15"/>
      <c r="D5412" s="15"/>
      <c r="E5412" s="15"/>
      <c r="F5412" s="15"/>
      <c r="G5412" s="15"/>
      <c r="H5412" s="15"/>
      <c r="I5412" s="15"/>
      <c r="J5412" s="15"/>
      <c r="K5412" s="15"/>
      <c r="L5412" s="28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  <c r="AA5412" s="15"/>
      <c r="AB5412" s="15"/>
      <c r="AC5412" s="15"/>
      <c r="AD5412" s="15"/>
      <c r="AE5412" s="15"/>
      <c r="AF5412" s="15"/>
      <c r="AG5412" s="15"/>
      <c r="AH5412" s="15"/>
      <c r="AI5412" s="15"/>
      <c r="AJ5412" s="15"/>
      <c r="AK5412" s="15"/>
      <c r="AL5412" s="15"/>
      <c r="AM5412" s="15"/>
      <c r="AN5412" s="15"/>
      <c r="AO5412" s="15"/>
      <c r="AP5412" s="15"/>
      <c r="AQ5412" s="15"/>
      <c r="AR5412" s="15"/>
      <c r="AS5412" s="15"/>
      <c r="AT5412" s="15"/>
      <c r="AU5412" s="15"/>
      <c r="AV5412" s="15"/>
      <c r="AW5412" s="15"/>
    </row>
    <row r="5413" spans="3:49" x14ac:dyDescent="0.2">
      <c r="C5413" s="15"/>
      <c r="D5413" s="15"/>
      <c r="E5413" s="15"/>
      <c r="F5413" s="15"/>
      <c r="G5413" s="15"/>
      <c r="H5413" s="15"/>
      <c r="I5413" s="15"/>
      <c r="J5413" s="15"/>
      <c r="K5413" s="15"/>
      <c r="L5413" s="28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  <c r="AA5413" s="15"/>
      <c r="AB5413" s="15"/>
      <c r="AC5413" s="15"/>
      <c r="AD5413" s="15"/>
      <c r="AE5413" s="15"/>
      <c r="AF5413" s="15"/>
      <c r="AG5413" s="15"/>
      <c r="AH5413" s="15"/>
      <c r="AI5413" s="15"/>
      <c r="AJ5413" s="15"/>
      <c r="AK5413" s="15"/>
      <c r="AL5413" s="15"/>
      <c r="AM5413" s="15"/>
      <c r="AN5413" s="15"/>
      <c r="AO5413" s="15"/>
      <c r="AP5413" s="15"/>
      <c r="AQ5413" s="15"/>
      <c r="AR5413" s="15"/>
      <c r="AS5413" s="15"/>
      <c r="AT5413" s="15"/>
      <c r="AU5413" s="15"/>
      <c r="AV5413" s="15"/>
      <c r="AW5413" s="15"/>
    </row>
    <row r="5414" spans="3:49" x14ac:dyDescent="0.2">
      <c r="C5414" s="15"/>
      <c r="D5414" s="15"/>
      <c r="E5414" s="15"/>
      <c r="F5414" s="15"/>
      <c r="G5414" s="15"/>
      <c r="H5414" s="15"/>
      <c r="I5414" s="15"/>
      <c r="J5414" s="15"/>
      <c r="K5414" s="15"/>
      <c r="L5414" s="28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  <c r="AA5414" s="15"/>
      <c r="AB5414" s="15"/>
      <c r="AC5414" s="15"/>
      <c r="AD5414" s="15"/>
      <c r="AE5414" s="15"/>
      <c r="AF5414" s="15"/>
      <c r="AG5414" s="15"/>
      <c r="AH5414" s="15"/>
      <c r="AI5414" s="15"/>
      <c r="AJ5414" s="15"/>
      <c r="AK5414" s="15"/>
      <c r="AL5414" s="15"/>
      <c r="AM5414" s="15"/>
      <c r="AN5414" s="15"/>
      <c r="AO5414" s="15"/>
      <c r="AP5414" s="15"/>
      <c r="AQ5414" s="15"/>
      <c r="AR5414" s="15"/>
      <c r="AS5414" s="15"/>
      <c r="AT5414" s="15"/>
      <c r="AU5414" s="15"/>
      <c r="AV5414" s="15"/>
      <c r="AW5414" s="15"/>
    </row>
    <row r="5415" spans="3:49" x14ac:dyDescent="0.2">
      <c r="C5415" s="15"/>
      <c r="D5415" s="15"/>
      <c r="E5415" s="15"/>
      <c r="F5415" s="15"/>
      <c r="G5415" s="15"/>
      <c r="H5415" s="15"/>
      <c r="I5415" s="15"/>
      <c r="J5415" s="15"/>
      <c r="K5415" s="15"/>
      <c r="L5415" s="28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  <c r="AA5415" s="15"/>
      <c r="AB5415" s="15"/>
      <c r="AC5415" s="15"/>
      <c r="AD5415" s="15"/>
      <c r="AE5415" s="15"/>
      <c r="AF5415" s="15"/>
      <c r="AG5415" s="15"/>
      <c r="AH5415" s="15"/>
      <c r="AI5415" s="15"/>
      <c r="AJ5415" s="15"/>
      <c r="AK5415" s="15"/>
      <c r="AL5415" s="15"/>
      <c r="AM5415" s="15"/>
      <c r="AN5415" s="15"/>
      <c r="AO5415" s="15"/>
      <c r="AP5415" s="15"/>
      <c r="AQ5415" s="15"/>
      <c r="AR5415" s="15"/>
      <c r="AS5415" s="15"/>
      <c r="AT5415" s="15"/>
      <c r="AU5415" s="15"/>
      <c r="AV5415" s="15"/>
      <c r="AW5415" s="15"/>
    </row>
    <row r="5416" spans="3:49" x14ac:dyDescent="0.2">
      <c r="C5416" s="15"/>
      <c r="D5416" s="15"/>
      <c r="E5416" s="15"/>
      <c r="F5416" s="15"/>
      <c r="G5416" s="15"/>
      <c r="H5416" s="15"/>
      <c r="I5416" s="15"/>
      <c r="J5416" s="15"/>
      <c r="K5416" s="15"/>
      <c r="L5416" s="28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  <c r="AA5416" s="15"/>
      <c r="AB5416" s="15"/>
      <c r="AC5416" s="15"/>
      <c r="AD5416" s="15"/>
      <c r="AE5416" s="15"/>
      <c r="AF5416" s="15"/>
      <c r="AG5416" s="15"/>
      <c r="AH5416" s="15"/>
      <c r="AI5416" s="15"/>
      <c r="AJ5416" s="15"/>
      <c r="AK5416" s="15"/>
      <c r="AL5416" s="15"/>
      <c r="AM5416" s="15"/>
      <c r="AN5416" s="15"/>
      <c r="AO5416" s="15"/>
      <c r="AP5416" s="15"/>
      <c r="AQ5416" s="15"/>
      <c r="AR5416" s="15"/>
      <c r="AS5416" s="15"/>
      <c r="AT5416" s="15"/>
      <c r="AU5416" s="15"/>
      <c r="AV5416" s="15"/>
      <c r="AW5416" s="15"/>
    </row>
    <row r="5417" spans="3:49" x14ac:dyDescent="0.2">
      <c r="C5417" s="15"/>
      <c r="D5417" s="15"/>
      <c r="E5417" s="15"/>
      <c r="F5417" s="15"/>
      <c r="G5417" s="15"/>
      <c r="H5417" s="15"/>
      <c r="I5417" s="15"/>
      <c r="J5417" s="15"/>
      <c r="K5417" s="15"/>
      <c r="L5417" s="28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  <c r="AA5417" s="15"/>
      <c r="AB5417" s="15"/>
      <c r="AC5417" s="15"/>
      <c r="AD5417" s="15"/>
      <c r="AE5417" s="15"/>
      <c r="AF5417" s="15"/>
      <c r="AG5417" s="15"/>
      <c r="AH5417" s="15"/>
      <c r="AI5417" s="15"/>
      <c r="AJ5417" s="15"/>
      <c r="AK5417" s="15"/>
      <c r="AL5417" s="15"/>
      <c r="AM5417" s="15"/>
      <c r="AN5417" s="15"/>
      <c r="AO5417" s="15"/>
      <c r="AP5417" s="15"/>
      <c r="AQ5417" s="15"/>
      <c r="AR5417" s="15"/>
      <c r="AS5417" s="15"/>
      <c r="AT5417" s="15"/>
      <c r="AU5417" s="15"/>
      <c r="AV5417" s="15"/>
      <c r="AW5417" s="15"/>
    </row>
    <row r="5418" spans="3:49" x14ac:dyDescent="0.2">
      <c r="C5418" s="15"/>
      <c r="D5418" s="15"/>
      <c r="E5418" s="15"/>
      <c r="F5418" s="15"/>
      <c r="G5418" s="15"/>
      <c r="H5418" s="15"/>
      <c r="I5418" s="15"/>
      <c r="J5418" s="15"/>
      <c r="K5418" s="15"/>
      <c r="L5418" s="28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  <c r="AA5418" s="15"/>
      <c r="AB5418" s="15"/>
      <c r="AC5418" s="15"/>
      <c r="AD5418" s="15"/>
      <c r="AE5418" s="15"/>
      <c r="AF5418" s="15"/>
      <c r="AG5418" s="15"/>
      <c r="AH5418" s="15"/>
      <c r="AI5418" s="15"/>
      <c r="AJ5418" s="15"/>
      <c r="AK5418" s="15"/>
      <c r="AL5418" s="15"/>
      <c r="AM5418" s="15"/>
      <c r="AN5418" s="15"/>
      <c r="AO5418" s="15"/>
      <c r="AP5418" s="15"/>
      <c r="AQ5418" s="15"/>
      <c r="AR5418" s="15"/>
      <c r="AS5418" s="15"/>
      <c r="AT5418" s="15"/>
      <c r="AU5418" s="15"/>
      <c r="AV5418" s="15"/>
      <c r="AW5418" s="15"/>
    </row>
    <row r="5419" spans="3:49" x14ac:dyDescent="0.2">
      <c r="C5419" s="15"/>
      <c r="D5419" s="15"/>
      <c r="E5419" s="15"/>
      <c r="F5419" s="15"/>
      <c r="G5419" s="15"/>
      <c r="H5419" s="15"/>
      <c r="I5419" s="15"/>
      <c r="J5419" s="15"/>
      <c r="K5419" s="15"/>
      <c r="L5419" s="28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  <c r="AA5419" s="15"/>
      <c r="AB5419" s="15"/>
      <c r="AC5419" s="15"/>
      <c r="AD5419" s="15"/>
      <c r="AE5419" s="15"/>
      <c r="AF5419" s="15"/>
      <c r="AG5419" s="15"/>
      <c r="AH5419" s="15"/>
      <c r="AI5419" s="15"/>
      <c r="AJ5419" s="15"/>
      <c r="AK5419" s="15"/>
      <c r="AL5419" s="15"/>
      <c r="AM5419" s="15"/>
      <c r="AN5419" s="15"/>
      <c r="AO5419" s="15"/>
      <c r="AP5419" s="15"/>
      <c r="AQ5419" s="15"/>
      <c r="AR5419" s="15"/>
      <c r="AS5419" s="15"/>
      <c r="AT5419" s="15"/>
      <c r="AU5419" s="15"/>
      <c r="AV5419" s="15"/>
      <c r="AW5419" s="15"/>
    </row>
    <row r="5420" spans="3:49" x14ac:dyDescent="0.2">
      <c r="C5420" s="15"/>
      <c r="D5420" s="15"/>
      <c r="E5420" s="15"/>
      <c r="F5420" s="15"/>
      <c r="G5420" s="15"/>
      <c r="H5420" s="15"/>
      <c r="I5420" s="15"/>
      <c r="J5420" s="15"/>
      <c r="K5420" s="15"/>
      <c r="L5420" s="28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  <c r="AA5420" s="15"/>
      <c r="AB5420" s="15"/>
      <c r="AC5420" s="15"/>
      <c r="AD5420" s="15"/>
      <c r="AE5420" s="15"/>
      <c r="AF5420" s="15"/>
      <c r="AG5420" s="15"/>
      <c r="AH5420" s="15"/>
      <c r="AI5420" s="15"/>
      <c r="AJ5420" s="15"/>
      <c r="AK5420" s="15"/>
      <c r="AL5420" s="15"/>
      <c r="AM5420" s="15"/>
      <c r="AN5420" s="15"/>
      <c r="AO5420" s="15"/>
      <c r="AP5420" s="15"/>
      <c r="AQ5420" s="15"/>
      <c r="AR5420" s="15"/>
      <c r="AS5420" s="15"/>
      <c r="AT5420" s="15"/>
      <c r="AU5420" s="15"/>
      <c r="AV5420" s="15"/>
      <c r="AW5420" s="15"/>
    </row>
    <row r="5421" spans="3:49" x14ac:dyDescent="0.2">
      <c r="C5421" s="15"/>
      <c r="D5421" s="15"/>
      <c r="E5421" s="15"/>
      <c r="F5421" s="15"/>
      <c r="G5421" s="15"/>
      <c r="H5421" s="15"/>
      <c r="I5421" s="15"/>
      <c r="J5421" s="15"/>
      <c r="K5421" s="15"/>
      <c r="L5421" s="28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  <c r="AA5421" s="15"/>
      <c r="AB5421" s="15"/>
      <c r="AC5421" s="15"/>
      <c r="AD5421" s="15"/>
      <c r="AE5421" s="15"/>
      <c r="AF5421" s="15"/>
      <c r="AG5421" s="15"/>
      <c r="AH5421" s="15"/>
      <c r="AI5421" s="15"/>
      <c r="AJ5421" s="15"/>
      <c r="AK5421" s="15"/>
      <c r="AL5421" s="15"/>
      <c r="AM5421" s="15"/>
      <c r="AN5421" s="15"/>
      <c r="AO5421" s="15"/>
      <c r="AP5421" s="15"/>
      <c r="AQ5421" s="15"/>
      <c r="AR5421" s="15"/>
      <c r="AS5421" s="15"/>
      <c r="AT5421" s="15"/>
      <c r="AU5421" s="15"/>
      <c r="AV5421" s="15"/>
      <c r="AW5421" s="15"/>
    </row>
    <row r="5422" spans="3:49" x14ac:dyDescent="0.2">
      <c r="C5422" s="15"/>
      <c r="D5422" s="15"/>
      <c r="E5422" s="15"/>
      <c r="F5422" s="15"/>
      <c r="G5422" s="15"/>
      <c r="H5422" s="15"/>
      <c r="I5422" s="15"/>
      <c r="J5422" s="15"/>
      <c r="K5422" s="15"/>
      <c r="L5422" s="28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  <c r="AA5422" s="15"/>
      <c r="AB5422" s="15"/>
      <c r="AC5422" s="15"/>
      <c r="AD5422" s="15"/>
      <c r="AE5422" s="15"/>
      <c r="AF5422" s="15"/>
      <c r="AG5422" s="15"/>
      <c r="AH5422" s="15"/>
      <c r="AI5422" s="15"/>
      <c r="AJ5422" s="15"/>
      <c r="AK5422" s="15"/>
      <c r="AL5422" s="15"/>
      <c r="AM5422" s="15"/>
      <c r="AN5422" s="15"/>
      <c r="AO5422" s="15"/>
      <c r="AP5422" s="15"/>
      <c r="AQ5422" s="15"/>
      <c r="AR5422" s="15"/>
      <c r="AS5422" s="15"/>
      <c r="AT5422" s="15"/>
      <c r="AU5422" s="15"/>
      <c r="AV5422" s="15"/>
      <c r="AW5422" s="15"/>
    </row>
    <row r="5423" spans="3:49" x14ac:dyDescent="0.2">
      <c r="C5423" s="15"/>
      <c r="D5423" s="15"/>
      <c r="E5423" s="15"/>
      <c r="F5423" s="15"/>
      <c r="G5423" s="15"/>
      <c r="H5423" s="15"/>
      <c r="I5423" s="15"/>
      <c r="J5423" s="15"/>
      <c r="K5423" s="15"/>
      <c r="L5423" s="28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  <c r="AA5423" s="15"/>
      <c r="AB5423" s="15"/>
      <c r="AC5423" s="15"/>
      <c r="AD5423" s="15"/>
      <c r="AE5423" s="15"/>
      <c r="AF5423" s="15"/>
      <c r="AG5423" s="15"/>
      <c r="AH5423" s="15"/>
      <c r="AI5423" s="15"/>
      <c r="AJ5423" s="15"/>
      <c r="AK5423" s="15"/>
      <c r="AL5423" s="15"/>
      <c r="AM5423" s="15"/>
      <c r="AN5423" s="15"/>
      <c r="AO5423" s="15"/>
      <c r="AP5423" s="15"/>
      <c r="AQ5423" s="15"/>
      <c r="AR5423" s="15"/>
      <c r="AS5423" s="15"/>
      <c r="AT5423" s="15"/>
      <c r="AU5423" s="15"/>
      <c r="AV5423" s="15"/>
      <c r="AW5423" s="15"/>
    </row>
    <row r="5424" spans="3:49" x14ac:dyDescent="0.2">
      <c r="C5424" s="15"/>
      <c r="D5424" s="15"/>
      <c r="E5424" s="15"/>
      <c r="F5424" s="15"/>
      <c r="G5424" s="15"/>
      <c r="H5424" s="15"/>
      <c r="I5424" s="15"/>
      <c r="J5424" s="15"/>
      <c r="K5424" s="15"/>
      <c r="L5424" s="28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  <c r="AA5424" s="15"/>
      <c r="AB5424" s="15"/>
      <c r="AC5424" s="15"/>
      <c r="AD5424" s="15"/>
      <c r="AE5424" s="15"/>
      <c r="AF5424" s="15"/>
      <c r="AG5424" s="15"/>
      <c r="AH5424" s="15"/>
      <c r="AI5424" s="15"/>
      <c r="AJ5424" s="15"/>
      <c r="AK5424" s="15"/>
      <c r="AL5424" s="15"/>
      <c r="AM5424" s="15"/>
      <c r="AN5424" s="15"/>
      <c r="AO5424" s="15"/>
      <c r="AP5424" s="15"/>
      <c r="AQ5424" s="15"/>
      <c r="AR5424" s="15"/>
      <c r="AS5424" s="15"/>
      <c r="AT5424" s="15"/>
      <c r="AU5424" s="15"/>
      <c r="AV5424" s="15"/>
      <c r="AW5424" s="15"/>
    </row>
    <row r="5425" spans="3:49" x14ac:dyDescent="0.2">
      <c r="C5425" s="15"/>
      <c r="D5425" s="15"/>
      <c r="E5425" s="15"/>
      <c r="F5425" s="15"/>
      <c r="G5425" s="15"/>
      <c r="H5425" s="15"/>
      <c r="I5425" s="15"/>
      <c r="J5425" s="15"/>
      <c r="K5425" s="15"/>
      <c r="L5425" s="28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  <c r="AA5425" s="15"/>
      <c r="AB5425" s="15"/>
      <c r="AC5425" s="15"/>
      <c r="AD5425" s="15"/>
      <c r="AE5425" s="15"/>
      <c r="AF5425" s="15"/>
      <c r="AG5425" s="15"/>
      <c r="AH5425" s="15"/>
      <c r="AI5425" s="15"/>
      <c r="AJ5425" s="15"/>
      <c r="AK5425" s="15"/>
      <c r="AL5425" s="15"/>
      <c r="AM5425" s="15"/>
      <c r="AN5425" s="15"/>
      <c r="AO5425" s="15"/>
      <c r="AP5425" s="15"/>
      <c r="AQ5425" s="15"/>
      <c r="AR5425" s="15"/>
      <c r="AS5425" s="15"/>
      <c r="AT5425" s="15"/>
      <c r="AU5425" s="15"/>
      <c r="AV5425" s="15"/>
      <c r="AW5425" s="15"/>
    </row>
    <row r="5426" spans="3:49" x14ac:dyDescent="0.2">
      <c r="C5426" s="15"/>
      <c r="D5426" s="15"/>
      <c r="E5426" s="15"/>
      <c r="F5426" s="15"/>
      <c r="G5426" s="15"/>
      <c r="H5426" s="15"/>
      <c r="I5426" s="15"/>
      <c r="J5426" s="15"/>
      <c r="K5426" s="15"/>
      <c r="L5426" s="28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  <c r="AA5426" s="15"/>
      <c r="AB5426" s="15"/>
      <c r="AC5426" s="15"/>
      <c r="AD5426" s="15"/>
      <c r="AE5426" s="15"/>
      <c r="AF5426" s="15"/>
      <c r="AG5426" s="15"/>
      <c r="AH5426" s="15"/>
      <c r="AI5426" s="15"/>
      <c r="AJ5426" s="15"/>
      <c r="AK5426" s="15"/>
      <c r="AL5426" s="15"/>
      <c r="AM5426" s="15"/>
      <c r="AN5426" s="15"/>
      <c r="AO5426" s="15"/>
      <c r="AP5426" s="15"/>
      <c r="AQ5426" s="15"/>
      <c r="AR5426" s="15"/>
      <c r="AS5426" s="15"/>
      <c r="AT5426" s="15"/>
      <c r="AU5426" s="15"/>
      <c r="AV5426" s="15"/>
      <c r="AW5426" s="15"/>
    </row>
    <row r="5427" spans="3:49" x14ac:dyDescent="0.2">
      <c r="C5427" s="15"/>
      <c r="D5427" s="15"/>
      <c r="E5427" s="15"/>
      <c r="F5427" s="15"/>
      <c r="G5427" s="15"/>
      <c r="H5427" s="15"/>
      <c r="I5427" s="15"/>
      <c r="J5427" s="15"/>
      <c r="K5427" s="15"/>
      <c r="L5427" s="28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  <c r="AA5427" s="15"/>
      <c r="AB5427" s="15"/>
      <c r="AC5427" s="15"/>
      <c r="AD5427" s="15"/>
      <c r="AE5427" s="15"/>
      <c r="AF5427" s="15"/>
      <c r="AG5427" s="15"/>
      <c r="AH5427" s="15"/>
      <c r="AI5427" s="15"/>
      <c r="AJ5427" s="15"/>
      <c r="AK5427" s="15"/>
      <c r="AL5427" s="15"/>
      <c r="AM5427" s="15"/>
      <c r="AN5427" s="15"/>
      <c r="AO5427" s="15"/>
      <c r="AP5427" s="15"/>
      <c r="AQ5427" s="15"/>
      <c r="AR5427" s="15"/>
      <c r="AS5427" s="15"/>
      <c r="AT5427" s="15"/>
      <c r="AU5427" s="15"/>
      <c r="AV5427" s="15"/>
      <c r="AW5427" s="15"/>
    </row>
    <row r="5428" spans="3:49" x14ac:dyDescent="0.2">
      <c r="C5428" s="15"/>
      <c r="D5428" s="15"/>
      <c r="E5428" s="15"/>
      <c r="F5428" s="15"/>
      <c r="G5428" s="15"/>
      <c r="H5428" s="15"/>
      <c r="I5428" s="15"/>
      <c r="J5428" s="15"/>
      <c r="K5428" s="15"/>
      <c r="L5428" s="28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  <c r="AA5428" s="15"/>
      <c r="AB5428" s="15"/>
      <c r="AC5428" s="15"/>
      <c r="AD5428" s="15"/>
      <c r="AE5428" s="15"/>
      <c r="AF5428" s="15"/>
      <c r="AG5428" s="15"/>
      <c r="AH5428" s="15"/>
      <c r="AI5428" s="15"/>
      <c r="AJ5428" s="15"/>
      <c r="AK5428" s="15"/>
      <c r="AL5428" s="15"/>
      <c r="AM5428" s="15"/>
      <c r="AN5428" s="15"/>
      <c r="AO5428" s="15"/>
      <c r="AP5428" s="15"/>
      <c r="AQ5428" s="15"/>
      <c r="AR5428" s="15"/>
      <c r="AS5428" s="15"/>
      <c r="AT5428" s="15"/>
      <c r="AU5428" s="15"/>
      <c r="AV5428" s="15"/>
      <c r="AW5428" s="15"/>
    </row>
    <row r="5429" spans="3:49" x14ac:dyDescent="0.2">
      <c r="C5429" s="15"/>
      <c r="D5429" s="15"/>
      <c r="E5429" s="15"/>
      <c r="F5429" s="15"/>
      <c r="G5429" s="15"/>
      <c r="H5429" s="15"/>
      <c r="I5429" s="15"/>
      <c r="J5429" s="15"/>
      <c r="K5429" s="15"/>
      <c r="L5429" s="28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  <c r="AA5429" s="15"/>
      <c r="AB5429" s="15"/>
      <c r="AC5429" s="15"/>
      <c r="AD5429" s="15"/>
      <c r="AE5429" s="15"/>
      <c r="AF5429" s="15"/>
      <c r="AG5429" s="15"/>
      <c r="AH5429" s="15"/>
      <c r="AI5429" s="15"/>
      <c r="AJ5429" s="15"/>
      <c r="AK5429" s="15"/>
      <c r="AL5429" s="15"/>
      <c r="AM5429" s="15"/>
      <c r="AN5429" s="15"/>
      <c r="AO5429" s="15"/>
      <c r="AP5429" s="15"/>
      <c r="AQ5429" s="15"/>
      <c r="AR5429" s="15"/>
      <c r="AS5429" s="15"/>
      <c r="AT5429" s="15"/>
      <c r="AU5429" s="15"/>
      <c r="AV5429" s="15"/>
      <c r="AW5429" s="15"/>
    </row>
    <row r="5430" spans="3:49" x14ac:dyDescent="0.2">
      <c r="C5430" s="15"/>
      <c r="D5430" s="15"/>
      <c r="E5430" s="15"/>
      <c r="F5430" s="15"/>
      <c r="G5430" s="15"/>
      <c r="H5430" s="15"/>
      <c r="I5430" s="15"/>
      <c r="J5430" s="15"/>
      <c r="K5430" s="15"/>
      <c r="L5430" s="28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  <c r="AA5430" s="15"/>
      <c r="AB5430" s="15"/>
      <c r="AC5430" s="15"/>
      <c r="AD5430" s="15"/>
      <c r="AE5430" s="15"/>
      <c r="AF5430" s="15"/>
      <c r="AG5430" s="15"/>
      <c r="AH5430" s="15"/>
      <c r="AI5430" s="15"/>
      <c r="AJ5430" s="15"/>
      <c r="AK5430" s="15"/>
      <c r="AL5430" s="15"/>
      <c r="AM5430" s="15"/>
      <c r="AN5430" s="15"/>
      <c r="AO5430" s="15"/>
      <c r="AP5430" s="15"/>
      <c r="AQ5430" s="15"/>
      <c r="AR5430" s="15"/>
      <c r="AS5430" s="15"/>
      <c r="AT5430" s="15"/>
      <c r="AU5430" s="15"/>
      <c r="AV5430" s="15"/>
      <c r="AW5430" s="15"/>
    </row>
    <row r="5431" spans="3:49" x14ac:dyDescent="0.2">
      <c r="C5431" s="15"/>
      <c r="D5431" s="15"/>
      <c r="E5431" s="15"/>
      <c r="F5431" s="15"/>
      <c r="G5431" s="15"/>
      <c r="H5431" s="15"/>
      <c r="I5431" s="15"/>
      <c r="J5431" s="15"/>
      <c r="K5431" s="15"/>
      <c r="L5431" s="28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  <c r="AA5431" s="15"/>
      <c r="AB5431" s="15"/>
      <c r="AC5431" s="15"/>
      <c r="AD5431" s="15"/>
      <c r="AE5431" s="15"/>
      <c r="AF5431" s="15"/>
      <c r="AG5431" s="15"/>
      <c r="AH5431" s="15"/>
      <c r="AI5431" s="15"/>
      <c r="AJ5431" s="15"/>
      <c r="AK5431" s="15"/>
      <c r="AL5431" s="15"/>
      <c r="AM5431" s="15"/>
      <c r="AN5431" s="15"/>
      <c r="AO5431" s="15"/>
      <c r="AP5431" s="15"/>
      <c r="AQ5431" s="15"/>
      <c r="AR5431" s="15"/>
      <c r="AS5431" s="15"/>
      <c r="AT5431" s="15"/>
      <c r="AU5431" s="15"/>
      <c r="AV5431" s="15"/>
      <c r="AW5431" s="15"/>
    </row>
    <row r="5432" spans="3:49" x14ac:dyDescent="0.2">
      <c r="C5432" s="15"/>
      <c r="D5432" s="15"/>
      <c r="E5432" s="15"/>
      <c r="F5432" s="15"/>
      <c r="G5432" s="15"/>
      <c r="H5432" s="15"/>
      <c r="I5432" s="15"/>
      <c r="J5432" s="15"/>
      <c r="K5432" s="15"/>
      <c r="L5432" s="28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  <c r="AA5432" s="15"/>
      <c r="AB5432" s="15"/>
      <c r="AC5432" s="15"/>
      <c r="AD5432" s="15"/>
      <c r="AE5432" s="15"/>
      <c r="AF5432" s="15"/>
      <c r="AG5432" s="15"/>
      <c r="AH5432" s="15"/>
      <c r="AI5432" s="15"/>
      <c r="AJ5432" s="15"/>
      <c r="AK5432" s="15"/>
      <c r="AL5432" s="15"/>
      <c r="AM5432" s="15"/>
      <c r="AN5432" s="15"/>
      <c r="AO5432" s="15"/>
      <c r="AP5432" s="15"/>
      <c r="AQ5432" s="15"/>
      <c r="AR5432" s="15"/>
      <c r="AS5432" s="15"/>
      <c r="AT5432" s="15"/>
      <c r="AU5432" s="15"/>
      <c r="AV5432" s="15"/>
      <c r="AW5432" s="15"/>
    </row>
    <row r="5433" spans="3:49" x14ac:dyDescent="0.2">
      <c r="C5433" s="15"/>
      <c r="D5433" s="15"/>
      <c r="E5433" s="15"/>
      <c r="F5433" s="15"/>
      <c r="G5433" s="15"/>
      <c r="H5433" s="15"/>
      <c r="I5433" s="15"/>
      <c r="J5433" s="15"/>
      <c r="K5433" s="15"/>
      <c r="L5433" s="28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  <c r="AA5433" s="15"/>
      <c r="AB5433" s="15"/>
      <c r="AC5433" s="15"/>
      <c r="AD5433" s="15"/>
      <c r="AE5433" s="15"/>
      <c r="AF5433" s="15"/>
      <c r="AG5433" s="15"/>
      <c r="AH5433" s="15"/>
      <c r="AI5433" s="15"/>
      <c r="AJ5433" s="15"/>
      <c r="AK5433" s="15"/>
      <c r="AL5433" s="15"/>
      <c r="AM5433" s="15"/>
      <c r="AN5433" s="15"/>
      <c r="AO5433" s="15"/>
      <c r="AP5433" s="15"/>
      <c r="AQ5433" s="15"/>
      <c r="AR5433" s="15"/>
      <c r="AS5433" s="15"/>
      <c r="AT5433" s="15"/>
      <c r="AU5433" s="15"/>
      <c r="AV5433" s="15"/>
      <c r="AW5433" s="15"/>
    </row>
    <row r="5434" spans="3:49" x14ac:dyDescent="0.2">
      <c r="C5434" s="15"/>
      <c r="D5434" s="15"/>
      <c r="E5434" s="15"/>
      <c r="F5434" s="15"/>
      <c r="G5434" s="15"/>
      <c r="H5434" s="15"/>
      <c r="I5434" s="15"/>
      <c r="J5434" s="15"/>
      <c r="K5434" s="15"/>
      <c r="L5434" s="28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  <c r="AA5434" s="15"/>
      <c r="AB5434" s="15"/>
      <c r="AC5434" s="15"/>
      <c r="AD5434" s="15"/>
      <c r="AE5434" s="15"/>
      <c r="AF5434" s="15"/>
      <c r="AG5434" s="15"/>
      <c r="AH5434" s="15"/>
      <c r="AI5434" s="15"/>
      <c r="AJ5434" s="15"/>
      <c r="AK5434" s="15"/>
      <c r="AL5434" s="15"/>
      <c r="AM5434" s="15"/>
      <c r="AN5434" s="15"/>
      <c r="AO5434" s="15"/>
      <c r="AP5434" s="15"/>
      <c r="AQ5434" s="15"/>
      <c r="AR5434" s="15"/>
      <c r="AS5434" s="15"/>
      <c r="AT5434" s="15"/>
      <c r="AU5434" s="15"/>
      <c r="AV5434" s="15"/>
      <c r="AW5434" s="15"/>
    </row>
    <row r="5435" spans="3:49" x14ac:dyDescent="0.2">
      <c r="C5435" s="15"/>
      <c r="D5435" s="15"/>
      <c r="E5435" s="15"/>
      <c r="F5435" s="15"/>
      <c r="G5435" s="15"/>
      <c r="H5435" s="15"/>
      <c r="I5435" s="15"/>
      <c r="J5435" s="15"/>
      <c r="K5435" s="15"/>
      <c r="L5435" s="28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  <c r="AA5435" s="15"/>
      <c r="AB5435" s="15"/>
      <c r="AC5435" s="15"/>
      <c r="AD5435" s="15"/>
      <c r="AE5435" s="15"/>
      <c r="AF5435" s="15"/>
      <c r="AG5435" s="15"/>
      <c r="AH5435" s="15"/>
      <c r="AI5435" s="15"/>
      <c r="AJ5435" s="15"/>
      <c r="AK5435" s="15"/>
      <c r="AL5435" s="15"/>
      <c r="AM5435" s="15"/>
      <c r="AN5435" s="15"/>
      <c r="AO5435" s="15"/>
      <c r="AP5435" s="15"/>
      <c r="AQ5435" s="15"/>
      <c r="AR5435" s="15"/>
      <c r="AS5435" s="15"/>
      <c r="AT5435" s="15"/>
      <c r="AU5435" s="15"/>
      <c r="AV5435" s="15"/>
      <c r="AW5435" s="15"/>
    </row>
    <row r="5436" spans="3:49" x14ac:dyDescent="0.2">
      <c r="C5436" s="15"/>
      <c r="D5436" s="15"/>
      <c r="E5436" s="15"/>
      <c r="F5436" s="15"/>
      <c r="G5436" s="15"/>
      <c r="H5436" s="15"/>
      <c r="I5436" s="15"/>
      <c r="J5436" s="15"/>
      <c r="K5436" s="15"/>
      <c r="L5436" s="28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  <c r="AA5436" s="15"/>
      <c r="AB5436" s="15"/>
      <c r="AC5436" s="15"/>
      <c r="AD5436" s="15"/>
      <c r="AE5436" s="15"/>
      <c r="AF5436" s="15"/>
      <c r="AG5436" s="15"/>
      <c r="AH5436" s="15"/>
      <c r="AI5436" s="15"/>
      <c r="AJ5436" s="15"/>
      <c r="AK5436" s="15"/>
      <c r="AL5436" s="15"/>
      <c r="AM5436" s="15"/>
      <c r="AN5436" s="15"/>
      <c r="AO5436" s="15"/>
      <c r="AP5436" s="15"/>
      <c r="AQ5436" s="15"/>
      <c r="AR5436" s="15"/>
      <c r="AS5436" s="15"/>
      <c r="AT5436" s="15"/>
      <c r="AU5436" s="15"/>
      <c r="AV5436" s="15"/>
      <c r="AW5436" s="15"/>
    </row>
    <row r="5437" spans="3:49" x14ac:dyDescent="0.2">
      <c r="C5437" s="15"/>
      <c r="D5437" s="15"/>
      <c r="E5437" s="15"/>
      <c r="F5437" s="15"/>
      <c r="G5437" s="15"/>
      <c r="H5437" s="15"/>
      <c r="I5437" s="15"/>
      <c r="J5437" s="15"/>
      <c r="K5437" s="15"/>
      <c r="L5437" s="28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  <c r="AA5437" s="15"/>
      <c r="AB5437" s="15"/>
      <c r="AC5437" s="15"/>
      <c r="AD5437" s="15"/>
      <c r="AE5437" s="15"/>
      <c r="AF5437" s="15"/>
      <c r="AG5437" s="15"/>
      <c r="AH5437" s="15"/>
      <c r="AI5437" s="15"/>
      <c r="AJ5437" s="15"/>
      <c r="AK5437" s="15"/>
      <c r="AL5437" s="15"/>
      <c r="AM5437" s="15"/>
      <c r="AN5437" s="15"/>
      <c r="AO5437" s="15"/>
      <c r="AP5437" s="15"/>
      <c r="AQ5437" s="15"/>
      <c r="AR5437" s="15"/>
      <c r="AS5437" s="15"/>
      <c r="AT5437" s="15"/>
      <c r="AU5437" s="15"/>
      <c r="AV5437" s="15"/>
      <c r="AW5437" s="15"/>
    </row>
    <row r="5438" spans="3:49" x14ac:dyDescent="0.2">
      <c r="C5438" s="15"/>
      <c r="D5438" s="15"/>
      <c r="E5438" s="15"/>
      <c r="F5438" s="15"/>
      <c r="G5438" s="15"/>
      <c r="H5438" s="15"/>
      <c r="I5438" s="15"/>
      <c r="J5438" s="15"/>
      <c r="K5438" s="15"/>
      <c r="L5438" s="28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  <c r="AA5438" s="15"/>
      <c r="AB5438" s="15"/>
      <c r="AC5438" s="15"/>
      <c r="AD5438" s="15"/>
      <c r="AE5438" s="15"/>
      <c r="AF5438" s="15"/>
      <c r="AG5438" s="15"/>
      <c r="AH5438" s="15"/>
      <c r="AI5438" s="15"/>
      <c r="AJ5438" s="15"/>
      <c r="AK5438" s="15"/>
      <c r="AL5438" s="15"/>
      <c r="AM5438" s="15"/>
      <c r="AN5438" s="15"/>
      <c r="AO5438" s="15"/>
      <c r="AP5438" s="15"/>
      <c r="AQ5438" s="15"/>
      <c r="AR5438" s="15"/>
      <c r="AS5438" s="15"/>
      <c r="AT5438" s="15"/>
      <c r="AU5438" s="15"/>
      <c r="AV5438" s="15"/>
      <c r="AW5438" s="15"/>
    </row>
  </sheetData>
  <phoneticPr fontId="4" type="noConversion"/>
  <pageMargins left="0.51181102362204722" right="0" top="0.39370078740157483" bottom="0" header="0.51181102362204722" footer="0.51181102362204722"/>
  <pageSetup paperSize="9" scale="68" fitToHeight="0" orientation="portrait" r:id="rId1"/>
  <headerFooter alignWithMargins="0"/>
  <rowBreaks count="1" manualBreakCount="1">
    <brk id="72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U293"/>
  <sheetViews>
    <sheetView showZeros="0" zoomScaleNormal="100" workbookViewId="0">
      <pane ySplit="3" topLeftCell="A4" activePane="bottomLeft" state="frozen"/>
      <selection sqref="A1:IV65536"/>
      <selection pane="bottomLeft" activeCell="I22" sqref="I22"/>
    </sheetView>
  </sheetViews>
  <sheetFormatPr baseColWidth="10" defaultColWidth="11.42578125" defaultRowHeight="12.75" x14ac:dyDescent="0.2"/>
  <cols>
    <col min="1" max="10" width="9.5703125" style="1" customWidth="1"/>
    <col min="11" max="11" width="7.42578125" style="1" customWidth="1"/>
    <col min="12" max="12" width="35.5703125" style="45" customWidth="1"/>
    <col min="13" max="16384" width="11.42578125" style="1"/>
  </cols>
  <sheetData>
    <row r="1" spans="1:12" s="8" customFormat="1" ht="15.75" customHeight="1" x14ac:dyDescent="0.2">
      <c r="A1" s="8" t="s">
        <v>249</v>
      </c>
      <c r="E1" s="9"/>
      <c r="F1" s="9"/>
      <c r="G1" s="9"/>
      <c r="I1" s="9"/>
      <c r="L1" s="50" t="s">
        <v>216</v>
      </c>
    </row>
    <row r="2" spans="1:12" ht="15.75" customHeight="1" x14ac:dyDescent="0.2">
      <c r="A2" s="11"/>
      <c r="B2" s="12"/>
      <c r="C2" s="11" t="s">
        <v>5</v>
      </c>
      <c r="D2" s="11"/>
      <c r="E2" s="11" t="s">
        <v>4</v>
      </c>
      <c r="F2" s="11" t="s">
        <v>3</v>
      </c>
      <c r="G2" s="11" t="s">
        <v>2</v>
      </c>
      <c r="H2" s="11" t="s">
        <v>1</v>
      </c>
      <c r="I2" s="11" t="s">
        <v>0</v>
      </c>
      <c r="J2" s="11" t="s">
        <v>203</v>
      </c>
      <c r="K2" s="10"/>
      <c r="L2" s="30"/>
    </row>
    <row r="3" spans="1:12" s="52" customFormat="1" ht="39.950000000000003" customHeight="1" x14ac:dyDescent="0.2">
      <c r="A3" s="14" t="s">
        <v>15</v>
      </c>
      <c r="B3" s="14" t="s">
        <v>14</v>
      </c>
      <c r="C3" s="14" t="s">
        <v>13</v>
      </c>
      <c r="D3" s="89" t="s">
        <v>242</v>
      </c>
      <c r="E3" s="14" t="s">
        <v>12</v>
      </c>
      <c r="F3" s="14" t="s">
        <v>11</v>
      </c>
      <c r="G3" s="14" t="s">
        <v>117</v>
      </c>
      <c r="H3" s="14" t="s">
        <v>9</v>
      </c>
      <c r="I3" s="14" t="s">
        <v>8</v>
      </c>
      <c r="J3" s="14" t="s">
        <v>7</v>
      </c>
      <c r="K3" s="13"/>
      <c r="L3" s="13" t="s">
        <v>118</v>
      </c>
    </row>
    <row r="4" spans="1:12" ht="12.75" customHeight="1" x14ac:dyDescent="0.2">
      <c r="A4" s="67"/>
      <c r="B4" s="67"/>
      <c r="C4" s="68"/>
      <c r="D4" s="68"/>
      <c r="E4" s="68"/>
      <c r="F4" s="68"/>
      <c r="G4" s="68"/>
      <c r="H4" s="68"/>
      <c r="I4" s="68"/>
      <c r="J4" s="68"/>
      <c r="K4" s="59" t="s">
        <v>241</v>
      </c>
      <c r="L4" s="1"/>
    </row>
    <row r="5" spans="1:12" s="2" customFormat="1" ht="12.75" customHeight="1" x14ac:dyDescent="0.2">
      <c r="A5" s="67">
        <v>485.91399999999999</v>
      </c>
      <c r="B5" s="78">
        <v>485.91399999999999</v>
      </c>
      <c r="C5" s="68">
        <v>0</v>
      </c>
      <c r="D5" s="68">
        <v>0</v>
      </c>
      <c r="E5" s="68">
        <v>0</v>
      </c>
      <c r="F5" s="68">
        <v>0</v>
      </c>
      <c r="G5" s="68">
        <v>0</v>
      </c>
      <c r="H5" s="68">
        <v>0</v>
      </c>
      <c r="I5" s="68">
        <v>0</v>
      </c>
      <c r="J5" s="67">
        <v>0</v>
      </c>
      <c r="K5" s="2" t="s">
        <v>16</v>
      </c>
      <c r="L5" s="31" t="s">
        <v>120</v>
      </c>
    </row>
    <row r="6" spans="1:12" s="2" customFormat="1" ht="12.75" customHeight="1" x14ac:dyDescent="0.2">
      <c r="A6" s="67">
        <v>504.71300000000002</v>
      </c>
      <c r="B6" s="78">
        <v>0</v>
      </c>
      <c r="C6" s="68">
        <v>504.71300000000002</v>
      </c>
      <c r="D6" s="68">
        <v>0</v>
      </c>
      <c r="E6" s="68">
        <v>0</v>
      </c>
      <c r="F6" s="68">
        <v>0</v>
      </c>
      <c r="G6" s="68">
        <v>0</v>
      </c>
      <c r="H6" s="68">
        <v>0</v>
      </c>
      <c r="I6" s="68">
        <v>0</v>
      </c>
      <c r="J6" s="67">
        <v>0</v>
      </c>
      <c r="K6" s="2" t="s">
        <v>17</v>
      </c>
      <c r="L6" s="31" t="s">
        <v>121</v>
      </c>
    </row>
    <row r="7" spans="1:12" s="2" customFormat="1" ht="12.75" customHeight="1" x14ac:dyDescent="0.2">
      <c r="A7" s="67">
        <v>3263.6336299999998</v>
      </c>
      <c r="B7" s="78">
        <v>0</v>
      </c>
      <c r="C7" s="68">
        <v>0</v>
      </c>
      <c r="D7" s="68">
        <v>0</v>
      </c>
      <c r="E7" s="68">
        <v>37.35</v>
      </c>
      <c r="F7" s="68">
        <v>391.53209999999996</v>
      </c>
      <c r="G7" s="68">
        <v>377.66199999999998</v>
      </c>
      <c r="H7" s="68">
        <v>167.84</v>
      </c>
      <c r="I7" s="68">
        <v>2289.2495299999996</v>
      </c>
      <c r="J7" s="67">
        <v>3263.6336299999998</v>
      </c>
      <c r="K7" s="2" t="s">
        <v>18</v>
      </c>
      <c r="L7" s="31" t="s">
        <v>19</v>
      </c>
    </row>
    <row r="8" spans="1:12" s="2" customFormat="1" ht="12.75" customHeight="1" x14ac:dyDescent="0.2">
      <c r="A8" s="67">
        <v>2706.2972799999998</v>
      </c>
      <c r="B8" s="78">
        <v>0</v>
      </c>
      <c r="C8" s="68">
        <v>0</v>
      </c>
      <c r="D8" s="68">
        <v>0</v>
      </c>
      <c r="E8" s="68">
        <v>2.0299999999999998</v>
      </c>
      <c r="F8" s="68">
        <v>229.75773999999998</v>
      </c>
      <c r="G8" s="68">
        <v>47.991</v>
      </c>
      <c r="H8" s="68">
        <v>166.31200000000001</v>
      </c>
      <c r="I8" s="68">
        <v>2260.2065400000001</v>
      </c>
      <c r="J8" s="67">
        <v>2706.2972799999998</v>
      </c>
      <c r="K8" s="2" t="s">
        <v>20</v>
      </c>
      <c r="L8" s="31" t="s">
        <v>179</v>
      </c>
    </row>
    <row r="9" spans="1:12" s="2" customFormat="1" ht="12.75" customHeight="1" x14ac:dyDescent="0.2">
      <c r="A9" s="67">
        <v>193.90333999999999</v>
      </c>
      <c r="B9" s="78">
        <v>0</v>
      </c>
      <c r="C9" s="68">
        <v>0</v>
      </c>
      <c r="D9" s="68">
        <v>0</v>
      </c>
      <c r="E9" s="68">
        <v>0</v>
      </c>
      <c r="F9" s="68">
        <v>161.77435999999997</v>
      </c>
      <c r="G9" s="68">
        <v>1.5580000000000001</v>
      </c>
      <c r="H9" s="68">
        <v>1.528</v>
      </c>
      <c r="I9" s="68">
        <v>29.042990000000003</v>
      </c>
      <c r="J9" s="67">
        <v>193.90333999999999</v>
      </c>
      <c r="K9" s="2" t="s">
        <v>21</v>
      </c>
      <c r="L9" s="31" t="s">
        <v>180</v>
      </c>
    </row>
    <row r="10" spans="1:12" s="2" customFormat="1" ht="12.75" customHeight="1" x14ac:dyDescent="0.2">
      <c r="A10" s="67">
        <v>363.43299999999999</v>
      </c>
      <c r="B10" s="78">
        <v>0</v>
      </c>
      <c r="C10" s="68">
        <v>0</v>
      </c>
      <c r="D10" s="68">
        <v>0</v>
      </c>
      <c r="E10" s="68">
        <v>35.32</v>
      </c>
      <c r="F10" s="68">
        <v>0</v>
      </c>
      <c r="G10" s="68">
        <v>328.113</v>
      </c>
      <c r="H10" s="68">
        <v>0</v>
      </c>
      <c r="I10" s="68">
        <v>0</v>
      </c>
      <c r="J10" s="67">
        <v>363.43299999999999</v>
      </c>
      <c r="K10" s="2" t="s">
        <v>22</v>
      </c>
      <c r="L10" s="31" t="s">
        <v>181</v>
      </c>
    </row>
    <row r="11" spans="1:12" s="2" customFormat="1" ht="12.75" customHeight="1" x14ac:dyDescent="0.2">
      <c r="A11" s="67">
        <v>1657.3753100000001</v>
      </c>
      <c r="B11" s="78">
        <v>1657.3753100000001</v>
      </c>
      <c r="C11" s="68">
        <v>0</v>
      </c>
      <c r="D11" s="68">
        <v>0</v>
      </c>
      <c r="E11" s="68">
        <v>0</v>
      </c>
      <c r="F11" s="68">
        <v>0</v>
      </c>
      <c r="G11" s="68">
        <v>0</v>
      </c>
      <c r="H11" s="68">
        <v>0</v>
      </c>
      <c r="I11" s="68">
        <v>0</v>
      </c>
      <c r="J11" s="67">
        <v>0</v>
      </c>
      <c r="K11" s="2" t="s">
        <v>23</v>
      </c>
      <c r="L11" s="31" t="s">
        <v>24</v>
      </c>
    </row>
    <row r="12" spans="1:12" s="2" customFormat="1" ht="12.75" customHeight="1" x14ac:dyDescent="0.2">
      <c r="A12" s="69">
        <v>191.857</v>
      </c>
      <c r="B12" s="79">
        <v>0</v>
      </c>
      <c r="C12" s="70">
        <v>0</v>
      </c>
      <c r="D12" s="70">
        <v>191.857</v>
      </c>
      <c r="E12" s="70">
        <v>0</v>
      </c>
      <c r="F12" s="70">
        <v>0</v>
      </c>
      <c r="G12" s="70">
        <v>0</v>
      </c>
      <c r="H12" s="70">
        <v>0</v>
      </c>
      <c r="I12" s="70">
        <v>0</v>
      </c>
      <c r="J12" s="69">
        <v>191.857</v>
      </c>
      <c r="K12" s="32" t="s">
        <v>25</v>
      </c>
      <c r="L12" s="33" t="s">
        <v>26</v>
      </c>
    </row>
    <row r="13" spans="1:12" s="2" customFormat="1" ht="12.75" customHeight="1" x14ac:dyDescent="0.2">
      <c r="A13" s="67"/>
      <c r="B13" s="67"/>
      <c r="C13" s="68"/>
      <c r="D13" s="68"/>
      <c r="E13" s="68"/>
      <c r="F13" s="68"/>
      <c r="G13" s="68"/>
      <c r="H13" s="68"/>
      <c r="I13" s="68"/>
      <c r="J13" s="67"/>
      <c r="K13" s="16" t="s">
        <v>29</v>
      </c>
    </row>
    <row r="14" spans="1:12" s="2" customFormat="1" ht="12.75" customHeight="1" x14ac:dyDescent="0.2">
      <c r="A14" s="67">
        <v>1798.1153200000001</v>
      </c>
      <c r="B14" s="67">
        <v>0</v>
      </c>
      <c r="C14" s="67">
        <v>0</v>
      </c>
      <c r="D14" s="67">
        <v>191.857</v>
      </c>
      <c r="E14" s="67">
        <v>25.001999999999999</v>
      </c>
      <c r="F14" s="67">
        <v>311.04924999999997</v>
      </c>
      <c r="G14" s="67">
        <v>284.97000000000003</v>
      </c>
      <c r="H14" s="67">
        <v>73.150000000000006</v>
      </c>
      <c r="I14" s="67">
        <v>912.08706999999993</v>
      </c>
      <c r="J14" s="67">
        <v>1798.1153200000001</v>
      </c>
      <c r="K14" s="59" t="s">
        <v>233</v>
      </c>
      <c r="L14" s="61" t="s">
        <v>245</v>
      </c>
    </row>
    <row r="15" spans="1:12" s="2" customFormat="1" ht="12.75" customHeight="1" x14ac:dyDescent="0.2">
      <c r="A15" s="67">
        <v>229.76599999999999</v>
      </c>
      <c r="B15" s="78">
        <v>229.76599999999999</v>
      </c>
      <c r="C15" s="68">
        <v>0</v>
      </c>
      <c r="D15" s="68">
        <v>0</v>
      </c>
      <c r="E15" s="68">
        <v>0</v>
      </c>
      <c r="F15" s="68">
        <v>0</v>
      </c>
      <c r="G15" s="68">
        <v>0</v>
      </c>
      <c r="H15" s="68">
        <v>0</v>
      </c>
      <c r="I15" s="68">
        <v>0</v>
      </c>
      <c r="J15" s="67">
        <v>0</v>
      </c>
      <c r="K15" s="2" t="s">
        <v>122</v>
      </c>
      <c r="L15" s="31" t="s">
        <v>123</v>
      </c>
    </row>
    <row r="16" spans="1:12" s="2" customFormat="1" ht="12.75" customHeight="1" x14ac:dyDescent="0.2">
      <c r="A16" s="67">
        <v>1568.34932</v>
      </c>
      <c r="B16" s="67">
        <v>0</v>
      </c>
      <c r="C16" s="67">
        <v>0</v>
      </c>
      <c r="D16" s="67">
        <v>191.857</v>
      </c>
      <c r="E16" s="67">
        <v>22.126999999999999</v>
      </c>
      <c r="F16" s="67">
        <v>268.28325000000001</v>
      </c>
      <c r="G16" s="67">
        <v>242.24</v>
      </c>
      <c r="H16" s="67">
        <v>63.280999999999999</v>
      </c>
      <c r="I16" s="67">
        <v>780.56106999999997</v>
      </c>
      <c r="J16" s="67">
        <v>1568.34932</v>
      </c>
      <c r="K16" s="59" t="s">
        <v>223</v>
      </c>
      <c r="L16" s="61" t="s">
        <v>246</v>
      </c>
    </row>
    <row r="17" spans="1:12" s="2" customFormat="1" ht="12.75" customHeight="1" x14ac:dyDescent="0.2">
      <c r="A17" s="69">
        <v>18.798999999999999</v>
      </c>
      <c r="B17" s="69">
        <v>0</v>
      </c>
      <c r="C17" s="69">
        <v>18.798999999999999</v>
      </c>
      <c r="D17" s="69">
        <v>0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5" t="s">
        <v>27</v>
      </c>
      <c r="L17" s="66" t="s">
        <v>28</v>
      </c>
    </row>
    <row r="18" spans="1:12" s="2" customFormat="1" ht="12.75" customHeight="1" x14ac:dyDescent="0.2">
      <c r="A18" s="67"/>
      <c r="B18" s="67"/>
      <c r="C18" s="68"/>
      <c r="D18" s="68"/>
      <c r="E18" s="68"/>
      <c r="F18" s="68"/>
      <c r="G18" s="68"/>
      <c r="H18" s="68"/>
      <c r="I18" s="68"/>
      <c r="J18" s="67"/>
      <c r="K18" s="16" t="s">
        <v>46</v>
      </c>
    </row>
    <row r="19" spans="1:12" s="2" customFormat="1" ht="12.75" customHeight="1" x14ac:dyDescent="0.2">
      <c r="A19" s="67">
        <v>948.17421999999999</v>
      </c>
      <c r="B19" s="78">
        <v>0</v>
      </c>
      <c r="C19" s="68">
        <v>0.89300000000000002</v>
      </c>
      <c r="D19" s="68">
        <v>0</v>
      </c>
      <c r="E19" s="68">
        <v>0</v>
      </c>
      <c r="F19" s="68">
        <v>947.28121999999996</v>
      </c>
      <c r="G19" s="68">
        <v>0</v>
      </c>
      <c r="H19" s="68">
        <v>0</v>
      </c>
      <c r="I19" s="68">
        <v>0</v>
      </c>
      <c r="J19" s="67">
        <v>947.28121999999996</v>
      </c>
      <c r="K19" s="2" t="s">
        <v>30</v>
      </c>
      <c r="L19" s="31" t="s">
        <v>31</v>
      </c>
    </row>
    <row r="20" spans="1:12" s="2" customFormat="1" ht="12.75" customHeight="1" x14ac:dyDescent="0.2">
      <c r="A20" s="67">
        <v>698.86921999999993</v>
      </c>
      <c r="B20" s="78">
        <v>0</v>
      </c>
      <c r="C20" s="68">
        <v>0.66100000000000003</v>
      </c>
      <c r="D20" s="68">
        <v>0</v>
      </c>
      <c r="E20" s="68">
        <v>0</v>
      </c>
      <c r="F20" s="68">
        <v>698.20821999999998</v>
      </c>
      <c r="G20" s="68">
        <v>0</v>
      </c>
      <c r="H20" s="68">
        <v>0</v>
      </c>
      <c r="I20" s="68">
        <v>0</v>
      </c>
      <c r="J20" s="67">
        <v>698.20821999999998</v>
      </c>
      <c r="K20" s="2" t="s">
        <v>32</v>
      </c>
      <c r="L20" s="31" t="s">
        <v>183</v>
      </c>
    </row>
    <row r="21" spans="1:12" s="2" customFormat="1" ht="12.75" customHeight="1" x14ac:dyDescent="0.2">
      <c r="A21" s="67">
        <v>249.30500000000001</v>
      </c>
      <c r="B21" s="78">
        <v>0</v>
      </c>
      <c r="C21" s="68">
        <v>0.23200000000000001</v>
      </c>
      <c r="D21" s="68">
        <v>0</v>
      </c>
      <c r="E21" s="68">
        <v>0</v>
      </c>
      <c r="F21" s="68">
        <v>249.07300000000001</v>
      </c>
      <c r="G21" s="68">
        <v>0</v>
      </c>
      <c r="H21" s="68">
        <v>0</v>
      </c>
      <c r="I21" s="68">
        <v>0</v>
      </c>
      <c r="J21" s="67">
        <v>249.07300000000001</v>
      </c>
      <c r="K21" s="2" t="s">
        <v>33</v>
      </c>
      <c r="L21" s="31" t="s">
        <v>182</v>
      </c>
    </row>
    <row r="22" spans="1:12" s="2" customFormat="1" ht="12.75" customHeight="1" x14ac:dyDescent="0.2">
      <c r="A22" s="67">
        <v>279.92200000000003</v>
      </c>
      <c r="B22" s="78">
        <v>0</v>
      </c>
      <c r="C22" s="68">
        <v>4.6660000000000004</v>
      </c>
      <c r="D22" s="68">
        <v>0</v>
      </c>
      <c r="E22" s="68">
        <v>0</v>
      </c>
      <c r="F22" s="68">
        <v>0</v>
      </c>
      <c r="G22" s="68">
        <v>275.25599999999997</v>
      </c>
      <c r="H22" s="68">
        <v>0</v>
      </c>
      <c r="I22" s="68">
        <v>0</v>
      </c>
      <c r="J22" s="67">
        <v>275.25599999999997</v>
      </c>
      <c r="K22" s="2" t="s">
        <v>34</v>
      </c>
      <c r="L22" s="31" t="s">
        <v>35</v>
      </c>
    </row>
    <row r="23" spans="1:12" s="2" customFormat="1" ht="12.75" customHeight="1" x14ac:dyDescent="0.2">
      <c r="A23" s="67">
        <v>203.976</v>
      </c>
      <c r="B23" s="78">
        <v>0</v>
      </c>
      <c r="C23" s="68">
        <v>4.6660000000000004</v>
      </c>
      <c r="D23" s="68">
        <v>0</v>
      </c>
      <c r="E23" s="68">
        <v>0</v>
      </c>
      <c r="F23" s="68">
        <v>0</v>
      </c>
      <c r="G23" s="68">
        <v>199.31</v>
      </c>
      <c r="H23" s="68">
        <v>0</v>
      </c>
      <c r="I23" s="68">
        <v>0</v>
      </c>
      <c r="J23" s="67">
        <v>199.31</v>
      </c>
      <c r="K23" s="2" t="s">
        <v>36</v>
      </c>
      <c r="L23" s="31" t="s">
        <v>184</v>
      </c>
    </row>
    <row r="24" spans="1:12" s="2" customFormat="1" ht="12.75" customHeight="1" x14ac:dyDescent="0.2">
      <c r="A24" s="67">
        <v>75.945999999999998</v>
      </c>
      <c r="B24" s="78">
        <v>0</v>
      </c>
      <c r="C24" s="68">
        <v>0</v>
      </c>
      <c r="D24" s="68">
        <v>0</v>
      </c>
      <c r="E24" s="68">
        <v>0</v>
      </c>
      <c r="F24" s="68">
        <v>0</v>
      </c>
      <c r="G24" s="68">
        <v>75.945999999999998</v>
      </c>
      <c r="H24" s="68">
        <v>0</v>
      </c>
      <c r="I24" s="68">
        <v>0</v>
      </c>
      <c r="J24" s="67">
        <v>75.945999999999998</v>
      </c>
      <c r="K24" s="2" t="s">
        <v>37</v>
      </c>
      <c r="L24" s="31" t="s">
        <v>185</v>
      </c>
    </row>
    <row r="25" spans="1:12" s="2" customFormat="1" ht="12.75" customHeight="1" x14ac:dyDescent="0.2">
      <c r="A25" s="67">
        <v>-34.865000000000002</v>
      </c>
      <c r="B25" s="78">
        <v>0</v>
      </c>
      <c r="C25" s="68">
        <v>-9.5570000000000004</v>
      </c>
      <c r="D25" s="68">
        <v>0</v>
      </c>
      <c r="E25" s="68">
        <v>0</v>
      </c>
      <c r="F25" s="68">
        <v>0</v>
      </c>
      <c r="G25" s="68">
        <v>-25.308</v>
      </c>
      <c r="H25" s="68">
        <v>0</v>
      </c>
      <c r="I25" s="68">
        <v>0</v>
      </c>
      <c r="J25" s="67">
        <v>-25.308</v>
      </c>
      <c r="K25" s="2" t="s">
        <v>38</v>
      </c>
      <c r="L25" s="31" t="s">
        <v>39</v>
      </c>
    </row>
    <row r="26" spans="1:12" s="2" customFormat="1" ht="12.75" customHeight="1" x14ac:dyDescent="0.2">
      <c r="A26" s="67">
        <v>-12.119</v>
      </c>
      <c r="B26" s="78">
        <v>0</v>
      </c>
      <c r="C26" s="68">
        <v>-3.0449999999999999</v>
      </c>
      <c r="D26" s="68">
        <v>0</v>
      </c>
      <c r="E26" s="68">
        <v>0</v>
      </c>
      <c r="F26" s="68">
        <v>0</v>
      </c>
      <c r="G26" s="68">
        <v>-9.0739999999999998</v>
      </c>
      <c r="H26" s="68">
        <v>0</v>
      </c>
      <c r="I26" s="68">
        <v>0</v>
      </c>
      <c r="J26" s="67">
        <v>-9.0739999999999998</v>
      </c>
      <c r="K26" s="2" t="s">
        <v>40</v>
      </c>
      <c r="L26" s="31" t="s">
        <v>186</v>
      </c>
    </row>
    <row r="27" spans="1:12" s="2" customFormat="1" ht="12.75" customHeight="1" x14ac:dyDescent="0.2">
      <c r="A27" s="67">
        <v>-22.745999999999999</v>
      </c>
      <c r="B27" s="78">
        <v>0</v>
      </c>
      <c r="C27" s="68">
        <v>-6.5119999999999996</v>
      </c>
      <c r="D27" s="68">
        <v>0</v>
      </c>
      <c r="E27" s="68">
        <v>0</v>
      </c>
      <c r="F27" s="68">
        <v>0</v>
      </c>
      <c r="G27" s="68">
        <v>-16.234000000000002</v>
      </c>
      <c r="H27" s="68">
        <v>0</v>
      </c>
      <c r="I27" s="68">
        <v>0</v>
      </c>
      <c r="J27" s="67">
        <v>-16.234000000000002</v>
      </c>
      <c r="K27" s="2" t="s">
        <v>41</v>
      </c>
      <c r="L27" s="31" t="s">
        <v>187</v>
      </c>
    </row>
    <row r="28" spans="1:12" s="2" customFormat="1" ht="12.75" customHeight="1" x14ac:dyDescent="0.2">
      <c r="A28" s="67"/>
      <c r="B28" s="78"/>
      <c r="C28" s="68"/>
      <c r="D28" s="68"/>
      <c r="E28" s="68"/>
      <c r="F28" s="68"/>
      <c r="G28" s="68"/>
      <c r="H28" s="68"/>
      <c r="I28" s="68"/>
      <c r="J28" s="67"/>
      <c r="L28" s="31"/>
    </row>
    <row r="29" spans="1:12" s="2" customFormat="1" ht="12.75" customHeight="1" x14ac:dyDescent="0.2">
      <c r="A29" s="67">
        <v>495.51772999999997</v>
      </c>
      <c r="B29" s="67">
        <v>0</v>
      </c>
      <c r="C29" s="67">
        <v>0</v>
      </c>
      <c r="D29" s="67">
        <v>0</v>
      </c>
      <c r="E29" s="67">
        <v>2.875</v>
      </c>
      <c r="F29" s="67">
        <v>143.23607999999999</v>
      </c>
      <c r="G29" s="67">
        <v>47.192</v>
      </c>
      <c r="H29" s="67">
        <v>20.777999999999999</v>
      </c>
      <c r="I29" s="67">
        <v>281.43665000000004</v>
      </c>
      <c r="J29" s="67">
        <v>495.51772999999997</v>
      </c>
      <c r="K29" s="59" t="s">
        <v>42</v>
      </c>
      <c r="L29" s="61" t="s">
        <v>43</v>
      </c>
    </row>
    <row r="30" spans="1:12" s="2" customFormat="1" ht="12.75" customHeight="1" x14ac:dyDescent="0.2">
      <c r="A30" s="67">
        <v>118.29437</v>
      </c>
      <c r="B30" s="67">
        <v>0</v>
      </c>
      <c r="C30" s="67">
        <v>0</v>
      </c>
      <c r="D30" s="67">
        <v>0</v>
      </c>
      <c r="E30" s="67">
        <v>0</v>
      </c>
      <c r="F30" s="67">
        <v>118.29437</v>
      </c>
      <c r="G30" s="67">
        <v>0</v>
      </c>
      <c r="H30" s="67">
        <v>0</v>
      </c>
      <c r="I30" s="67">
        <v>0</v>
      </c>
      <c r="J30" s="67">
        <v>118.29437</v>
      </c>
      <c r="K30" s="59" t="s">
        <v>44</v>
      </c>
      <c r="L30" s="61" t="s">
        <v>45</v>
      </c>
    </row>
    <row r="31" spans="1:12" s="2" customFormat="1" ht="12.75" customHeight="1" x14ac:dyDescent="0.2">
      <c r="A31" s="67">
        <v>281.19934000000001</v>
      </c>
      <c r="B31" s="67">
        <v>0</v>
      </c>
      <c r="C31" s="67">
        <v>0</v>
      </c>
      <c r="D31" s="67">
        <v>0</v>
      </c>
      <c r="E31" s="67">
        <v>0</v>
      </c>
      <c r="F31" s="67">
        <v>115.91767999999999</v>
      </c>
      <c r="G31" s="67">
        <v>4.4619999999999997</v>
      </c>
      <c r="H31" s="67">
        <v>10.909000000000001</v>
      </c>
      <c r="I31" s="67">
        <v>149.91065</v>
      </c>
      <c r="J31" s="67">
        <v>281.19934000000001</v>
      </c>
      <c r="K31" s="59" t="s">
        <v>124</v>
      </c>
      <c r="L31" s="61" t="s">
        <v>126</v>
      </c>
    </row>
    <row r="32" spans="1:12" s="2" customFormat="1" ht="12.75" customHeight="1" x14ac:dyDescent="0.2">
      <c r="A32" s="67">
        <v>102.84675999999999</v>
      </c>
      <c r="B32" s="67">
        <v>0</v>
      </c>
      <c r="C32" s="67">
        <v>0</v>
      </c>
      <c r="D32" s="67">
        <v>0</v>
      </c>
      <c r="E32" s="67">
        <v>0</v>
      </c>
      <c r="F32" s="67">
        <v>102.84675999999999</v>
      </c>
      <c r="G32" s="67">
        <v>0</v>
      </c>
      <c r="H32" s="67">
        <v>0</v>
      </c>
      <c r="I32" s="67">
        <v>0</v>
      </c>
      <c r="J32" s="67">
        <v>102.84675999999999</v>
      </c>
      <c r="K32" s="59" t="s">
        <v>125</v>
      </c>
      <c r="L32" s="61" t="s">
        <v>127</v>
      </c>
    </row>
    <row r="33" spans="1:12" s="2" customFormat="1" ht="12.75" customHeight="1" x14ac:dyDescent="0.2">
      <c r="A33" s="67"/>
      <c r="B33" s="78"/>
      <c r="C33" s="68"/>
      <c r="D33" s="68"/>
      <c r="E33" s="68"/>
      <c r="F33" s="68"/>
      <c r="G33" s="68"/>
      <c r="H33" s="68"/>
      <c r="I33" s="68"/>
      <c r="J33" s="67"/>
      <c r="L33" s="31"/>
    </row>
    <row r="34" spans="1:12" s="2" customFormat="1" ht="12.75" customHeight="1" x14ac:dyDescent="0.2">
      <c r="A34" s="67">
        <v>838.01900000000001</v>
      </c>
      <c r="B34" s="78">
        <v>0</v>
      </c>
      <c r="C34" s="68">
        <v>131.53</v>
      </c>
      <c r="D34" s="68">
        <v>0</v>
      </c>
      <c r="E34" s="68">
        <v>1.304</v>
      </c>
      <c r="F34" s="68">
        <v>144.19800000000001</v>
      </c>
      <c r="G34" s="68">
        <v>13.955</v>
      </c>
      <c r="H34" s="68">
        <v>325.00400000000002</v>
      </c>
      <c r="I34" s="68">
        <v>222.02799999999999</v>
      </c>
      <c r="J34" s="67">
        <v>706.48900000000003</v>
      </c>
      <c r="K34" s="2" t="s">
        <v>47</v>
      </c>
      <c r="L34" s="31" t="s">
        <v>48</v>
      </c>
    </row>
    <row r="35" spans="1:12" s="2" customFormat="1" ht="12.75" customHeight="1" x14ac:dyDescent="0.2">
      <c r="A35" s="67">
        <v>465.21699999999998</v>
      </c>
      <c r="B35" s="78">
        <v>0</v>
      </c>
      <c r="C35" s="68">
        <v>96.004999999999995</v>
      </c>
      <c r="D35" s="68">
        <v>0</v>
      </c>
      <c r="E35" s="68">
        <v>1.3009999999999999</v>
      </c>
      <c r="F35" s="68">
        <v>40.311</v>
      </c>
      <c r="G35" s="68">
        <v>4.9960000000000004</v>
      </c>
      <c r="H35" s="68">
        <v>257.38600000000002</v>
      </c>
      <c r="I35" s="68">
        <v>65.218000000000004</v>
      </c>
      <c r="J35" s="67">
        <v>369.21199999999999</v>
      </c>
      <c r="K35" s="2" t="s">
        <v>49</v>
      </c>
      <c r="L35" s="31" t="s">
        <v>188</v>
      </c>
    </row>
    <row r="36" spans="1:12" s="2" customFormat="1" ht="12.75" customHeight="1" x14ac:dyDescent="0.2">
      <c r="A36" s="67">
        <v>291.93700000000001</v>
      </c>
      <c r="B36" s="78">
        <v>0</v>
      </c>
      <c r="C36" s="68">
        <v>25.928999999999998</v>
      </c>
      <c r="D36" s="68">
        <v>0</v>
      </c>
      <c r="E36" s="68">
        <v>0</v>
      </c>
      <c r="F36" s="68">
        <v>59.796999999999997</v>
      </c>
      <c r="G36" s="68">
        <v>7.2350000000000003</v>
      </c>
      <c r="H36" s="68">
        <v>57.887</v>
      </c>
      <c r="I36" s="68">
        <v>141.089</v>
      </c>
      <c r="J36" s="67">
        <v>266.00799999999998</v>
      </c>
      <c r="K36" s="2" t="s">
        <v>50</v>
      </c>
      <c r="L36" s="31" t="s">
        <v>189</v>
      </c>
    </row>
    <row r="37" spans="1:12" s="2" customFormat="1" ht="12.75" customHeight="1" x14ac:dyDescent="0.2">
      <c r="A37" s="67">
        <v>34.56</v>
      </c>
      <c r="B37" s="78">
        <v>0</v>
      </c>
      <c r="C37" s="68">
        <v>9.4559999999999995</v>
      </c>
      <c r="D37" s="68">
        <v>0</v>
      </c>
      <c r="E37" s="68">
        <v>0</v>
      </c>
      <c r="F37" s="68">
        <v>0</v>
      </c>
      <c r="G37" s="68">
        <v>0</v>
      </c>
      <c r="H37" s="68">
        <v>9.7110000000000003</v>
      </c>
      <c r="I37" s="68">
        <v>15.393000000000001</v>
      </c>
      <c r="J37" s="67">
        <v>25.103999999999999</v>
      </c>
      <c r="K37" s="2" t="s">
        <v>51</v>
      </c>
      <c r="L37" s="31" t="s">
        <v>190</v>
      </c>
    </row>
    <row r="38" spans="1:12" s="2" customFormat="1" ht="12.75" customHeight="1" x14ac:dyDescent="0.2">
      <c r="A38" s="67">
        <v>42.494999999999997</v>
      </c>
      <c r="B38" s="78">
        <v>0</v>
      </c>
      <c r="C38" s="68">
        <v>0.14000000000000001</v>
      </c>
      <c r="D38" s="68">
        <v>0</v>
      </c>
      <c r="E38" s="68">
        <v>3.0000000000000001E-3</v>
      </c>
      <c r="F38" s="68">
        <v>41.973999999999997</v>
      </c>
      <c r="G38" s="68">
        <v>3.4000000000000002E-2</v>
      </c>
      <c r="H38" s="68">
        <v>0.02</v>
      </c>
      <c r="I38" s="68">
        <v>0.32400000000000001</v>
      </c>
      <c r="J38" s="67">
        <v>42.354999999999997</v>
      </c>
      <c r="K38" s="2" t="s">
        <v>52</v>
      </c>
      <c r="L38" s="31" t="s">
        <v>191</v>
      </c>
    </row>
    <row r="39" spans="1:12" s="2" customFormat="1" ht="12.75" customHeight="1" x14ac:dyDescent="0.2">
      <c r="A39" s="69">
        <v>3.81</v>
      </c>
      <c r="B39" s="79">
        <v>0</v>
      </c>
      <c r="C39" s="70">
        <v>0</v>
      </c>
      <c r="D39" s="70">
        <v>0</v>
      </c>
      <c r="E39" s="70">
        <v>0</v>
      </c>
      <c r="F39" s="70">
        <v>2.1160000000000001</v>
      </c>
      <c r="G39" s="70">
        <v>1.69</v>
      </c>
      <c r="H39" s="70">
        <v>0</v>
      </c>
      <c r="I39" s="70">
        <v>4.0000000000000001E-3</v>
      </c>
      <c r="J39" s="69">
        <v>3.81</v>
      </c>
      <c r="K39" s="32" t="s">
        <v>53</v>
      </c>
      <c r="L39" s="33" t="s">
        <v>192</v>
      </c>
    </row>
    <row r="40" spans="1:12" s="2" customFormat="1" ht="12.75" customHeight="1" x14ac:dyDescent="0.2">
      <c r="A40" s="67"/>
      <c r="B40" s="67"/>
      <c r="C40" s="68"/>
      <c r="D40" s="68"/>
      <c r="E40" s="68"/>
      <c r="F40" s="68"/>
      <c r="G40" s="68"/>
      <c r="H40" s="68"/>
      <c r="I40" s="68"/>
      <c r="J40" s="67"/>
      <c r="K40" s="16" t="s">
        <v>54</v>
      </c>
    </row>
    <row r="41" spans="1:12" s="34" customFormat="1" ht="12.75" customHeight="1" x14ac:dyDescent="0.2">
      <c r="A41" s="67">
        <v>1830.26232</v>
      </c>
      <c r="B41" s="67">
        <v>0</v>
      </c>
      <c r="C41" s="67">
        <v>0</v>
      </c>
      <c r="D41" s="67">
        <v>0</v>
      </c>
      <c r="E41" s="67">
        <v>3.7850000000000001</v>
      </c>
      <c r="F41" s="67">
        <v>1325.12067</v>
      </c>
      <c r="G41" s="67">
        <v>263.101</v>
      </c>
      <c r="H41" s="67">
        <v>36.838000000000001</v>
      </c>
      <c r="I41" s="67">
        <v>201.41764999999998</v>
      </c>
      <c r="J41" s="67">
        <v>1830.26232</v>
      </c>
      <c r="K41" s="59" t="s">
        <v>247</v>
      </c>
      <c r="L41" s="61" t="s">
        <v>239</v>
      </c>
    </row>
    <row r="42" spans="1:12" s="2" customFormat="1" ht="12.75" customHeight="1" x14ac:dyDescent="0.2">
      <c r="A42" s="67">
        <v>1600.49632</v>
      </c>
      <c r="B42" s="67">
        <v>0</v>
      </c>
      <c r="C42" s="67">
        <v>0</v>
      </c>
      <c r="D42" s="67">
        <v>0</v>
      </c>
      <c r="E42" s="67">
        <v>0.91</v>
      </c>
      <c r="F42" s="67">
        <v>1282.3546699999999</v>
      </c>
      <c r="G42" s="67">
        <v>220.37100000000001</v>
      </c>
      <c r="H42" s="67">
        <v>26.969000000000001</v>
      </c>
      <c r="I42" s="67">
        <v>69.891649999999998</v>
      </c>
      <c r="J42" s="67">
        <v>1600.49632</v>
      </c>
      <c r="K42" s="59" t="s">
        <v>248</v>
      </c>
      <c r="L42" s="61" t="s">
        <v>240</v>
      </c>
    </row>
    <row r="43" spans="1:12" s="2" customFormat="1" ht="12.75" customHeight="1" x14ac:dyDescent="0.2">
      <c r="A43" s="67"/>
      <c r="B43" s="67"/>
      <c r="C43" s="68"/>
      <c r="D43" s="68"/>
      <c r="E43" s="68"/>
      <c r="F43" s="68"/>
      <c r="G43" s="68"/>
      <c r="H43" s="68"/>
      <c r="I43" s="68"/>
      <c r="J43" s="67"/>
      <c r="L43" s="31"/>
    </row>
    <row r="44" spans="1:12" s="2" customFormat="1" ht="12.75" customHeight="1" x14ac:dyDescent="0.2">
      <c r="A44" s="67">
        <v>211.655</v>
      </c>
      <c r="B44" s="78">
        <v>0</v>
      </c>
      <c r="C44" s="68">
        <v>0</v>
      </c>
      <c r="D44" s="68">
        <v>0</v>
      </c>
      <c r="E44" s="68">
        <v>0</v>
      </c>
      <c r="F44" s="68">
        <v>0</v>
      </c>
      <c r="G44" s="68">
        <v>211.655</v>
      </c>
      <c r="H44" s="68">
        <v>0</v>
      </c>
      <c r="I44" s="68">
        <v>0</v>
      </c>
      <c r="J44" s="67">
        <v>211.655</v>
      </c>
      <c r="K44" s="2" t="s">
        <v>55</v>
      </c>
      <c r="L44" s="31" t="s">
        <v>56</v>
      </c>
    </row>
    <row r="45" spans="1:12" s="2" customFormat="1" ht="12.75" customHeight="1" x14ac:dyDescent="0.2">
      <c r="A45" s="67">
        <v>370.46800000000002</v>
      </c>
      <c r="B45" s="78">
        <v>0</v>
      </c>
      <c r="C45" s="68">
        <v>3.222</v>
      </c>
      <c r="D45" s="68">
        <v>0</v>
      </c>
      <c r="E45" s="68">
        <v>0</v>
      </c>
      <c r="F45" s="68">
        <v>6.0000000000000001E-3</v>
      </c>
      <c r="G45" s="68">
        <v>328.05500000000001</v>
      </c>
      <c r="H45" s="68">
        <v>29.04</v>
      </c>
      <c r="I45" s="68">
        <v>10.145</v>
      </c>
      <c r="J45" s="67">
        <v>367.24599999999998</v>
      </c>
      <c r="K45" s="2" t="s">
        <v>57</v>
      </c>
      <c r="L45" s="31" t="s">
        <v>58</v>
      </c>
    </row>
    <row r="46" spans="1:12" s="2" customFormat="1" ht="12.75" customHeight="1" x14ac:dyDescent="0.2">
      <c r="A46" s="67">
        <v>327.72699999999998</v>
      </c>
      <c r="B46" s="78">
        <v>0</v>
      </c>
      <c r="C46" s="68">
        <v>3.222</v>
      </c>
      <c r="D46" s="68">
        <v>0</v>
      </c>
      <c r="E46" s="68">
        <v>0</v>
      </c>
      <c r="F46" s="68">
        <v>0</v>
      </c>
      <c r="G46" s="68">
        <v>296.262</v>
      </c>
      <c r="H46" s="68">
        <v>28.050999999999998</v>
      </c>
      <c r="I46" s="68">
        <v>0.192</v>
      </c>
      <c r="J46" s="67">
        <v>324.505</v>
      </c>
      <c r="K46" s="2" t="s">
        <v>59</v>
      </c>
      <c r="L46" s="31" t="s">
        <v>193</v>
      </c>
    </row>
    <row r="47" spans="1:12" s="2" customFormat="1" ht="12.75" customHeight="1" x14ac:dyDescent="0.2">
      <c r="A47" s="67">
        <v>42.741</v>
      </c>
      <c r="B47" s="78">
        <v>0</v>
      </c>
      <c r="C47" s="68">
        <v>0</v>
      </c>
      <c r="D47" s="68">
        <v>0</v>
      </c>
      <c r="E47" s="68">
        <v>0</v>
      </c>
      <c r="F47" s="68">
        <v>6.0000000000000001E-3</v>
      </c>
      <c r="G47" s="68">
        <v>31.792999999999999</v>
      </c>
      <c r="H47" s="68">
        <v>0.98899999999999999</v>
      </c>
      <c r="I47" s="68">
        <v>9.9529999999999994</v>
      </c>
      <c r="J47" s="67">
        <v>42.741</v>
      </c>
      <c r="K47" s="2" t="s">
        <v>60</v>
      </c>
      <c r="L47" s="31" t="s">
        <v>194</v>
      </c>
    </row>
    <row r="48" spans="1:12" s="2" customFormat="1" ht="12.75" customHeight="1" x14ac:dyDescent="0.2">
      <c r="A48" s="67">
        <v>360.66300000000001</v>
      </c>
      <c r="B48" s="78">
        <v>0</v>
      </c>
      <c r="C48" s="68">
        <v>5.65</v>
      </c>
      <c r="D48" s="68">
        <v>0</v>
      </c>
      <c r="E48" s="68">
        <v>0</v>
      </c>
      <c r="F48" s="68">
        <v>355.01299999999998</v>
      </c>
      <c r="G48" s="68">
        <v>0</v>
      </c>
      <c r="H48" s="68">
        <v>0</v>
      </c>
      <c r="I48" s="68">
        <v>0</v>
      </c>
      <c r="J48" s="67">
        <v>355.01299999999998</v>
      </c>
      <c r="K48" s="81" t="s">
        <v>61</v>
      </c>
      <c r="L48" s="81" t="s">
        <v>234</v>
      </c>
    </row>
    <row r="49" spans="1:12" s="2" customFormat="1" ht="12.75" customHeight="1" x14ac:dyDescent="0.2">
      <c r="A49" s="67">
        <v>512.68951000000004</v>
      </c>
      <c r="B49" s="78">
        <v>0</v>
      </c>
      <c r="C49" s="68">
        <v>33.07</v>
      </c>
      <c r="D49" s="68">
        <v>0</v>
      </c>
      <c r="E49" s="68">
        <v>32.764000000000003</v>
      </c>
      <c r="F49" s="68">
        <v>53.482510000000005</v>
      </c>
      <c r="G49" s="68">
        <v>357.83600000000001</v>
      </c>
      <c r="H49" s="68">
        <v>29.992999999999999</v>
      </c>
      <c r="I49" s="68">
        <v>5.5439999999999996</v>
      </c>
      <c r="J49" s="67">
        <v>479.61950999999999</v>
      </c>
      <c r="K49" s="2" t="s">
        <v>62</v>
      </c>
      <c r="L49" s="31" t="s">
        <v>63</v>
      </c>
    </row>
    <row r="50" spans="1:12" s="2" customFormat="1" ht="12.75" customHeight="1" x14ac:dyDescent="0.2">
      <c r="A50" s="67">
        <v>31.401</v>
      </c>
      <c r="B50" s="78">
        <v>0</v>
      </c>
      <c r="C50" s="68">
        <v>1.5960000000000001</v>
      </c>
      <c r="D50" s="68">
        <v>0</v>
      </c>
      <c r="E50" s="68">
        <v>0</v>
      </c>
      <c r="F50" s="68">
        <v>0</v>
      </c>
      <c r="G50" s="68">
        <v>0</v>
      </c>
      <c r="H50" s="68">
        <v>29.805</v>
      </c>
      <c r="I50" s="68">
        <v>0</v>
      </c>
      <c r="J50" s="67">
        <v>29.805</v>
      </c>
      <c r="K50" s="2" t="s">
        <v>64</v>
      </c>
      <c r="L50" s="31" t="s">
        <v>195</v>
      </c>
    </row>
    <row r="51" spans="1:12" s="2" customFormat="1" ht="12.75" customHeight="1" x14ac:dyDescent="0.2">
      <c r="A51" s="67">
        <v>30.079000000000001</v>
      </c>
      <c r="B51" s="78">
        <v>0</v>
      </c>
      <c r="C51" s="68">
        <v>1.2410000000000001</v>
      </c>
      <c r="D51" s="68">
        <v>0</v>
      </c>
      <c r="E51" s="68">
        <v>0.04</v>
      </c>
      <c r="F51" s="68">
        <v>25.768999999999998</v>
      </c>
      <c r="G51" s="68">
        <v>0.24</v>
      </c>
      <c r="H51" s="68">
        <v>0.188</v>
      </c>
      <c r="I51" s="68">
        <v>2.601</v>
      </c>
      <c r="J51" s="67">
        <v>28.838000000000001</v>
      </c>
      <c r="K51" s="2" t="s">
        <v>65</v>
      </c>
      <c r="L51" s="31" t="s">
        <v>196</v>
      </c>
    </row>
    <row r="52" spans="1:12" s="2" customFormat="1" ht="12.75" customHeight="1" x14ac:dyDescent="0.2">
      <c r="A52" s="67">
        <v>344.07100000000003</v>
      </c>
      <c r="B52" s="78">
        <v>0</v>
      </c>
      <c r="C52" s="68">
        <v>0</v>
      </c>
      <c r="D52" s="68">
        <v>0</v>
      </c>
      <c r="E52" s="68">
        <v>0</v>
      </c>
      <c r="F52" s="68">
        <v>0</v>
      </c>
      <c r="G52" s="68">
        <v>344.07100000000003</v>
      </c>
      <c r="H52" s="68">
        <v>0</v>
      </c>
      <c r="I52" s="68">
        <v>0</v>
      </c>
      <c r="J52" s="67">
        <v>344.07100000000003</v>
      </c>
      <c r="K52" s="2" t="s">
        <v>66</v>
      </c>
      <c r="L52" s="81" t="s">
        <v>238</v>
      </c>
    </row>
    <row r="53" spans="1:12" s="20" customFormat="1" ht="12.75" customHeight="1" x14ac:dyDescent="0.2">
      <c r="A53" s="67">
        <v>8.0839999999999996</v>
      </c>
      <c r="B53" s="78">
        <v>0</v>
      </c>
      <c r="C53" s="68">
        <v>6.8250000000000002</v>
      </c>
      <c r="D53" s="68">
        <v>0</v>
      </c>
      <c r="E53" s="68">
        <v>0</v>
      </c>
      <c r="F53" s="68">
        <v>0</v>
      </c>
      <c r="G53" s="68">
        <v>1.2589999999999999</v>
      </c>
      <c r="H53" s="68">
        <v>0</v>
      </c>
      <c r="I53" s="68">
        <v>0</v>
      </c>
      <c r="J53" s="67">
        <v>1.2589999999999999</v>
      </c>
      <c r="K53" s="2" t="s">
        <v>67</v>
      </c>
      <c r="L53" s="31" t="s">
        <v>198</v>
      </c>
    </row>
    <row r="54" spans="1:12" s="22" customFormat="1" ht="12.75" customHeight="1" x14ac:dyDescent="0.2">
      <c r="A54" s="69">
        <v>99.054509999999993</v>
      </c>
      <c r="B54" s="79">
        <v>0</v>
      </c>
      <c r="C54" s="70">
        <v>23.408000000000001</v>
      </c>
      <c r="D54" s="70">
        <v>0</v>
      </c>
      <c r="E54" s="70">
        <v>32.723999999999997</v>
      </c>
      <c r="F54" s="70">
        <v>27.713509999999999</v>
      </c>
      <c r="G54" s="70">
        <v>12.266</v>
      </c>
      <c r="H54" s="70">
        <v>0</v>
      </c>
      <c r="I54" s="70">
        <v>2.9430000000000001</v>
      </c>
      <c r="J54" s="69">
        <v>75.646509999999992</v>
      </c>
      <c r="K54" s="32" t="s">
        <v>68</v>
      </c>
      <c r="L54" s="33" t="s">
        <v>199</v>
      </c>
    </row>
    <row r="55" spans="1:12" s="22" customFormat="1" ht="12.75" customHeight="1" x14ac:dyDescent="0.2">
      <c r="A55" s="67"/>
      <c r="B55" s="67"/>
      <c r="C55" s="68"/>
      <c r="D55" s="68"/>
      <c r="E55" s="68"/>
      <c r="F55" s="68"/>
      <c r="G55" s="68"/>
      <c r="H55" s="68"/>
      <c r="I55" s="68"/>
      <c r="J55" s="67"/>
      <c r="K55" s="16" t="s">
        <v>71</v>
      </c>
    </row>
    <row r="56" spans="1:12" s="22" customFormat="1" ht="12.75" customHeight="1" x14ac:dyDescent="0.2">
      <c r="A56" s="67">
        <v>1802.0843200000002</v>
      </c>
      <c r="B56" s="67">
        <v>0</v>
      </c>
      <c r="C56" s="67">
        <v>0</v>
      </c>
      <c r="D56" s="67">
        <v>0</v>
      </c>
      <c r="E56" s="67">
        <v>35.128999999999998</v>
      </c>
      <c r="F56" s="67">
        <v>1159.3821799999998</v>
      </c>
      <c r="G56" s="67">
        <v>444.99299999999999</v>
      </c>
      <c r="H56" s="67">
        <v>23.568000000000001</v>
      </c>
      <c r="I56" s="67">
        <v>139.01214000000002</v>
      </c>
      <c r="J56" s="67">
        <v>1802.0843200000002</v>
      </c>
      <c r="K56" s="59" t="s">
        <v>69</v>
      </c>
      <c r="L56" s="61" t="s">
        <v>70</v>
      </c>
    </row>
    <row r="57" spans="1:12" s="35" customFormat="1" ht="12.75" customHeight="1" x14ac:dyDescent="0.25">
      <c r="A57" s="67">
        <v>1572.3183200000001</v>
      </c>
      <c r="B57" s="67">
        <v>0</v>
      </c>
      <c r="C57" s="67">
        <v>0</v>
      </c>
      <c r="D57" s="67">
        <v>0</v>
      </c>
      <c r="E57" s="67">
        <v>32.253999999999998</v>
      </c>
      <c r="F57" s="67">
        <v>1116.61618</v>
      </c>
      <c r="G57" s="67">
        <v>402.26299999999998</v>
      </c>
      <c r="H57" s="67">
        <v>13.699</v>
      </c>
      <c r="I57" s="67">
        <v>7.4861400000000007</v>
      </c>
      <c r="J57" s="67">
        <v>1572.3183200000001</v>
      </c>
      <c r="K57" s="59" t="s">
        <v>128</v>
      </c>
      <c r="L57" s="61" t="s">
        <v>129</v>
      </c>
    </row>
    <row r="58" spans="1:12" ht="12.75" customHeight="1" x14ac:dyDescent="0.2">
      <c r="A58" s="67">
        <v>0</v>
      </c>
      <c r="B58" s="78">
        <v>0</v>
      </c>
      <c r="C58" s="68">
        <v>0</v>
      </c>
      <c r="D58" s="68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7">
        <v>0</v>
      </c>
      <c r="K58" s="2"/>
      <c r="L58" s="31"/>
    </row>
    <row r="59" spans="1:12" ht="12.75" customHeight="1" x14ac:dyDescent="0.2">
      <c r="A59" s="67">
        <v>1441.7760000000001</v>
      </c>
      <c r="B59" s="78">
        <v>1441.7760000000001</v>
      </c>
      <c r="C59" s="68">
        <v>0</v>
      </c>
      <c r="D59" s="68">
        <v>0</v>
      </c>
      <c r="E59" s="68">
        <v>0</v>
      </c>
      <c r="F59" s="68">
        <v>0</v>
      </c>
      <c r="G59" s="68">
        <v>0</v>
      </c>
      <c r="H59" s="68">
        <v>0</v>
      </c>
      <c r="I59" s="68">
        <v>0</v>
      </c>
      <c r="J59" s="67">
        <v>0</v>
      </c>
      <c r="K59" s="2" t="s">
        <v>72</v>
      </c>
      <c r="L59" s="31" t="s">
        <v>73</v>
      </c>
    </row>
    <row r="60" spans="1:12" s="2" customFormat="1" ht="12.75" customHeight="1" x14ac:dyDescent="0.2">
      <c r="A60" s="67">
        <v>1292.2</v>
      </c>
      <c r="B60" s="78">
        <v>1292.2</v>
      </c>
      <c r="C60" s="68">
        <v>0</v>
      </c>
      <c r="D60" s="68">
        <v>0</v>
      </c>
      <c r="E60" s="68">
        <v>0</v>
      </c>
      <c r="F60" s="68">
        <v>0</v>
      </c>
      <c r="G60" s="68">
        <v>0</v>
      </c>
      <c r="H60" s="68">
        <v>0</v>
      </c>
      <c r="I60" s="68">
        <v>0</v>
      </c>
      <c r="J60" s="67">
        <v>0</v>
      </c>
      <c r="K60" s="2" t="s">
        <v>74</v>
      </c>
      <c r="L60" s="31" t="s">
        <v>200</v>
      </c>
    </row>
    <row r="61" spans="1:12" s="2" customFormat="1" ht="12.75" customHeight="1" x14ac:dyDescent="0.2">
      <c r="A61" s="67">
        <v>149.57599999999999</v>
      </c>
      <c r="B61" s="78">
        <v>149.57599999999999</v>
      </c>
      <c r="C61" s="68">
        <v>0</v>
      </c>
      <c r="D61" s="68">
        <v>0</v>
      </c>
      <c r="E61" s="68">
        <v>0</v>
      </c>
      <c r="F61" s="68">
        <v>0</v>
      </c>
      <c r="G61" s="68">
        <v>0</v>
      </c>
      <c r="H61" s="68">
        <v>0</v>
      </c>
      <c r="I61" s="68">
        <v>0</v>
      </c>
      <c r="J61" s="67">
        <v>0</v>
      </c>
      <c r="K61" s="2" t="s">
        <v>75</v>
      </c>
      <c r="L61" s="31" t="s">
        <v>201</v>
      </c>
    </row>
    <row r="62" spans="1:12" s="2" customFormat="1" ht="12.75" customHeight="1" x14ac:dyDescent="0.2">
      <c r="A62" s="67"/>
      <c r="B62" s="78"/>
      <c r="C62" s="68"/>
      <c r="D62" s="68"/>
      <c r="E62" s="68"/>
      <c r="F62" s="68"/>
      <c r="G62" s="68"/>
      <c r="H62" s="68"/>
      <c r="I62" s="68"/>
      <c r="J62" s="67"/>
      <c r="L62" s="31"/>
    </row>
    <row r="63" spans="1:12" s="2" customFormat="1" ht="12.75" customHeight="1" x14ac:dyDescent="0.2">
      <c r="A63" s="67"/>
      <c r="B63" s="78"/>
      <c r="C63" s="68"/>
      <c r="D63" s="68"/>
      <c r="E63" s="68"/>
      <c r="F63" s="68"/>
      <c r="G63" s="68"/>
      <c r="H63" s="68"/>
      <c r="I63" s="68"/>
      <c r="J63" s="67"/>
      <c r="K63" s="36" t="s">
        <v>76</v>
      </c>
    </row>
    <row r="64" spans="1:12" s="2" customFormat="1" ht="12.75" customHeight="1" x14ac:dyDescent="0.2">
      <c r="A64" s="71">
        <v>156.869</v>
      </c>
      <c r="B64" s="72">
        <v>0</v>
      </c>
      <c r="C64" s="72">
        <v>0</v>
      </c>
      <c r="D64" s="72">
        <v>0</v>
      </c>
      <c r="E64" s="72">
        <v>0</v>
      </c>
      <c r="F64" s="72">
        <v>156.869</v>
      </c>
      <c r="G64" s="72">
        <v>0</v>
      </c>
      <c r="H64" s="72">
        <v>0</v>
      </c>
      <c r="I64" s="72">
        <v>0</v>
      </c>
      <c r="J64" s="71">
        <v>156.869</v>
      </c>
      <c r="K64" s="22" t="s">
        <v>77</v>
      </c>
      <c r="L64" s="36" t="s">
        <v>78</v>
      </c>
    </row>
    <row r="65" spans="1:12" ht="12.75" customHeight="1" x14ac:dyDescent="0.2">
      <c r="A65" s="71">
        <v>148.73699999999999</v>
      </c>
      <c r="B65" s="72">
        <v>0</v>
      </c>
      <c r="C65" s="72">
        <v>0</v>
      </c>
      <c r="D65" s="72">
        <v>0</v>
      </c>
      <c r="E65" s="72">
        <v>0</v>
      </c>
      <c r="F65" s="72">
        <v>148.73699999999999</v>
      </c>
      <c r="G65" s="72">
        <v>0</v>
      </c>
      <c r="H65" s="72">
        <v>0</v>
      </c>
      <c r="I65" s="72">
        <v>0</v>
      </c>
      <c r="J65" s="71">
        <v>148.73699999999999</v>
      </c>
      <c r="K65" s="22" t="s">
        <v>79</v>
      </c>
      <c r="L65" s="36" t="s">
        <v>232</v>
      </c>
    </row>
    <row r="66" spans="1:12" ht="12.75" customHeight="1" x14ac:dyDescent="0.2">
      <c r="A66" s="71">
        <v>1802.0843200000002</v>
      </c>
      <c r="B66" s="71">
        <v>0</v>
      </c>
      <c r="C66" s="71">
        <v>0</v>
      </c>
      <c r="D66" s="71">
        <v>0</v>
      </c>
      <c r="E66" s="71">
        <v>1.6890000000000001</v>
      </c>
      <c r="F66" s="71">
        <v>1464.9881799999998</v>
      </c>
      <c r="G66" s="71">
        <v>172.827</v>
      </c>
      <c r="H66" s="71">
        <v>23.568000000000001</v>
      </c>
      <c r="I66" s="71">
        <v>139.01214000000002</v>
      </c>
      <c r="J66" s="71">
        <v>1802.0843200000002</v>
      </c>
      <c r="K66" s="60" t="s">
        <v>130</v>
      </c>
      <c r="L66" s="87" t="s">
        <v>132</v>
      </c>
    </row>
    <row r="67" spans="1:12" ht="12.75" customHeight="1" x14ac:dyDescent="0.2">
      <c r="A67" s="71">
        <v>1572.3183200000001</v>
      </c>
      <c r="B67" s="71">
        <v>0</v>
      </c>
      <c r="C67" s="71">
        <v>0</v>
      </c>
      <c r="D67" s="71">
        <v>0</v>
      </c>
      <c r="E67" s="71">
        <v>-1.1859999999999999</v>
      </c>
      <c r="F67" s="71">
        <v>1422.22218</v>
      </c>
      <c r="G67" s="71">
        <v>130.09700000000001</v>
      </c>
      <c r="H67" s="71">
        <v>13.699</v>
      </c>
      <c r="I67" s="71">
        <v>7.4861400000000007</v>
      </c>
      <c r="J67" s="71">
        <v>1572.3183200000001</v>
      </c>
      <c r="K67" s="60" t="s">
        <v>131</v>
      </c>
      <c r="L67" s="87" t="s">
        <v>133</v>
      </c>
    </row>
    <row r="68" spans="1:12" ht="12.75" customHeight="1" x14ac:dyDescent="0.2">
      <c r="A68" s="73">
        <v>1441.7760000000001</v>
      </c>
      <c r="B68" s="74">
        <v>1441.7760000000001</v>
      </c>
      <c r="C68" s="74">
        <v>0</v>
      </c>
      <c r="D68" s="74">
        <v>0</v>
      </c>
      <c r="E68" s="74">
        <v>0</v>
      </c>
      <c r="F68" s="74">
        <v>0</v>
      </c>
      <c r="G68" s="74">
        <v>0</v>
      </c>
      <c r="H68" s="74">
        <v>0</v>
      </c>
      <c r="I68" s="74">
        <v>0</v>
      </c>
      <c r="J68" s="73">
        <v>0</v>
      </c>
      <c r="K68" s="37" t="s">
        <v>80</v>
      </c>
      <c r="L68" s="38" t="s">
        <v>81</v>
      </c>
    </row>
    <row r="69" spans="1:12" ht="12.75" customHeight="1" x14ac:dyDescent="0.2">
      <c r="A69" s="75"/>
      <c r="B69" s="76"/>
      <c r="C69" s="77"/>
      <c r="D69" s="77"/>
      <c r="E69" s="77"/>
      <c r="F69" s="77"/>
      <c r="G69" s="77"/>
      <c r="H69" s="77"/>
      <c r="I69" s="77"/>
      <c r="J69" s="75"/>
      <c r="K69" s="22"/>
      <c r="L69" s="36"/>
    </row>
    <row r="70" spans="1:12" ht="12.75" customHeight="1" x14ac:dyDescent="0.2">
      <c r="A70" s="75"/>
      <c r="B70" s="76"/>
      <c r="C70" s="77"/>
      <c r="D70" s="77"/>
      <c r="E70" s="77"/>
      <c r="F70" s="77"/>
      <c r="G70" s="77"/>
      <c r="H70" s="77"/>
      <c r="I70" s="77"/>
      <c r="J70" s="75"/>
      <c r="K70" s="22"/>
      <c r="L70" s="36"/>
    </row>
    <row r="71" spans="1:12" ht="12.75" customHeight="1" x14ac:dyDescent="0.2">
      <c r="A71" s="75"/>
      <c r="B71" s="76"/>
      <c r="C71" s="77"/>
      <c r="D71" s="77"/>
      <c r="E71" s="77"/>
      <c r="F71" s="77"/>
      <c r="G71" s="77"/>
      <c r="H71" s="77"/>
      <c r="I71" s="77"/>
      <c r="J71" s="75"/>
      <c r="K71" s="22"/>
      <c r="L71" s="36"/>
    </row>
    <row r="72" spans="1:12" s="2" customFormat="1" ht="12.75" customHeight="1" x14ac:dyDescent="0.2">
      <c r="A72" s="75"/>
      <c r="B72" s="76"/>
      <c r="C72" s="77"/>
      <c r="D72" s="77"/>
      <c r="E72" s="77"/>
      <c r="F72" s="77"/>
      <c r="G72" s="77"/>
      <c r="H72" s="77"/>
      <c r="I72" s="77"/>
      <c r="J72" s="75"/>
      <c r="K72" s="22"/>
      <c r="L72" s="36"/>
    </row>
    <row r="73" spans="1:12" ht="15.75" customHeight="1" x14ac:dyDescent="0.2">
      <c r="A73" s="39" t="s">
        <v>250</v>
      </c>
      <c r="B73" s="40"/>
      <c r="C73" s="41"/>
      <c r="D73" s="41"/>
      <c r="E73" s="39"/>
      <c r="F73" s="39"/>
      <c r="G73" s="41"/>
      <c r="H73" s="41"/>
      <c r="I73" s="41"/>
      <c r="J73" s="39"/>
      <c r="K73" s="8"/>
      <c r="L73" s="50"/>
    </row>
    <row r="74" spans="1:12" ht="15.75" customHeight="1" x14ac:dyDescent="0.2">
      <c r="A74" s="42"/>
      <c r="B74" s="43"/>
      <c r="C74" s="42" t="s">
        <v>5</v>
      </c>
      <c r="D74" s="42"/>
      <c r="E74" s="42" t="s">
        <v>4</v>
      </c>
      <c r="F74" s="42" t="s">
        <v>3</v>
      </c>
      <c r="G74" s="42" t="s">
        <v>2</v>
      </c>
      <c r="H74" s="42" t="s">
        <v>1</v>
      </c>
      <c r="I74" s="42" t="s">
        <v>0</v>
      </c>
      <c r="J74" s="42" t="s">
        <v>203</v>
      </c>
      <c r="K74" s="10"/>
      <c r="L74" s="30"/>
    </row>
    <row r="75" spans="1:12" s="52" customFormat="1" ht="39.950000000000003" customHeight="1" x14ac:dyDescent="0.2">
      <c r="A75" s="44" t="s">
        <v>15</v>
      </c>
      <c r="B75" s="44" t="s">
        <v>14</v>
      </c>
      <c r="C75" s="44" t="s">
        <v>13</v>
      </c>
      <c r="D75" s="44" t="s">
        <v>119</v>
      </c>
      <c r="E75" s="44" t="s">
        <v>12</v>
      </c>
      <c r="F75" s="44" t="s">
        <v>11</v>
      </c>
      <c r="G75" s="44" t="s">
        <v>117</v>
      </c>
      <c r="H75" s="44" t="s">
        <v>9</v>
      </c>
      <c r="I75" s="44" t="s">
        <v>8</v>
      </c>
      <c r="J75" s="44" t="s">
        <v>7</v>
      </c>
      <c r="K75" s="13"/>
      <c r="L75" s="13" t="s">
        <v>174</v>
      </c>
    </row>
    <row r="76" spans="1:12" ht="12.75" customHeight="1" x14ac:dyDescent="0.2">
      <c r="A76" s="58"/>
      <c r="B76" s="56"/>
      <c r="C76" s="57"/>
      <c r="D76" s="57"/>
      <c r="E76" s="57"/>
      <c r="F76" s="57"/>
      <c r="G76" s="57"/>
      <c r="H76" s="57"/>
      <c r="I76" s="57"/>
      <c r="J76" s="57"/>
      <c r="K76" s="16" t="s">
        <v>86</v>
      </c>
      <c r="L76" s="1"/>
    </row>
    <row r="77" spans="1:12" ht="12.75" customHeight="1" x14ac:dyDescent="0.2">
      <c r="A77" s="67">
        <v>360.30831999999998</v>
      </c>
      <c r="B77" s="67">
        <v>0</v>
      </c>
      <c r="C77" s="67">
        <v>0</v>
      </c>
      <c r="D77" s="67">
        <v>0</v>
      </c>
      <c r="E77" s="67">
        <v>1.6890000000000001</v>
      </c>
      <c r="F77" s="67">
        <v>172.78817999999998</v>
      </c>
      <c r="G77" s="67">
        <v>23.251000000000001</v>
      </c>
      <c r="H77" s="67">
        <v>23.568000000000001</v>
      </c>
      <c r="I77" s="67">
        <v>139.01214000000002</v>
      </c>
      <c r="J77" s="67">
        <v>360.30831999999998</v>
      </c>
      <c r="K77" s="59" t="s">
        <v>82</v>
      </c>
      <c r="L77" s="59" t="s">
        <v>83</v>
      </c>
    </row>
    <row r="78" spans="1:12" ht="12.75" customHeight="1" x14ac:dyDescent="0.2">
      <c r="A78" s="67">
        <v>14.83</v>
      </c>
      <c r="B78" s="67">
        <v>0</v>
      </c>
      <c r="C78" s="67">
        <v>14.83</v>
      </c>
      <c r="D78" s="67">
        <v>0</v>
      </c>
      <c r="E78" s="67">
        <v>0</v>
      </c>
      <c r="F78" s="67">
        <v>0</v>
      </c>
      <c r="G78" s="67">
        <v>0</v>
      </c>
      <c r="H78" s="67">
        <v>0</v>
      </c>
      <c r="I78" s="67">
        <v>0</v>
      </c>
      <c r="J78" s="67">
        <v>0</v>
      </c>
      <c r="K78" s="59" t="s">
        <v>84</v>
      </c>
      <c r="L78" s="61" t="s">
        <v>85</v>
      </c>
    </row>
    <row r="79" spans="1:12" ht="12.75" customHeight="1" x14ac:dyDescent="0.2">
      <c r="A79" s="67">
        <v>69.707999999999998</v>
      </c>
      <c r="B79" s="78">
        <v>0</v>
      </c>
      <c r="C79" s="78">
        <v>0.88800000000000001</v>
      </c>
      <c r="D79" s="78">
        <v>0</v>
      </c>
      <c r="E79" s="78">
        <v>1.5329999999999999</v>
      </c>
      <c r="F79" s="78">
        <v>6.3</v>
      </c>
      <c r="G79" s="78">
        <v>43.908999999999999</v>
      </c>
      <c r="H79" s="78">
        <v>3.754</v>
      </c>
      <c r="I79" s="78">
        <v>13.324</v>
      </c>
      <c r="J79" s="67">
        <v>68.819999999999993</v>
      </c>
      <c r="K79" s="2" t="s">
        <v>87</v>
      </c>
      <c r="L79" s="31" t="s">
        <v>88</v>
      </c>
    </row>
    <row r="80" spans="1:12" ht="12.75" customHeight="1" x14ac:dyDescent="0.2">
      <c r="A80" s="67">
        <v>-69.707999999999998</v>
      </c>
      <c r="B80" s="78">
        <v>0</v>
      </c>
      <c r="C80" s="78">
        <v>-1.663</v>
      </c>
      <c r="D80" s="78">
        <v>0</v>
      </c>
      <c r="E80" s="78">
        <v>0</v>
      </c>
      <c r="F80" s="78">
        <v>-10.768000000000001</v>
      </c>
      <c r="G80" s="78">
        <v>-49.781999999999996</v>
      </c>
      <c r="H80" s="78">
        <v>-1.115</v>
      </c>
      <c r="I80" s="78">
        <v>-6.38</v>
      </c>
      <c r="J80" s="67">
        <v>-68.045000000000002</v>
      </c>
      <c r="K80" s="2" t="s">
        <v>89</v>
      </c>
      <c r="L80" s="31" t="s">
        <v>90</v>
      </c>
    </row>
    <row r="81" spans="1:12" ht="12.75" customHeight="1" x14ac:dyDescent="0.2">
      <c r="A81" s="67">
        <v>360.37646999999998</v>
      </c>
      <c r="B81" s="78">
        <v>360.37646999999998</v>
      </c>
      <c r="C81" s="78">
        <v>0</v>
      </c>
      <c r="D81" s="78">
        <v>0</v>
      </c>
      <c r="E81" s="78">
        <v>0</v>
      </c>
      <c r="F81" s="78">
        <v>0</v>
      </c>
      <c r="G81" s="78">
        <v>0</v>
      </c>
      <c r="H81" s="78">
        <v>0</v>
      </c>
      <c r="I81" s="78">
        <v>0</v>
      </c>
      <c r="J81" s="67">
        <v>0</v>
      </c>
      <c r="K81" s="2" t="s">
        <v>91</v>
      </c>
      <c r="L81" s="31" t="s">
        <v>92</v>
      </c>
    </row>
    <row r="82" spans="1:12" ht="12.75" customHeight="1" x14ac:dyDescent="0.2">
      <c r="A82" s="67">
        <v>326.58753000000002</v>
      </c>
      <c r="B82" s="78">
        <v>326.58753000000002</v>
      </c>
      <c r="C82" s="78">
        <v>0</v>
      </c>
      <c r="D82" s="78">
        <v>0</v>
      </c>
      <c r="E82" s="78">
        <v>0</v>
      </c>
      <c r="F82" s="78">
        <v>0</v>
      </c>
      <c r="G82" s="78">
        <v>0</v>
      </c>
      <c r="H82" s="78">
        <v>0</v>
      </c>
      <c r="I82" s="78">
        <v>0</v>
      </c>
      <c r="J82" s="67">
        <v>0</v>
      </c>
      <c r="K82" s="2" t="s">
        <v>93</v>
      </c>
      <c r="L82" s="31" t="s">
        <v>137</v>
      </c>
    </row>
    <row r="83" spans="1:12" ht="12.75" customHeight="1" x14ac:dyDescent="0.2">
      <c r="A83" s="67">
        <v>33.788930000000001</v>
      </c>
      <c r="B83" s="78">
        <v>33.788930000000001</v>
      </c>
      <c r="C83" s="78">
        <v>0</v>
      </c>
      <c r="D83" s="78">
        <v>0</v>
      </c>
      <c r="E83" s="78">
        <v>0</v>
      </c>
      <c r="F83" s="78">
        <v>0</v>
      </c>
      <c r="G83" s="78">
        <v>0</v>
      </c>
      <c r="H83" s="78">
        <v>0</v>
      </c>
      <c r="I83" s="78">
        <v>0</v>
      </c>
      <c r="J83" s="67">
        <v>0</v>
      </c>
      <c r="K83" s="2" t="s">
        <v>94</v>
      </c>
      <c r="L83" s="31" t="s">
        <v>138</v>
      </c>
    </row>
    <row r="84" spans="1:12" s="17" customFormat="1" ht="12.75" customHeight="1" x14ac:dyDescent="0.2">
      <c r="A84" s="67">
        <v>-229.76599999999999</v>
      </c>
      <c r="B84" s="78">
        <v>-229.76599999999999</v>
      </c>
      <c r="C84" s="78">
        <v>0</v>
      </c>
      <c r="D84" s="78">
        <v>0</v>
      </c>
      <c r="E84" s="78">
        <v>0</v>
      </c>
      <c r="F84" s="78">
        <v>0</v>
      </c>
      <c r="G84" s="78">
        <v>0</v>
      </c>
      <c r="H84" s="78">
        <v>0</v>
      </c>
      <c r="I84" s="78">
        <v>0</v>
      </c>
      <c r="J84" s="67">
        <v>0</v>
      </c>
      <c r="K84" s="2" t="s">
        <v>122</v>
      </c>
      <c r="L84" s="31" t="s">
        <v>123</v>
      </c>
    </row>
    <row r="85" spans="1:12" ht="12.75" customHeight="1" x14ac:dyDescent="0.2">
      <c r="A85" s="67">
        <v>13.733000000000001</v>
      </c>
      <c r="B85" s="78">
        <v>13.733000000000001</v>
      </c>
      <c r="C85" s="78">
        <v>0</v>
      </c>
      <c r="D85" s="78">
        <v>0</v>
      </c>
      <c r="E85" s="78">
        <v>0</v>
      </c>
      <c r="F85" s="78">
        <v>0</v>
      </c>
      <c r="G85" s="78">
        <v>0</v>
      </c>
      <c r="H85" s="78">
        <v>0</v>
      </c>
      <c r="I85" s="78">
        <v>0</v>
      </c>
      <c r="J85" s="67">
        <v>0</v>
      </c>
      <c r="K85" s="2" t="s">
        <v>95</v>
      </c>
      <c r="L85" s="31" t="s">
        <v>96</v>
      </c>
    </row>
    <row r="86" spans="1:12" ht="12.75" customHeight="1" x14ac:dyDescent="0.2">
      <c r="A86" s="67">
        <v>1.02948</v>
      </c>
      <c r="B86" s="78">
        <v>1.02948</v>
      </c>
      <c r="C86" s="78">
        <v>0</v>
      </c>
      <c r="D86" s="78">
        <v>0</v>
      </c>
      <c r="E86" s="78">
        <v>0</v>
      </c>
      <c r="F86" s="78">
        <v>0</v>
      </c>
      <c r="G86" s="78">
        <v>0</v>
      </c>
      <c r="H86" s="78">
        <v>0</v>
      </c>
      <c r="I86" s="78">
        <v>0</v>
      </c>
      <c r="J86" s="67">
        <v>0</v>
      </c>
      <c r="K86" s="2" t="s">
        <v>97</v>
      </c>
      <c r="L86" s="31" t="s">
        <v>139</v>
      </c>
    </row>
    <row r="87" spans="1:12" ht="12.75" customHeight="1" x14ac:dyDescent="0.2">
      <c r="A87" s="67">
        <v>0</v>
      </c>
      <c r="B87" s="78">
        <v>0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67">
        <v>0</v>
      </c>
      <c r="K87" s="2" t="s">
        <v>217</v>
      </c>
      <c r="L87" s="31" t="s">
        <v>140</v>
      </c>
    </row>
    <row r="88" spans="1:12" ht="12.75" customHeight="1" x14ac:dyDescent="0.2">
      <c r="A88" s="67">
        <v>0</v>
      </c>
      <c r="B88" s="78">
        <v>0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67">
        <v>0</v>
      </c>
      <c r="K88" s="2" t="s">
        <v>218</v>
      </c>
      <c r="L88" s="31" t="s">
        <v>206</v>
      </c>
    </row>
    <row r="89" spans="1:12" ht="12.75" customHeight="1" x14ac:dyDescent="0.2">
      <c r="A89" s="69">
        <v>0</v>
      </c>
      <c r="B89" s="79">
        <v>0</v>
      </c>
      <c r="C89" s="79">
        <v>0</v>
      </c>
      <c r="D89" s="79">
        <v>0</v>
      </c>
      <c r="E89" s="79">
        <v>0</v>
      </c>
      <c r="F89" s="79">
        <v>0</v>
      </c>
      <c r="G89" s="79">
        <v>0</v>
      </c>
      <c r="H89" s="79">
        <v>0</v>
      </c>
      <c r="I89" s="79">
        <v>0</v>
      </c>
      <c r="J89" s="69">
        <v>0</v>
      </c>
      <c r="K89" s="32" t="s">
        <v>219</v>
      </c>
      <c r="L89" s="33" t="s">
        <v>205</v>
      </c>
    </row>
    <row r="90" spans="1:12" ht="12.75" customHeight="1" x14ac:dyDescent="0.2">
      <c r="A90" s="67"/>
      <c r="B90" s="67"/>
      <c r="C90" s="68"/>
      <c r="D90" s="68"/>
      <c r="E90" s="68"/>
      <c r="F90" s="68"/>
      <c r="G90" s="68"/>
      <c r="H90" s="68"/>
      <c r="I90" s="68"/>
      <c r="J90" s="68"/>
      <c r="K90" s="2"/>
      <c r="L90" s="31"/>
    </row>
    <row r="91" spans="1:12" ht="12.75" customHeight="1" x14ac:dyDescent="0.2">
      <c r="A91" s="67"/>
      <c r="B91" s="67"/>
      <c r="C91" s="68"/>
      <c r="D91" s="68"/>
      <c r="E91" s="68"/>
      <c r="F91" s="68"/>
      <c r="G91" s="68"/>
      <c r="H91" s="68"/>
      <c r="I91" s="68"/>
      <c r="J91" s="68"/>
      <c r="K91" s="2"/>
      <c r="L91" s="31"/>
    </row>
    <row r="92" spans="1:12" ht="12.75" customHeight="1" x14ac:dyDescent="0.2">
      <c r="A92" s="67"/>
      <c r="B92" s="67"/>
      <c r="C92" s="68"/>
      <c r="D92" s="68"/>
      <c r="E92" s="68"/>
      <c r="F92" s="68"/>
      <c r="G92" s="68"/>
      <c r="H92" s="68"/>
      <c r="I92" s="68"/>
      <c r="J92" s="68"/>
      <c r="L92" s="1"/>
    </row>
    <row r="93" spans="1:12" ht="12.75" customHeight="1" x14ac:dyDescent="0.2">
      <c r="A93" s="67"/>
      <c r="B93" s="67"/>
      <c r="C93" s="68"/>
      <c r="D93" s="68"/>
      <c r="E93" s="68"/>
      <c r="F93" s="68"/>
      <c r="G93" s="68"/>
      <c r="H93" s="68"/>
      <c r="I93" s="68"/>
      <c r="J93" s="68"/>
      <c r="K93" s="16" t="s">
        <v>102</v>
      </c>
      <c r="L93" s="1"/>
    </row>
    <row r="94" spans="1:12" ht="12.75" customHeight="1" x14ac:dyDescent="0.2">
      <c r="A94" s="67">
        <v>0</v>
      </c>
      <c r="B94" s="67">
        <v>0</v>
      </c>
      <c r="C94" s="67">
        <v>15.303000000000111</v>
      </c>
      <c r="D94" s="67">
        <v>0</v>
      </c>
      <c r="E94" s="67">
        <v>3.7669999999999995</v>
      </c>
      <c r="F94" s="67">
        <v>50.757999999999981</v>
      </c>
      <c r="G94" s="67">
        <v>-42.725000000000001</v>
      </c>
      <c r="H94" s="67">
        <v>19.574000000000069</v>
      </c>
      <c r="I94" s="67">
        <v>-46.67900000000003</v>
      </c>
      <c r="J94" s="67">
        <v>-15.302000000000135</v>
      </c>
      <c r="K94" s="59" t="s">
        <v>101</v>
      </c>
      <c r="L94" s="61" t="s">
        <v>237</v>
      </c>
    </row>
    <row r="95" spans="1:12" ht="12.75" customHeight="1" x14ac:dyDescent="0.2">
      <c r="A95" s="67">
        <v>3283.2139999999999</v>
      </c>
      <c r="B95" s="67">
        <v>0</v>
      </c>
      <c r="C95" s="67">
        <v>1085.664</v>
      </c>
      <c r="D95" s="67">
        <v>0</v>
      </c>
      <c r="E95" s="67">
        <v>0.80400000000000005</v>
      </c>
      <c r="F95" s="67">
        <v>95.4</v>
      </c>
      <c r="G95" s="67">
        <v>30.224</v>
      </c>
      <c r="H95" s="67">
        <v>1803.0519999999999</v>
      </c>
      <c r="I95" s="67">
        <v>268.07100000000003</v>
      </c>
      <c r="J95" s="67">
        <v>2197.5509999999999</v>
      </c>
      <c r="K95" s="59" t="s">
        <v>116</v>
      </c>
      <c r="L95" s="62" t="s">
        <v>236</v>
      </c>
    </row>
    <row r="96" spans="1:12" ht="12.75" customHeight="1" x14ac:dyDescent="0.2">
      <c r="A96" s="67">
        <v>-1.726</v>
      </c>
      <c r="B96" s="78">
        <v>0</v>
      </c>
      <c r="C96" s="78">
        <v>-1.726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78">
        <v>0</v>
      </c>
      <c r="J96" s="67">
        <v>0</v>
      </c>
      <c r="K96" s="2" t="s">
        <v>103</v>
      </c>
      <c r="L96" s="31" t="s">
        <v>104</v>
      </c>
    </row>
    <row r="97" spans="1:12" ht="12.75" customHeight="1" x14ac:dyDescent="0.2">
      <c r="A97" s="67">
        <v>453.666</v>
      </c>
      <c r="B97" s="78">
        <v>0</v>
      </c>
      <c r="C97" s="78">
        <v>115.218</v>
      </c>
      <c r="D97" s="78">
        <v>0</v>
      </c>
      <c r="E97" s="78">
        <v>0</v>
      </c>
      <c r="F97" s="78">
        <v>0</v>
      </c>
      <c r="G97" s="78">
        <v>5.22</v>
      </c>
      <c r="H97" s="78">
        <v>333.22899999999998</v>
      </c>
      <c r="I97" s="78">
        <v>0</v>
      </c>
      <c r="J97" s="67">
        <v>338.44900000000001</v>
      </c>
      <c r="K97" s="2" t="s">
        <v>105</v>
      </c>
      <c r="L97" s="31" t="s">
        <v>106</v>
      </c>
    </row>
    <row r="98" spans="1:12" ht="12.75" customHeight="1" x14ac:dyDescent="0.2">
      <c r="A98" s="67">
        <v>1846.9</v>
      </c>
      <c r="B98" s="78">
        <v>0</v>
      </c>
      <c r="C98" s="78">
        <v>780.72500000000002</v>
      </c>
      <c r="D98" s="78">
        <v>0</v>
      </c>
      <c r="E98" s="78">
        <v>7.0000000000000001E-3</v>
      </c>
      <c r="F98" s="78">
        <v>0</v>
      </c>
      <c r="G98" s="78">
        <v>4.4240000000000004</v>
      </c>
      <c r="H98" s="78">
        <v>1086.078</v>
      </c>
      <c r="I98" s="78">
        <v>-24.335000000000001</v>
      </c>
      <c r="J98" s="67">
        <v>1066.175</v>
      </c>
      <c r="K98" s="2" t="s">
        <v>107</v>
      </c>
      <c r="L98" s="31" t="s">
        <v>108</v>
      </c>
    </row>
    <row r="99" spans="1:12" ht="12.75" customHeight="1" x14ac:dyDescent="0.2">
      <c r="A99" s="67">
        <v>287.63400000000001</v>
      </c>
      <c r="B99" s="78">
        <v>0</v>
      </c>
      <c r="C99" s="78">
        <v>26.503</v>
      </c>
      <c r="D99" s="78">
        <v>0</v>
      </c>
      <c r="E99" s="78">
        <v>0.71699999999999997</v>
      </c>
      <c r="F99" s="78">
        <v>80.759</v>
      </c>
      <c r="G99" s="78">
        <v>6.6029999999999998</v>
      </c>
      <c r="H99" s="78">
        <v>37.107999999999997</v>
      </c>
      <c r="I99" s="78">
        <v>135.94499999999999</v>
      </c>
      <c r="J99" s="67">
        <v>261.13099999999997</v>
      </c>
      <c r="K99" s="2" t="s">
        <v>109</v>
      </c>
      <c r="L99" s="31" t="s">
        <v>110</v>
      </c>
    </row>
    <row r="100" spans="1:12" ht="12.75" customHeight="1" x14ac:dyDescent="0.2">
      <c r="A100" s="67">
        <v>396.61399999999998</v>
      </c>
      <c r="B100" s="78">
        <v>0</v>
      </c>
      <c r="C100" s="78">
        <v>140.733</v>
      </c>
      <c r="D100" s="78">
        <v>0</v>
      </c>
      <c r="E100" s="78">
        <v>0.08</v>
      </c>
      <c r="F100" s="78">
        <v>0</v>
      </c>
      <c r="G100" s="78">
        <v>0</v>
      </c>
      <c r="H100" s="78">
        <v>171.39699999999999</v>
      </c>
      <c r="I100" s="78">
        <v>84.403999999999996</v>
      </c>
      <c r="J100" s="67">
        <v>255.881</v>
      </c>
      <c r="K100" s="2" t="s">
        <v>111</v>
      </c>
      <c r="L100" s="31" t="s">
        <v>112</v>
      </c>
    </row>
    <row r="101" spans="1:12" ht="12.75" customHeight="1" x14ac:dyDescent="0.2">
      <c r="A101" s="67">
        <v>102.04900000000001</v>
      </c>
      <c r="B101" s="78">
        <v>0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102.04900000000001</v>
      </c>
      <c r="I101" s="78">
        <v>0</v>
      </c>
      <c r="J101" s="67">
        <v>102.04900000000001</v>
      </c>
      <c r="K101" s="2" t="s">
        <v>113</v>
      </c>
      <c r="L101" s="31" t="s">
        <v>114</v>
      </c>
    </row>
    <row r="102" spans="1:12" ht="12.75" customHeight="1" x14ac:dyDescent="0.2">
      <c r="A102" s="69">
        <v>198.077</v>
      </c>
      <c r="B102" s="79">
        <v>0</v>
      </c>
      <c r="C102" s="79">
        <v>24.210999999999999</v>
      </c>
      <c r="D102" s="79">
        <v>0</v>
      </c>
      <c r="E102" s="79">
        <v>0</v>
      </c>
      <c r="F102" s="79">
        <v>14.641</v>
      </c>
      <c r="G102" s="79">
        <v>13.977</v>
      </c>
      <c r="H102" s="79">
        <v>73.191000000000003</v>
      </c>
      <c r="I102" s="79">
        <v>72.057000000000002</v>
      </c>
      <c r="J102" s="69">
        <v>173.86600000000001</v>
      </c>
      <c r="K102" s="33" t="s">
        <v>115</v>
      </c>
      <c r="L102" s="33" t="s">
        <v>172</v>
      </c>
    </row>
    <row r="103" spans="1:12" s="6" customFormat="1" ht="12.75" customHeight="1" x14ac:dyDescent="0.2">
      <c r="A103" s="67"/>
      <c r="B103" s="78"/>
      <c r="C103" s="68"/>
      <c r="D103" s="68"/>
      <c r="E103" s="68"/>
      <c r="F103" s="68"/>
      <c r="G103" s="68"/>
      <c r="H103" s="68"/>
      <c r="I103" s="68"/>
      <c r="J103" s="68"/>
      <c r="K103" s="47" t="s">
        <v>141</v>
      </c>
    </row>
    <row r="104" spans="1:12" s="6" customFormat="1" ht="12.75" customHeight="1" x14ac:dyDescent="0.2">
      <c r="A104" s="67"/>
      <c r="B104" s="78"/>
      <c r="C104" s="68"/>
      <c r="D104" s="68"/>
      <c r="E104" s="68"/>
      <c r="F104" s="68"/>
      <c r="G104" s="68"/>
      <c r="H104" s="68"/>
      <c r="I104" s="68"/>
      <c r="J104" s="68"/>
      <c r="L104" s="47"/>
    </row>
    <row r="105" spans="1:12" s="6" customFormat="1" ht="12.75" customHeight="1" x14ac:dyDescent="0.2">
      <c r="A105" s="67"/>
      <c r="B105" s="78"/>
      <c r="C105" s="68"/>
      <c r="D105" s="68"/>
      <c r="E105" s="68"/>
      <c r="F105" s="68"/>
      <c r="G105" s="68"/>
      <c r="H105" s="68"/>
      <c r="I105" s="68"/>
      <c r="J105" s="68"/>
      <c r="L105" s="47"/>
    </row>
    <row r="106" spans="1:12" s="6" customFormat="1" ht="12.75" customHeight="1" x14ac:dyDescent="0.2">
      <c r="A106" s="67"/>
      <c r="B106" s="78"/>
      <c r="C106" s="68"/>
      <c r="D106" s="68"/>
      <c r="E106" s="68"/>
      <c r="F106" s="68"/>
      <c r="G106" s="68"/>
      <c r="H106" s="68"/>
      <c r="I106" s="68"/>
      <c r="J106" s="68"/>
      <c r="L106" s="47"/>
    </row>
    <row r="107" spans="1:12" s="6" customFormat="1" ht="12.75" customHeight="1" x14ac:dyDescent="0.2">
      <c r="A107" s="67"/>
      <c r="B107" s="78"/>
      <c r="C107" s="68"/>
      <c r="D107" s="68"/>
      <c r="E107" s="68"/>
      <c r="F107" s="68"/>
      <c r="G107" s="68"/>
      <c r="H107" s="68"/>
      <c r="I107" s="68"/>
      <c r="J107" s="68"/>
      <c r="L107" s="47"/>
    </row>
    <row r="108" spans="1:12" s="6" customFormat="1" ht="12.75" customHeight="1" x14ac:dyDescent="0.2">
      <c r="A108" s="67"/>
      <c r="B108" s="78"/>
      <c r="C108" s="68"/>
      <c r="D108" s="68"/>
      <c r="E108" s="68"/>
      <c r="F108" s="68"/>
      <c r="G108" s="68"/>
      <c r="H108" s="68"/>
      <c r="I108" s="68"/>
      <c r="J108" s="68"/>
      <c r="K108" s="3"/>
      <c r="L108" s="7"/>
    </row>
    <row r="109" spans="1:12" s="6" customFormat="1" ht="12.75" customHeight="1" x14ac:dyDescent="0.2">
      <c r="A109" s="67"/>
      <c r="B109" s="78"/>
      <c r="C109" s="68"/>
      <c r="D109" s="68"/>
      <c r="E109" s="68"/>
      <c r="F109" s="68"/>
      <c r="G109" s="68"/>
      <c r="H109" s="68"/>
      <c r="I109" s="68"/>
      <c r="J109" s="68"/>
      <c r="K109" s="3"/>
      <c r="L109" s="7"/>
    </row>
    <row r="110" spans="1:12" s="6" customFormat="1" ht="12.75" customHeight="1" x14ac:dyDescent="0.2">
      <c r="A110" s="67"/>
      <c r="B110" s="78"/>
      <c r="C110" s="68"/>
      <c r="D110" s="68"/>
      <c r="E110" s="68"/>
      <c r="F110" s="68"/>
      <c r="G110" s="68"/>
      <c r="H110" s="68"/>
      <c r="I110" s="68"/>
      <c r="J110" s="68"/>
      <c r="K110" s="3"/>
      <c r="L110" s="7"/>
    </row>
    <row r="111" spans="1:12" s="6" customFormat="1" ht="12.75" customHeight="1" x14ac:dyDescent="0.2">
      <c r="A111" s="67"/>
      <c r="B111" s="78"/>
      <c r="C111" s="68"/>
      <c r="D111" s="68"/>
      <c r="E111" s="68"/>
      <c r="F111" s="68"/>
      <c r="G111" s="68"/>
      <c r="H111" s="68"/>
      <c r="I111" s="68"/>
      <c r="J111" s="68"/>
      <c r="K111" s="3"/>
      <c r="L111" s="7"/>
    </row>
    <row r="112" spans="1:12" s="6" customFormat="1" ht="12.75" customHeight="1" x14ac:dyDescent="0.2">
      <c r="A112" s="67"/>
      <c r="B112" s="78"/>
      <c r="C112" s="68"/>
      <c r="D112" s="68"/>
      <c r="E112" s="68"/>
      <c r="F112" s="68"/>
      <c r="G112" s="68"/>
      <c r="H112" s="68"/>
      <c r="I112" s="68"/>
      <c r="J112" s="68"/>
      <c r="K112" s="3"/>
      <c r="L112" s="7"/>
    </row>
    <row r="113" spans="1:12" s="6" customFormat="1" ht="12.75" customHeight="1" x14ac:dyDescent="0.2">
      <c r="A113" s="67"/>
      <c r="B113" s="78"/>
      <c r="C113" s="68"/>
      <c r="D113" s="68"/>
      <c r="E113" s="68"/>
      <c r="F113" s="68"/>
      <c r="G113" s="68"/>
      <c r="H113" s="68"/>
      <c r="I113" s="68"/>
      <c r="J113" s="68"/>
      <c r="K113" s="3"/>
      <c r="L113" s="7"/>
    </row>
    <row r="114" spans="1:12" s="6" customFormat="1" ht="12.75" customHeight="1" x14ac:dyDescent="0.2">
      <c r="A114" s="67">
        <v>28.853999999999999</v>
      </c>
      <c r="B114" s="67">
        <v>0</v>
      </c>
      <c r="C114" s="67">
        <v>-1.625</v>
      </c>
      <c r="D114" s="67">
        <v>0</v>
      </c>
      <c r="E114" s="67">
        <v>-0.04</v>
      </c>
      <c r="F114" s="67">
        <v>-1.8640000000000001</v>
      </c>
      <c r="G114" s="67">
        <v>-0.79700000000000004</v>
      </c>
      <c r="H114" s="67">
        <v>50.951000000000001</v>
      </c>
      <c r="I114" s="67">
        <v>-17.766999999999999</v>
      </c>
      <c r="J114" s="67">
        <v>30.478999999999999</v>
      </c>
      <c r="K114" s="62" t="s">
        <v>208</v>
      </c>
      <c r="L114" s="4" t="s">
        <v>168</v>
      </c>
    </row>
    <row r="115" spans="1:12" s="6" customFormat="1" ht="12.75" customHeight="1" x14ac:dyDescent="0.2">
      <c r="A115" s="67">
        <v>0</v>
      </c>
      <c r="B115" s="78">
        <v>0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67">
        <v>0</v>
      </c>
      <c r="K115" s="3" t="s">
        <v>209</v>
      </c>
      <c r="L115" s="7" t="s">
        <v>104</v>
      </c>
    </row>
    <row r="116" spans="1:12" s="6" customFormat="1" ht="12.75" customHeight="1" x14ac:dyDescent="0.2">
      <c r="A116" s="67">
        <v>-2.476</v>
      </c>
      <c r="B116" s="78">
        <v>0</v>
      </c>
      <c r="C116" s="78">
        <v>0.876</v>
      </c>
      <c r="D116" s="78">
        <v>0</v>
      </c>
      <c r="E116" s="78">
        <v>0</v>
      </c>
      <c r="F116" s="78">
        <v>0</v>
      </c>
      <c r="G116" s="78">
        <v>0.44700000000000001</v>
      </c>
      <c r="H116" s="78">
        <v>-3.7989999999999999</v>
      </c>
      <c r="I116" s="78">
        <v>0</v>
      </c>
      <c r="J116" s="67">
        <v>-3.3530000000000002</v>
      </c>
      <c r="K116" s="3" t="s">
        <v>210</v>
      </c>
      <c r="L116" s="7" t="s">
        <v>106</v>
      </c>
    </row>
    <row r="117" spans="1:12" s="6" customFormat="1" ht="12.75" customHeight="1" x14ac:dyDescent="0.2">
      <c r="A117" s="67">
        <v>9.6539999999999999</v>
      </c>
      <c r="B117" s="78">
        <v>0</v>
      </c>
      <c r="C117" s="78">
        <v>9.6549999999999994</v>
      </c>
      <c r="D117" s="78">
        <v>0</v>
      </c>
      <c r="E117" s="78">
        <v>0</v>
      </c>
      <c r="F117" s="78">
        <v>0</v>
      </c>
      <c r="G117" s="78">
        <v>1E-3</v>
      </c>
      <c r="H117" s="78">
        <v>1E-3</v>
      </c>
      <c r="I117" s="78">
        <v>0</v>
      </c>
      <c r="J117" s="67">
        <v>0</v>
      </c>
      <c r="K117" s="3" t="s">
        <v>211</v>
      </c>
      <c r="L117" s="7" t="s">
        <v>108</v>
      </c>
    </row>
    <row r="118" spans="1:12" s="6" customFormat="1" ht="12.75" customHeight="1" x14ac:dyDescent="0.2">
      <c r="A118" s="67">
        <v>-23.768000000000001</v>
      </c>
      <c r="B118" s="78">
        <v>0</v>
      </c>
      <c r="C118" s="78">
        <v>-9.6140000000000008</v>
      </c>
      <c r="D118" s="78">
        <v>0</v>
      </c>
      <c r="E118" s="78">
        <v>-0.04</v>
      </c>
      <c r="F118" s="78">
        <v>-1.865</v>
      </c>
      <c r="G118" s="78">
        <v>-1.2749999999999999</v>
      </c>
      <c r="H118" s="78">
        <v>2.629</v>
      </c>
      <c r="I118" s="78">
        <v>-13.603999999999999</v>
      </c>
      <c r="J118" s="67">
        <v>-14.154999999999999</v>
      </c>
      <c r="K118" s="3" t="s">
        <v>212</v>
      </c>
      <c r="L118" s="7" t="s">
        <v>110</v>
      </c>
    </row>
    <row r="119" spans="1:12" s="6" customFormat="1" ht="12.75" customHeight="1" x14ac:dyDescent="0.2">
      <c r="A119" s="67">
        <v>-3.7490000000000001</v>
      </c>
      <c r="B119" s="78">
        <v>0</v>
      </c>
      <c r="C119" s="78">
        <v>0.21099999999999999</v>
      </c>
      <c r="D119" s="78">
        <v>0</v>
      </c>
      <c r="E119" s="78">
        <v>0</v>
      </c>
      <c r="F119" s="78">
        <v>0</v>
      </c>
      <c r="G119" s="78">
        <v>0</v>
      </c>
      <c r="H119" s="78">
        <v>-3.96</v>
      </c>
      <c r="I119" s="78">
        <v>0</v>
      </c>
      <c r="J119" s="67">
        <v>-3.96</v>
      </c>
      <c r="K119" s="3" t="s">
        <v>213</v>
      </c>
      <c r="L119" s="7" t="s">
        <v>162</v>
      </c>
    </row>
    <row r="120" spans="1:12" s="6" customFormat="1" ht="12.75" customHeight="1" x14ac:dyDescent="0.2">
      <c r="A120" s="67">
        <v>56.08</v>
      </c>
      <c r="B120" s="78">
        <v>0</v>
      </c>
      <c r="C120" s="78">
        <v>0</v>
      </c>
      <c r="D120" s="78">
        <v>0</v>
      </c>
      <c r="E120" s="78">
        <v>0</v>
      </c>
      <c r="F120" s="78">
        <v>0</v>
      </c>
      <c r="G120" s="78">
        <v>0</v>
      </c>
      <c r="H120" s="78">
        <v>56.08</v>
      </c>
      <c r="I120" s="78">
        <v>0</v>
      </c>
      <c r="J120" s="67">
        <v>56.08</v>
      </c>
      <c r="K120" s="3" t="s">
        <v>214</v>
      </c>
      <c r="L120" s="7" t="s">
        <v>114</v>
      </c>
    </row>
    <row r="121" spans="1:12" s="6" customFormat="1" ht="12.75" customHeight="1" x14ac:dyDescent="0.2">
      <c r="A121" s="69">
        <v>-6.8869999999999996</v>
      </c>
      <c r="B121" s="79">
        <v>0</v>
      </c>
      <c r="C121" s="79">
        <v>-2.7530000000000001</v>
      </c>
      <c r="D121" s="79">
        <v>0</v>
      </c>
      <c r="E121" s="79">
        <v>0</v>
      </c>
      <c r="F121" s="79">
        <v>1E-3</v>
      </c>
      <c r="G121" s="79">
        <v>0.03</v>
      </c>
      <c r="H121" s="79">
        <v>0</v>
      </c>
      <c r="I121" s="79">
        <v>-4.1630000000000003</v>
      </c>
      <c r="J121" s="69">
        <v>-4.133</v>
      </c>
      <c r="K121" s="33" t="s">
        <v>215</v>
      </c>
      <c r="L121" s="33" t="s">
        <v>172</v>
      </c>
    </row>
    <row r="122" spans="1:12" s="6" customFormat="1" ht="12.75" customHeight="1" x14ac:dyDescent="0.2">
      <c r="A122" s="67"/>
      <c r="B122" s="78"/>
      <c r="C122" s="68"/>
      <c r="D122" s="68"/>
      <c r="E122" s="68"/>
      <c r="F122" s="68"/>
      <c r="G122" s="68"/>
      <c r="H122" s="68"/>
      <c r="I122" s="68"/>
      <c r="J122" s="68"/>
      <c r="K122" s="47" t="s">
        <v>165</v>
      </c>
    </row>
    <row r="123" spans="1:12" s="6" customFormat="1" ht="12.75" customHeight="1" x14ac:dyDescent="0.2">
      <c r="A123" s="67"/>
      <c r="B123" s="78"/>
      <c r="C123" s="68"/>
      <c r="D123" s="68"/>
      <c r="E123" s="68"/>
      <c r="F123" s="68"/>
      <c r="G123" s="68"/>
      <c r="H123" s="68"/>
      <c r="I123" s="68"/>
      <c r="J123" s="68"/>
      <c r="L123" s="47"/>
    </row>
    <row r="124" spans="1:12" s="6" customFormat="1" ht="12.75" customHeight="1" x14ac:dyDescent="0.2">
      <c r="A124" s="67"/>
      <c r="B124" s="78"/>
      <c r="C124" s="68"/>
      <c r="D124" s="68"/>
      <c r="E124" s="68"/>
      <c r="F124" s="68"/>
      <c r="G124" s="68"/>
      <c r="H124" s="68"/>
      <c r="I124" s="68"/>
      <c r="J124" s="68"/>
      <c r="L124" s="47"/>
    </row>
    <row r="125" spans="1:12" s="6" customFormat="1" ht="12.75" customHeight="1" x14ac:dyDescent="0.2">
      <c r="A125" s="67"/>
      <c r="B125" s="78"/>
      <c r="C125" s="68"/>
      <c r="D125" s="68"/>
      <c r="E125" s="68"/>
      <c r="F125" s="68"/>
      <c r="G125" s="68"/>
      <c r="H125" s="68"/>
      <c r="I125" s="68"/>
      <c r="J125" s="68"/>
      <c r="L125" s="47"/>
    </row>
    <row r="126" spans="1:12" s="6" customFormat="1" ht="12.75" customHeight="1" x14ac:dyDescent="0.2">
      <c r="A126" s="67"/>
      <c r="B126" s="78"/>
      <c r="C126" s="68"/>
      <c r="D126" s="68"/>
      <c r="E126" s="68"/>
      <c r="F126" s="68"/>
      <c r="G126" s="68"/>
      <c r="H126" s="68"/>
      <c r="I126" s="68"/>
      <c r="J126" s="68"/>
      <c r="L126" s="47"/>
    </row>
    <row r="127" spans="1:12" s="6" customFormat="1" ht="12.75" customHeight="1" x14ac:dyDescent="0.2">
      <c r="A127" s="67"/>
      <c r="B127" s="78"/>
      <c r="C127" s="68"/>
      <c r="D127" s="68"/>
      <c r="E127" s="68"/>
      <c r="F127" s="68"/>
      <c r="G127" s="68"/>
      <c r="H127" s="68"/>
      <c r="I127" s="68"/>
      <c r="J127" s="68"/>
      <c r="K127" s="3"/>
      <c r="L127" s="7"/>
    </row>
    <row r="128" spans="1:12" s="6" customFormat="1" ht="12.75" customHeight="1" x14ac:dyDescent="0.2">
      <c r="A128" s="67"/>
      <c r="B128" s="78"/>
      <c r="C128" s="68"/>
      <c r="D128" s="68"/>
      <c r="E128" s="68"/>
      <c r="F128" s="68"/>
      <c r="G128" s="68"/>
      <c r="H128" s="68"/>
      <c r="I128" s="68"/>
      <c r="J128" s="68"/>
      <c r="K128" s="3"/>
      <c r="L128" s="7"/>
    </row>
    <row r="129" spans="1:12" s="6" customFormat="1" ht="12.75" customHeight="1" x14ac:dyDescent="0.2">
      <c r="A129" s="67"/>
      <c r="B129" s="78"/>
      <c r="C129" s="68"/>
      <c r="D129" s="68"/>
      <c r="E129" s="68"/>
      <c r="F129" s="68"/>
      <c r="G129" s="68"/>
      <c r="H129" s="68"/>
      <c r="I129" s="68"/>
      <c r="J129" s="68"/>
      <c r="K129" s="3"/>
      <c r="L129" s="7"/>
    </row>
    <row r="130" spans="1:12" s="6" customFormat="1" ht="12.75" customHeight="1" x14ac:dyDescent="0.2">
      <c r="A130" s="67"/>
      <c r="B130" s="78"/>
      <c r="C130" s="68"/>
      <c r="D130" s="68"/>
      <c r="E130" s="68"/>
      <c r="F130" s="68"/>
      <c r="G130" s="68"/>
      <c r="H130" s="68"/>
      <c r="I130" s="68"/>
      <c r="J130" s="68"/>
      <c r="K130" s="3"/>
      <c r="L130" s="7"/>
    </row>
    <row r="131" spans="1:12" s="6" customFormat="1" ht="12.75" customHeight="1" x14ac:dyDescent="0.2">
      <c r="A131" s="67"/>
      <c r="B131" s="78"/>
      <c r="C131" s="68"/>
      <c r="D131" s="68"/>
      <c r="E131" s="68"/>
      <c r="F131" s="68"/>
      <c r="G131" s="68"/>
      <c r="H131" s="68"/>
      <c r="I131" s="68"/>
      <c r="J131" s="68"/>
      <c r="K131" s="3"/>
      <c r="L131" s="7"/>
    </row>
    <row r="132" spans="1:12" s="6" customFormat="1" ht="12.75" customHeight="1" x14ac:dyDescent="0.2">
      <c r="A132" s="67"/>
      <c r="B132" s="78"/>
      <c r="C132" s="68"/>
      <c r="D132" s="68"/>
      <c r="E132" s="68"/>
      <c r="F132" s="68"/>
      <c r="G132" s="68"/>
      <c r="H132" s="68"/>
      <c r="I132" s="68"/>
      <c r="J132" s="68"/>
      <c r="K132" s="3"/>
      <c r="L132" s="7"/>
    </row>
    <row r="133" spans="1:12" s="6" customFormat="1" ht="12.75" customHeight="1" x14ac:dyDescent="0.2">
      <c r="A133" s="67">
        <v>-309.02300000000002</v>
      </c>
      <c r="B133" s="67">
        <v>0</v>
      </c>
      <c r="C133" s="67">
        <v>-405.43</v>
      </c>
      <c r="D133" s="67">
        <v>0</v>
      </c>
      <c r="E133" s="67">
        <v>0.31</v>
      </c>
      <c r="F133" s="67">
        <v>-0.54200000000000004</v>
      </c>
      <c r="G133" s="67">
        <v>-38.281999999999996</v>
      </c>
      <c r="H133" s="67">
        <v>-642.55799999999999</v>
      </c>
      <c r="I133" s="67">
        <v>777.47799999999995</v>
      </c>
      <c r="J133" s="67">
        <v>96.406999999999996</v>
      </c>
      <c r="K133" s="62" t="s">
        <v>208</v>
      </c>
      <c r="L133" s="4" t="s">
        <v>168</v>
      </c>
    </row>
    <row r="134" spans="1:12" s="6" customFormat="1" ht="12.75" customHeight="1" x14ac:dyDescent="0.2">
      <c r="A134" s="67">
        <v>4.4000000000000004</v>
      </c>
      <c r="B134" s="78">
        <v>0</v>
      </c>
      <c r="C134" s="78">
        <v>4.4000000000000004</v>
      </c>
      <c r="D134" s="78">
        <v>0</v>
      </c>
      <c r="E134" s="78">
        <v>0</v>
      </c>
      <c r="F134" s="78">
        <v>0</v>
      </c>
      <c r="G134" s="78">
        <v>0</v>
      </c>
      <c r="H134" s="78">
        <v>0</v>
      </c>
      <c r="I134" s="78">
        <v>0</v>
      </c>
      <c r="J134" s="67">
        <v>0</v>
      </c>
      <c r="K134" s="3" t="s">
        <v>209</v>
      </c>
      <c r="L134" s="7" t="s">
        <v>104</v>
      </c>
    </row>
    <row r="135" spans="1:12" s="6" customFormat="1" ht="12.75" customHeight="1" x14ac:dyDescent="0.2">
      <c r="A135" s="67">
        <v>-42.747999999999998</v>
      </c>
      <c r="B135" s="78">
        <v>0</v>
      </c>
      <c r="C135" s="78">
        <v>-28.111000000000001</v>
      </c>
      <c r="D135" s="78">
        <v>0</v>
      </c>
      <c r="E135" s="78">
        <v>0</v>
      </c>
      <c r="F135" s="78">
        <v>0</v>
      </c>
      <c r="G135" s="78">
        <v>0</v>
      </c>
      <c r="H135" s="78">
        <v>-14.637</v>
      </c>
      <c r="I135" s="78">
        <v>0</v>
      </c>
      <c r="J135" s="67">
        <v>-14.637</v>
      </c>
      <c r="K135" s="3" t="s">
        <v>210</v>
      </c>
      <c r="L135" s="7" t="s">
        <v>106</v>
      </c>
    </row>
    <row r="136" spans="1:12" s="6" customFormat="1" ht="12.75" customHeight="1" x14ac:dyDescent="0.2">
      <c r="A136" s="67">
        <v>-1357.2719999999999</v>
      </c>
      <c r="B136" s="78">
        <v>0</v>
      </c>
      <c r="C136" s="78">
        <v>-518.94799999999998</v>
      </c>
      <c r="D136" s="78">
        <v>0</v>
      </c>
      <c r="E136" s="78">
        <v>-2E-3</v>
      </c>
      <c r="F136" s="78">
        <v>0</v>
      </c>
      <c r="G136" s="78">
        <v>-38.281999999999996</v>
      </c>
      <c r="H136" s="78">
        <v>-817.97900000000004</v>
      </c>
      <c r="I136" s="78">
        <v>17.937999999999999</v>
      </c>
      <c r="J136" s="67">
        <v>-838.32500000000005</v>
      </c>
      <c r="K136" s="3" t="s">
        <v>211</v>
      </c>
      <c r="L136" s="7" t="s">
        <v>108</v>
      </c>
    </row>
    <row r="137" spans="1:12" s="6" customFormat="1" ht="12.75" customHeight="1" x14ac:dyDescent="0.2">
      <c r="A137" s="67">
        <v>3.0289999999999999</v>
      </c>
      <c r="B137" s="78">
        <v>0</v>
      </c>
      <c r="C137" s="78">
        <v>0.63400000000000001</v>
      </c>
      <c r="D137" s="78">
        <v>0</v>
      </c>
      <c r="E137" s="78">
        <v>-3.0000000000000001E-3</v>
      </c>
      <c r="F137" s="78">
        <v>-0.54200000000000004</v>
      </c>
      <c r="G137" s="78">
        <v>0</v>
      </c>
      <c r="H137" s="78">
        <v>-1.2290000000000001</v>
      </c>
      <c r="I137" s="78">
        <v>4.1689999999999996</v>
      </c>
      <c r="J137" s="67">
        <v>2.3959999999999999</v>
      </c>
      <c r="K137" s="3" t="s">
        <v>212</v>
      </c>
      <c r="L137" s="7" t="s">
        <v>110</v>
      </c>
    </row>
    <row r="138" spans="1:12" s="6" customFormat="1" ht="12.75" customHeight="1" x14ac:dyDescent="0.2">
      <c r="A138" s="67">
        <v>1059.194</v>
      </c>
      <c r="B138" s="78">
        <v>0</v>
      </c>
      <c r="C138" s="78">
        <v>135.816</v>
      </c>
      <c r="D138" s="78">
        <v>0</v>
      </c>
      <c r="E138" s="78">
        <v>0.315</v>
      </c>
      <c r="F138" s="78">
        <v>0</v>
      </c>
      <c r="G138" s="78">
        <v>0</v>
      </c>
      <c r="H138" s="78">
        <v>167.91900000000001</v>
      </c>
      <c r="I138" s="78">
        <v>755.14400000000001</v>
      </c>
      <c r="J138" s="67">
        <v>923.37800000000004</v>
      </c>
      <c r="K138" s="3" t="s">
        <v>213</v>
      </c>
      <c r="L138" s="7" t="s">
        <v>162</v>
      </c>
    </row>
    <row r="139" spans="1:12" s="6" customFormat="1" ht="12.75" customHeight="1" x14ac:dyDescent="0.2">
      <c r="A139" s="67">
        <v>23.367999999999999</v>
      </c>
      <c r="B139" s="78">
        <v>0</v>
      </c>
      <c r="C139" s="78">
        <v>0</v>
      </c>
      <c r="D139" s="78">
        <v>0</v>
      </c>
      <c r="E139" s="78">
        <v>0</v>
      </c>
      <c r="F139" s="78">
        <v>0</v>
      </c>
      <c r="G139" s="78">
        <v>0</v>
      </c>
      <c r="H139" s="78">
        <v>23.367999999999999</v>
      </c>
      <c r="I139" s="78">
        <v>0</v>
      </c>
      <c r="J139" s="67">
        <v>23.367999999999999</v>
      </c>
      <c r="K139" s="3" t="s">
        <v>214</v>
      </c>
      <c r="L139" s="7" t="s">
        <v>114</v>
      </c>
    </row>
    <row r="140" spans="1:12" s="6" customFormat="1" ht="12.75" customHeight="1" x14ac:dyDescent="0.2">
      <c r="A140" s="69">
        <v>1.006</v>
      </c>
      <c r="B140" s="79">
        <v>0</v>
      </c>
      <c r="C140" s="79">
        <v>0.77900000000000003</v>
      </c>
      <c r="D140" s="79">
        <v>0</v>
      </c>
      <c r="E140" s="79">
        <v>0</v>
      </c>
      <c r="F140" s="79">
        <v>0</v>
      </c>
      <c r="G140" s="79">
        <v>0</v>
      </c>
      <c r="H140" s="79">
        <v>0</v>
      </c>
      <c r="I140" s="79">
        <v>0.22700000000000001</v>
      </c>
      <c r="J140" s="69">
        <v>0.22700000000000001</v>
      </c>
      <c r="K140" s="33" t="s">
        <v>215</v>
      </c>
      <c r="L140" s="33" t="s">
        <v>172</v>
      </c>
    </row>
    <row r="141" spans="1:12" s="6" customFormat="1" ht="12.75" customHeight="1" x14ac:dyDescent="0.2">
      <c r="A141" s="67"/>
      <c r="B141" s="78"/>
      <c r="C141" s="68"/>
      <c r="D141" s="68"/>
      <c r="E141" s="68"/>
      <c r="F141" s="68"/>
      <c r="G141" s="68"/>
      <c r="H141" s="68"/>
      <c r="I141" s="68"/>
      <c r="J141" s="68"/>
      <c r="K141" s="47" t="s">
        <v>166</v>
      </c>
    </row>
    <row r="142" spans="1:12" s="6" customFormat="1" ht="12.75" customHeight="1" x14ac:dyDescent="0.2">
      <c r="A142" s="67"/>
      <c r="B142" s="78"/>
      <c r="C142" s="68"/>
      <c r="D142" s="68"/>
      <c r="E142" s="68"/>
      <c r="F142" s="68"/>
      <c r="G142" s="68"/>
      <c r="H142" s="68"/>
      <c r="I142" s="68"/>
      <c r="J142" s="68"/>
      <c r="L142" s="47"/>
    </row>
    <row r="143" spans="1:12" s="6" customFormat="1" ht="12.75" customHeight="1" x14ac:dyDescent="0.2">
      <c r="A143" s="67"/>
      <c r="B143" s="78"/>
      <c r="C143" s="68"/>
      <c r="D143" s="68"/>
      <c r="E143" s="68"/>
      <c r="F143" s="68"/>
      <c r="G143" s="68"/>
      <c r="H143" s="68"/>
      <c r="I143" s="68"/>
      <c r="J143" s="68"/>
      <c r="L143" s="47"/>
    </row>
    <row r="144" spans="1:12" s="6" customFormat="1" ht="12.75" customHeight="1" x14ac:dyDescent="0.2">
      <c r="A144" s="67"/>
      <c r="B144" s="78"/>
      <c r="C144" s="68"/>
      <c r="D144" s="68"/>
      <c r="E144" s="68"/>
      <c r="F144" s="68"/>
      <c r="G144" s="68"/>
      <c r="H144" s="68"/>
      <c r="I144" s="68"/>
      <c r="J144" s="68"/>
      <c r="L144" s="47"/>
    </row>
    <row r="145" spans="1:12" s="6" customFormat="1" ht="12.75" customHeight="1" x14ac:dyDescent="0.2">
      <c r="A145" s="67"/>
      <c r="B145" s="78"/>
      <c r="C145" s="68"/>
      <c r="D145" s="68"/>
      <c r="E145" s="68"/>
      <c r="F145" s="68"/>
      <c r="G145" s="68"/>
      <c r="H145" s="68"/>
      <c r="I145" s="68"/>
      <c r="J145" s="68"/>
      <c r="L145" s="47"/>
    </row>
    <row r="146" spans="1:12" s="6" customFormat="1" ht="12.75" customHeight="1" x14ac:dyDescent="0.2">
      <c r="A146" s="67"/>
      <c r="B146" s="78"/>
      <c r="C146" s="68"/>
      <c r="D146" s="68"/>
      <c r="E146" s="68"/>
      <c r="F146" s="68"/>
      <c r="G146" s="68"/>
      <c r="H146" s="68"/>
      <c r="I146" s="68"/>
      <c r="J146" s="68"/>
      <c r="K146" s="3"/>
      <c r="L146" s="7"/>
    </row>
    <row r="147" spans="1:12" s="6" customFormat="1" ht="12.75" customHeight="1" x14ac:dyDescent="0.2">
      <c r="A147" s="67"/>
      <c r="B147" s="78"/>
      <c r="C147" s="68"/>
      <c r="D147" s="68"/>
      <c r="E147" s="68"/>
      <c r="F147" s="68"/>
      <c r="G147" s="68"/>
      <c r="H147" s="68"/>
      <c r="I147" s="68"/>
      <c r="J147" s="68"/>
      <c r="K147" s="3"/>
      <c r="L147" s="7"/>
    </row>
    <row r="148" spans="1:12" s="6" customFormat="1" ht="12.75" customHeight="1" x14ac:dyDescent="0.2">
      <c r="A148" s="67"/>
      <c r="B148" s="78"/>
      <c r="C148" s="68"/>
      <c r="D148" s="68"/>
      <c r="E148" s="68"/>
      <c r="F148" s="68"/>
      <c r="G148" s="68"/>
      <c r="H148" s="68"/>
      <c r="I148" s="68"/>
      <c r="J148" s="68"/>
      <c r="K148" s="3"/>
      <c r="L148" s="7"/>
    </row>
    <row r="149" spans="1:12" s="6" customFormat="1" ht="12.75" customHeight="1" x14ac:dyDescent="0.2">
      <c r="A149" s="67"/>
      <c r="B149" s="78"/>
      <c r="C149" s="68"/>
      <c r="D149" s="68"/>
      <c r="E149" s="68"/>
      <c r="F149" s="68"/>
      <c r="G149" s="68"/>
      <c r="H149" s="68"/>
      <c r="I149" s="68"/>
      <c r="J149" s="68"/>
      <c r="K149" s="3"/>
      <c r="L149" s="7"/>
    </row>
    <row r="150" spans="1:12" s="6" customFormat="1" ht="12.75" customHeight="1" x14ac:dyDescent="0.2">
      <c r="A150" s="67"/>
      <c r="B150" s="78"/>
      <c r="C150" s="68"/>
      <c r="D150" s="68"/>
      <c r="E150" s="68"/>
      <c r="F150" s="68"/>
      <c r="G150" s="68"/>
      <c r="H150" s="68"/>
      <c r="I150" s="68"/>
      <c r="J150" s="68"/>
      <c r="K150" s="3"/>
      <c r="L150" s="7"/>
    </row>
    <row r="151" spans="1:12" s="6" customFormat="1" ht="12.75" customHeight="1" x14ac:dyDescent="0.2">
      <c r="A151" s="67"/>
      <c r="B151" s="78"/>
      <c r="C151" s="68"/>
      <c r="D151" s="68"/>
      <c r="E151" s="68"/>
      <c r="F151" s="68"/>
      <c r="G151" s="68"/>
      <c r="H151" s="68"/>
      <c r="I151" s="68"/>
      <c r="J151" s="68"/>
      <c r="K151" s="3"/>
      <c r="L151" s="7"/>
    </row>
    <row r="152" spans="1:12" s="6" customFormat="1" ht="12.75" customHeight="1" x14ac:dyDescent="0.2">
      <c r="A152" s="67">
        <v>23233.588</v>
      </c>
      <c r="B152" s="67">
        <v>0</v>
      </c>
      <c r="C152" s="67">
        <v>4699.0010000000002</v>
      </c>
      <c r="D152" s="67">
        <v>0</v>
      </c>
      <c r="E152" s="67">
        <v>17.03</v>
      </c>
      <c r="F152" s="67">
        <v>979.00099999999998</v>
      </c>
      <c r="G152" s="67">
        <v>1474.0340000000001</v>
      </c>
      <c r="H152" s="67">
        <v>9301.0650000000005</v>
      </c>
      <c r="I152" s="67">
        <v>6763.4589999999998</v>
      </c>
      <c r="J152" s="67">
        <v>18534.588</v>
      </c>
      <c r="K152" s="62" t="s">
        <v>208</v>
      </c>
      <c r="L152" s="4" t="s">
        <v>168</v>
      </c>
    </row>
    <row r="153" spans="1:12" s="6" customFormat="1" ht="12.75" customHeight="1" x14ac:dyDescent="0.2">
      <c r="A153" s="67">
        <v>42.908000000000001</v>
      </c>
      <c r="B153" s="78">
        <v>0</v>
      </c>
      <c r="C153" s="78">
        <v>42.908000000000001</v>
      </c>
      <c r="D153" s="78">
        <v>0</v>
      </c>
      <c r="E153" s="78">
        <v>0</v>
      </c>
      <c r="F153" s="78">
        <v>0</v>
      </c>
      <c r="G153" s="78">
        <v>0</v>
      </c>
      <c r="H153" s="78">
        <v>0</v>
      </c>
      <c r="I153" s="78">
        <v>0</v>
      </c>
      <c r="J153" s="67">
        <v>0</v>
      </c>
      <c r="K153" s="3" t="s">
        <v>209</v>
      </c>
      <c r="L153" s="7" t="s">
        <v>104</v>
      </c>
    </row>
    <row r="154" spans="1:12" s="6" customFormat="1" ht="12.75" customHeight="1" x14ac:dyDescent="0.2">
      <c r="A154" s="67">
        <v>4701.8469999999998</v>
      </c>
      <c r="B154" s="78">
        <v>0</v>
      </c>
      <c r="C154" s="78">
        <v>934.03599999999994</v>
      </c>
      <c r="D154" s="78">
        <v>0</v>
      </c>
      <c r="E154" s="78">
        <v>0</v>
      </c>
      <c r="F154" s="78">
        <v>0</v>
      </c>
      <c r="G154" s="78">
        <v>69.042000000000002</v>
      </c>
      <c r="H154" s="78">
        <v>3698.7689999999998</v>
      </c>
      <c r="I154" s="78">
        <v>0</v>
      </c>
      <c r="J154" s="67">
        <v>3767.8110000000001</v>
      </c>
      <c r="K154" s="3" t="s">
        <v>210</v>
      </c>
      <c r="L154" s="7" t="s">
        <v>106</v>
      </c>
    </row>
    <row r="155" spans="1:12" s="6" customFormat="1" ht="12.75" customHeight="1" x14ac:dyDescent="0.2">
      <c r="A155" s="67">
        <v>4377.2749999999996</v>
      </c>
      <c r="B155" s="78">
        <v>0</v>
      </c>
      <c r="C155" s="78">
        <v>1601.201</v>
      </c>
      <c r="D155" s="78">
        <v>0</v>
      </c>
      <c r="E155" s="78">
        <v>4.1000000000000002E-2</v>
      </c>
      <c r="F155" s="78">
        <v>0</v>
      </c>
      <c r="G155" s="78">
        <v>1027.655</v>
      </c>
      <c r="H155" s="78">
        <v>1448.461</v>
      </c>
      <c r="I155" s="78">
        <v>299.91800000000001</v>
      </c>
      <c r="J155" s="67">
        <v>2776.0740000000001</v>
      </c>
      <c r="K155" s="3" t="s">
        <v>211</v>
      </c>
      <c r="L155" s="7" t="s">
        <v>108</v>
      </c>
    </row>
    <row r="156" spans="1:12" s="6" customFormat="1" ht="12.75" customHeight="1" x14ac:dyDescent="0.2">
      <c r="A156" s="67">
        <v>2995.9780000000001</v>
      </c>
      <c r="B156" s="78">
        <v>0</v>
      </c>
      <c r="C156" s="78">
        <v>395.31599999999997</v>
      </c>
      <c r="D156" s="78">
        <v>0</v>
      </c>
      <c r="E156" s="78">
        <v>11.831</v>
      </c>
      <c r="F156" s="78">
        <v>807.91399999999999</v>
      </c>
      <c r="G156" s="78">
        <v>187.953</v>
      </c>
      <c r="H156" s="78">
        <v>253.28200000000001</v>
      </c>
      <c r="I156" s="78">
        <v>1339.682</v>
      </c>
      <c r="J156" s="67">
        <v>2600.6619999999998</v>
      </c>
      <c r="K156" s="3" t="s">
        <v>212</v>
      </c>
      <c r="L156" s="7" t="s">
        <v>110</v>
      </c>
    </row>
    <row r="157" spans="1:12" s="6" customFormat="1" ht="12.75" customHeight="1" x14ac:dyDescent="0.2">
      <c r="A157" s="67">
        <v>8103.0330000000004</v>
      </c>
      <c r="B157" s="78">
        <v>0</v>
      </c>
      <c r="C157" s="78">
        <v>1536.9680000000001</v>
      </c>
      <c r="D157" s="78">
        <v>0</v>
      </c>
      <c r="E157" s="78">
        <v>5.1580000000000004</v>
      </c>
      <c r="F157" s="78">
        <v>0</v>
      </c>
      <c r="G157" s="78">
        <v>0</v>
      </c>
      <c r="H157" s="78">
        <v>2250.0140000000001</v>
      </c>
      <c r="I157" s="78">
        <v>4310.893</v>
      </c>
      <c r="J157" s="67">
        <v>6566.0649999999996</v>
      </c>
      <c r="K157" s="3" t="s">
        <v>213</v>
      </c>
      <c r="L157" s="7" t="s">
        <v>162</v>
      </c>
    </row>
    <row r="158" spans="1:12" s="6" customFormat="1" ht="12.75" customHeight="1" x14ac:dyDescent="0.2">
      <c r="A158" s="67">
        <v>1298.567</v>
      </c>
      <c r="B158" s="78">
        <v>0</v>
      </c>
      <c r="C158" s="78">
        <v>0</v>
      </c>
      <c r="D158" s="78">
        <v>0</v>
      </c>
      <c r="E158" s="78">
        <v>0</v>
      </c>
      <c r="F158" s="78">
        <v>0</v>
      </c>
      <c r="G158" s="78">
        <v>0</v>
      </c>
      <c r="H158" s="78">
        <v>1298.567</v>
      </c>
      <c r="I158" s="78">
        <v>0</v>
      </c>
      <c r="J158" s="67">
        <v>1298.567</v>
      </c>
      <c r="K158" s="3" t="s">
        <v>214</v>
      </c>
      <c r="L158" s="7" t="s">
        <v>114</v>
      </c>
    </row>
    <row r="159" spans="1:12" s="6" customFormat="1" ht="12.75" customHeight="1" x14ac:dyDescent="0.2">
      <c r="A159" s="67">
        <v>1713.98</v>
      </c>
      <c r="B159" s="78">
        <v>0</v>
      </c>
      <c r="C159" s="78">
        <v>188.572</v>
      </c>
      <c r="D159" s="78">
        <v>0</v>
      </c>
      <c r="E159" s="78">
        <v>0</v>
      </c>
      <c r="F159" s="78">
        <v>171.08699999999999</v>
      </c>
      <c r="G159" s="78">
        <v>189.38399999999999</v>
      </c>
      <c r="H159" s="78">
        <v>351.97199999999998</v>
      </c>
      <c r="I159" s="78">
        <v>812.96600000000001</v>
      </c>
      <c r="J159" s="67">
        <v>1525.4090000000001</v>
      </c>
      <c r="K159" s="3" t="s">
        <v>215</v>
      </c>
      <c r="L159" s="7" t="s">
        <v>172</v>
      </c>
    </row>
    <row r="160" spans="1:12" s="6" customFormat="1" ht="12.75" customHeight="1" x14ac:dyDescent="0.2">
      <c r="A160" s="67">
        <v>11363.29</v>
      </c>
      <c r="B160" s="67">
        <v>0</v>
      </c>
      <c r="C160" s="67">
        <v>53.398999999999432</v>
      </c>
      <c r="D160" s="67">
        <v>0</v>
      </c>
      <c r="E160" s="67">
        <v>85.278999999999996</v>
      </c>
      <c r="F160" s="67">
        <v>8890.6460000000006</v>
      </c>
      <c r="G160" s="67">
        <v>701.5319999999997</v>
      </c>
      <c r="H160" s="67">
        <v>382.33500000000095</v>
      </c>
      <c r="I160" s="67">
        <v>1250.0990000000011</v>
      </c>
      <c r="J160" s="67">
        <v>11309.891</v>
      </c>
      <c r="K160" s="4" t="s">
        <v>169</v>
      </c>
      <c r="L160" s="4" t="s">
        <v>170</v>
      </c>
    </row>
    <row r="161" spans="1:12" s="6" customFormat="1" ht="12.75" customHeight="1" x14ac:dyDescent="0.2">
      <c r="A161" s="67">
        <v>19466.322999999997</v>
      </c>
      <c r="B161" s="67">
        <v>0</v>
      </c>
      <c r="C161" s="67">
        <v>1590.3669999999995</v>
      </c>
      <c r="D161" s="67">
        <v>0</v>
      </c>
      <c r="E161" s="67">
        <v>90.436999999999998</v>
      </c>
      <c r="F161" s="67">
        <v>8890.6460000000006</v>
      </c>
      <c r="G161" s="67">
        <v>701.5319999999997</v>
      </c>
      <c r="H161" s="67">
        <v>2632.3490000000011</v>
      </c>
      <c r="I161" s="67">
        <v>5560.9920000000011</v>
      </c>
      <c r="J161" s="67">
        <v>17875.955999999998</v>
      </c>
      <c r="K161" s="4" t="s">
        <v>230</v>
      </c>
      <c r="L161" s="4" t="s">
        <v>231</v>
      </c>
    </row>
    <row r="162" spans="1:12" s="6" customFormat="1" ht="12.75" customHeight="1" x14ac:dyDescent="0.2">
      <c r="A162" s="69">
        <v>34596.877999999997</v>
      </c>
      <c r="B162" s="69">
        <v>0</v>
      </c>
      <c r="C162" s="69">
        <v>4752.3999999999996</v>
      </c>
      <c r="D162" s="69">
        <v>0</v>
      </c>
      <c r="E162" s="69">
        <v>102.309</v>
      </c>
      <c r="F162" s="69">
        <v>9869.6470000000008</v>
      </c>
      <c r="G162" s="69">
        <v>2175.5659999999998</v>
      </c>
      <c r="H162" s="69">
        <v>9683.4</v>
      </c>
      <c r="I162" s="69">
        <v>8013.5580000000009</v>
      </c>
      <c r="J162" s="69">
        <v>29844.478999999999</v>
      </c>
      <c r="K162" s="63"/>
      <c r="L162" s="64" t="s">
        <v>171</v>
      </c>
    </row>
    <row r="163" spans="1:12" s="6" customFormat="1" ht="12" customHeight="1" x14ac:dyDescent="0.2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4"/>
      <c r="L163" s="4"/>
    </row>
    <row r="164" spans="1:12" s="6" customFormat="1" x14ac:dyDescent="0.2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29"/>
      <c r="L164" s="2" t="s">
        <v>244</v>
      </c>
    </row>
    <row r="165" spans="1:12" s="6" customFormat="1" x14ac:dyDescent="0.2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29"/>
      <c r="L165" s="45"/>
    </row>
    <row r="166" spans="1:12" s="6" customFormat="1" x14ac:dyDescent="0.2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29"/>
      <c r="L166" s="45"/>
    </row>
    <row r="167" spans="1:12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</row>
    <row r="168" spans="1:12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</row>
    <row r="169" spans="1:12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</row>
    <row r="173" spans="1:12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</row>
    <row r="174" spans="1:12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</row>
    <row r="175" spans="1:12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</row>
    <row r="176" spans="1:12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</row>
    <row r="178" spans="3:12" x14ac:dyDescent="0.2">
      <c r="C178" s="29"/>
      <c r="D178" s="29"/>
      <c r="E178" s="29"/>
      <c r="F178" s="29"/>
      <c r="G178" s="29"/>
      <c r="H178" s="29"/>
      <c r="I178" s="29"/>
      <c r="J178" s="29"/>
      <c r="K178" s="29"/>
      <c r="L178" s="46"/>
    </row>
    <row r="188" spans="3:12" x14ac:dyDescent="0.2">
      <c r="C188" s="29"/>
      <c r="D188" s="29"/>
      <c r="E188" s="29"/>
      <c r="F188" s="29"/>
      <c r="G188" s="29"/>
      <c r="H188" s="29"/>
      <c r="I188" s="29"/>
      <c r="J188" s="29"/>
      <c r="K188" s="29"/>
      <c r="L188" s="46"/>
    </row>
    <row r="189" spans="3:12" x14ac:dyDescent="0.2">
      <c r="C189" s="29"/>
      <c r="D189" s="29"/>
      <c r="E189" s="29"/>
      <c r="F189" s="29"/>
      <c r="G189" s="29"/>
      <c r="H189" s="29"/>
      <c r="I189" s="29"/>
      <c r="J189" s="29"/>
      <c r="K189" s="29"/>
      <c r="L189" s="46"/>
    </row>
    <row r="193" spans="3:12" x14ac:dyDescent="0.2">
      <c r="C193" s="29"/>
      <c r="D193" s="29"/>
      <c r="E193" s="29"/>
      <c r="F193" s="29"/>
      <c r="G193" s="29"/>
      <c r="H193" s="29"/>
      <c r="I193" s="29"/>
      <c r="J193" s="29"/>
      <c r="K193" s="29"/>
      <c r="L193" s="46"/>
    </row>
    <row r="194" spans="3:12" x14ac:dyDescent="0.2">
      <c r="C194" s="29"/>
      <c r="D194" s="29"/>
      <c r="E194" s="29"/>
      <c r="F194" s="29"/>
      <c r="G194" s="29"/>
      <c r="H194" s="29"/>
      <c r="I194" s="29"/>
      <c r="J194" s="29"/>
      <c r="K194" s="29"/>
      <c r="L194" s="46"/>
    </row>
    <row r="195" spans="3:12" x14ac:dyDescent="0.2">
      <c r="C195" s="29"/>
      <c r="D195" s="29"/>
      <c r="E195" s="29"/>
      <c r="F195" s="29"/>
      <c r="G195" s="29"/>
      <c r="H195" s="29"/>
      <c r="I195" s="29"/>
      <c r="J195" s="29"/>
      <c r="K195" s="29"/>
      <c r="L195" s="46"/>
    </row>
    <row r="196" spans="3:12" x14ac:dyDescent="0.2">
      <c r="C196" s="29"/>
      <c r="D196" s="29"/>
      <c r="E196" s="29"/>
      <c r="F196" s="29"/>
      <c r="G196" s="29"/>
      <c r="H196" s="29"/>
      <c r="I196" s="29"/>
      <c r="J196" s="29"/>
      <c r="K196" s="29"/>
      <c r="L196" s="46"/>
    </row>
    <row r="199" spans="3:12" x14ac:dyDescent="0.2">
      <c r="C199" s="29"/>
      <c r="D199" s="29"/>
      <c r="E199" s="29"/>
      <c r="F199" s="29"/>
      <c r="G199" s="29"/>
      <c r="H199" s="29"/>
      <c r="I199" s="29"/>
      <c r="J199" s="29"/>
      <c r="K199" s="29"/>
      <c r="L199" s="46"/>
    </row>
    <row r="284" spans="21:21" x14ac:dyDescent="0.2">
      <c r="U284" s="1">
        <v>0</v>
      </c>
    </row>
    <row r="285" spans="21:21" x14ac:dyDescent="0.2">
      <c r="U285" s="1">
        <v>0</v>
      </c>
    </row>
    <row r="286" spans="21:21" x14ac:dyDescent="0.2">
      <c r="U286" s="1">
        <v>0</v>
      </c>
    </row>
    <row r="287" spans="21:21" x14ac:dyDescent="0.2">
      <c r="U287" s="1">
        <v>0</v>
      </c>
    </row>
    <row r="288" spans="21:21" x14ac:dyDescent="0.2">
      <c r="U288" s="1">
        <v>0</v>
      </c>
    </row>
    <row r="293" spans="12:16" x14ac:dyDescent="0.2">
      <c r="L293" s="45">
        <v>0</v>
      </c>
      <c r="O293" s="1">
        <v>0</v>
      </c>
      <c r="P293" s="1">
        <v>0</v>
      </c>
    </row>
  </sheetData>
  <phoneticPr fontId="4" type="noConversion"/>
  <pageMargins left="0.51181102362204722" right="0" top="0.39370078740157483" bottom="0" header="0.51181102362204722" footer="0.51181102362204722"/>
  <pageSetup paperSize="9" scale="68" fitToHeight="0" orientation="portrait" r:id="rId1"/>
  <headerFooter alignWithMargins="0"/>
  <rowBreaks count="1" manualBreakCount="1">
    <brk id="72" max="1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pageSetUpPr fitToPage="1"/>
  </sheetPr>
  <dimension ref="A1:BB67"/>
  <sheetViews>
    <sheetView zoomScale="90" workbookViewId="0">
      <pane xSplit="12" ySplit="9" topLeftCell="AH10" activePane="bottomRight" state="frozen"/>
      <selection pane="topRight" activeCell="M1" sqref="M1"/>
      <selection pane="bottomLeft" activeCell="A9" sqref="A9"/>
      <selection pane="bottomRight" activeCell="AR40" sqref="AR40"/>
    </sheetView>
  </sheetViews>
  <sheetFormatPr baseColWidth="10" defaultColWidth="11.42578125" defaultRowHeight="12.75" outlineLevelRow="1" x14ac:dyDescent="0.2"/>
  <cols>
    <col min="1" max="1" width="5.5703125" style="102" customWidth="1"/>
    <col min="2" max="2" width="6.5703125" style="102" bestFit="1" customWidth="1"/>
    <col min="3" max="6" width="5.5703125" style="102" customWidth="1"/>
    <col min="7" max="7" width="6.42578125" style="102" bestFit="1" customWidth="1"/>
    <col min="8" max="12" width="5.5703125" style="102" customWidth="1"/>
    <col min="13" max="13" width="7.5703125" style="102" customWidth="1"/>
    <col min="14" max="14" width="3.5703125" style="102" customWidth="1"/>
    <col min="15" max="15" width="1.5703125" style="102" customWidth="1"/>
    <col min="16" max="16" width="6" style="102" customWidth="1"/>
    <col min="17" max="17" width="19.5703125" style="102" customWidth="1"/>
    <col min="18" max="34" width="6.42578125" style="102" customWidth="1"/>
    <col min="35" max="35" width="7.5703125" style="102" customWidth="1"/>
    <col min="36" max="36" width="6.5703125" style="102" customWidth="1"/>
    <col min="37" max="37" width="8.5703125" style="102" customWidth="1"/>
    <col min="38" max="42" width="5.5703125" style="102" customWidth="1"/>
    <col min="43" max="43" width="7.5703125" style="102" customWidth="1"/>
    <col min="44" max="44" width="8.5703125" style="102" bestFit="1" customWidth="1"/>
    <col min="45" max="45" width="10.140625" style="102" customWidth="1"/>
    <col min="46" max="46" width="7.42578125" style="102" customWidth="1"/>
    <col min="47" max="53" width="5.5703125" style="102" customWidth="1"/>
    <col min="54" max="54" width="7.5703125" style="102" customWidth="1"/>
    <col min="55" max="16384" width="11.42578125" style="102"/>
  </cols>
  <sheetData>
    <row r="1" spans="1:54" ht="24.95" hidden="1" customHeight="1" outlineLevel="1" thickTop="1" x14ac:dyDescent="0.2">
      <c r="A1" s="338" t="s">
        <v>361</v>
      </c>
      <c r="B1" s="339"/>
      <c r="C1" s="339"/>
      <c r="D1" s="339"/>
      <c r="E1" s="339"/>
      <c r="F1" s="339"/>
      <c r="G1" s="339"/>
      <c r="H1" s="339"/>
      <c r="I1" s="339"/>
      <c r="J1" s="99"/>
      <c r="K1" s="99"/>
      <c r="L1" s="100"/>
      <c r="M1" s="101"/>
      <c r="P1" s="340" t="s">
        <v>362</v>
      </c>
      <c r="Q1" s="341"/>
      <c r="R1" s="341"/>
      <c r="S1" s="341"/>
      <c r="T1" s="341"/>
      <c r="U1" s="341"/>
      <c r="V1" s="341"/>
      <c r="W1" s="341"/>
      <c r="X1" s="342"/>
    </row>
    <row r="2" spans="1:54" hidden="1" outlineLevel="1" x14ac:dyDescent="0.2">
      <c r="A2" s="343" t="s">
        <v>244</v>
      </c>
      <c r="B2" s="344"/>
      <c r="C2" s="344"/>
      <c r="D2" s="344"/>
      <c r="E2" s="344"/>
      <c r="F2" s="344"/>
      <c r="G2" s="344"/>
      <c r="H2" s="344"/>
      <c r="I2" s="344"/>
      <c r="J2" s="103"/>
      <c r="K2" s="103"/>
      <c r="L2" s="104"/>
      <c r="P2" s="335" t="s">
        <v>363</v>
      </c>
      <c r="Q2" s="345"/>
      <c r="R2" s="345"/>
      <c r="S2" s="345"/>
      <c r="T2" s="345"/>
      <c r="U2" s="345"/>
      <c r="V2" s="345"/>
      <c r="W2" s="345"/>
      <c r="X2" s="346"/>
    </row>
    <row r="3" spans="1:54" hidden="1" outlineLevel="1" x14ac:dyDescent="0.2">
      <c r="A3" s="347" t="s">
        <v>227</v>
      </c>
      <c r="B3" s="348"/>
      <c r="C3" s="348"/>
      <c r="D3" s="348"/>
      <c r="E3" s="348"/>
      <c r="F3" s="348"/>
      <c r="G3" s="348"/>
      <c r="H3" s="348"/>
      <c r="I3" s="348"/>
      <c r="L3" s="105"/>
      <c r="P3" s="335"/>
      <c r="Q3" s="345"/>
      <c r="R3" s="345"/>
      <c r="S3" s="345"/>
      <c r="T3" s="345"/>
      <c r="U3" s="345"/>
      <c r="V3" s="345"/>
      <c r="W3" s="345"/>
      <c r="X3" s="346"/>
    </row>
    <row r="4" spans="1:54" ht="24.95" hidden="1" customHeight="1" outlineLevel="1" thickBot="1" x14ac:dyDescent="0.25">
      <c r="A4" s="349" t="s">
        <v>364</v>
      </c>
      <c r="B4" s="307"/>
      <c r="C4" s="307"/>
      <c r="D4" s="307"/>
      <c r="E4" s="307"/>
      <c r="F4" s="307"/>
      <c r="G4" s="307"/>
      <c r="H4" s="307"/>
      <c r="I4" s="307"/>
      <c r="L4" s="105"/>
      <c r="P4" s="335"/>
      <c r="Q4" s="345"/>
      <c r="R4" s="345"/>
      <c r="S4" s="345"/>
      <c r="T4" s="345"/>
      <c r="U4" s="345"/>
      <c r="V4" s="345"/>
      <c r="W4" s="345"/>
      <c r="X4" s="346"/>
    </row>
    <row r="5" spans="1:54" ht="39.950000000000003" hidden="1" customHeight="1" outlineLevel="1" thickTop="1" thickBot="1" x14ac:dyDescent="0.25">
      <c r="A5" s="326" t="s">
        <v>365</v>
      </c>
      <c r="B5" s="331"/>
      <c r="C5" s="332"/>
      <c r="D5" s="326" t="s">
        <v>366</v>
      </c>
      <c r="E5" s="327"/>
      <c r="F5" s="328"/>
      <c r="G5" s="326" t="s">
        <v>367</v>
      </c>
      <c r="H5" s="327"/>
      <c r="I5" s="328"/>
      <c r="K5" s="333" t="s">
        <v>368</v>
      </c>
      <c r="L5" s="334"/>
      <c r="P5" s="335" t="s">
        <v>369</v>
      </c>
      <c r="Q5" s="336"/>
      <c r="R5" s="336"/>
      <c r="S5" s="336"/>
      <c r="T5" s="336"/>
      <c r="U5" s="336"/>
      <c r="V5" s="336"/>
      <c r="W5" s="336"/>
      <c r="X5" s="337"/>
    </row>
    <row r="6" spans="1:54" ht="3" hidden="1" customHeight="1" outlineLevel="1" thickTop="1" thickBot="1" x14ac:dyDescent="0.25">
      <c r="A6" s="106"/>
      <c r="B6" s="107"/>
      <c r="C6" s="108"/>
      <c r="D6" s="107"/>
      <c r="E6" s="107"/>
      <c r="K6" s="317"/>
      <c r="L6" s="334"/>
      <c r="P6" s="109"/>
      <c r="X6" s="110"/>
    </row>
    <row r="7" spans="1:54" ht="39.950000000000003" hidden="1" customHeight="1" outlineLevel="1" thickTop="1" thickBot="1" x14ac:dyDescent="0.25">
      <c r="A7" s="111"/>
      <c r="B7" s="112"/>
      <c r="D7" s="326" t="s">
        <v>370</v>
      </c>
      <c r="E7" s="327"/>
      <c r="F7" s="328"/>
      <c r="K7" s="317"/>
      <c r="L7" s="334"/>
      <c r="P7" s="109"/>
      <c r="X7" s="110"/>
    </row>
    <row r="8" spans="1:54" ht="3" hidden="1" customHeight="1" outlineLevel="1" thickTop="1" thickBot="1" x14ac:dyDescent="0.25">
      <c r="A8" s="111"/>
      <c r="B8" s="112"/>
      <c r="D8" s="108"/>
      <c r="E8" s="112"/>
      <c r="L8" s="105"/>
      <c r="P8" s="109"/>
      <c r="X8" s="110"/>
    </row>
    <row r="9" spans="1:54" ht="39.950000000000003" hidden="1" customHeight="1" outlineLevel="1" thickTop="1" thickBot="1" x14ac:dyDescent="0.25">
      <c r="A9" s="113"/>
      <c r="B9" s="114"/>
      <c r="C9" s="115"/>
      <c r="D9" s="326" t="s">
        <v>371</v>
      </c>
      <c r="E9" s="327"/>
      <c r="F9" s="328"/>
      <c r="G9" s="115"/>
      <c r="H9" s="115"/>
      <c r="I9" s="115"/>
      <c r="J9" s="115"/>
      <c r="K9" s="115"/>
      <c r="L9" s="116"/>
      <c r="M9" s="117"/>
      <c r="P9" s="118"/>
      <c r="Q9" s="119"/>
      <c r="R9" s="119"/>
      <c r="S9" s="119"/>
      <c r="T9" s="119"/>
      <c r="U9" s="119"/>
      <c r="V9" s="119"/>
      <c r="W9" s="119"/>
      <c r="X9" s="120"/>
    </row>
    <row r="10" spans="1:54" ht="13.5" hidden="1" outlineLevel="1" thickTop="1" x14ac:dyDescent="0.2">
      <c r="K10" s="121"/>
      <c r="L10" s="121"/>
      <c r="M10" s="122"/>
      <c r="P10" s="12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L10" s="121"/>
    </row>
    <row r="11" spans="1:54" hidden="1" outlineLevel="1" x14ac:dyDescent="0.2">
      <c r="A11" s="308" t="s">
        <v>372</v>
      </c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5"/>
      <c r="O11" s="329"/>
      <c r="P11" s="308" t="s">
        <v>373</v>
      </c>
      <c r="Q11" s="309"/>
      <c r="R11" s="309"/>
      <c r="S11" s="309"/>
      <c r="T11" s="309"/>
      <c r="U11" s="309"/>
      <c r="V11" s="309"/>
      <c r="W11" s="309"/>
      <c r="X11" s="309"/>
      <c r="Y11" s="309"/>
      <c r="Z11" s="309"/>
      <c r="AA11" s="309"/>
      <c r="AB11" s="309"/>
      <c r="AC11" s="309"/>
      <c r="AD11" s="309"/>
      <c r="AE11" s="309"/>
      <c r="AF11" s="309"/>
      <c r="AG11" s="309"/>
      <c r="AH11" s="309"/>
      <c r="AI11" s="310"/>
      <c r="AJ11" s="330"/>
      <c r="AK11" s="308" t="s">
        <v>374</v>
      </c>
      <c r="AL11" s="309"/>
      <c r="AM11" s="309"/>
      <c r="AN11" s="309"/>
      <c r="AO11" s="309"/>
      <c r="AP11" s="309"/>
      <c r="AQ11" s="309"/>
      <c r="AR11" s="309"/>
      <c r="AS11" s="309"/>
      <c r="AT11" s="309"/>
      <c r="AU11" s="309"/>
      <c r="AV11" s="309"/>
      <c r="AW11" s="309"/>
      <c r="AX11" s="309"/>
      <c r="AY11" s="309"/>
      <c r="AZ11" s="309"/>
      <c r="BA11" s="309"/>
      <c r="BB11" s="310"/>
    </row>
    <row r="12" spans="1:54" hidden="1" outlineLevel="1" x14ac:dyDescent="0.2">
      <c r="A12" s="316" t="s">
        <v>243</v>
      </c>
      <c r="B12" s="317"/>
      <c r="C12" s="317"/>
      <c r="D12" s="317"/>
      <c r="E12" s="317"/>
      <c r="F12" s="317"/>
      <c r="G12" s="317"/>
      <c r="H12" s="317"/>
      <c r="I12" s="317"/>
      <c r="J12" s="317"/>
      <c r="K12" s="317"/>
      <c r="L12" s="317"/>
      <c r="M12" s="318"/>
      <c r="O12" s="329"/>
      <c r="P12" s="316" t="s">
        <v>243</v>
      </c>
      <c r="Q12" s="317"/>
      <c r="R12" s="317"/>
      <c r="S12" s="317"/>
      <c r="T12" s="317"/>
      <c r="U12" s="317"/>
      <c r="V12" s="317"/>
      <c r="W12" s="317"/>
      <c r="X12" s="317"/>
      <c r="Y12" s="317"/>
      <c r="Z12" s="317"/>
      <c r="AA12" s="317"/>
      <c r="AB12" s="317"/>
      <c r="AC12" s="317"/>
      <c r="AD12" s="317"/>
      <c r="AE12" s="317"/>
      <c r="AF12" s="317"/>
      <c r="AG12" s="317"/>
      <c r="AH12" s="317"/>
      <c r="AI12" s="318"/>
      <c r="AJ12" s="330"/>
      <c r="AK12" s="311" t="s">
        <v>243</v>
      </c>
      <c r="AL12" s="312"/>
      <c r="AM12" s="312"/>
      <c r="AN12" s="312"/>
      <c r="AO12" s="312"/>
      <c r="AP12" s="312"/>
      <c r="AQ12" s="312"/>
      <c r="AR12" s="312"/>
      <c r="AS12" s="312"/>
      <c r="AT12" s="312"/>
      <c r="AU12" s="312"/>
      <c r="AV12" s="312"/>
      <c r="AW12" s="312"/>
      <c r="AX12" s="312"/>
      <c r="AY12" s="312"/>
      <c r="AZ12" s="312"/>
      <c r="BA12" s="312"/>
      <c r="BB12" s="313"/>
    </row>
    <row r="13" spans="1:54" hidden="1" outlineLevel="1" x14ac:dyDescent="0.2">
      <c r="A13" s="319"/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1"/>
      <c r="O13" s="329"/>
      <c r="P13" s="319"/>
      <c r="Q13" s="320"/>
      <c r="R13" s="320"/>
      <c r="S13" s="320"/>
      <c r="T13" s="320"/>
      <c r="U13" s="320"/>
      <c r="V13" s="320"/>
      <c r="W13" s="320"/>
      <c r="X13" s="320"/>
      <c r="Y13" s="320"/>
      <c r="Z13" s="320"/>
      <c r="AA13" s="320"/>
      <c r="AB13" s="320"/>
      <c r="AC13" s="320"/>
      <c r="AD13" s="320"/>
      <c r="AE13" s="320"/>
      <c r="AF13" s="320"/>
      <c r="AG13" s="320"/>
      <c r="AH13" s="320"/>
      <c r="AI13" s="321"/>
      <c r="AJ13" s="330"/>
      <c r="AK13" s="322" t="s">
        <v>375</v>
      </c>
      <c r="AL13" s="309"/>
      <c r="AM13" s="309"/>
      <c r="AN13" s="309"/>
      <c r="AO13" s="309"/>
      <c r="AP13" s="309"/>
      <c r="AQ13" s="310"/>
      <c r="AR13" s="323" t="s">
        <v>376</v>
      </c>
      <c r="AS13" s="324"/>
      <c r="AT13" s="324"/>
      <c r="AU13" s="324"/>
      <c r="AV13" s="324"/>
      <c r="AW13" s="325"/>
      <c r="AX13" s="124"/>
      <c r="AY13" s="124"/>
      <c r="AZ13" s="124"/>
      <c r="BA13" s="124"/>
      <c r="BB13" s="124"/>
    </row>
    <row r="14" spans="1:54" ht="120.75" collapsed="1" x14ac:dyDescent="0.2">
      <c r="A14" s="125"/>
      <c r="B14" s="126" t="s">
        <v>377</v>
      </c>
      <c r="C14" s="127" t="s">
        <v>378</v>
      </c>
      <c r="D14" s="127" t="s">
        <v>379</v>
      </c>
      <c r="E14" s="127" t="s">
        <v>380</v>
      </c>
      <c r="F14" s="127" t="s">
        <v>381</v>
      </c>
      <c r="G14" s="128" t="s">
        <v>382</v>
      </c>
      <c r="H14" s="127" t="s">
        <v>383</v>
      </c>
      <c r="I14" s="127" t="s">
        <v>384</v>
      </c>
      <c r="J14" s="127" t="s">
        <v>385</v>
      </c>
      <c r="K14" s="129" t="s">
        <v>386</v>
      </c>
      <c r="L14" s="130" t="s">
        <v>387</v>
      </c>
      <c r="M14" s="128" t="s">
        <v>388</v>
      </c>
      <c r="O14" s="329"/>
      <c r="P14" s="131"/>
      <c r="Q14" s="132" t="s">
        <v>389</v>
      </c>
      <c r="R14" s="133" t="s">
        <v>390</v>
      </c>
      <c r="S14" s="134" t="s">
        <v>391</v>
      </c>
      <c r="T14" s="134" t="s">
        <v>392</v>
      </c>
      <c r="U14" s="134" t="s">
        <v>393</v>
      </c>
      <c r="V14" s="134" t="s">
        <v>394</v>
      </c>
      <c r="W14" s="134" t="s">
        <v>395</v>
      </c>
      <c r="X14" s="134" t="s">
        <v>396</v>
      </c>
      <c r="Y14" s="134" t="s">
        <v>397</v>
      </c>
      <c r="Z14" s="134" t="s">
        <v>398</v>
      </c>
      <c r="AA14" s="134" t="s">
        <v>399</v>
      </c>
      <c r="AB14" s="134" t="s">
        <v>400</v>
      </c>
      <c r="AC14" s="134" t="s">
        <v>401</v>
      </c>
      <c r="AD14" s="134" t="s">
        <v>402</v>
      </c>
      <c r="AE14" s="134" t="s">
        <v>403</v>
      </c>
      <c r="AF14" s="134" t="s">
        <v>404</v>
      </c>
      <c r="AG14" s="134" t="s">
        <v>405</v>
      </c>
      <c r="AH14" s="134" t="s">
        <v>406</v>
      </c>
      <c r="AI14" s="135" t="s">
        <v>407</v>
      </c>
      <c r="AJ14" s="330"/>
      <c r="AK14" s="136"/>
      <c r="AL14" s="127" t="s">
        <v>11</v>
      </c>
      <c r="AM14" s="127" t="s">
        <v>408</v>
      </c>
      <c r="AN14" s="127" t="s">
        <v>409</v>
      </c>
      <c r="AO14" s="127" t="s">
        <v>410</v>
      </c>
      <c r="AP14" s="130" t="s">
        <v>411</v>
      </c>
      <c r="AQ14" s="137" t="s">
        <v>412</v>
      </c>
      <c r="AR14" s="126" t="s">
        <v>413</v>
      </c>
      <c r="AS14" s="127" t="s">
        <v>414</v>
      </c>
      <c r="AT14" s="127" t="s">
        <v>415</v>
      </c>
      <c r="AU14" s="127" t="s">
        <v>416</v>
      </c>
      <c r="AV14" s="130" t="s">
        <v>411</v>
      </c>
      <c r="AW14" s="137" t="s">
        <v>417</v>
      </c>
      <c r="AX14" s="138" t="s">
        <v>418</v>
      </c>
      <c r="AY14" s="138" t="s">
        <v>419</v>
      </c>
      <c r="AZ14" s="138" t="s">
        <v>420</v>
      </c>
      <c r="BA14" s="138" t="s">
        <v>421</v>
      </c>
      <c r="BB14" s="138" t="s">
        <v>422</v>
      </c>
    </row>
    <row r="15" spans="1:54" x14ac:dyDescent="0.2">
      <c r="A15" s="139" t="s">
        <v>423</v>
      </c>
      <c r="M15" s="140"/>
      <c r="O15" s="329"/>
      <c r="P15" s="139" t="s">
        <v>423</v>
      </c>
      <c r="Q15" s="141"/>
      <c r="R15" s="139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3"/>
      <c r="AJ15" s="330"/>
      <c r="AK15" s="139" t="s">
        <v>423</v>
      </c>
      <c r="BB15" s="140"/>
    </row>
    <row r="16" spans="1:54" x14ac:dyDescent="0.2">
      <c r="A16" s="144" t="s">
        <v>390</v>
      </c>
      <c r="B16" s="145">
        <v>64.28792</v>
      </c>
      <c r="C16" s="146">
        <v>9.1669999999999998</v>
      </c>
      <c r="D16" s="147">
        <v>0</v>
      </c>
      <c r="E16" s="147">
        <v>9.1669999999999998</v>
      </c>
      <c r="F16" s="147">
        <v>0</v>
      </c>
      <c r="G16" s="148">
        <v>73.454920000000001</v>
      </c>
      <c r="H16" s="145">
        <v>19.733150000000002</v>
      </c>
      <c r="I16" s="147">
        <v>1.5041199999999999</v>
      </c>
      <c r="J16" s="147">
        <v>1.53257</v>
      </c>
      <c r="K16" s="147">
        <v>1.45557</v>
      </c>
      <c r="L16" s="149">
        <v>-2.9119999999999999</v>
      </c>
      <c r="M16" s="148">
        <v>93.31277</v>
      </c>
      <c r="O16" s="329"/>
      <c r="P16" s="150" t="s">
        <v>390</v>
      </c>
      <c r="Q16" s="151" t="s">
        <v>424</v>
      </c>
      <c r="R16" s="152">
        <v>13.616860000000001</v>
      </c>
      <c r="S16" s="152">
        <v>7.6900000000000007E-3</v>
      </c>
      <c r="T16" s="152">
        <v>31.247139999999998</v>
      </c>
      <c r="U16" s="152">
        <v>0</v>
      </c>
      <c r="V16" s="152">
        <v>6.8999999999999997E-4</v>
      </c>
      <c r="W16" s="152">
        <v>0</v>
      </c>
      <c r="X16" s="152">
        <v>2.9569999999999999</v>
      </c>
      <c r="Y16" s="152">
        <v>0.4819</v>
      </c>
      <c r="Z16" s="152">
        <v>1.8600000000000001E-3</v>
      </c>
      <c r="AA16" s="152">
        <v>0</v>
      </c>
      <c r="AB16" s="152">
        <v>1.05705</v>
      </c>
      <c r="AC16" s="152">
        <v>1.508E-2</v>
      </c>
      <c r="AD16" s="152">
        <v>2E-3</v>
      </c>
      <c r="AE16" s="152">
        <v>0</v>
      </c>
      <c r="AF16" s="152">
        <v>3.3259999999999998E-2</v>
      </c>
      <c r="AG16" s="152">
        <v>0.246</v>
      </c>
      <c r="AH16" s="152">
        <v>5.2490000000000002E-2</v>
      </c>
      <c r="AI16" s="153">
        <v>49.719010000000004</v>
      </c>
      <c r="AJ16" s="330"/>
      <c r="AK16" s="144" t="s">
        <v>390</v>
      </c>
      <c r="AL16" s="154">
        <v>29.45</v>
      </c>
      <c r="AM16" s="155">
        <v>0</v>
      </c>
      <c r="AN16" s="155">
        <v>0</v>
      </c>
      <c r="AO16" s="155">
        <v>0</v>
      </c>
      <c r="AP16" s="156">
        <v>0</v>
      </c>
      <c r="AQ16" s="157">
        <v>29.45</v>
      </c>
      <c r="AR16" s="154">
        <v>1.1737599999999999</v>
      </c>
      <c r="AS16" s="155">
        <v>0</v>
      </c>
      <c r="AT16" s="155">
        <v>0</v>
      </c>
      <c r="AU16" s="155">
        <v>0.126</v>
      </c>
      <c r="AV16" s="156">
        <v>0</v>
      </c>
      <c r="AW16" s="157">
        <v>1.29976</v>
      </c>
      <c r="AX16" s="158">
        <v>0</v>
      </c>
      <c r="AY16" s="158">
        <v>1.9390000000000001</v>
      </c>
      <c r="AZ16" s="158">
        <v>3.2387600000000001</v>
      </c>
      <c r="BA16" s="158">
        <v>10.904999999999999</v>
      </c>
      <c r="BB16" s="157">
        <v>43.593760000000003</v>
      </c>
    </row>
    <row r="17" spans="1:54" x14ac:dyDescent="0.2">
      <c r="A17" s="150" t="s">
        <v>391</v>
      </c>
      <c r="B17" s="159">
        <v>119.73971</v>
      </c>
      <c r="C17" s="160">
        <v>49.722000000000001</v>
      </c>
      <c r="D17" s="160">
        <v>0</v>
      </c>
      <c r="E17" s="160">
        <v>49.722000000000001</v>
      </c>
      <c r="F17" s="160">
        <v>0</v>
      </c>
      <c r="G17" s="161">
        <v>169.46171000000001</v>
      </c>
      <c r="H17" s="159">
        <v>1.504</v>
      </c>
      <c r="I17" s="160">
        <v>2.8107500000000001</v>
      </c>
      <c r="J17" s="160">
        <v>11.152790000000001</v>
      </c>
      <c r="K17" s="160">
        <v>5.760790000000001</v>
      </c>
      <c r="L17" s="162">
        <v>-1.5349999999999999</v>
      </c>
      <c r="M17" s="161">
        <v>183.39426</v>
      </c>
      <c r="O17" s="329"/>
      <c r="P17" s="150" t="s">
        <v>391</v>
      </c>
      <c r="Q17" s="151" t="s">
        <v>425</v>
      </c>
      <c r="R17" s="152">
        <v>1.2083299999999999</v>
      </c>
      <c r="S17" s="152">
        <v>40.201879999999996</v>
      </c>
      <c r="T17" s="152">
        <v>4.1148299999999995</v>
      </c>
      <c r="U17" s="152">
        <v>32.026789999999998</v>
      </c>
      <c r="V17" s="152">
        <v>1.13551</v>
      </c>
      <c r="W17" s="152">
        <v>1.2100899999999999</v>
      </c>
      <c r="X17" s="152">
        <v>24.212250000000001</v>
      </c>
      <c r="Y17" s="152">
        <v>3.6181700000000001</v>
      </c>
      <c r="Z17" s="152">
        <v>4.0196999999999994</v>
      </c>
      <c r="AA17" s="152">
        <v>1.4898099999999999</v>
      </c>
      <c r="AB17" s="152">
        <v>1.3665699999999998</v>
      </c>
      <c r="AC17" s="152">
        <v>3.0064300000000004</v>
      </c>
      <c r="AD17" s="152">
        <v>0.59670000000000001</v>
      </c>
      <c r="AE17" s="152">
        <v>1.42631</v>
      </c>
      <c r="AF17" s="152">
        <v>3.2714700000000003</v>
      </c>
      <c r="AG17" s="152">
        <v>9.6743999999999986</v>
      </c>
      <c r="AH17" s="152">
        <v>1.8685399999999999</v>
      </c>
      <c r="AI17" s="163">
        <v>134.4478</v>
      </c>
      <c r="AJ17" s="330"/>
      <c r="AK17" s="150" t="s">
        <v>391</v>
      </c>
      <c r="AL17" s="164">
        <v>39.335000000000001</v>
      </c>
      <c r="AM17" s="164">
        <v>0</v>
      </c>
      <c r="AN17" s="164">
        <v>0</v>
      </c>
      <c r="AO17" s="164">
        <v>0</v>
      </c>
      <c r="AP17" s="164">
        <v>0</v>
      </c>
      <c r="AQ17" s="165">
        <v>39.335000000000001</v>
      </c>
      <c r="AR17" s="166">
        <v>0.22952</v>
      </c>
      <c r="AS17" s="164">
        <v>6.9299999999999995E-3</v>
      </c>
      <c r="AT17" s="164">
        <v>0</v>
      </c>
      <c r="AU17" s="164">
        <v>0</v>
      </c>
      <c r="AV17" s="167">
        <v>0</v>
      </c>
      <c r="AW17" s="165">
        <v>0.23644000000000001</v>
      </c>
      <c r="AX17" s="168">
        <v>0</v>
      </c>
      <c r="AY17" s="168">
        <v>-0.26800000000000002</v>
      </c>
      <c r="AZ17" s="168">
        <v>-3.1560000000000005E-2</v>
      </c>
      <c r="BA17" s="168">
        <v>9.6430000000000007</v>
      </c>
      <c r="BB17" s="165">
        <v>48.946440000000003</v>
      </c>
    </row>
    <row r="18" spans="1:54" x14ac:dyDescent="0.2">
      <c r="A18" s="150" t="s">
        <v>392</v>
      </c>
      <c r="B18" s="159">
        <v>142.55651999999998</v>
      </c>
      <c r="C18" s="160">
        <v>25.832999999999998</v>
      </c>
      <c r="D18" s="160">
        <v>0</v>
      </c>
      <c r="E18" s="160">
        <v>25.832999999999998</v>
      </c>
      <c r="F18" s="160">
        <v>0</v>
      </c>
      <c r="G18" s="161">
        <v>168.38951999999998</v>
      </c>
      <c r="H18" s="159">
        <v>57.387599999999999</v>
      </c>
      <c r="I18" s="160">
        <v>6.0040399999999998</v>
      </c>
      <c r="J18" s="160">
        <v>25.223990000000001</v>
      </c>
      <c r="K18" s="160">
        <v>11.55199</v>
      </c>
      <c r="L18" s="162">
        <v>-0.68899999999999995</v>
      </c>
      <c r="M18" s="161">
        <v>256.31614999999999</v>
      </c>
      <c r="O18" s="329"/>
      <c r="P18" s="150" t="s">
        <v>392</v>
      </c>
      <c r="Q18" s="151" t="s">
        <v>426</v>
      </c>
      <c r="R18" s="152">
        <v>6.8403799999999997</v>
      </c>
      <c r="S18" s="152">
        <v>0.30351</v>
      </c>
      <c r="T18" s="152">
        <v>29.354389999999999</v>
      </c>
      <c r="U18" s="152">
        <v>8.2629999999999995E-2</v>
      </c>
      <c r="V18" s="152">
        <v>0.22798000000000002</v>
      </c>
      <c r="W18" s="152">
        <v>0.21017</v>
      </c>
      <c r="X18" s="152">
        <v>4.3855300000000002</v>
      </c>
      <c r="Y18" s="152">
        <v>0.60386000000000006</v>
      </c>
      <c r="Z18" s="152">
        <v>1.88758</v>
      </c>
      <c r="AA18" s="152">
        <v>0.50944</v>
      </c>
      <c r="AB18" s="152">
        <v>20.437529999999999</v>
      </c>
      <c r="AC18" s="152">
        <v>1.04942</v>
      </c>
      <c r="AD18" s="152">
        <v>6.6200000000000009E-2</v>
      </c>
      <c r="AE18" s="152">
        <v>0.16814999999999999</v>
      </c>
      <c r="AF18" s="152">
        <v>2.9404499999999998</v>
      </c>
      <c r="AG18" s="152">
        <v>6.1594700000000007</v>
      </c>
      <c r="AH18" s="152">
        <v>1.4964600000000001</v>
      </c>
      <c r="AI18" s="163">
        <v>76.72314999999999</v>
      </c>
      <c r="AJ18" s="330"/>
      <c r="AK18" s="150" t="s">
        <v>392</v>
      </c>
      <c r="AL18" s="164">
        <v>145.846</v>
      </c>
      <c r="AM18" s="164">
        <v>0</v>
      </c>
      <c r="AN18" s="164">
        <v>0.155</v>
      </c>
      <c r="AO18" s="164">
        <v>0.155</v>
      </c>
      <c r="AP18" s="164">
        <v>0</v>
      </c>
      <c r="AQ18" s="165">
        <v>146.001</v>
      </c>
      <c r="AR18" s="166">
        <v>0</v>
      </c>
      <c r="AS18" s="164">
        <v>0</v>
      </c>
      <c r="AT18" s="164">
        <v>0</v>
      </c>
      <c r="AU18" s="164">
        <v>0</v>
      </c>
      <c r="AV18" s="167">
        <v>0</v>
      </c>
      <c r="AW18" s="165">
        <v>0</v>
      </c>
      <c r="AX18" s="168">
        <v>0</v>
      </c>
      <c r="AY18" s="168">
        <v>1.0509999999999999</v>
      </c>
      <c r="AZ18" s="168">
        <v>1.0509999999999999</v>
      </c>
      <c r="BA18" s="168">
        <v>32.540999999999997</v>
      </c>
      <c r="BB18" s="165">
        <v>179.59299999999999</v>
      </c>
    </row>
    <row r="19" spans="1:54" x14ac:dyDescent="0.2">
      <c r="A19" s="150" t="s">
        <v>393</v>
      </c>
      <c r="B19" s="159">
        <v>47.141919999999999</v>
      </c>
      <c r="C19" s="160">
        <v>17.937000000000001</v>
      </c>
      <c r="D19" s="160">
        <v>0</v>
      </c>
      <c r="E19" s="160">
        <v>17.937000000000001</v>
      </c>
      <c r="F19" s="160">
        <v>0</v>
      </c>
      <c r="G19" s="161">
        <v>65.078919999999997</v>
      </c>
      <c r="H19" s="159">
        <v>11.47057</v>
      </c>
      <c r="I19" s="160">
        <v>1.9172499999999999</v>
      </c>
      <c r="J19" s="160">
        <v>34.121660000000006</v>
      </c>
      <c r="K19" s="160">
        <v>9.1386599999999998</v>
      </c>
      <c r="L19" s="162">
        <v>0</v>
      </c>
      <c r="M19" s="161">
        <v>112.58839</v>
      </c>
      <c r="O19" s="329"/>
      <c r="P19" s="150" t="s">
        <v>393</v>
      </c>
      <c r="Q19" s="151" t="s">
        <v>427</v>
      </c>
      <c r="R19" s="152">
        <v>3.36084</v>
      </c>
      <c r="S19" s="152">
        <v>0.93934000000000006</v>
      </c>
      <c r="T19" s="152">
        <v>1.07795</v>
      </c>
      <c r="U19" s="152">
        <v>3.8450799999999998</v>
      </c>
      <c r="V19" s="152">
        <v>0.34412999999999999</v>
      </c>
      <c r="W19" s="152">
        <v>0.44551000000000002</v>
      </c>
      <c r="X19" s="152">
        <v>7.8793900000000017</v>
      </c>
      <c r="Y19" s="152">
        <v>3.4191400000000001</v>
      </c>
      <c r="Z19" s="152">
        <v>9.2666299999999993</v>
      </c>
      <c r="AA19" s="152">
        <v>12.413459999999999</v>
      </c>
      <c r="AB19" s="152">
        <v>0.51844000000000001</v>
      </c>
      <c r="AC19" s="152">
        <v>1.75214</v>
      </c>
      <c r="AD19" s="152">
        <v>0.37711</v>
      </c>
      <c r="AE19" s="152">
        <v>0.18303999999999998</v>
      </c>
      <c r="AF19" s="152">
        <v>3.6674699999999998</v>
      </c>
      <c r="AG19" s="152">
        <v>2.0535099999999997</v>
      </c>
      <c r="AH19" s="152">
        <v>0.76322000000000001</v>
      </c>
      <c r="AI19" s="163">
        <v>52.30639</v>
      </c>
      <c r="AJ19" s="330"/>
      <c r="AK19" s="150" t="s">
        <v>393</v>
      </c>
      <c r="AL19" s="164">
        <v>44.856000000000002</v>
      </c>
      <c r="AM19" s="164">
        <v>0</v>
      </c>
      <c r="AN19" s="164">
        <v>0</v>
      </c>
      <c r="AO19" s="164">
        <v>0</v>
      </c>
      <c r="AP19" s="164">
        <v>0</v>
      </c>
      <c r="AQ19" s="165">
        <v>44.856000000000002</v>
      </c>
      <c r="AR19" s="166">
        <v>0</v>
      </c>
      <c r="AS19" s="164">
        <v>0</v>
      </c>
      <c r="AT19" s="164">
        <v>0</v>
      </c>
      <c r="AU19" s="164">
        <v>0</v>
      </c>
      <c r="AV19" s="167">
        <v>0</v>
      </c>
      <c r="AW19" s="165">
        <v>0</v>
      </c>
      <c r="AX19" s="168">
        <v>0</v>
      </c>
      <c r="AY19" s="168">
        <v>2.38</v>
      </c>
      <c r="AZ19" s="168">
        <v>2.38</v>
      </c>
      <c r="BA19" s="168">
        <v>13.045999999999999</v>
      </c>
      <c r="BB19" s="165">
        <v>60.281999999999996</v>
      </c>
    </row>
    <row r="20" spans="1:54" x14ac:dyDescent="0.2">
      <c r="A20" s="150" t="s">
        <v>394</v>
      </c>
      <c r="B20" s="159">
        <v>96.450070000000011</v>
      </c>
      <c r="C20" s="160">
        <v>96.869</v>
      </c>
      <c r="D20" s="160">
        <v>0</v>
      </c>
      <c r="E20" s="160">
        <v>96.869</v>
      </c>
      <c r="F20" s="160">
        <v>0</v>
      </c>
      <c r="G20" s="161">
        <v>193.31907000000001</v>
      </c>
      <c r="H20" s="159">
        <v>43.007730000000002</v>
      </c>
      <c r="I20" s="160">
        <v>4.0583800000000005</v>
      </c>
      <c r="J20" s="160">
        <v>7.4065199999999995</v>
      </c>
      <c r="K20" s="160">
        <v>6.8905199999999995</v>
      </c>
      <c r="L20" s="162">
        <v>0</v>
      </c>
      <c r="M20" s="161">
        <v>247.79168999999999</v>
      </c>
      <c r="O20" s="329"/>
      <c r="P20" s="150" t="s">
        <v>394</v>
      </c>
      <c r="Q20" s="151" t="s">
        <v>428</v>
      </c>
      <c r="R20" s="152">
        <v>1.9201400000000002</v>
      </c>
      <c r="S20" s="152">
        <v>2.00312</v>
      </c>
      <c r="T20" s="152">
        <v>1.2338199999999999</v>
      </c>
      <c r="U20" s="152">
        <v>0.61860999999999999</v>
      </c>
      <c r="V20" s="152">
        <v>20.860409999999998</v>
      </c>
      <c r="W20" s="152">
        <v>18.795300000000005</v>
      </c>
      <c r="X20" s="152">
        <v>12.645389999999999</v>
      </c>
      <c r="Y20" s="152">
        <v>13.377630000000002</v>
      </c>
      <c r="Z20" s="152">
        <v>4.5772000000000004</v>
      </c>
      <c r="AA20" s="152">
        <v>1.6019600000000001</v>
      </c>
      <c r="AB20" s="152">
        <v>0.30072000000000004</v>
      </c>
      <c r="AC20" s="152">
        <v>5.0205900000000003</v>
      </c>
      <c r="AD20" s="152">
        <v>0.34081</v>
      </c>
      <c r="AE20" s="152">
        <v>0.12950999999999999</v>
      </c>
      <c r="AF20" s="152">
        <v>6.24824</v>
      </c>
      <c r="AG20" s="152">
        <v>2.9066700000000001</v>
      </c>
      <c r="AH20" s="152">
        <v>2.05463</v>
      </c>
      <c r="AI20" s="163">
        <v>94.634770000000003</v>
      </c>
      <c r="AJ20" s="330"/>
      <c r="AK20" s="150" t="s">
        <v>394</v>
      </c>
      <c r="AL20" s="164">
        <v>33.929000000000002</v>
      </c>
      <c r="AM20" s="164">
        <v>0</v>
      </c>
      <c r="AN20" s="164">
        <v>0.23</v>
      </c>
      <c r="AO20" s="164">
        <v>0.23</v>
      </c>
      <c r="AP20" s="164">
        <v>0</v>
      </c>
      <c r="AQ20" s="165">
        <v>34.158999999999999</v>
      </c>
      <c r="AR20" s="166">
        <v>29.848929999999999</v>
      </c>
      <c r="AS20" s="164">
        <v>0</v>
      </c>
      <c r="AT20" s="164">
        <v>2.669</v>
      </c>
      <c r="AU20" s="164">
        <v>1.5589999999999999</v>
      </c>
      <c r="AV20" s="167">
        <v>0.63400000000000001</v>
      </c>
      <c r="AW20" s="165">
        <v>34.710929999999998</v>
      </c>
      <c r="AX20" s="168">
        <v>0</v>
      </c>
      <c r="AY20" s="168">
        <v>0.34399999999999997</v>
      </c>
      <c r="AZ20" s="168">
        <v>35.054929999999999</v>
      </c>
      <c r="BA20" s="168">
        <v>83.942999999999998</v>
      </c>
      <c r="BB20" s="165">
        <v>153.15692999999999</v>
      </c>
    </row>
    <row r="21" spans="1:54" x14ac:dyDescent="0.2">
      <c r="A21" s="150" t="s">
        <v>395</v>
      </c>
      <c r="B21" s="159">
        <v>126.255</v>
      </c>
      <c r="C21" s="160">
        <v>63.064</v>
      </c>
      <c r="D21" s="160">
        <v>0</v>
      </c>
      <c r="E21" s="160">
        <v>63.064</v>
      </c>
      <c r="F21" s="160">
        <v>0</v>
      </c>
      <c r="G21" s="161">
        <v>189.31899999999999</v>
      </c>
      <c r="H21" s="159">
        <v>22.838069999999998</v>
      </c>
      <c r="I21" s="160">
        <v>1.2621300000000002</v>
      </c>
      <c r="J21" s="160">
        <v>11.73033</v>
      </c>
      <c r="K21" s="160">
        <v>11.59333</v>
      </c>
      <c r="L21" s="162">
        <v>-7.0000000000000001E-3</v>
      </c>
      <c r="M21" s="161">
        <v>225.14252999999999</v>
      </c>
      <c r="O21" s="329"/>
      <c r="P21" s="150" t="s">
        <v>395</v>
      </c>
      <c r="Q21" s="151" t="s">
        <v>429</v>
      </c>
      <c r="R21" s="152">
        <v>0.20568</v>
      </c>
      <c r="S21" s="152">
        <v>0.27251999999999998</v>
      </c>
      <c r="T21" s="152">
        <v>0.16313</v>
      </c>
      <c r="U21" s="152">
        <v>3.3049999999999996E-2</v>
      </c>
      <c r="V21" s="152">
        <v>0.78883999999999999</v>
      </c>
      <c r="W21" s="152">
        <v>34.117699999999999</v>
      </c>
      <c r="X21" s="152">
        <v>0.97910999999999992</v>
      </c>
      <c r="Y21" s="152">
        <v>0.12093000000000001</v>
      </c>
      <c r="Z21" s="152">
        <v>3.7259699999999998</v>
      </c>
      <c r="AA21" s="152">
        <v>2.7370000000000001</v>
      </c>
      <c r="AB21" s="152">
        <v>3.2240000000000005E-2</v>
      </c>
      <c r="AC21" s="152">
        <v>0.17441000000000001</v>
      </c>
      <c r="AD21" s="152">
        <v>3.3739999999999999E-2</v>
      </c>
      <c r="AE21" s="152">
        <v>1.525E-2</v>
      </c>
      <c r="AF21" s="152">
        <v>1.4859</v>
      </c>
      <c r="AG21" s="152">
        <v>4.4237900000000012</v>
      </c>
      <c r="AH21" s="152">
        <v>0.31636000000000003</v>
      </c>
      <c r="AI21" s="163">
        <v>49.625620000000005</v>
      </c>
      <c r="AJ21" s="330"/>
      <c r="AK21" s="150" t="s">
        <v>395</v>
      </c>
      <c r="AL21" s="164">
        <v>60.865000000000002</v>
      </c>
      <c r="AM21" s="164">
        <v>0</v>
      </c>
      <c r="AN21" s="164">
        <v>0.112</v>
      </c>
      <c r="AO21" s="164">
        <v>0.112</v>
      </c>
      <c r="AP21" s="164">
        <v>0</v>
      </c>
      <c r="AQ21" s="165">
        <v>60.976999999999997</v>
      </c>
      <c r="AR21" s="166">
        <v>24.95391</v>
      </c>
      <c r="AS21" s="164">
        <v>0</v>
      </c>
      <c r="AT21" s="164">
        <v>0.379</v>
      </c>
      <c r="AU21" s="164">
        <v>1.9</v>
      </c>
      <c r="AV21" s="167">
        <v>0.28899999999999998</v>
      </c>
      <c r="AW21" s="165">
        <v>27.521909999999998</v>
      </c>
      <c r="AX21" s="168">
        <v>0</v>
      </c>
      <c r="AY21" s="168">
        <v>3.3610000000000002</v>
      </c>
      <c r="AZ21" s="168">
        <v>30.882909999999999</v>
      </c>
      <c r="BA21" s="168">
        <v>83.656999999999996</v>
      </c>
      <c r="BB21" s="165">
        <v>175.51691</v>
      </c>
    </row>
    <row r="22" spans="1:54" x14ac:dyDescent="0.2">
      <c r="A22" s="150" t="s">
        <v>396</v>
      </c>
      <c r="B22" s="159">
        <v>357.61389000000003</v>
      </c>
      <c r="C22" s="160">
        <v>165.59399999999999</v>
      </c>
      <c r="D22" s="160">
        <v>0</v>
      </c>
      <c r="E22" s="160">
        <v>165.59399999999999</v>
      </c>
      <c r="F22" s="160">
        <v>0</v>
      </c>
      <c r="G22" s="161">
        <v>523.20789000000002</v>
      </c>
      <c r="H22" s="159">
        <v>123.98097</v>
      </c>
      <c r="I22" s="160">
        <v>14.712389999999999</v>
      </c>
      <c r="J22" s="160">
        <v>25.61326</v>
      </c>
      <c r="K22" s="160">
        <v>23.939260000000001</v>
      </c>
      <c r="L22" s="162">
        <v>-2.8000000000000001E-2</v>
      </c>
      <c r="M22" s="161">
        <v>687.48649</v>
      </c>
      <c r="O22" s="329"/>
      <c r="P22" s="150" t="s">
        <v>396</v>
      </c>
      <c r="Q22" s="151" t="s">
        <v>430</v>
      </c>
      <c r="R22" s="152">
        <v>11.076409999999999</v>
      </c>
      <c r="S22" s="152">
        <v>8.8865400000000001</v>
      </c>
      <c r="T22" s="152">
        <v>10.03773</v>
      </c>
      <c r="U22" s="152">
        <v>2.7581200000000003</v>
      </c>
      <c r="V22" s="152">
        <v>24.825699999999998</v>
      </c>
      <c r="W22" s="152">
        <v>31.95411</v>
      </c>
      <c r="X22" s="152">
        <v>132.05789000000001</v>
      </c>
      <c r="Y22" s="152">
        <v>54.196030000000007</v>
      </c>
      <c r="Z22" s="152">
        <v>11.669330000000002</v>
      </c>
      <c r="AA22" s="152">
        <v>3.79834</v>
      </c>
      <c r="AB22" s="152">
        <v>1.37951</v>
      </c>
      <c r="AC22" s="152">
        <v>10.894</v>
      </c>
      <c r="AD22" s="152">
        <v>1.78467</v>
      </c>
      <c r="AE22" s="152">
        <v>0.88303000000000009</v>
      </c>
      <c r="AF22" s="152">
        <v>12.809350000000002</v>
      </c>
      <c r="AG22" s="152">
        <v>18.3888</v>
      </c>
      <c r="AH22" s="152">
        <v>4.0669300000000002</v>
      </c>
      <c r="AI22" s="163">
        <v>341.46645999999998</v>
      </c>
      <c r="AJ22" s="330"/>
      <c r="AK22" s="150" t="s">
        <v>396</v>
      </c>
      <c r="AL22" s="164">
        <v>135.54</v>
      </c>
      <c r="AM22" s="164">
        <v>0</v>
      </c>
      <c r="AN22" s="164">
        <v>25.792000000000002</v>
      </c>
      <c r="AO22" s="164">
        <v>25.792000000000002</v>
      </c>
      <c r="AP22" s="164">
        <v>0</v>
      </c>
      <c r="AQ22" s="165">
        <v>161.33199999999999</v>
      </c>
      <c r="AR22" s="166">
        <v>24.50056</v>
      </c>
      <c r="AS22" s="164">
        <v>0</v>
      </c>
      <c r="AT22" s="164">
        <v>0.71899999999999997</v>
      </c>
      <c r="AU22" s="164">
        <v>1.411</v>
      </c>
      <c r="AV22" s="167">
        <v>0.26700000000000002</v>
      </c>
      <c r="AW22" s="165">
        <v>26.897560000000002</v>
      </c>
      <c r="AX22" s="168">
        <v>1.02948</v>
      </c>
      <c r="AY22" s="168">
        <v>3.3050000000000002</v>
      </c>
      <c r="AZ22" s="168">
        <v>31.232040000000001</v>
      </c>
      <c r="BA22" s="168">
        <v>153.45599999999999</v>
      </c>
      <c r="BB22" s="165">
        <v>346.02003999999999</v>
      </c>
    </row>
    <row r="23" spans="1:54" x14ac:dyDescent="0.2">
      <c r="A23" s="150" t="s">
        <v>397</v>
      </c>
      <c r="B23" s="159">
        <v>246.39932999999999</v>
      </c>
      <c r="C23" s="160">
        <v>0</v>
      </c>
      <c r="D23" s="160">
        <v>0</v>
      </c>
      <c r="E23" s="160">
        <v>0</v>
      </c>
      <c r="F23" s="160">
        <v>0</v>
      </c>
      <c r="G23" s="161">
        <v>246.39932999999999</v>
      </c>
      <c r="H23" s="159">
        <v>0</v>
      </c>
      <c r="I23" s="160">
        <v>0</v>
      </c>
      <c r="J23" s="160">
        <v>20.803169999999998</v>
      </c>
      <c r="K23" s="160">
        <v>20.006169999999997</v>
      </c>
      <c r="L23" s="162">
        <v>-1E-3</v>
      </c>
      <c r="M23" s="161">
        <v>267.20150999999998</v>
      </c>
      <c r="O23" s="329"/>
      <c r="P23" s="150" t="s">
        <v>397</v>
      </c>
      <c r="Q23" s="151" t="s">
        <v>431</v>
      </c>
      <c r="R23" s="152">
        <v>0.32669999999999999</v>
      </c>
      <c r="S23" s="152">
        <v>1.8672899999999999</v>
      </c>
      <c r="T23" s="152">
        <v>0.30216000000000004</v>
      </c>
      <c r="U23" s="152">
        <v>0.63251999999999997</v>
      </c>
      <c r="V23" s="152">
        <v>1.25963</v>
      </c>
      <c r="W23" s="152">
        <v>0.73230999999999991</v>
      </c>
      <c r="X23" s="152">
        <v>1.7257</v>
      </c>
      <c r="Y23" s="152">
        <v>35.304190000000006</v>
      </c>
      <c r="Z23" s="152">
        <v>0.8150599999999999</v>
      </c>
      <c r="AA23" s="152">
        <v>0.78328999999999993</v>
      </c>
      <c r="AB23" s="152">
        <v>0.11679</v>
      </c>
      <c r="AC23" s="152">
        <v>1.93007</v>
      </c>
      <c r="AD23" s="152">
        <v>1.06782</v>
      </c>
      <c r="AE23" s="152">
        <v>3.8368099999999998</v>
      </c>
      <c r="AF23" s="152">
        <v>3.0887600000000002</v>
      </c>
      <c r="AG23" s="152">
        <v>6.0173900000000007</v>
      </c>
      <c r="AH23" s="152">
        <v>1.2336400000000001</v>
      </c>
      <c r="AI23" s="163">
        <v>61.040109999999999</v>
      </c>
      <c r="AJ23" s="330"/>
      <c r="AK23" s="150" t="s">
        <v>397</v>
      </c>
      <c r="AL23" s="164">
        <v>11.427</v>
      </c>
      <c r="AM23" s="164">
        <v>0</v>
      </c>
      <c r="AN23" s="164">
        <v>0</v>
      </c>
      <c r="AO23" s="164">
        <v>0</v>
      </c>
      <c r="AP23" s="164">
        <v>0</v>
      </c>
      <c r="AQ23" s="165">
        <v>11.427</v>
      </c>
      <c r="AR23" s="166">
        <v>54.59854</v>
      </c>
      <c r="AS23" s="164">
        <v>82.802869999999999</v>
      </c>
      <c r="AT23" s="164">
        <v>7.6740000000000004</v>
      </c>
      <c r="AU23" s="164">
        <v>47.265000000000001</v>
      </c>
      <c r="AV23" s="167">
        <v>1.794</v>
      </c>
      <c r="AW23" s="165">
        <v>194.13441</v>
      </c>
      <c r="AX23" s="168">
        <v>0</v>
      </c>
      <c r="AY23" s="168">
        <v>0.6</v>
      </c>
      <c r="AZ23" s="168">
        <v>194.73441</v>
      </c>
      <c r="BA23" s="168">
        <v>0</v>
      </c>
      <c r="BB23" s="165">
        <v>206.16140999999999</v>
      </c>
    </row>
    <row r="24" spans="1:54" x14ac:dyDescent="0.2">
      <c r="A24" s="150" t="s">
        <v>398</v>
      </c>
      <c r="B24" s="159">
        <v>332.21154999999999</v>
      </c>
      <c r="C24" s="160">
        <v>0</v>
      </c>
      <c r="D24" s="160">
        <v>3.984</v>
      </c>
      <c r="E24" s="160">
        <v>3.984</v>
      </c>
      <c r="F24" s="160">
        <v>0</v>
      </c>
      <c r="G24" s="161">
        <v>336.19554999999997</v>
      </c>
      <c r="H24" s="159">
        <v>-284.34284000000002</v>
      </c>
      <c r="I24" s="160">
        <v>0</v>
      </c>
      <c r="J24" s="160">
        <v>1.9216900000000001</v>
      </c>
      <c r="K24" s="160">
        <v>1.9216900000000001</v>
      </c>
      <c r="L24" s="162">
        <v>-4.0000000000000001E-3</v>
      </c>
      <c r="M24" s="161">
        <v>53.770400000000002</v>
      </c>
      <c r="O24" s="329"/>
      <c r="P24" s="150" t="s">
        <v>398</v>
      </c>
      <c r="Q24" s="151" t="s">
        <v>432</v>
      </c>
      <c r="R24" s="152">
        <v>0.23641000000000001</v>
      </c>
      <c r="S24" s="152">
        <v>0.35060000000000002</v>
      </c>
      <c r="T24" s="152">
        <v>1.0473599999999998</v>
      </c>
      <c r="U24" s="152">
        <v>0.29605000000000004</v>
      </c>
      <c r="V24" s="152">
        <v>0.74985999999999986</v>
      </c>
      <c r="W24" s="152">
        <v>1.1059100000000002</v>
      </c>
      <c r="X24" s="152">
        <v>3.0052099999999999</v>
      </c>
      <c r="Y24" s="152">
        <v>1.2148099999999999</v>
      </c>
      <c r="Z24" s="152">
        <v>17.923860000000001</v>
      </c>
      <c r="AA24" s="152">
        <v>2.0150399999999999</v>
      </c>
      <c r="AB24" s="152">
        <v>0.21325</v>
      </c>
      <c r="AC24" s="152">
        <v>0.88693000000000011</v>
      </c>
      <c r="AD24" s="152">
        <v>0.16419</v>
      </c>
      <c r="AE24" s="152">
        <v>0.45430000000000004</v>
      </c>
      <c r="AF24" s="152">
        <v>1.7327399999999999</v>
      </c>
      <c r="AG24" s="152">
        <v>0.65848000000000007</v>
      </c>
      <c r="AH24" s="152">
        <v>0.43739999999999996</v>
      </c>
      <c r="AI24" s="163">
        <v>32.492400000000004</v>
      </c>
      <c r="AJ24" s="330"/>
      <c r="AK24" s="150" t="s">
        <v>398</v>
      </c>
      <c r="AL24" s="164">
        <v>13.523</v>
      </c>
      <c r="AM24" s="164">
        <v>0</v>
      </c>
      <c r="AN24" s="164">
        <v>0</v>
      </c>
      <c r="AO24" s="164">
        <v>0</v>
      </c>
      <c r="AP24" s="164">
        <v>0</v>
      </c>
      <c r="AQ24" s="165">
        <v>13.523</v>
      </c>
      <c r="AR24" s="166">
        <v>0</v>
      </c>
      <c r="AS24" s="164">
        <v>0</v>
      </c>
      <c r="AT24" s="164">
        <v>0</v>
      </c>
      <c r="AU24" s="164">
        <v>0</v>
      </c>
      <c r="AV24" s="167">
        <v>0</v>
      </c>
      <c r="AW24" s="165">
        <v>0</v>
      </c>
      <c r="AX24" s="168">
        <v>0</v>
      </c>
      <c r="AY24" s="168">
        <v>0</v>
      </c>
      <c r="AZ24" s="168">
        <v>0</v>
      </c>
      <c r="BA24" s="168">
        <v>7.7549999999999999</v>
      </c>
      <c r="BB24" s="165">
        <v>21.277999999999999</v>
      </c>
    </row>
    <row r="25" spans="1:54" x14ac:dyDescent="0.2">
      <c r="A25" s="150" t="s">
        <v>399</v>
      </c>
      <c r="B25" s="159">
        <v>162.00521000000001</v>
      </c>
      <c r="C25" s="160">
        <v>0</v>
      </c>
      <c r="D25" s="160">
        <v>24.161999999999999</v>
      </c>
      <c r="E25" s="160">
        <v>24.161999999999999</v>
      </c>
      <c r="F25" s="160">
        <v>-12.813000000000001</v>
      </c>
      <c r="G25" s="161">
        <v>173.35420999999999</v>
      </c>
      <c r="H25" s="159">
        <v>0</v>
      </c>
      <c r="I25" s="160">
        <v>-32.882680000000001</v>
      </c>
      <c r="J25" s="160">
        <v>3.63192</v>
      </c>
      <c r="K25" s="160">
        <v>2.7069200000000002</v>
      </c>
      <c r="L25" s="162">
        <v>-6.4779999999999998</v>
      </c>
      <c r="M25" s="161">
        <v>137.62545</v>
      </c>
      <c r="O25" s="329"/>
      <c r="P25" s="150" t="s">
        <v>399</v>
      </c>
      <c r="Q25" s="151" t="s">
        <v>433</v>
      </c>
      <c r="R25" s="152">
        <v>7.0499999999999993E-2</v>
      </c>
      <c r="S25" s="152">
        <v>0.66320000000000001</v>
      </c>
      <c r="T25" s="152">
        <v>1.49353</v>
      </c>
      <c r="U25" s="152">
        <v>0.96823999999999999</v>
      </c>
      <c r="V25" s="152">
        <v>0.79879</v>
      </c>
      <c r="W25" s="152">
        <v>0.73226000000000002</v>
      </c>
      <c r="X25" s="152">
        <v>4.6783599999999996</v>
      </c>
      <c r="Y25" s="152">
        <v>1.80219</v>
      </c>
      <c r="Z25" s="152">
        <v>20.450990000000001</v>
      </c>
      <c r="AA25" s="152">
        <v>32.14434</v>
      </c>
      <c r="AB25" s="152">
        <v>0.78524000000000005</v>
      </c>
      <c r="AC25" s="152">
        <v>3.60894</v>
      </c>
      <c r="AD25" s="152">
        <v>1.6290799999999999</v>
      </c>
      <c r="AE25" s="152">
        <v>0.92662</v>
      </c>
      <c r="AF25" s="152">
        <v>7.5235300000000009</v>
      </c>
      <c r="AG25" s="152">
        <v>6.5609000000000002</v>
      </c>
      <c r="AH25" s="152">
        <v>1.5197499999999999</v>
      </c>
      <c r="AI25" s="163">
        <v>86.356460000000013</v>
      </c>
      <c r="AJ25" s="330"/>
      <c r="AK25" s="150" t="s">
        <v>399</v>
      </c>
      <c r="AL25" s="164">
        <v>29.492999999999999</v>
      </c>
      <c r="AM25" s="164">
        <v>0</v>
      </c>
      <c r="AN25" s="164">
        <v>2.3420000000000001</v>
      </c>
      <c r="AO25" s="164">
        <v>2.3420000000000001</v>
      </c>
      <c r="AP25" s="164">
        <v>0</v>
      </c>
      <c r="AQ25" s="165">
        <v>31.835000000000001</v>
      </c>
      <c r="AR25" s="166">
        <v>0</v>
      </c>
      <c r="AS25" s="164">
        <v>0</v>
      </c>
      <c r="AT25" s="164">
        <v>0</v>
      </c>
      <c r="AU25" s="164">
        <v>0</v>
      </c>
      <c r="AV25" s="167">
        <v>0</v>
      </c>
      <c r="AW25" s="165">
        <v>0</v>
      </c>
      <c r="AX25" s="168">
        <v>0</v>
      </c>
      <c r="AY25" s="168">
        <v>0</v>
      </c>
      <c r="AZ25" s="168">
        <v>0</v>
      </c>
      <c r="BA25" s="168">
        <v>19.434000000000001</v>
      </c>
      <c r="BB25" s="165">
        <v>51.268999999999998</v>
      </c>
    </row>
    <row r="26" spans="1:54" x14ac:dyDescent="0.2">
      <c r="A26" s="150" t="s">
        <v>400</v>
      </c>
      <c r="B26" s="159">
        <v>78.114919999999998</v>
      </c>
      <c r="C26" s="160">
        <v>0</v>
      </c>
      <c r="D26" s="160">
        <v>0</v>
      </c>
      <c r="E26" s="160">
        <v>0</v>
      </c>
      <c r="F26" s="160">
        <v>0</v>
      </c>
      <c r="G26" s="161">
        <v>78.114919999999998</v>
      </c>
      <c r="H26" s="159">
        <v>0</v>
      </c>
      <c r="I26" s="160">
        <v>0</v>
      </c>
      <c r="J26" s="160">
        <v>6.7724399999999996</v>
      </c>
      <c r="K26" s="160">
        <v>6.60344</v>
      </c>
      <c r="L26" s="162">
        <v>-0.45300000000000001</v>
      </c>
      <c r="M26" s="161">
        <v>84.434359999999998</v>
      </c>
      <c r="O26" s="329"/>
      <c r="P26" s="150" t="s">
        <v>400</v>
      </c>
      <c r="Q26" s="151" t="s">
        <v>434</v>
      </c>
      <c r="R26" s="152">
        <v>3.2049999999999995E-2</v>
      </c>
      <c r="S26" s="152">
        <v>0.12429999999999999</v>
      </c>
      <c r="T26" s="152">
        <v>0.18918000000000001</v>
      </c>
      <c r="U26" s="152">
        <v>4.3950000000000003E-2</v>
      </c>
      <c r="V26" s="152">
        <v>0.14635000000000001</v>
      </c>
      <c r="W26" s="152">
        <v>0.16449</v>
      </c>
      <c r="X26" s="152">
        <v>0.59448999999999996</v>
      </c>
      <c r="Y26" s="152">
        <v>0.20666999999999999</v>
      </c>
      <c r="Z26" s="152">
        <v>2.5831399999999998</v>
      </c>
      <c r="AA26" s="152">
        <v>0.60687000000000002</v>
      </c>
      <c r="AB26" s="152">
        <v>1.06419</v>
      </c>
      <c r="AC26" s="152">
        <v>0.64448000000000005</v>
      </c>
      <c r="AD26" s="152">
        <v>0.68541999999999992</v>
      </c>
      <c r="AE26" s="152">
        <v>0.2757</v>
      </c>
      <c r="AF26" s="152">
        <v>2.0562200000000002</v>
      </c>
      <c r="AG26" s="152">
        <v>2.6256699999999999</v>
      </c>
      <c r="AH26" s="152">
        <v>0.47817999999999999</v>
      </c>
      <c r="AI26" s="163">
        <v>12.521360000000001</v>
      </c>
      <c r="AJ26" s="330"/>
      <c r="AK26" s="150" t="s">
        <v>400</v>
      </c>
      <c r="AL26" s="164">
        <v>71.465000000000003</v>
      </c>
      <c r="AM26" s="164">
        <v>0</v>
      </c>
      <c r="AN26" s="164">
        <v>0.44800000000000001</v>
      </c>
      <c r="AO26" s="164">
        <v>0.44800000000000001</v>
      </c>
      <c r="AP26" s="164">
        <v>0</v>
      </c>
      <c r="AQ26" s="165">
        <v>71.912999999999997</v>
      </c>
      <c r="AR26" s="166">
        <v>0</v>
      </c>
      <c r="AS26" s="164">
        <v>0</v>
      </c>
      <c r="AT26" s="164">
        <v>0</v>
      </c>
      <c r="AU26" s="164">
        <v>0</v>
      </c>
      <c r="AV26" s="167">
        <v>0</v>
      </c>
      <c r="AW26" s="165">
        <v>0</v>
      </c>
      <c r="AX26" s="168">
        <v>0</v>
      </c>
      <c r="AY26" s="168">
        <v>0</v>
      </c>
      <c r="AZ26" s="168">
        <v>0</v>
      </c>
      <c r="BA26" s="168">
        <v>0</v>
      </c>
      <c r="BB26" s="165">
        <v>71.912999999999997</v>
      </c>
    </row>
    <row r="27" spans="1:54" x14ac:dyDescent="0.2">
      <c r="A27" s="150" t="s">
        <v>401</v>
      </c>
      <c r="B27" s="159">
        <v>161.79496</v>
      </c>
      <c r="C27" s="160">
        <v>0</v>
      </c>
      <c r="D27" s="160">
        <v>7.5439999999999996</v>
      </c>
      <c r="E27" s="160">
        <v>7.5439999999999996</v>
      </c>
      <c r="F27" s="160">
        <v>0</v>
      </c>
      <c r="G27" s="161">
        <v>169.33895999999999</v>
      </c>
      <c r="H27" s="159">
        <v>4.4209799999999992</v>
      </c>
      <c r="I27" s="160">
        <v>0.61362000000000005</v>
      </c>
      <c r="J27" s="160">
        <v>9.2630500000000016</v>
      </c>
      <c r="K27" s="160">
        <v>8.732050000000001</v>
      </c>
      <c r="L27" s="162">
        <v>0</v>
      </c>
      <c r="M27" s="161">
        <v>183.63660000000002</v>
      </c>
      <c r="O27" s="329"/>
      <c r="P27" s="150" t="s">
        <v>401</v>
      </c>
      <c r="Q27" s="151" t="s">
        <v>435</v>
      </c>
      <c r="R27" s="152">
        <v>0.19799</v>
      </c>
      <c r="S27" s="152">
        <v>1.1997</v>
      </c>
      <c r="T27" s="152">
        <v>1.6746399999999999</v>
      </c>
      <c r="U27" s="152">
        <v>0.48537999999999998</v>
      </c>
      <c r="V27" s="152">
        <v>1.8493299999999999</v>
      </c>
      <c r="W27" s="152">
        <v>1.1745300000000001</v>
      </c>
      <c r="X27" s="152">
        <v>4.3936800000000007</v>
      </c>
      <c r="Y27" s="152">
        <v>2.6933599999999998</v>
      </c>
      <c r="Z27" s="152">
        <v>12.345259999999998</v>
      </c>
      <c r="AA27" s="152">
        <v>2.2791999999999999</v>
      </c>
      <c r="AB27" s="152">
        <v>0.95686000000000015</v>
      </c>
      <c r="AC27" s="152">
        <v>24.284759999999999</v>
      </c>
      <c r="AD27" s="152">
        <v>11.99324</v>
      </c>
      <c r="AE27" s="152">
        <v>2.0306899999999999</v>
      </c>
      <c r="AF27" s="152">
        <v>18.83343</v>
      </c>
      <c r="AG27" s="152">
        <v>6.8144199999999993</v>
      </c>
      <c r="AH27" s="152">
        <v>2.7323300000000001</v>
      </c>
      <c r="AI27" s="163">
        <v>95.938839999999999</v>
      </c>
      <c r="AJ27" s="330"/>
      <c r="AK27" s="150" t="s">
        <v>401</v>
      </c>
      <c r="AL27" s="164">
        <v>46.511000000000003</v>
      </c>
      <c r="AM27" s="164">
        <v>0</v>
      </c>
      <c r="AN27" s="164">
        <v>0.503</v>
      </c>
      <c r="AO27" s="164">
        <v>0.503</v>
      </c>
      <c r="AP27" s="164">
        <v>0</v>
      </c>
      <c r="AQ27" s="165">
        <v>47.014000000000003</v>
      </c>
      <c r="AR27" s="166">
        <v>26.364789999999999</v>
      </c>
      <c r="AS27" s="164">
        <v>5.9800000000000001E-3</v>
      </c>
      <c r="AT27" s="164">
        <v>3.1</v>
      </c>
      <c r="AU27" s="164">
        <v>3.22</v>
      </c>
      <c r="AV27" s="167">
        <v>0</v>
      </c>
      <c r="AW27" s="165">
        <v>32.690770000000001</v>
      </c>
      <c r="AX27" s="168">
        <v>0</v>
      </c>
      <c r="AY27" s="168">
        <v>0.69499999999999995</v>
      </c>
      <c r="AZ27" s="168">
        <v>33.385770000000001</v>
      </c>
      <c r="BA27" s="168">
        <v>7.298</v>
      </c>
      <c r="BB27" s="165">
        <v>87.697770000000006</v>
      </c>
    </row>
    <row r="28" spans="1:54" x14ac:dyDescent="0.2">
      <c r="A28" s="150" t="s">
        <v>402</v>
      </c>
      <c r="B28" s="159">
        <v>160.678</v>
      </c>
      <c r="C28" s="160">
        <v>0</v>
      </c>
      <c r="D28" s="160">
        <v>5.0380000000000003</v>
      </c>
      <c r="E28" s="160">
        <v>5.0380000000000003</v>
      </c>
      <c r="F28" s="160">
        <v>-0.109</v>
      </c>
      <c r="G28" s="161">
        <v>165.607</v>
      </c>
      <c r="H28" s="159">
        <v>0</v>
      </c>
      <c r="I28" s="160">
        <v>0</v>
      </c>
      <c r="J28" s="160">
        <v>10.36102</v>
      </c>
      <c r="K28" s="160">
        <v>2.7660200000000001</v>
      </c>
      <c r="L28" s="162">
        <v>0</v>
      </c>
      <c r="M28" s="161">
        <v>175.96802</v>
      </c>
      <c r="O28" s="329"/>
      <c r="P28" s="150" t="s">
        <v>402</v>
      </c>
      <c r="Q28" s="151" t="s">
        <v>436</v>
      </c>
      <c r="R28" s="152">
        <v>2.1051500000000001</v>
      </c>
      <c r="S28" s="152">
        <v>1.51145</v>
      </c>
      <c r="T28" s="152">
        <v>3.3801799999999997</v>
      </c>
      <c r="U28" s="152">
        <v>0.46933999999999998</v>
      </c>
      <c r="V28" s="152">
        <v>1.401</v>
      </c>
      <c r="W28" s="152">
        <v>1.1111600000000001</v>
      </c>
      <c r="X28" s="152">
        <v>4.7690299999999999</v>
      </c>
      <c r="Y28" s="152">
        <v>5.49817</v>
      </c>
      <c r="Z28" s="152">
        <v>13.360860000000001</v>
      </c>
      <c r="AA28" s="152">
        <v>6.1260000000000003</v>
      </c>
      <c r="AB28" s="152">
        <v>1.5485</v>
      </c>
      <c r="AC28" s="152">
        <v>3.9613</v>
      </c>
      <c r="AD28" s="152">
        <v>45.074570000000001</v>
      </c>
      <c r="AE28" s="152">
        <v>10.327299999999999</v>
      </c>
      <c r="AF28" s="152">
        <v>12.82427</v>
      </c>
      <c r="AG28" s="152">
        <v>4.3486900000000004</v>
      </c>
      <c r="AH28" s="152">
        <v>1.6670099999999999</v>
      </c>
      <c r="AI28" s="163">
        <v>119.48396000000001</v>
      </c>
      <c r="AJ28" s="330"/>
      <c r="AK28" s="150" t="s">
        <v>402</v>
      </c>
      <c r="AL28" s="164">
        <v>51.932000000000002</v>
      </c>
      <c r="AM28" s="164">
        <v>0</v>
      </c>
      <c r="AN28" s="164">
        <v>0</v>
      </c>
      <c r="AO28" s="164">
        <v>0</v>
      </c>
      <c r="AP28" s="164">
        <v>0</v>
      </c>
      <c r="AQ28" s="165">
        <v>51.932000000000002</v>
      </c>
      <c r="AR28" s="166">
        <v>0</v>
      </c>
      <c r="AS28" s="164">
        <v>0</v>
      </c>
      <c r="AT28" s="164">
        <v>0</v>
      </c>
      <c r="AU28" s="164">
        <v>0</v>
      </c>
      <c r="AV28" s="167">
        <v>0</v>
      </c>
      <c r="AW28" s="165">
        <v>0</v>
      </c>
      <c r="AX28" s="168">
        <v>0</v>
      </c>
      <c r="AY28" s="168">
        <v>0</v>
      </c>
      <c r="AZ28" s="168">
        <v>0</v>
      </c>
      <c r="BA28" s="168">
        <v>4.5519999999999996</v>
      </c>
      <c r="BB28" s="165">
        <v>56.484000000000002</v>
      </c>
    </row>
    <row r="29" spans="1:54" x14ac:dyDescent="0.2">
      <c r="A29" s="150" t="s">
        <v>403</v>
      </c>
      <c r="B29" s="159">
        <v>257.88362000000001</v>
      </c>
      <c r="C29" s="160">
        <v>0</v>
      </c>
      <c r="D29" s="160">
        <v>0</v>
      </c>
      <c r="E29" s="160">
        <v>0</v>
      </c>
      <c r="F29" s="160">
        <v>0</v>
      </c>
      <c r="G29" s="161">
        <v>257.88362000000001</v>
      </c>
      <c r="H29" s="159">
        <v>0</v>
      </c>
      <c r="I29" s="160">
        <v>0</v>
      </c>
      <c r="J29" s="160">
        <v>3.4107600000000002</v>
      </c>
      <c r="K29" s="160">
        <v>2.7347600000000001</v>
      </c>
      <c r="L29" s="162">
        <v>0</v>
      </c>
      <c r="M29" s="161">
        <v>261.29437999999999</v>
      </c>
      <c r="O29" s="329"/>
      <c r="P29" s="150" t="s">
        <v>403</v>
      </c>
      <c r="Q29" s="151" t="s">
        <v>437</v>
      </c>
      <c r="R29" s="152">
        <v>1.5519999999999999E-2</v>
      </c>
      <c r="S29" s="152">
        <v>0.32729999999999998</v>
      </c>
      <c r="T29" s="152">
        <v>0.59983000000000009</v>
      </c>
      <c r="U29" s="152">
        <v>0.12603</v>
      </c>
      <c r="V29" s="152">
        <v>0.51078999999999997</v>
      </c>
      <c r="W29" s="152">
        <v>0.51285999999999998</v>
      </c>
      <c r="X29" s="152">
        <v>2.6079700000000003</v>
      </c>
      <c r="Y29" s="152">
        <v>1.76074</v>
      </c>
      <c r="Z29" s="152">
        <v>14.98531</v>
      </c>
      <c r="AA29" s="152">
        <v>2.2828499999999998</v>
      </c>
      <c r="AB29" s="152">
        <v>1.75559</v>
      </c>
      <c r="AC29" s="152">
        <v>2.91533</v>
      </c>
      <c r="AD29" s="152">
        <v>7.6401400000000006</v>
      </c>
      <c r="AE29" s="152">
        <v>9.0585000000000004</v>
      </c>
      <c r="AF29" s="152">
        <v>12.67634</v>
      </c>
      <c r="AG29" s="152">
        <v>3.7389999999999999</v>
      </c>
      <c r="AH29" s="152">
        <v>1.2158600000000002</v>
      </c>
      <c r="AI29" s="163">
        <v>62.729970000000002</v>
      </c>
      <c r="AJ29" s="330"/>
      <c r="AK29" s="150" t="s">
        <v>403</v>
      </c>
      <c r="AL29" s="164">
        <v>178.13</v>
      </c>
      <c r="AM29" s="164">
        <v>0</v>
      </c>
      <c r="AN29" s="164">
        <v>12.191000000000001</v>
      </c>
      <c r="AO29" s="164">
        <v>12.191000000000001</v>
      </c>
      <c r="AP29" s="164">
        <v>0</v>
      </c>
      <c r="AQ29" s="165">
        <v>190.321</v>
      </c>
      <c r="AR29" s="166">
        <v>1.49516</v>
      </c>
      <c r="AS29" s="164">
        <v>6.59626</v>
      </c>
      <c r="AT29" s="164">
        <v>0.152</v>
      </c>
      <c r="AU29" s="164">
        <v>0</v>
      </c>
      <c r="AV29" s="167">
        <v>0</v>
      </c>
      <c r="AW29" s="165">
        <v>8.2434200000000004</v>
      </c>
      <c r="AX29" s="168">
        <v>0</v>
      </c>
      <c r="AY29" s="168">
        <v>0</v>
      </c>
      <c r="AZ29" s="168">
        <v>8.2434200000000004</v>
      </c>
      <c r="BA29" s="168">
        <v>0</v>
      </c>
      <c r="BB29" s="165">
        <v>198.56442000000001</v>
      </c>
    </row>
    <row r="30" spans="1:54" x14ac:dyDescent="0.2">
      <c r="A30" s="150" t="s">
        <v>404</v>
      </c>
      <c r="B30" s="159">
        <v>393.19959999999998</v>
      </c>
      <c r="C30" s="160">
        <v>0</v>
      </c>
      <c r="D30" s="160">
        <v>21.193000000000001</v>
      </c>
      <c r="E30" s="160">
        <v>21.193000000000001</v>
      </c>
      <c r="F30" s="160">
        <v>0</v>
      </c>
      <c r="G30" s="161">
        <v>414.39259999999996</v>
      </c>
      <c r="H30" s="159">
        <v>0</v>
      </c>
      <c r="I30" s="160">
        <v>0</v>
      </c>
      <c r="J30" s="160">
        <v>22.582649999999997</v>
      </c>
      <c r="K30" s="160">
        <v>11.646650000000001</v>
      </c>
      <c r="L30" s="162">
        <v>0</v>
      </c>
      <c r="M30" s="161">
        <v>436.97522999999995</v>
      </c>
      <c r="O30" s="329"/>
      <c r="P30" s="150" t="s">
        <v>404</v>
      </c>
      <c r="Q30" s="151" t="s">
        <v>438</v>
      </c>
      <c r="R30" s="152">
        <v>2.3420699999999997</v>
      </c>
      <c r="S30" s="152">
        <v>8.1317199999999996</v>
      </c>
      <c r="T30" s="152">
        <v>14.02318</v>
      </c>
      <c r="U30" s="152">
        <v>2.3085599999999999</v>
      </c>
      <c r="V30" s="152">
        <v>11.864780000000001</v>
      </c>
      <c r="W30" s="152">
        <v>15.341660000000001</v>
      </c>
      <c r="X30" s="152">
        <v>36.605330000000002</v>
      </c>
      <c r="Y30" s="152">
        <v>25.565439999999999</v>
      </c>
      <c r="Z30" s="152">
        <v>38.107130000000005</v>
      </c>
      <c r="AA30" s="152">
        <v>14.438679999999998</v>
      </c>
      <c r="AB30" s="152">
        <v>4.6680900000000003</v>
      </c>
      <c r="AC30" s="152">
        <v>16.62285</v>
      </c>
      <c r="AD30" s="152">
        <v>19.878260000000001</v>
      </c>
      <c r="AE30" s="152">
        <v>10.2799</v>
      </c>
      <c r="AF30" s="152">
        <v>98.252150000000015</v>
      </c>
      <c r="AG30" s="152">
        <v>29.940469999999998</v>
      </c>
      <c r="AH30" s="152">
        <v>7.1596299999999999</v>
      </c>
      <c r="AI30" s="163">
        <v>355.52985999999999</v>
      </c>
      <c r="AJ30" s="330"/>
      <c r="AK30" s="150" t="s">
        <v>404</v>
      </c>
      <c r="AL30" s="164">
        <v>20.224</v>
      </c>
      <c r="AM30" s="164">
        <v>8.3239999999999998</v>
      </c>
      <c r="AN30" s="164">
        <v>0.53100000000000003</v>
      </c>
      <c r="AO30" s="164">
        <v>8.8550000000000004</v>
      </c>
      <c r="AP30" s="164">
        <v>0</v>
      </c>
      <c r="AQ30" s="165">
        <v>29.079000000000001</v>
      </c>
      <c r="AR30" s="166">
        <v>16.160820000000001</v>
      </c>
      <c r="AS30" s="164">
        <v>13.156549999999999</v>
      </c>
      <c r="AT30" s="164">
        <v>7.4999999999999997E-2</v>
      </c>
      <c r="AU30" s="164">
        <v>1.75</v>
      </c>
      <c r="AV30" s="167">
        <v>0.32</v>
      </c>
      <c r="AW30" s="165">
        <v>31.46237</v>
      </c>
      <c r="AX30" s="168">
        <v>0</v>
      </c>
      <c r="AY30" s="168">
        <v>0.29299999999999998</v>
      </c>
      <c r="AZ30" s="168">
        <v>31.755369999999999</v>
      </c>
      <c r="BA30" s="168">
        <v>20.611000000000001</v>
      </c>
      <c r="BB30" s="165">
        <v>81.445369999999997</v>
      </c>
    </row>
    <row r="31" spans="1:54" x14ac:dyDescent="0.2">
      <c r="A31" s="150" t="s">
        <v>405</v>
      </c>
      <c r="B31" s="159">
        <v>434.96754999999996</v>
      </c>
      <c r="C31" s="160">
        <v>0</v>
      </c>
      <c r="D31" s="160">
        <v>0.26100000000000001</v>
      </c>
      <c r="E31" s="160">
        <v>0.26100000000000001</v>
      </c>
      <c r="F31" s="160">
        <v>0</v>
      </c>
      <c r="G31" s="161">
        <v>435.22854999999998</v>
      </c>
      <c r="H31" s="159">
        <v>0</v>
      </c>
      <c r="I31" s="160">
        <v>0</v>
      </c>
      <c r="J31" s="160">
        <v>1.2590999999999999</v>
      </c>
      <c r="K31" s="160">
        <v>1.2590999999999999</v>
      </c>
      <c r="L31" s="162">
        <v>-1E-3</v>
      </c>
      <c r="M31" s="161">
        <v>436.48665</v>
      </c>
      <c r="O31" s="329"/>
      <c r="P31" s="150" t="s">
        <v>405</v>
      </c>
      <c r="Q31" s="151" t="s">
        <v>439</v>
      </c>
      <c r="R31" s="152">
        <v>0.13349</v>
      </c>
      <c r="S31" s="152">
        <v>0.30756</v>
      </c>
      <c r="T31" s="152">
        <v>0.38224000000000002</v>
      </c>
      <c r="U31" s="152">
        <v>0.10147</v>
      </c>
      <c r="V31" s="152">
        <v>0.41990999999999995</v>
      </c>
      <c r="W31" s="152">
        <v>0.63470000000000004</v>
      </c>
      <c r="X31" s="152">
        <v>1.1834899999999999</v>
      </c>
      <c r="Y31" s="152">
        <v>0.54882999999999993</v>
      </c>
      <c r="Z31" s="152">
        <v>1.25776</v>
      </c>
      <c r="AA31" s="152">
        <v>1.30403</v>
      </c>
      <c r="AB31" s="152">
        <v>0.2155</v>
      </c>
      <c r="AC31" s="152">
        <v>0.78332999999999997</v>
      </c>
      <c r="AD31" s="152">
        <v>0.8954399999999999</v>
      </c>
      <c r="AE31" s="152">
        <v>0.10281999999999999</v>
      </c>
      <c r="AF31" s="152">
        <v>1.6011199999999999</v>
      </c>
      <c r="AG31" s="152">
        <v>5.3199400000000008</v>
      </c>
      <c r="AH31" s="152">
        <v>0.18101999999999999</v>
      </c>
      <c r="AI31" s="163">
        <v>15.37265</v>
      </c>
      <c r="AJ31" s="330"/>
      <c r="AK31" s="150" t="s">
        <v>405</v>
      </c>
      <c r="AL31" s="164">
        <v>46.65</v>
      </c>
      <c r="AM31" s="164">
        <v>139.95500000000001</v>
      </c>
      <c r="AN31" s="164">
        <v>214.81200000000001</v>
      </c>
      <c r="AO31" s="164">
        <v>354.767</v>
      </c>
      <c r="AP31" s="164">
        <v>19.181000000000001</v>
      </c>
      <c r="AQ31" s="165">
        <v>420.59800000000001</v>
      </c>
      <c r="AR31" s="166">
        <v>0</v>
      </c>
      <c r="AS31" s="164">
        <v>0</v>
      </c>
      <c r="AT31" s="164">
        <v>0</v>
      </c>
      <c r="AU31" s="164">
        <v>0</v>
      </c>
      <c r="AV31" s="167">
        <v>0</v>
      </c>
      <c r="AW31" s="165">
        <v>0</v>
      </c>
      <c r="AX31" s="168">
        <v>0</v>
      </c>
      <c r="AY31" s="168">
        <v>0</v>
      </c>
      <c r="AZ31" s="168">
        <v>0</v>
      </c>
      <c r="BA31" s="168">
        <v>0.51600000000000001</v>
      </c>
      <c r="BB31" s="165">
        <v>421.11399999999998</v>
      </c>
    </row>
    <row r="32" spans="1:54" x14ac:dyDescent="0.2">
      <c r="A32" s="150" t="s">
        <v>406</v>
      </c>
      <c r="B32" s="159">
        <v>82.333880000000008</v>
      </c>
      <c r="C32" s="160">
        <v>0</v>
      </c>
      <c r="D32" s="160">
        <v>1.302</v>
      </c>
      <c r="E32" s="160">
        <v>1.302</v>
      </c>
      <c r="F32" s="160">
        <v>0</v>
      </c>
      <c r="G32" s="161">
        <v>83.63588</v>
      </c>
      <c r="H32" s="159">
        <v>0</v>
      </c>
      <c r="I32" s="160">
        <v>0</v>
      </c>
      <c r="J32" s="160">
        <v>7.1890600000000004</v>
      </c>
      <c r="K32" s="160">
        <v>2.9860600000000002</v>
      </c>
      <c r="L32" s="162">
        <v>-1.0999999999999999E-2</v>
      </c>
      <c r="M32" s="161">
        <v>90.813929999999999</v>
      </c>
      <c r="O32" s="329"/>
      <c r="P32" s="150" t="s">
        <v>406</v>
      </c>
      <c r="Q32" s="151" t="s">
        <v>440</v>
      </c>
      <c r="R32" s="152">
        <v>8.863E-2</v>
      </c>
      <c r="S32" s="152">
        <v>0.3387</v>
      </c>
      <c r="T32" s="152">
        <v>0.70774999999999999</v>
      </c>
      <c r="U32" s="152">
        <v>0.15982000000000002</v>
      </c>
      <c r="V32" s="152">
        <v>0.39077999999999996</v>
      </c>
      <c r="W32" s="152">
        <v>0.85339999999999994</v>
      </c>
      <c r="X32" s="152">
        <v>1.2241999999999997</v>
      </c>
      <c r="Y32" s="152">
        <v>0.6809599999999999</v>
      </c>
      <c r="Z32" s="152">
        <v>2.0506599999999997</v>
      </c>
      <c r="AA32" s="152">
        <v>0.75851000000000002</v>
      </c>
      <c r="AB32" s="152">
        <v>0.5301800000000001</v>
      </c>
      <c r="AC32" s="152">
        <v>0.86868999999999996</v>
      </c>
      <c r="AD32" s="152">
        <v>0.52671000000000001</v>
      </c>
      <c r="AE32" s="152">
        <v>1.0380699999999998</v>
      </c>
      <c r="AF32" s="152">
        <v>2.5347799999999996</v>
      </c>
      <c r="AG32" s="152">
        <v>0.87623000000000006</v>
      </c>
      <c r="AH32" s="152">
        <v>3.3583600000000002</v>
      </c>
      <c r="AI32" s="163">
        <v>16.986450000000001</v>
      </c>
      <c r="AJ32" s="330"/>
      <c r="AK32" s="150" t="s">
        <v>406</v>
      </c>
      <c r="AL32" s="164">
        <v>38.390999999999998</v>
      </c>
      <c r="AM32" s="164">
        <v>1.2969999999999999</v>
      </c>
      <c r="AN32" s="164">
        <v>15.05</v>
      </c>
      <c r="AO32" s="164">
        <v>16.347000000000001</v>
      </c>
      <c r="AP32" s="164">
        <v>14.259</v>
      </c>
      <c r="AQ32" s="165">
        <v>68.997</v>
      </c>
      <c r="AR32" s="166">
        <v>2.6644800000000002</v>
      </c>
      <c r="AS32" s="164">
        <v>0</v>
      </c>
      <c r="AT32" s="164">
        <v>0.184</v>
      </c>
      <c r="AU32" s="164">
        <v>0.33</v>
      </c>
      <c r="AV32" s="167">
        <v>0</v>
      </c>
      <c r="AW32" s="165">
        <v>3.17848</v>
      </c>
      <c r="AX32" s="168">
        <v>0</v>
      </c>
      <c r="AY32" s="168">
        <v>3.3000000000000002E-2</v>
      </c>
      <c r="AZ32" s="168">
        <v>3.2114799999999999</v>
      </c>
      <c r="BA32" s="168">
        <v>1.619</v>
      </c>
      <c r="BB32" s="165">
        <v>73.827479999999994</v>
      </c>
    </row>
    <row r="33" spans="1:54" x14ac:dyDescent="0.2">
      <c r="A33" s="150" t="s">
        <v>441</v>
      </c>
      <c r="B33" s="159">
        <v>0</v>
      </c>
      <c r="C33" s="160">
        <v>0</v>
      </c>
      <c r="D33" s="160">
        <v>25.965</v>
      </c>
      <c r="E33" s="160">
        <v>25.965</v>
      </c>
      <c r="F33" s="160">
        <v>0</v>
      </c>
      <c r="G33" s="161">
        <v>25.965</v>
      </c>
      <c r="H33" s="159">
        <v>0</v>
      </c>
      <c r="I33" s="160">
        <v>0</v>
      </c>
      <c r="J33" s="160">
        <v>0</v>
      </c>
      <c r="K33" s="160">
        <v>0</v>
      </c>
      <c r="L33" s="162">
        <v>0</v>
      </c>
      <c r="M33" s="161">
        <v>25.965</v>
      </c>
      <c r="O33" s="329"/>
      <c r="P33" s="150" t="s">
        <v>441</v>
      </c>
      <c r="Q33" s="151" t="s">
        <v>442</v>
      </c>
      <c r="R33" s="152">
        <v>0</v>
      </c>
      <c r="S33" s="152">
        <v>0</v>
      </c>
      <c r="T33" s="152">
        <v>0</v>
      </c>
      <c r="U33" s="152">
        <v>0</v>
      </c>
      <c r="V33" s="152">
        <v>0</v>
      </c>
      <c r="W33" s="152">
        <v>0</v>
      </c>
      <c r="X33" s="152">
        <v>0</v>
      </c>
      <c r="Y33" s="152">
        <v>0</v>
      </c>
      <c r="Z33" s="152">
        <v>0</v>
      </c>
      <c r="AA33" s="152">
        <v>0</v>
      </c>
      <c r="AB33" s="152">
        <v>0</v>
      </c>
      <c r="AC33" s="152">
        <v>0</v>
      </c>
      <c r="AD33" s="152">
        <v>0</v>
      </c>
      <c r="AE33" s="152">
        <v>0</v>
      </c>
      <c r="AF33" s="152">
        <v>0</v>
      </c>
      <c r="AG33" s="152">
        <v>0</v>
      </c>
      <c r="AH33" s="152">
        <v>0</v>
      </c>
      <c r="AI33" s="163">
        <v>0</v>
      </c>
      <c r="AJ33" s="330"/>
      <c r="AK33" s="150" t="s">
        <v>441</v>
      </c>
      <c r="AL33" s="164">
        <v>-10.973000000000001</v>
      </c>
      <c r="AM33" s="164">
        <v>0</v>
      </c>
      <c r="AN33" s="164">
        <v>0</v>
      </c>
      <c r="AO33" s="164">
        <v>0</v>
      </c>
      <c r="AP33" s="164">
        <v>0</v>
      </c>
      <c r="AQ33" s="165">
        <v>-10.973000000000001</v>
      </c>
      <c r="AR33" s="166">
        <v>0</v>
      </c>
      <c r="AS33" s="164">
        <v>0</v>
      </c>
      <c r="AT33" s="164">
        <v>0</v>
      </c>
      <c r="AU33" s="164">
        <v>0</v>
      </c>
      <c r="AV33" s="167">
        <v>0</v>
      </c>
      <c r="AW33" s="165">
        <v>0</v>
      </c>
      <c r="AX33" s="168">
        <v>0</v>
      </c>
      <c r="AY33" s="168">
        <v>0</v>
      </c>
      <c r="AZ33" s="168">
        <v>0</v>
      </c>
      <c r="BA33" s="168">
        <v>36.938000000000002</v>
      </c>
      <c r="BB33" s="165">
        <v>25.965</v>
      </c>
    </row>
    <row r="34" spans="1:54" x14ac:dyDescent="0.2">
      <c r="A34" s="169" t="s">
        <v>443</v>
      </c>
      <c r="B34" s="170">
        <v>0</v>
      </c>
      <c r="C34" s="171">
        <v>-12.922000000000001</v>
      </c>
      <c r="D34" s="171">
        <v>0</v>
      </c>
      <c r="E34" s="171">
        <v>-12.922000000000001</v>
      </c>
      <c r="F34" s="171">
        <v>12.922000000000001</v>
      </c>
      <c r="G34" s="172">
        <v>0</v>
      </c>
      <c r="H34" s="170">
        <v>0</v>
      </c>
      <c r="I34" s="171">
        <v>0</v>
      </c>
      <c r="J34" s="171">
        <v>0</v>
      </c>
      <c r="K34" s="171">
        <v>0</v>
      </c>
      <c r="L34" s="173">
        <v>0</v>
      </c>
      <c r="M34" s="172">
        <v>0</v>
      </c>
      <c r="O34" s="329"/>
      <c r="P34" s="150" t="s">
        <v>443</v>
      </c>
      <c r="Q34" s="151" t="s">
        <v>381</v>
      </c>
      <c r="R34" s="152">
        <v>0</v>
      </c>
      <c r="S34" s="152">
        <v>0</v>
      </c>
      <c r="T34" s="152">
        <v>0</v>
      </c>
      <c r="U34" s="152">
        <v>0</v>
      </c>
      <c r="V34" s="152">
        <v>0</v>
      </c>
      <c r="W34" s="152">
        <v>0</v>
      </c>
      <c r="X34" s="152">
        <v>0</v>
      </c>
      <c r="Y34" s="152">
        <v>0</v>
      </c>
      <c r="Z34" s="152">
        <v>0</v>
      </c>
      <c r="AA34" s="152">
        <v>0</v>
      </c>
      <c r="AB34" s="152">
        <v>0</v>
      </c>
      <c r="AC34" s="152">
        <v>0</v>
      </c>
      <c r="AD34" s="152">
        <v>0</v>
      </c>
      <c r="AE34" s="152">
        <v>0</v>
      </c>
      <c r="AF34" s="152">
        <v>0</v>
      </c>
      <c r="AG34" s="152">
        <v>0</v>
      </c>
      <c r="AH34" s="152">
        <v>0</v>
      </c>
      <c r="AI34" s="163">
        <v>0</v>
      </c>
      <c r="AJ34" s="330"/>
      <c r="AK34" s="169" t="s">
        <v>443</v>
      </c>
      <c r="AL34" s="164">
        <v>0</v>
      </c>
      <c r="AM34" s="164">
        <v>0</v>
      </c>
      <c r="AN34" s="164">
        <v>0</v>
      </c>
      <c r="AO34" s="164">
        <v>0</v>
      </c>
      <c r="AP34" s="164">
        <v>0</v>
      </c>
      <c r="AQ34" s="174">
        <v>0</v>
      </c>
      <c r="AR34" s="164">
        <v>0</v>
      </c>
      <c r="AS34" s="164">
        <v>0</v>
      </c>
      <c r="AT34" s="164">
        <v>0</v>
      </c>
      <c r="AU34" s="164">
        <v>0</v>
      </c>
      <c r="AV34" s="164">
        <v>0</v>
      </c>
      <c r="AW34" s="174">
        <v>0</v>
      </c>
      <c r="AX34" s="175">
        <v>0</v>
      </c>
      <c r="AY34" s="175">
        <v>0</v>
      </c>
      <c r="AZ34" s="175">
        <v>0</v>
      </c>
      <c r="BA34" s="175">
        <v>0</v>
      </c>
      <c r="BB34" s="174">
        <v>0</v>
      </c>
    </row>
    <row r="35" spans="1:54" x14ac:dyDescent="0.2">
      <c r="A35" s="132" t="s">
        <v>407</v>
      </c>
      <c r="B35" s="176">
        <v>3263.6336499999998</v>
      </c>
      <c r="C35" s="177">
        <v>415.26400000000001</v>
      </c>
      <c r="D35" s="177">
        <v>89.448999999999998</v>
      </c>
      <c r="E35" s="177">
        <v>504.71300000000002</v>
      </c>
      <c r="F35" s="177">
        <v>0</v>
      </c>
      <c r="G35" s="178">
        <v>3768.34665</v>
      </c>
      <c r="H35" s="176"/>
      <c r="I35" s="177"/>
      <c r="J35" s="177">
        <v>203.97598000000005</v>
      </c>
      <c r="K35" s="177">
        <v>131.69298000000001</v>
      </c>
      <c r="L35" s="179">
        <v>-12.119</v>
      </c>
      <c r="M35" s="178">
        <v>3960.20381</v>
      </c>
      <c r="O35" s="329"/>
      <c r="P35" s="180" t="s">
        <v>407</v>
      </c>
      <c r="Q35" s="132" t="s">
        <v>407</v>
      </c>
      <c r="R35" s="181">
        <v>43.777149999999999</v>
      </c>
      <c r="S35" s="181">
        <v>67.43638</v>
      </c>
      <c r="T35" s="181">
        <v>101.02902</v>
      </c>
      <c r="U35" s="181">
        <v>44.955669999999998</v>
      </c>
      <c r="V35" s="181">
        <v>67.574470000000005</v>
      </c>
      <c r="W35" s="181">
        <v>109.0962</v>
      </c>
      <c r="X35" s="181">
        <v>245.90402000000003</v>
      </c>
      <c r="Y35" s="181">
        <v>151.09302</v>
      </c>
      <c r="Z35" s="181">
        <v>159.0283</v>
      </c>
      <c r="AA35" s="181">
        <v>85.288820000000001</v>
      </c>
      <c r="AB35" s="181">
        <v>36.946260000000002</v>
      </c>
      <c r="AC35" s="181">
        <v>78.41874</v>
      </c>
      <c r="AD35" s="181">
        <v>92.75609</v>
      </c>
      <c r="AE35" s="181">
        <v>41.136000000000003</v>
      </c>
      <c r="AF35" s="181">
        <v>191.57947999999999</v>
      </c>
      <c r="AG35" s="181">
        <v>110.7538</v>
      </c>
      <c r="AH35" s="181">
        <v>30.60182</v>
      </c>
      <c r="AI35" s="182">
        <v>1657.37526</v>
      </c>
      <c r="AJ35" s="330"/>
      <c r="AK35" s="132" t="s">
        <v>407</v>
      </c>
      <c r="AL35" s="183">
        <v>986.59400000000005</v>
      </c>
      <c r="AM35" s="183">
        <v>149.57599999999999</v>
      </c>
      <c r="AN35" s="183">
        <v>272.166</v>
      </c>
      <c r="AO35" s="183">
        <v>421.74200000000002</v>
      </c>
      <c r="AP35" s="184">
        <v>33.44</v>
      </c>
      <c r="AQ35" s="185">
        <v>1441.7760000000001</v>
      </c>
      <c r="AR35" s="186">
        <v>181.99047000000002</v>
      </c>
      <c r="AS35" s="183">
        <v>102.56858999999999</v>
      </c>
      <c r="AT35" s="183">
        <v>14.952</v>
      </c>
      <c r="AU35" s="183">
        <v>57.561</v>
      </c>
      <c r="AV35" s="184">
        <v>3.3039999999999998</v>
      </c>
      <c r="AW35" s="185">
        <v>360.37604999999996</v>
      </c>
      <c r="AX35" s="185">
        <v>1.02948</v>
      </c>
      <c r="AY35" s="185">
        <v>13.733000000000001</v>
      </c>
      <c r="AZ35" s="185">
        <v>375.13852999999995</v>
      </c>
      <c r="BA35" s="185">
        <v>485.91399999999999</v>
      </c>
      <c r="BB35" s="185">
        <v>2302.8285299999998</v>
      </c>
    </row>
    <row r="36" spans="1:54" x14ac:dyDescent="0.2">
      <c r="A36" s="187"/>
      <c r="B36" s="188"/>
      <c r="C36" s="188"/>
      <c r="D36" s="188"/>
      <c r="E36" s="188"/>
      <c r="F36" s="188"/>
      <c r="G36" s="188"/>
      <c r="H36" s="188"/>
      <c r="I36" s="188"/>
      <c r="J36" s="188"/>
      <c r="K36" s="188"/>
      <c r="L36" s="188"/>
      <c r="M36" s="188"/>
      <c r="P36" s="189"/>
      <c r="R36" s="189"/>
      <c r="S36" s="189"/>
      <c r="T36" s="189"/>
      <c r="U36" s="189"/>
      <c r="V36" s="189"/>
      <c r="W36" s="189"/>
      <c r="X36" s="189"/>
      <c r="Y36" s="189"/>
      <c r="Z36" s="189"/>
      <c r="AA36" s="189"/>
      <c r="AB36" s="189"/>
      <c r="AC36" s="189"/>
      <c r="AD36" s="189"/>
      <c r="AE36" s="189"/>
      <c r="AF36" s="189"/>
      <c r="AG36" s="189"/>
      <c r="AH36" s="189"/>
      <c r="AI36" s="189"/>
      <c r="AQ36" s="248" t="s">
        <v>501</v>
      </c>
      <c r="AR36" s="249">
        <f>TEE_2019_COMPLET!D85</f>
        <v>170.28478000000001</v>
      </c>
      <c r="AS36" s="249">
        <f>TEE_2019_COMPLET!G85</f>
        <v>114.30967999999999</v>
      </c>
      <c r="AT36" s="249">
        <f>TEE_2019_COMPLET!E85</f>
        <v>14.917</v>
      </c>
      <c r="AU36" s="249">
        <f>TEE_2019_COMPLET!F85</f>
        <v>57.561</v>
      </c>
      <c r="AV36" s="249">
        <f>TEE_2019_COMPLET!H85</f>
        <v>3.3039999999999998</v>
      </c>
      <c r="AW36" s="249">
        <f>TEE_2019_COMPLET!C85</f>
        <v>360.37646999999998</v>
      </c>
    </row>
    <row r="37" spans="1:54" x14ac:dyDescent="0.2">
      <c r="A37" s="190" t="s">
        <v>444</v>
      </c>
      <c r="P37" s="189"/>
      <c r="R37" s="189"/>
      <c r="S37" s="189"/>
      <c r="T37" s="189"/>
      <c r="U37" s="189"/>
      <c r="V37" s="189"/>
      <c r="W37" s="189"/>
      <c r="X37" s="189"/>
      <c r="Y37" s="189"/>
      <c r="Z37" s="189"/>
      <c r="AA37" s="189"/>
      <c r="AB37" s="189"/>
      <c r="AC37" s="189"/>
      <c r="AD37" s="189"/>
      <c r="AE37" s="189"/>
      <c r="AF37" s="189"/>
      <c r="AG37" s="189"/>
      <c r="AH37" s="189"/>
      <c r="AI37" s="189"/>
      <c r="AQ37" s="248" t="s">
        <v>502</v>
      </c>
      <c r="AR37" s="249">
        <f t="shared" ref="AR37:AW37" si="0">AR35-AR36</f>
        <v>11.705690000000004</v>
      </c>
      <c r="AS37" s="249">
        <f t="shared" si="0"/>
        <v>-11.74109</v>
      </c>
      <c r="AT37" s="249">
        <f t="shared" si="0"/>
        <v>3.5000000000000142E-2</v>
      </c>
      <c r="AU37" s="249">
        <f t="shared" si="0"/>
        <v>0</v>
      </c>
      <c r="AV37" s="249">
        <f t="shared" si="0"/>
        <v>0</v>
      </c>
      <c r="AW37" s="249">
        <f t="shared" si="0"/>
        <v>-4.200000000196269E-4</v>
      </c>
    </row>
    <row r="38" spans="1:54" x14ac:dyDescent="0.2">
      <c r="A38" s="190" t="s">
        <v>445</v>
      </c>
      <c r="P38" s="189"/>
      <c r="AQ38" s="102" t="s">
        <v>503</v>
      </c>
      <c r="AT38" s="251"/>
    </row>
    <row r="39" spans="1:54" x14ac:dyDescent="0.2">
      <c r="A39" s="190" t="s">
        <v>446</v>
      </c>
      <c r="AQ39" s="102" t="s">
        <v>481</v>
      </c>
      <c r="AR39" s="250">
        <f>-AR37/AS37</f>
        <v>0.99698494773483592</v>
      </c>
    </row>
    <row r="40" spans="1:54" x14ac:dyDescent="0.2">
      <c r="O40" s="307"/>
      <c r="P40" s="308" t="s">
        <v>447</v>
      </c>
      <c r="Q40" s="309"/>
      <c r="R40" s="309"/>
      <c r="S40" s="309"/>
      <c r="T40" s="309"/>
      <c r="U40" s="309"/>
      <c r="V40" s="309"/>
      <c r="W40" s="309"/>
      <c r="X40" s="309"/>
      <c r="Y40" s="309"/>
      <c r="Z40" s="309"/>
      <c r="AA40" s="309"/>
      <c r="AB40" s="309"/>
      <c r="AC40" s="309"/>
      <c r="AD40" s="309"/>
      <c r="AE40" s="309"/>
      <c r="AF40" s="309"/>
      <c r="AG40" s="309"/>
      <c r="AH40" s="309"/>
      <c r="AI40" s="310"/>
      <c r="AQ40" s="102" t="s">
        <v>504</v>
      </c>
      <c r="AR40" s="102">
        <f>1-AR39</f>
        <v>3.0150522651640754E-3</v>
      </c>
      <c r="AS40" s="248">
        <f>-AT37/AS37</f>
        <v>2.9809838779874904E-3</v>
      </c>
      <c r="AT40" s="248">
        <f>AR40-AS40</f>
        <v>3.4068387176585009E-5</v>
      </c>
    </row>
    <row r="41" spans="1:54" ht="13.5" customHeight="1" x14ac:dyDescent="0.2">
      <c r="O41" s="307"/>
      <c r="P41" s="311" t="s">
        <v>243</v>
      </c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312"/>
      <c r="AG41" s="312"/>
      <c r="AH41" s="312"/>
      <c r="AI41" s="313"/>
    </row>
    <row r="42" spans="1:54" x14ac:dyDescent="0.2">
      <c r="N42" s="191"/>
      <c r="O42" s="307"/>
      <c r="P42" s="192"/>
      <c r="Q42" s="140"/>
      <c r="R42" s="142" t="s">
        <v>390</v>
      </c>
      <c r="S42" s="142" t="s">
        <v>391</v>
      </c>
      <c r="T42" s="142" t="s">
        <v>392</v>
      </c>
      <c r="U42" s="142" t="s">
        <v>393</v>
      </c>
      <c r="V42" s="142" t="s">
        <v>394</v>
      </c>
      <c r="W42" s="142" t="s">
        <v>395</v>
      </c>
      <c r="X42" s="142" t="s">
        <v>396</v>
      </c>
      <c r="Y42" s="142" t="s">
        <v>397</v>
      </c>
      <c r="Z42" s="142" t="s">
        <v>398</v>
      </c>
      <c r="AA42" s="142" t="s">
        <v>399</v>
      </c>
      <c r="AB42" s="142" t="s">
        <v>400</v>
      </c>
      <c r="AC42" s="142" t="s">
        <v>401</v>
      </c>
      <c r="AD42" s="142" t="s">
        <v>402</v>
      </c>
      <c r="AE42" s="142" t="s">
        <v>403</v>
      </c>
      <c r="AF42" s="142" t="s">
        <v>404</v>
      </c>
      <c r="AG42" s="142" t="s">
        <v>405</v>
      </c>
      <c r="AH42" s="142" t="s">
        <v>406</v>
      </c>
      <c r="AI42" s="135" t="s">
        <v>407</v>
      </c>
      <c r="AJ42" s="187"/>
    </row>
    <row r="43" spans="1:54" ht="13.5" customHeight="1" x14ac:dyDescent="0.2">
      <c r="O43" s="307"/>
      <c r="P43" s="144" t="s">
        <v>23</v>
      </c>
      <c r="Q43" s="193" t="s">
        <v>448</v>
      </c>
      <c r="R43" s="154">
        <v>43.777120000000004</v>
      </c>
      <c r="S43" s="155">
        <v>67.437839999999994</v>
      </c>
      <c r="T43" s="155">
        <v>101.02894000000001</v>
      </c>
      <c r="U43" s="155">
        <v>44.955629999999999</v>
      </c>
      <c r="V43" s="155">
        <v>67.57441</v>
      </c>
      <c r="W43" s="155">
        <v>109.09611</v>
      </c>
      <c r="X43" s="155">
        <v>245.90383</v>
      </c>
      <c r="Y43" s="155">
        <v>151.09289999999999</v>
      </c>
      <c r="Z43" s="155">
        <v>159.02817999999999</v>
      </c>
      <c r="AA43" s="155">
        <v>85.28877</v>
      </c>
      <c r="AB43" s="155">
        <v>36.94623</v>
      </c>
      <c r="AC43" s="155">
        <v>78.418669999999992</v>
      </c>
      <c r="AD43" s="155">
        <v>92.75582</v>
      </c>
      <c r="AE43" s="155">
        <v>41.13597</v>
      </c>
      <c r="AF43" s="155">
        <v>191.57932</v>
      </c>
      <c r="AG43" s="155">
        <v>110.75379000000001</v>
      </c>
      <c r="AH43" s="155">
        <v>30.601790000000001</v>
      </c>
      <c r="AI43" s="157">
        <v>1657.3753100000001</v>
      </c>
    </row>
    <row r="44" spans="1:54" ht="14.25" customHeight="1" x14ac:dyDescent="0.2">
      <c r="O44" s="307"/>
      <c r="P44" s="150" t="s">
        <v>273</v>
      </c>
      <c r="Q44" s="151" t="s">
        <v>449</v>
      </c>
      <c r="R44" s="166">
        <v>28.677799999999998</v>
      </c>
      <c r="S44" s="164">
        <v>45.171800000000005</v>
      </c>
      <c r="T44" s="164">
        <v>33.143599999999999</v>
      </c>
      <c r="U44" s="164">
        <v>2.1863000000000001</v>
      </c>
      <c r="V44" s="164">
        <v>28.717699999999997</v>
      </c>
      <c r="W44" s="164">
        <v>17.158900000000003</v>
      </c>
      <c r="X44" s="164">
        <v>111.169</v>
      </c>
      <c r="Y44" s="164">
        <v>94.826399999999992</v>
      </c>
      <c r="Z44" s="164">
        <v>173.18340000000001</v>
      </c>
      <c r="AA44" s="164">
        <v>76.270499999999998</v>
      </c>
      <c r="AB44" s="164">
        <v>40.296699999999994</v>
      </c>
      <c r="AC44" s="164">
        <v>81.890299999999982</v>
      </c>
      <c r="AD44" s="164">
        <v>67.922200000000004</v>
      </c>
      <c r="AE44" s="164">
        <v>213.05160000000001</v>
      </c>
      <c r="AF44" s="164">
        <v>194.11429999999999</v>
      </c>
      <c r="AG44" s="164">
        <v>344.63370000000003</v>
      </c>
      <c r="AH44" s="164">
        <v>53.844099999999997</v>
      </c>
      <c r="AI44" s="165">
        <v>1606.2583200000001</v>
      </c>
    </row>
    <row r="45" spans="1:54" x14ac:dyDescent="0.2">
      <c r="O45" s="307"/>
      <c r="P45" s="150" t="s">
        <v>18</v>
      </c>
      <c r="Q45" s="151" t="s">
        <v>450</v>
      </c>
      <c r="R45" s="166">
        <v>72.454920000000001</v>
      </c>
      <c r="S45" s="164">
        <v>112.60971000000001</v>
      </c>
      <c r="T45" s="164">
        <v>134.17251999999999</v>
      </c>
      <c r="U45" s="164">
        <v>47.141919999999999</v>
      </c>
      <c r="V45" s="164">
        <v>96.29207000000001</v>
      </c>
      <c r="W45" s="164">
        <v>126.255</v>
      </c>
      <c r="X45" s="164">
        <v>357.07289000000003</v>
      </c>
      <c r="Y45" s="164">
        <v>245.91932999999997</v>
      </c>
      <c r="Z45" s="164">
        <v>332.21154999999999</v>
      </c>
      <c r="AA45" s="164">
        <v>161.55920999999998</v>
      </c>
      <c r="AB45" s="164">
        <v>77.242919999999998</v>
      </c>
      <c r="AC45" s="164">
        <v>160.30895999999998</v>
      </c>
      <c r="AD45" s="164">
        <v>160.678</v>
      </c>
      <c r="AE45" s="164">
        <v>254.18761999999998</v>
      </c>
      <c r="AF45" s="164">
        <v>385.6936</v>
      </c>
      <c r="AG45" s="164">
        <v>455.38754999999998</v>
      </c>
      <c r="AH45" s="164">
        <v>84.445880000000002</v>
      </c>
      <c r="AI45" s="165">
        <v>3263.6336299999998</v>
      </c>
    </row>
    <row r="46" spans="1:54" ht="14.25" customHeight="1" x14ac:dyDescent="0.2">
      <c r="O46" s="307"/>
      <c r="P46" s="150" t="s">
        <v>20</v>
      </c>
      <c r="Q46" s="151" t="s">
        <v>451</v>
      </c>
      <c r="R46" s="166">
        <v>69.231920000000002</v>
      </c>
      <c r="S46" s="164">
        <v>112.60771000000001</v>
      </c>
      <c r="T46" s="164">
        <v>133.48551999999998</v>
      </c>
      <c r="U46" s="164">
        <v>47.141919999999999</v>
      </c>
      <c r="V46" s="164">
        <v>95.894179999999992</v>
      </c>
      <c r="W46" s="164">
        <v>126.15239</v>
      </c>
      <c r="X46" s="164">
        <v>350.06628000000001</v>
      </c>
      <c r="Y46" s="164">
        <v>234.47835000000001</v>
      </c>
      <c r="Z46" s="164">
        <v>332.21154999999999</v>
      </c>
      <c r="AA46" s="164">
        <v>161.55920999999998</v>
      </c>
      <c r="AB46" s="164">
        <v>77.242919999999998</v>
      </c>
      <c r="AC46" s="164">
        <v>143.44761</v>
      </c>
      <c r="AD46" s="164">
        <v>160.678</v>
      </c>
      <c r="AE46" s="164">
        <v>118.29461999999999</v>
      </c>
      <c r="AF46" s="164">
        <v>377.03543000000002</v>
      </c>
      <c r="AG46" s="164">
        <v>119.00355</v>
      </c>
      <c r="AH46" s="164">
        <v>47.76614</v>
      </c>
      <c r="AI46" s="165">
        <v>2706.2972799999998</v>
      </c>
    </row>
    <row r="47" spans="1:54" x14ac:dyDescent="0.2">
      <c r="O47" s="307"/>
      <c r="P47" s="150" t="s">
        <v>21</v>
      </c>
      <c r="Q47" s="151" t="s">
        <v>452</v>
      </c>
      <c r="R47" s="166">
        <v>3.2229999999999999</v>
      </c>
      <c r="S47" s="164">
        <v>2E-3</v>
      </c>
      <c r="T47" s="164">
        <v>0.68700000000000006</v>
      </c>
      <c r="U47" s="164">
        <v>0</v>
      </c>
      <c r="V47" s="164">
        <v>0.39788999999999997</v>
      </c>
      <c r="W47" s="164">
        <v>0.10260999999999999</v>
      </c>
      <c r="X47" s="164">
        <v>7.0066000000000006</v>
      </c>
      <c r="Y47" s="164">
        <v>11.440989999999999</v>
      </c>
      <c r="Z47" s="164">
        <v>0</v>
      </c>
      <c r="AA47" s="164">
        <v>0</v>
      </c>
      <c r="AB47" s="164">
        <v>0</v>
      </c>
      <c r="AC47" s="164">
        <v>16.861339999999998</v>
      </c>
      <c r="AD47" s="164">
        <v>0</v>
      </c>
      <c r="AE47" s="164">
        <v>135.893</v>
      </c>
      <c r="AF47" s="164">
        <v>0.33417000000000002</v>
      </c>
      <c r="AG47" s="164">
        <v>12.381</v>
      </c>
      <c r="AH47" s="164">
        <v>5.5737399999999999</v>
      </c>
      <c r="AI47" s="165">
        <v>193.90333999999999</v>
      </c>
    </row>
    <row r="48" spans="1:54" ht="14.25" customHeight="1" x14ac:dyDescent="0.2">
      <c r="O48" s="307"/>
      <c r="P48" s="169" t="s">
        <v>22</v>
      </c>
      <c r="Q48" s="194" t="s">
        <v>453</v>
      </c>
      <c r="R48" s="195">
        <v>0</v>
      </c>
      <c r="S48" s="196">
        <v>0</v>
      </c>
      <c r="T48" s="196">
        <v>0</v>
      </c>
      <c r="U48" s="196">
        <v>0</v>
      </c>
      <c r="V48" s="196">
        <v>0</v>
      </c>
      <c r="W48" s="196">
        <v>0</v>
      </c>
      <c r="X48" s="196">
        <v>0</v>
      </c>
      <c r="Y48" s="196">
        <v>0</v>
      </c>
      <c r="Z48" s="196">
        <v>0</v>
      </c>
      <c r="AA48" s="196">
        <v>0</v>
      </c>
      <c r="AB48" s="196">
        <v>0</v>
      </c>
      <c r="AC48" s="196">
        <v>0</v>
      </c>
      <c r="AD48" s="196">
        <v>0</v>
      </c>
      <c r="AE48" s="196">
        <v>0</v>
      </c>
      <c r="AF48" s="196">
        <v>8.3239999999999998</v>
      </c>
      <c r="AG48" s="196">
        <v>324.00299999999999</v>
      </c>
      <c r="AH48" s="196">
        <v>31.106000000000002</v>
      </c>
      <c r="AI48" s="174">
        <v>363.43299999999999</v>
      </c>
    </row>
    <row r="49" spans="15:35" x14ac:dyDescent="0.2">
      <c r="O49" s="307"/>
      <c r="P49" s="197"/>
      <c r="Q49" s="198"/>
      <c r="R49" s="199"/>
      <c r="S49" s="199"/>
      <c r="T49" s="199"/>
      <c r="U49" s="199"/>
      <c r="V49" s="199"/>
      <c r="W49" s="199"/>
      <c r="X49" s="199"/>
      <c r="Y49" s="199"/>
      <c r="Z49" s="199"/>
      <c r="AA49" s="199"/>
      <c r="AB49" s="199"/>
      <c r="AC49" s="199"/>
      <c r="AD49" s="199"/>
      <c r="AE49" s="199"/>
      <c r="AF49" s="199"/>
      <c r="AG49" s="199"/>
      <c r="AH49" s="199"/>
      <c r="AI49" s="200"/>
    </row>
    <row r="50" spans="15:35" x14ac:dyDescent="0.2">
      <c r="O50" s="307"/>
      <c r="P50" s="180" t="s">
        <v>18</v>
      </c>
      <c r="Q50" s="132" t="s">
        <v>450</v>
      </c>
      <c r="R50" s="201">
        <v>72.454920000000001</v>
      </c>
      <c r="S50" s="202">
        <v>112.60971000000001</v>
      </c>
      <c r="T50" s="202">
        <v>134.17251999999999</v>
      </c>
      <c r="U50" s="202">
        <v>47.141919999999999</v>
      </c>
      <c r="V50" s="202">
        <v>96.29207000000001</v>
      </c>
      <c r="W50" s="202">
        <v>126.255</v>
      </c>
      <c r="X50" s="202">
        <v>357.07289000000003</v>
      </c>
      <c r="Y50" s="202">
        <v>245.91932999999997</v>
      </c>
      <c r="Z50" s="202">
        <v>332.21154999999999</v>
      </c>
      <c r="AA50" s="202">
        <v>161.55920999999998</v>
      </c>
      <c r="AB50" s="202">
        <v>77.242919999999998</v>
      </c>
      <c r="AC50" s="202">
        <v>160.30895999999998</v>
      </c>
      <c r="AD50" s="202">
        <v>160.678</v>
      </c>
      <c r="AE50" s="202">
        <v>254.18761999999998</v>
      </c>
      <c r="AF50" s="202">
        <v>385.6936</v>
      </c>
      <c r="AG50" s="202">
        <v>455.38754999999998</v>
      </c>
      <c r="AH50" s="202">
        <v>84.445880000000002</v>
      </c>
      <c r="AI50" s="185">
        <v>3263.6336299999998</v>
      </c>
    </row>
    <row r="51" spans="15:35" x14ac:dyDescent="0.2">
      <c r="O51" s="307"/>
      <c r="P51" s="150" t="s">
        <v>454</v>
      </c>
      <c r="Q51" s="151" t="s">
        <v>455</v>
      </c>
      <c r="R51" s="166">
        <v>-8.3840000000000003</v>
      </c>
      <c r="S51" s="164">
        <v>0</v>
      </c>
      <c r="T51" s="164">
        <v>8.3840000000000003</v>
      </c>
      <c r="U51" s="164">
        <v>0</v>
      </c>
      <c r="V51" s="164">
        <v>0</v>
      </c>
      <c r="W51" s="164">
        <v>0</v>
      </c>
      <c r="X51" s="164">
        <v>0</v>
      </c>
      <c r="Y51" s="164">
        <v>0</v>
      </c>
      <c r="Z51" s="164">
        <v>0</v>
      </c>
      <c r="AA51" s="164">
        <v>0</v>
      </c>
      <c r="AB51" s="164">
        <v>0</v>
      </c>
      <c r="AC51" s="164">
        <v>0</v>
      </c>
      <c r="AD51" s="164">
        <v>0</v>
      </c>
      <c r="AE51" s="164">
        <v>0</v>
      </c>
      <c r="AF51" s="164">
        <v>0</v>
      </c>
      <c r="AG51" s="164">
        <v>0</v>
      </c>
      <c r="AH51" s="164">
        <v>0</v>
      </c>
      <c r="AI51" s="165">
        <v>0</v>
      </c>
    </row>
    <row r="52" spans="15:35" x14ac:dyDescent="0.2">
      <c r="O52" s="307"/>
      <c r="P52" s="150" t="s">
        <v>456</v>
      </c>
      <c r="Q52" s="151" t="s">
        <v>457</v>
      </c>
      <c r="R52" s="166">
        <v>0.217</v>
      </c>
      <c r="S52" s="164">
        <v>7.13</v>
      </c>
      <c r="T52" s="164">
        <v>0</v>
      </c>
      <c r="U52" s="164">
        <v>0</v>
      </c>
      <c r="V52" s="164">
        <v>0.158</v>
      </c>
      <c r="W52" s="164">
        <v>0</v>
      </c>
      <c r="X52" s="164">
        <v>0.54100000000000004</v>
      </c>
      <c r="Y52" s="164">
        <v>0.48</v>
      </c>
      <c r="Z52" s="164">
        <v>0</v>
      </c>
      <c r="AA52" s="164">
        <v>0.44600000000000001</v>
      </c>
      <c r="AB52" s="164">
        <v>0.872</v>
      </c>
      <c r="AC52" s="164">
        <v>1.486</v>
      </c>
      <c r="AD52" s="164">
        <v>0</v>
      </c>
      <c r="AE52" s="164">
        <v>3.6960000000000002</v>
      </c>
      <c r="AF52" s="164">
        <v>7.5060000000000002</v>
      </c>
      <c r="AG52" s="164">
        <v>-20.420000000000002</v>
      </c>
      <c r="AH52" s="164">
        <v>-2.1120000000000001</v>
      </c>
      <c r="AI52" s="165">
        <v>0</v>
      </c>
    </row>
    <row r="53" spans="15:35" x14ac:dyDescent="0.2">
      <c r="O53" s="307"/>
      <c r="P53" s="150" t="s">
        <v>458</v>
      </c>
      <c r="Q53" s="151" t="s">
        <v>459</v>
      </c>
      <c r="R53" s="166">
        <v>-8.1669999999999998</v>
      </c>
      <c r="S53" s="164">
        <v>7.13</v>
      </c>
      <c r="T53" s="164">
        <v>8.3840000000000003</v>
      </c>
      <c r="U53" s="164">
        <v>0</v>
      </c>
      <c r="V53" s="164">
        <v>0.158</v>
      </c>
      <c r="W53" s="164">
        <v>0</v>
      </c>
      <c r="X53" s="164">
        <v>0.54100000000000004</v>
      </c>
      <c r="Y53" s="164">
        <v>0.48</v>
      </c>
      <c r="Z53" s="164">
        <v>0</v>
      </c>
      <c r="AA53" s="164">
        <v>0.44600000000000001</v>
      </c>
      <c r="AB53" s="164">
        <v>0.872</v>
      </c>
      <c r="AC53" s="164">
        <v>1.486</v>
      </c>
      <c r="AD53" s="164">
        <v>0</v>
      </c>
      <c r="AE53" s="164">
        <v>3.6960000000000002</v>
      </c>
      <c r="AF53" s="164">
        <v>7.5060000000000002</v>
      </c>
      <c r="AG53" s="164">
        <v>-20.420000000000002</v>
      </c>
      <c r="AH53" s="164">
        <v>-2.1120000000000001</v>
      </c>
      <c r="AI53" s="165">
        <v>0</v>
      </c>
    </row>
    <row r="54" spans="15:35" x14ac:dyDescent="0.2">
      <c r="O54" s="307"/>
      <c r="P54" s="180" t="s">
        <v>18</v>
      </c>
      <c r="Q54" s="132" t="s">
        <v>460</v>
      </c>
      <c r="R54" s="201">
        <v>64.28792</v>
      </c>
      <c r="S54" s="202">
        <v>119.73971</v>
      </c>
      <c r="T54" s="202">
        <v>142.55651999999998</v>
      </c>
      <c r="U54" s="202">
        <v>47.141919999999999</v>
      </c>
      <c r="V54" s="202">
        <v>96.450070000000011</v>
      </c>
      <c r="W54" s="202">
        <v>126.255</v>
      </c>
      <c r="X54" s="202">
        <v>357.61389000000003</v>
      </c>
      <c r="Y54" s="202">
        <v>246.39932999999999</v>
      </c>
      <c r="Z54" s="202">
        <v>332.21154999999999</v>
      </c>
      <c r="AA54" s="202">
        <v>162.00521000000001</v>
      </c>
      <c r="AB54" s="202">
        <v>78.114919999999998</v>
      </c>
      <c r="AC54" s="202">
        <v>161.79496</v>
      </c>
      <c r="AD54" s="202">
        <v>160.678</v>
      </c>
      <c r="AE54" s="202">
        <v>257.88362000000001</v>
      </c>
      <c r="AF54" s="202">
        <v>393.19959999999998</v>
      </c>
      <c r="AG54" s="202">
        <v>434.96754999999996</v>
      </c>
      <c r="AH54" s="202">
        <v>82.333880000000008</v>
      </c>
      <c r="AI54" s="185">
        <v>3263.6336299999998</v>
      </c>
    </row>
    <row r="55" spans="15:35" x14ac:dyDescent="0.2">
      <c r="P55" s="190"/>
      <c r="Q55" s="190"/>
      <c r="R55" s="190"/>
      <c r="S55" s="190"/>
      <c r="T55" s="190"/>
      <c r="U55" s="190"/>
    </row>
    <row r="56" spans="15:35" x14ac:dyDescent="0.2">
      <c r="R56" s="203"/>
      <c r="S56" s="203"/>
      <c r="T56" s="203"/>
      <c r="U56" s="203"/>
      <c r="V56" s="203"/>
      <c r="W56" s="203"/>
      <c r="X56" s="203"/>
      <c r="Y56" s="203"/>
      <c r="Z56" s="203"/>
      <c r="AA56" s="203"/>
    </row>
    <row r="57" spans="15:35" x14ac:dyDescent="0.2">
      <c r="R57" s="203"/>
      <c r="S57" s="203"/>
      <c r="T57" s="203"/>
      <c r="U57" s="203"/>
      <c r="V57" s="203"/>
      <c r="W57" s="203"/>
      <c r="X57" s="203"/>
      <c r="Y57" s="203"/>
      <c r="Z57" s="203"/>
      <c r="AA57" s="203"/>
    </row>
    <row r="58" spans="15:35" x14ac:dyDescent="0.2">
      <c r="R58" s="203"/>
      <c r="S58" s="203"/>
      <c r="T58" s="203"/>
      <c r="U58" s="203"/>
      <c r="V58" s="203"/>
      <c r="W58" s="203"/>
      <c r="X58" s="203"/>
      <c r="Y58" s="203"/>
      <c r="Z58" s="203"/>
      <c r="AA58" s="203"/>
    </row>
    <row r="59" spans="15:35" x14ac:dyDescent="0.2">
      <c r="O59" s="307"/>
      <c r="P59" s="308" t="s">
        <v>461</v>
      </c>
      <c r="Q59" s="314"/>
      <c r="R59" s="314"/>
      <c r="S59" s="314"/>
      <c r="T59" s="314"/>
      <c r="U59" s="314"/>
      <c r="V59" s="314"/>
      <c r="W59" s="314"/>
      <c r="X59" s="314"/>
      <c r="Y59" s="314"/>
      <c r="Z59" s="314"/>
      <c r="AA59" s="314"/>
      <c r="AB59" s="314"/>
      <c r="AC59" s="314"/>
      <c r="AD59" s="314"/>
      <c r="AE59" s="314"/>
      <c r="AF59" s="314"/>
      <c r="AG59" s="314"/>
      <c r="AH59" s="314"/>
      <c r="AI59" s="315"/>
    </row>
    <row r="60" spans="15:35" x14ac:dyDescent="0.2">
      <c r="O60" s="307"/>
      <c r="P60" s="311" t="s">
        <v>243</v>
      </c>
      <c r="Q60" s="312"/>
      <c r="R60" s="312"/>
      <c r="S60" s="312"/>
      <c r="T60" s="312"/>
      <c r="U60" s="312"/>
      <c r="V60" s="312"/>
      <c r="W60" s="312"/>
      <c r="X60" s="312"/>
      <c r="Y60" s="312"/>
      <c r="Z60" s="312"/>
      <c r="AA60" s="312"/>
      <c r="AB60" s="312"/>
      <c r="AC60" s="312"/>
      <c r="AD60" s="312"/>
      <c r="AE60" s="312"/>
      <c r="AF60" s="312"/>
      <c r="AG60" s="312"/>
      <c r="AH60" s="312"/>
      <c r="AI60" s="313"/>
    </row>
    <row r="61" spans="15:35" x14ac:dyDescent="0.2">
      <c r="O61" s="307"/>
      <c r="P61" s="204"/>
      <c r="Q61" s="205"/>
      <c r="R61" s="142" t="s">
        <v>390</v>
      </c>
      <c r="S61" s="142" t="s">
        <v>391</v>
      </c>
      <c r="T61" s="142" t="s">
        <v>392</v>
      </c>
      <c r="U61" s="142" t="s">
        <v>393</v>
      </c>
      <c r="V61" s="142" t="s">
        <v>394</v>
      </c>
      <c r="W61" s="142" t="s">
        <v>395</v>
      </c>
      <c r="X61" s="142" t="s">
        <v>396</v>
      </c>
      <c r="Y61" s="142" t="s">
        <v>397</v>
      </c>
      <c r="Z61" s="142" t="s">
        <v>398</v>
      </c>
      <c r="AA61" s="142" t="s">
        <v>399</v>
      </c>
      <c r="AB61" s="142" t="s">
        <v>400</v>
      </c>
      <c r="AC61" s="142" t="s">
        <v>401</v>
      </c>
      <c r="AD61" s="142" t="s">
        <v>402</v>
      </c>
      <c r="AE61" s="142" t="s">
        <v>403</v>
      </c>
      <c r="AF61" s="142" t="s">
        <v>404</v>
      </c>
      <c r="AG61" s="142" t="s">
        <v>405</v>
      </c>
      <c r="AH61" s="142" t="s">
        <v>406</v>
      </c>
      <c r="AI61" s="135" t="s">
        <v>407</v>
      </c>
    </row>
    <row r="62" spans="15:35" x14ac:dyDescent="0.2">
      <c r="O62" s="307"/>
      <c r="P62" s="180" t="s">
        <v>273</v>
      </c>
      <c r="Q62" s="132" t="s">
        <v>462</v>
      </c>
      <c r="R62" s="206">
        <v>28.677799999999998</v>
      </c>
      <c r="S62" s="164">
        <v>45.171800000000005</v>
      </c>
      <c r="T62" s="164">
        <v>33.143599999999999</v>
      </c>
      <c r="U62" s="164">
        <v>2.1863000000000001</v>
      </c>
      <c r="V62" s="164">
        <v>28.717699999999997</v>
      </c>
      <c r="W62" s="164">
        <v>17.158900000000003</v>
      </c>
      <c r="X62" s="164">
        <v>111.169</v>
      </c>
      <c r="Y62" s="164">
        <v>94.826399999999992</v>
      </c>
      <c r="Z62" s="164">
        <v>173.18340000000001</v>
      </c>
      <c r="AA62" s="164">
        <v>76.270499999999998</v>
      </c>
      <c r="AB62" s="164">
        <v>40.296699999999994</v>
      </c>
      <c r="AC62" s="164">
        <v>81.890299999999982</v>
      </c>
      <c r="AD62" s="164">
        <v>67.922200000000004</v>
      </c>
      <c r="AE62" s="164">
        <v>213.05160000000001</v>
      </c>
      <c r="AF62" s="164">
        <v>194.11429999999999</v>
      </c>
      <c r="AG62" s="164">
        <v>344.63370000000003</v>
      </c>
      <c r="AH62" s="164">
        <v>53.844099999999997</v>
      </c>
      <c r="AI62" s="185">
        <v>1606.2583200000001</v>
      </c>
    </row>
    <row r="63" spans="15:35" x14ac:dyDescent="0.2">
      <c r="O63" s="307"/>
      <c r="P63" s="144" t="s">
        <v>463</v>
      </c>
      <c r="Q63" s="193" t="s">
        <v>31</v>
      </c>
      <c r="R63" s="166">
        <v>8.0103000000000009</v>
      </c>
      <c r="S63" s="155">
        <v>15.979700000000001</v>
      </c>
      <c r="T63" s="155">
        <v>19.016299999999998</v>
      </c>
      <c r="U63" s="155">
        <v>0.87790000000000001</v>
      </c>
      <c r="V63" s="155">
        <v>20.497300000000003</v>
      </c>
      <c r="W63" s="155">
        <v>13.981</v>
      </c>
      <c r="X63" s="155">
        <v>74.859100000000012</v>
      </c>
      <c r="Y63" s="155">
        <v>57.873400000000004</v>
      </c>
      <c r="Z63" s="155">
        <v>109.9812</v>
      </c>
      <c r="AA63" s="155">
        <v>53.567399999999999</v>
      </c>
      <c r="AB63" s="155">
        <v>24.506799999999998</v>
      </c>
      <c r="AC63" s="155">
        <v>45.767900000000004</v>
      </c>
      <c r="AD63" s="155">
        <v>45.406500000000001</v>
      </c>
      <c r="AE63" s="155">
        <v>12.994899999999999</v>
      </c>
      <c r="AF63" s="155">
        <v>131.786</v>
      </c>
      <c r="AG63" s="155">
        <v>267.18819999999999</v>
      </c>
      <c r="AH63" s="155">
        <v>36.952400000000004</v>
      </c>
      <c r="AI63" s="157">
        <v>939.24621999999999</v>
      </c>
    </row>
    <row r="64" spans="15:35" x14ac:dyDescent="0.2">
      <c r="O64" s="307"/>
      <c r="P64" s="180" t="s">
        <v>464</v>
      </c>
      <c r="Q64" s="132" t="s">
        <v>465</v>
      </c>
      <c r="R64" s="206">
        <v>26.9084</v>
      </c>
      <c r="S64" s="202">
        <v>27.442499999999999</v>
      </c>
      <c r="T64" s="202">
        <v>12.0838</v>
      </c>
      <c r="U64" s="202">
        <v>0.91410000000000002</v>
      </c>
      <c r="V64" s="202">
        <v>6.7815000000000003</v>
      </c>
      <c r="W64" s="202">
        <v>1.8244</v>
      </c>
      <c r="X64" s="202">
        <v>29.337499999999999</v>
      </c>
      <c r="Y64" s="202">
        <v>34.197800000000001</v>
      </c>
      <c r="Z64" s="202">
        <v>57.381699999999995</v>
      </c>
      <c r="AA64" s="202">
        <v>19.215700000000002</v>
      </c>
      <c r="AB64" s="202">
        <v>15.5252</v>
      </c>
      <c r="AC64" s="202">
        <v>33.953600000000002</v>
      </c>
      <c r="AD64" s="202">
        <v>17.848200000000002</v>
      </c>
      <c r="AE64" s="202">
        <v>183.09720000000002</v>
      </c>
      <c r="AF64" s="202">
        <v>58.300800000000002</v>
      </c>
      <c r="AG64" s="202">
        <v>72.391999999999996</v>
      </c>
      <c r="AH64" s="202">
        <v>16.607900000000001</v>
      </c>
      <c r="AI64" s="185">
        <v>613.81209999999999</v>
      </c>
    </row>
    <row r="65" spans="15:35" x14ac:dyDescent="0.2">
      <c r="O65" s="307"/>
      <c r="P65" s="150" t="s">
        <v>37</v>
      </c>
      <c r="Q65" s="151" t="s">
        <v>466</v>
      </c>
      <c r="R65" s="166">
        <v>1.2927</v>
      </c>
      <c r="S65" s="164">
        <v>2.8167999999999997</v>
      </c>
      <c r="T65" s="164">
        <v>2.242</v>
      </c>
      <c r="U65" s="164">
        <v>0.40050000000000002</v>
      </c>
      <c r="V65" s="164">
        <v>1.7492000000000001</v>
      </c>
      <c r="W65" s="164">
        <v>1.4389000000000001</v>
      </c>
      <c r="X65" s="164">
        <v>7.4451000000000001</v>
      </c>
      <c r="Y65" s="164">
        <v>3.1788000000000003</v>
      </c>
      <c r="Z65" s="164">
        <v>6.9653</v>
      </c>
      <c r="AA65" s="164">
        <v>4.5937000000000001</v>
      </c>
      <c r="AB65" s="164">
        <v>1.3130999999999999</v>
      </c>
      <c r="AC65" s="164">
        <v>3.2896999999999998</v>
      </c>
      <c r="AD65" s="164">
        <v>5.0465</v>
      </c>
      <c r="AE65" s="164">
        <v>17.648599999999998</v>
      </c>
      <c r="AF65" s="164">
        <v>6.4896000000000003</v>
      </c>
      <c r="AG65" s="164">
        <v>8.5627999999999993</v>
      </c>
      <c r="AH65" s="164">
        <v>1.4727999999999999</v>
      </c>
      <c r="AI65" s="165">
        <v>75.945999999999998</v>
      </c>
    </row>
    <row r="66" spans="15:35" x14ac:dyDescent="0.2">
      <c r="O66" s="307"/>
      <c r="P66" s="169" t="s">
        <v>41</v>
      </c>
      <c r="Q66" s="194" t="s">
        <v>285</v>
      </c>
      <c r="R66" s="195">
        <v>-7.5336000000000007</v>
      </c>
      <c r="S66" s="196">
        <v>-1.0670999999999999</v>
      </c>
      <c r="T66" s="196">
        <v>-0.19850000000000001</v>
      </c>
      <c r="U66" s="196">
        <v>-6.0999999999999995E-3</v>
      </c>
      <c r="V66" s="196">
        <v>-0.31040000000000001</v>
      </c>
      <c r="W66" s="196">
        <v>-8.5400000000000004E-2</v>
      </c>
      <c r="X66" s="196">
        <v>-0.47270000000000001</v>
      </c>
      <c r="Y66" s="196">
        <v>-0.42360000000000003</v>
      </c>
      <c r="Z66" s="196">
        <v>-1.1448</v>
      </c>
      <c r="AA66" s="196">
        <v>-1.1063000000000001</v>
      </c>
      <c r="AB66" s="196">
        <v>-1.0484</v>
      </c>
      <c r="AC66" s="196">
        <v>-1.1209</v>
      </c>
      <c r="AD66" s="196">
        <v>-0.379</v>
      </c>
      <c r="AE66" s="196">
        <v>-0.68910000000000005</v>
      </c>
      <c r="AF66" s="196">
        <v>-2.4621</v>
      </c>
      <c r="AG66" s="196">
        <v>-3.5092999999999996</v>
      </c>
      <c r="AH66" s="196">
        <v>-1.1890000000000001</v>
      </c>
      <c r="AI66" s="174">
        <v>-22.745999999999999</v>
      </c>
    </row>
    <row r="67" spans="15:35" x14ac:dyDescent="0.2">
      <c r="O67" s="307"/>
      <c r="P67" s="190" t="s">
        <v>467</v>
      </c>
    </row>
  </sheetData>
  <mergeCells count="29">
    <mergeCell ref="A1:I1"/>
    <mergeCell ref="P1:X1"/>
    <mergeCell ref="A2:I2"/>
    <mergeCell ref="P2:X4"/>
    <mergeCell ref="A3:I3"/>
    <mergeCell ref="A4:I4"/>
    <mergeCell ref="A5:C5"/>
    <mergeCell ref="D5:F5"/>
    <mergeCell ref="G5:I5"/>
    <mergeCell ref="K5:L7"/>
    <mergeCell ref="P5:X5"/>
    <mergeCell ref="D7:F7"/>
    <mergeCell ref="D9:F9"/>
    <mergeCell ref="A11:M11"/>
    <mergeCell ref="O11:O35"/>
    <mergeCell ref="P11:AI11"/>
    <mergeCell ref="AJ11:AJ35"/>
    <mergeCell ref="AK11:BB11"/>
    <mergeCell ref="A12:M13"/>
    <mergeCell ref="P12:AI13"/>
    <mergeCell ref="AK12:BB12"/>
    <mergeCell ref="AK13:AQ13"/>
    <mergeCell ref="AR13:AW13"/>
    <mergeCell ref="O40:O54"/>
    <mergeCell ref="P40:AI40"/>
    <mergeCell ref="P41:AI41"/>
    <mergeCell ref="O59:O67"/>
    <mergeCell ref="P59:AI59"/>
    <mergeCell ref="P60:AI60"/>
  </mergeCells>
  <hyperlinks>
    <hyperlink ref="A5" location="TRP!A1" display="Tableau des ressources en produits" xr:uid="{00000000-0004-0000-0300-000000000000}"/>
    <hyperlink ref="D5" location="TEI!A1" display="Tableau des entrées intermédiaires" xr:uid="{00000000-0004-0000-0300-000001000000}"/>
    <hyperlink ref="G5" location="TEF!A1" display="Tableau des emplois finals" xr:uid="{00000000-0004-0000-0300-000002000000}"/>
    <hyperlink ref="D7" location="CPR_CEB!A1" display="Compte de production par branche" xr:uid="{00000000-0004-0000-0300-000003000000}"/>
    <hyperlink ref="D9" location="COMPTE_D_EXPLOITATION_PAR_BRANCHE" display="Compte d'exploitation par branche" xr:uid="{00000000-0004-0000-0300-000004000000}"/>
    <hyperlink ref="D5:F5" location="TES17!P10" display="Tableau des entrées intermédiaires" xr:uid="{00000000-0004-0000-0300-000005000000}"/>
    <hyperlink ref="G5:I5" location="TES17!AK10" display="Tableau des emplois finals" xr:uid="{00000000-0004-0000-0300-000006000000}"/>
    <hyperlink ref="D7:F7" location="TES17!O39" display="Compte de production par branche" xr:uid="{00000000-0004-0000-0300-000007000000}"/>
    <hyperlink ref="D9:F9" location="TES17!O59" display="Compte d'exploitation par branche" xr:uid="{00000000-0004-0000-0300-000008000000}"/>
    <hyperlink ref="A5:C5" location="TES17!A10" display="Tableau des ressources en produits" xr:uid="{00000000-0004-0000-0300-000009000000}"/>
  </hyperlinks>
  <pageMargins left="0.32" right="0.17" top="0.98425196850393704" bottom="0.98425196850393704" header="0.51181102362204722" footer="0.51181102362204722"/>
  <pageSetup paperSize="157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Macro3">
                <anchor moveWithCells="1">
                  <from>
                    <xdr:col>16</xdr:col>
                    <xdr:colOff>9525</xdr:colOff>
                    <xdr:row>6</xdr:row>
                    <xdr:rowOff>409575</xdr:rowOff>
                  </from>
                  <to>
                    <xdr:col>17</xdr:col>
                    <xdr:colOff>0</xdr:colOff>
                    <xdr:row>13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Macro2">
                <anchor moveWithCells="1">
                  <from>
                    <xdr:col>16</xdr:col>
                    <xdr:colOff>28575</xdr:colOff>
                    <xdr:row>6</xdr:row>
                    <xdr:rowOff>0</xdr:rowOff>
                  </from>
                  <to>
                    <xdr:col>16</xdr:col>
                    <xdr:colOff>1304925</xdr:colOff>
                    <xdr:row>13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BN117"/>
  <sheetViews>
    <sheetView workbookViewId="0">
      <pane xSplit="2" ySplit="3" topLeftCell="BA25" activePane="bottomRight" state="frozen"/>
      <selection pane="topRight" activeCell="C1" sqref="C1"/>
      <selection pane="bottomLeft" activeCell="A4" sqref="A4"/>
      <selection pane="bottomRight" activeCell="B69" sqref="B69"/>
    </sheetView>
  </sheetViews>
  <sheetFormatPr baseColWidth="10" defaultColWidth="8.85546875" defaultRowHeight="12.75" x14ac:dyDescent="0.2"/>
  <cols>
    <col min="2" max="2" width="52.140625" bestFit="1" customWidth="1"/>
  </cols>
  <sheetData>
    <row r="1" spans="1:66" x14ac:dyDescent="0.2">
      <c r="A1" s="17" t="s">
        <v>267</v>
      </c>
    </row>
    <row r="3" spans="1:66" x14ac:dyDescent="0.2">
      <c r="C3" s="17">
        <v>1949</v>
      </c>
      <c r="D3" s="17">
        <v>1950</v>
      </c>
      <c r="E3" s="17">
        <v>1951</v>
      </c>
      <c r="F3" s="17">
        <v>1952</v>
      </c>
      <c r="G3" s="17">
        <v>1953</v>
      </c>
      <c r="H3" s="17">
        <v>1954</v>
      </c>
      <c r="I3" s="17">
        <v>1955</v>
      </c>
      <c r="J3" s="17">
        <v>1956</v>
      </c>
      <c r="K3" s="17">
        <v>1957</v>
      </c>
      <c r="L3" s="17">
        <v>1958</v>
      </c>
      <c r="M3" s="17">
        <v>1959</v>
      </c>
      <c r="N3" s="17">
        <v>1960</v>
      </c>
      <c r="O3" s="17">
        <v>1961</v>
      </c>
      <c r="P3" s="17">
        <v>1962</v>
      </c>
      <c r="Q3" s="17">
        <v>1963</v>
      </c>
      <c r="R3" s="17">
        <v>1964</v>
      </c>
      <c r="S3" s="17">
        <v>1965</v>
      </c>
      <c r="T3" s="17">
        <v>1966</v>
      </c>
      <c r="U3" s="17">
        <v>1967</v>
      </c>
      <c r="V3" s="17">
        <v>1968</v>
      </c>
      <c r="W3" s="17">
        <v>1969</v>
      </c>
      <c r="X3" s="17">
        <v>1970</v>
      </c>
      <c r="Y3" s="17">
        <v>1971</v>
      </c>
      <c r="Z3" s="17">
        <v>1972</v>
      </c>
      <c r="AA3" s="17">
        <v>1973</v>
      </c>
      <c r="AB3" s="17">
        <v>1974</v>
      </c>
      <c r="AC3" s="17">
        <v>1975</v>
      </c>
      <c r="AD3" s="17">
        <v>1976</v>
      </c>
      <c r="AE3" s="17">
        <v>1977</v>
      </c>
      <c r="AF3" s="17">
        <v>1978</v>
      </c>
      <c r="AG3" s="17">
        <v>1979</v>
      </c>
      <c r="AH3" s="17">
        <v>1980</v>
      </c>
      <c r="AI3" s="17">
        <v>1981</v>
      </c>
      <c r="AJ3" s="17">
        <v>1982</v>
      </c>
      <c r="AK3" s="17">
        <v>1983</v>
      </c>
      <c r="AL3" s="17">
        <v>1984</v>
      </c>
      <c r="AM3" s="17">
        <v>1985</v>
      </c>
      <c r="AN3" s="17">
        <v>1986</v>
      </c>
      <c r="AO3" s="17">
        <v>1987</v>
      </c>
      <c r="AP3" s="17">
        <v>1988</v>
      </c>
      <c r="AQ3" s="17">
        <v>1989</v>
      </c>
      <c r="AR3" s="17">
        <v>1990</v>
      </c>
      <c r="AS3" s="17">
        <v>1991</v>
      </c>
      <c r="AT3" s="17">
        <v>1992</v>
      </c>
      <c r="AU3" s="17">
        <v>1993</v>
      </c>
      <c r="AV3" s="17">
        <v>1994</v>
      </c>
      <c r="AW3" s="17">
        <v>1995</v>
      </c>
      <c r="AX3" s="17">
        <v>1996</v>
      </c>
      <c r="AY3" s="17">
        <v>1997</v>
      </c>
      <c r="AZ3" s="17">
        <v>1998</v>
      </c>
      <c r="BA3" s="17">
        <v>1999</v>
      </c>
      <c r="BB3" s="17">
        <v>2000</v>
      </c>
      <c r="BC3" s="17">
        <v>2001</v>
      </c>
      <c r="BD3" s="17">
        <v>2002</v>
      </c>
      <c r="BE3" s="17">
        <v>2003</v>
      </c>
      <c r="BF3" s="17">
        <v>2004</v>
      </c>
      <c r="BG3" s="17">
        <v>2005</v>
      </c>
      <c r="BH3" s="17">
        <v>2006</v>
      </c>
      <c r="BI3" s="17">
        <v>2007</v>
      </c>
      <c r="BJ3" s="17">
        <v>2008</v>
      </c>
      <c r="BK3" s="17">
        <v>2009</v>
      </c>
      <c r="BL3" s="17">
        <v>2010</v>
      </c>
      <c r="BM3" s="17"/>
      <c r="BN3" s="17"/>
    </row>
    <row r="4" spans="1:66" x14ac:dyDescent="0.2">
      <c r="A4" t="s">
        <v>268</v>
      </c>
      <c r="B4" s="97" t="s">
        <v>269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</row>
    <row r="5" spans="1:66" x14ac:dyDescent="0.2">
      <c r="A5" t="s">
        <v>268</v>
      </c>
      <c r="B5" s="80" t="s">
        <v>118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</row>
    <row r="6" spans="1:66" x14ac:dyDescent="0.2">
      <c r="A6" t="s">
        <v>18</v>
      </c>
      <c r="B6" s="80" t="s">
        <v>270</v>
      </c>
      <c r="C6" s="68">
        <v>7.8368000000000002</v>
      </c>
      <c r="D6" s="68">
        <v>8.8387000000000011</v>
      </c>
      <c r="E6" s="68">
        <v>10.672600000000001</v>
      </c>
      <c r="F6" s="68">
        <v>12.171100000000001</v>
      </c>
      <c r="G6" s="68">
        <v>12.738100000000001</v>
      </c>
      <c r="H6" s="68">
        <v>13.5091</v>
      </c>
      <c r="I6" s="68">
        <v>14.486600000000001</v>
      </c>
      <c r="J6" s="68">
        <v>15.6913</v>
      </c>
      <c r="K6" s="68">
        <v>17.406299999999998</v>
      </c>
      <c r="L6" s="68">
        <v>19.7881</v>
      </c>
      <c r="M6" s="68">
        <v>20.901900000000001</v>
      </c>
      <c r="N6" s="68">
        <v>22.712299999999999</v>
      </c>
      <c r="O6" s="68">
        <v>24.081700000000001</v>
      </c>
      <c r="P6" s="68">
        <v>26.998000000000001</v>
      </c>
      <c r="Q6" s="68">
        <v>29.572200000000002</v>
      </c>
      <c r="R6" s="68">
        <v>31.524999999999999</v>
      </c>
      <c r="S6" s="68">
        <v>33.986199999999997</v>
      </c>
      <c r="T6" s="68">
        <v>36.2624</v>
      </c>
      <c r="U6" s="68">
        <v>38.831900000000005</v>
      </c>
      <c r="V6" s="68">
        <v>41.0105</v>
      </c>
      <c r="W6" s="68">
        <v>44.868900000000004</v>
      </c>
      <c r="X6" s="68">
        <v>49.119099999999996</v>
      </c>
      <c r="Y6" s="68">
        <v>52.9285</v>
      </c>
      <c r="Z6" s="68">
        <v>58.563800000000001</v>
      </c>
      <c r="AA6" s="68">
        <v>65.063999999999993</v>
      </c>
      <c r="AB6" s="68">
        <v>73.387500000000003</v>
      </c>
      <c r="AC6" s="68">
        <v>80.685500000000005</v>
      </c>
      <c r="AD6" s="68">
        <v>89.855699999999999</v>
      </c>
      <c r="AE6" s="68">
        <v>104.7187</v>
      </c>
      <c r="AF6" s="68">
        <v>117.0896</v>
      </c>
      <c r="AG6" s="68">
        <v>127.9177</v>
      </c>
      <c r="AH6" s="68">
        <v>142.59979999999999</v>
      </c>
      <c r="AI6" s="68">
        <v>158.23510000000002</v>
      </c>
      <c r="AJ6" s="68">
        <v>179.47329999999999</v>
      </c>
      <c r="AK6" s="68">
        <v>194.5275</v>
      </c>
      <c r="AL6" s="68">
        <v>209.8605</v>
      </c>
      <c r="AM6" s="68">
        <v>215.48420000000002</v>
      </c>
      <c r="AN6" s="68">
        <v>228.2859</v>
      </c>
      <c r="AO6" s="68">
        <v>234.84870000000001</v>
      </c>
      <c r="AP6" s="68">
        <v>248.16320000000002</v>
      </c>
      <c r="AQ6" s="68">
        <v>264.6585</v>
      </c>
      <c r="AR6" s="68">
        <v>275.67869999999999</v>
      </c>
      <c r="AS6" s="68">
        <v>274.95570000000004</v>
      </c>
      <c r="AT6" s="68">
        <v>289.11809999999997</v>
      </c>
      <c r="AU6" s="68">
        <v>286.17940000000004</v>
      </c>
      <c r="AV6" s="68">
        <v>290.42109999999997</v>
      </c>
      <c r="AW6" s="68">
        <v>298.15120000000002</v>
      </c>
      <c r="AX6" s="68">
        <v>306.02390000000003</v>
      </c>
      <c r="AY6" s="68">
        <v>315.04259999999999</v>
      </c>
      <c r="AZ6" s="68">
        <v>313.2663</v>
      </c>
      <c r="BA6" s="68">
        <v>320.88309999999996</v>
      </c>
      <c r="BB6" s="68">
        <v>331.16390000000001</v>
      </c>
      <c r="BC6" s="68">
        <v>341.56559999999996</v>
      </c>
      <c r="BD6" s="68">
        <v>352.46140000000003</v>
      </c>
      <c r="BE6" s="68">
        <v>358.82390000000004</v>
      </c>
      <c r="BF6" s="68">
        <v>369.94170000000003</v>
      </c>
      <c r="BG6" s="68">
        <v>378.95920000000001</v>
      </c>
      <c r="BH6" s="68">
        <v>391.53209999999996</v>
      </c>
      <c r="BI6" s="68">
        <v>405.91838000000001</v>
      </c>
      <c r="BJ6" s="68">
        <v>418.04790000000003</v>
      </c>
      <c r="BK6" s="68">
        <v>419.02843999999999</v>
      </c>
      <c r="BL6" s="68">
        <v>425.68167</v>
      </c>
      <c r="BM6" s="68"/>
      <c r="BN6" s="68"/>
    </row>
    <row r="7" spans="1:66" x14ac:dyDescent="0.2">
      <c r="A7" t="s">
        <v>20</v>
      </c>
      <c r="B7" s="80" t="s">
        <v>271</v>
      </c>
      <c r="C7" s="68">
        <v>0</v>
      </c>
      <c r="D7" s="68">
        <v>0</v>
      </c>
      <c r="E7" s="68">
        <v>0</v>
      </c>
      <c r="F7" s="68">
        <v>0</v>
      </c>
      <c r="G7" s="68">
        <v>0</v>
      </c>
      <c r="H7" s="68">
        <v>0</v>
      </c>
      <c r="I7" s="68">
        <v>0</v>
      </c>
      <c r="J7" s="68">
        <v>0</v>
      </c>
      <c r="K7" s="68">
        <v>0</v>
      </c>
      <c r="L7" s="68">
        <v>0</v>
      </c>
      <c r="M7" s="68">
        <v>0</v>
      </c>
      <c r="N7" s="68">
        <v>0</v>
      </c>
      <c r="O7" s="68">
        <v>0</v>
      </c>
      <c r="P7" s="68">
        <v>0</v>
      </c>
      <c r="Q7" s="68">
        <v>0</v>
      </c>
      <c r="R7" s="68">
        <v>0</v>
      </c>
      <c r="S7" s="68">
        <v>0</v>
      </c>
      <c r="T7" s="68">
        <v>0</v>
      </c>
      <c r="U7" s="68">
        <v>0</v>
      </c>
      <c r="V7" s="68">
        <v>0</v>
      </c>
      <c r="W7" s="68">
        <v>0</v>
      </c>
      <c r="X7" s="68">
        <v>0</v>
      </c>
      <c r="Y7" s="68">
        <v>0</v>
      </c>
      <c r="Z7" s="68">
        <v>0</v>
      </c>
      <c r="AA7" s="68">
        <v>0</v>
      </c>
      <c r="AB7" s="68">
        <v>0</v>
      </c>
      <c r="AC7" s="68">
        <v>0</v>
      </c>
      <c r="AD7" s="68">
        <v>0</v>
      </c>
      <c r="AE7" s="68">
        <v>0</v>
      </c>
      <c r="AF7" s="68">
        <v>96.8142</v>
      </c>
      <c r="AG7" s="68">
        <v>104.5823</v>
      </c>
      <c r="AH7" s="68">
        <v>116.63980000000001</v>
      </c>
      <c r="AI7" s="68">
        <v>127.6853</v>
      </c>
      <c r="AJ7" s="68">
        <v>145.13989999999998</v>
      </c>
      <c r="AK7" s="68">
        <v>155.42740000000001</v>
      </c>
      <c r="AL7" s="68">
        <v>166.1729</v>
      </c>
      <c r="AM7" s="68">
        <v>167.4667</v>
      </c>
      <c r="AN7" s="68">
        <v>177.24590000000001</v>
      </c>
      <c r="AO7" s="68">
        <v>178.21439999999998</v>
      </c>
      <c r="AP7" s="68">
        <v>185.95820000000001</v>
      </c>
      <c r="AQ7" s="68">
        <v>196.38320000000002</v>
      </c>
      <c r="AR7" s="68">
        <v>201.55459999999999</v>
      </c>
      <c r="AS7" s="68">
        <v>195.6662</v>
      </c>
      <c r="AT7" s="68">
        <v>203.2782</v>
      </c>
      <c r="AU7" s="68">
        <v>194.8776</v>
      </c>
      <c r="AV7" s="68">
        <v>194.27929999999998</v>
      </c>
      <c r="AW7" s="68">
        <v>197.0401</v>
      </c>
      <c r="AX7" s="68">
        <v>200.7191</v>
      </c>
      <c r="AY7" s="68">
        <v>205.54329999999999</v>
      </c>
      <c r="AZ7" s="68">
        <v>198.83240000000001</v>
      </c>
      <c r="BA7" s="68">
        <v>201.82</v>
      </c>
      <c r="BB7" s="68">
        <v>207.55720000000002</v>
      </c>
      <c r="BC7" s="68">
        <v>212.91070000000002</v>
      </c>
      <c r="BD7" s="68">
        <v>218.25790000000001</v>
      </c>
      <c r="BE7" s="68">
        <v>219.11179999999999</v>
      </c>
      <c r="BF7" s="68">
        <v>224.00379999999998</v>
      </c>
      <c r="BG7" s="68">
        <v>225.28870000000001</v>
      </c>
      <c r="BH7" s="68">
        <v>229.75773999999998</v>
      </c>
      <c r="BI7" s="68">
        <v>236.33727999999999</v>
      </c>
      <c r="BJ7" s="68">
        <v>241.56989999999999</v>
      </c>
      <c r="BK7" s="68">
        <v>237.80944</v>
      </c>
      <c r="BL7" s="68">
        <v>239.815</v>
      </c>
      <c r="BM7" s="68"/>
      <c r="BN7" s="68"/>
    </row>
    <row r="8" spans="1:66" x14ac:dyDescent="0.2">
      <c r="A8" t="s">
        <v>21</v>
      </c>
      <c r="B8" s="80" t="s">
        <v>272</v>
      </c>
      <c r="C8" s="68">
        <v>0</v>
      </c>
      <c r="D8" s="68">
        <v>0</v>
      </c>
      <c r="E8" s="68">
        <v>0</v>
      </c>
      <c r="F8" s="68">
        <v>0</v>
      </c>
      <c r="G8" s="68">
        <v>0</v>
      </c>
      <c r="H8" s="68">
        <v>0</v>
      </c>
      <c r="I8" s="68">
        <v>0</v>
      </c>
      <c r="J8" s="68">
        <v>0</v>
      </c>
      <c r="K8" s="68">
        <v>0</v>
      </c>
      <c r="L8" s="68">
        <v>0</v>
      </c>
      <c r="M8" s="68">
        <v>0</v>
      </c>
      <c r="N8" s="68">
        <v>0</v>
      </c>
      <c r="O8" s="68">
        <v>0</v>
      </c>
      <c r="P8" s="68">
        <v>0</v>
      </c>
      <c r="Q8" s="68">
        <v>0</v>
      </c>
      <c r="R8" s="68">
        <v>0</v>
      </c>
      <c r="S8" s="68">
        <v>0</v>
      </c>
      <c r="T8" s="68">
        <v>0</v>
      </c>
      <c r="U8" s="68">
        <v>0</v>
      </c>
      <c r="V8" s="68">
        <v>0</v>
      </c>
      <c r="W8" s="68">
        <v>0</v>
      </c>
      <c r="X8" s="68">
        <v>0</v>
      </c>
      <c r="Y8" s="68">
        <v>0</v>
      </c>
      <c r="Z8" s="68">
        <v>0</v>
      </c>
      <c r="AA8" s="68">
        <v>0</v>
      </c>
      <c r="AB8" s="68">
        <v>0</v>
      </c>
      <c r="AC8" s="68">
        <v>0</v>
      </c>
      <c r="AD8" s="68">
        <v>0</v>
      </c>
      <c r="AE8" s="68">
        <v>0</v>
      </c>
      <c r="AF8" s="68">
        <v>20.275400000000001</v>
      </c>
      <c r="AG8" s="68">
        <v>23.3354</v>
      </c>
      <c r="AH8" s="68">
        <v>25.96</v>
      </c>
      <c r="AI8" s="68">
        <v>30.549900000000001</v>
      </c>
      <c r="AJ8" s="68">
        <v>34.333400000000005</v>
      </c>
      <c r="AK8" s="68">
        <v>39.100099999999998</v>
      </c>
      <c r="AL8" s="68">
        <v>43.6875</v>
      </c>
      <c r="AM8" s="68">
        <v>48.017499999999998</v>
      </c>
      <c r="AN8" s="68">
        <v>51.04</v>
      </c>
      <c r="AO8" s="68">
        <v>56.634300000000003</v>
      </c>
      <c r="AP8" s="68">
        <v>62.204999999999998</v>
      </c>
      <c r="AQ8" s="68">
        <v>68.275300000000001</v>
      </c>
      <c r="AR8" s="68">
        <v>74.124100000000013</v>
      </c>
      <c r="AS8" s="68">
        <v>79.289500000000004</v>
      </c>
      <c r="AT8" s="68">
        <v>85.8399</v>
      </c>
      <c r="AU8" s="68">
        <v>91.3018</v>
      </c>
      <c r="AV8" s="68">
        <v>96.141800000000003</v>
      </c>
      <c r="AW8" s="68">
        <v>101.111</v>
      </c>
      <c r="AX8" s="68">
        <v>105.30489999999999</v>
      </c>
      <c r="AY8" s="68">
        <v>109.49939999999999</v>
      </c>
      <c r="AZ8" s="68">
        <v>114.43389999999999</v>
      </c>
      <c r="BA8" s="68">
        <v>119.06310000000001</v>
      </c>
      <c r="BB8" s="68">
        <v>123.6066</v>
      </c>
      <c r="BC8" s="68">
        <v>128.6549</v>
      </c>
      <c r="BD8" s="68">
        <v>134.20349999999999</v>
      </c>
      <c r="BE8" s="68">
        <v>139.71209999999999</v>
      </c>
      <c r="BF8" s="68">
        <v>145.93789999999998</v>
      </c>
      <c r="BG8" s="68">
        <v>153.6704</v>
      </c>
      <c r="BH8" s="68">
        <v>161.77435999999997</v>
      </c>
      <c r="BI8" s="68">
        <v>169.58109999999999</v>
      </c>
      <c r="BJ8" s="68">
        <v>176.47800000000001</v>
      </c>
      <c r="BK8" s="68">
        <v>181.21899999999999</v>
      </c>
      <c r="BL8" s="68">
        <v>185.86667</v>
      </c>
      <c r="BM8" s="68"/>
      <c r="BN8" s="68"/>
    </row>
    <row r="9" spans="1:66" x14ac:dyDescent="0.2">
      <c r="A9" t="s">
        <v>268</v>
      </c>
      <c r="B9" s="80" t="s">
        <v>6</v>
      </c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</row>
    <row r="10" spans="1:66" x14ac:dyDescent="0.2">
      <c r="A10" t="s">
        <v>23</v>
      </c>
      <c r="B10" s="80" t="s">
        <v>24</v>
      </c>
      <c r="C10" s="68">
        <v>2.8835999999999999</v>
      </c>
      <c r="D10" s="68">
        <v>3.1193</v>
      </c>
      <c r="E10" s="68">
        <v>3.8589000000000002</v>
      </c>
      <c r="F10" s="68">
        <v>4.4423000000000004</v>
      </c>
      <c r="G10" s="68">
        <v>4.8182</v>
      </c>
      <c r="H10" s="68">
        <v>5.1253000000000002</v>
      </c>
      <c r="I10" s="68">
        <v>5.6271000000000004</v>
      </c>
      <c r="J10" s="68">
        <v>6.2686999999999999</v>
      </c>
      <c r="K10" s="68">
        <v>6.8674999999999997</v>
      </c>
      <c r="L10" s="68">
        <v>7.6642000000000001</v>
      </c>
      <c r="M10" s="68">
        <v>8.2687999999999988</v>
      </c>
      <c r="N10" s="68">
        <v>8.5326000000000004</v>
      </c>
      <c r="O10" s="68">
        <v>9.2669999999999995</v>
      </c>
      <c r="P10" s="68">
        <v>10.080399999999999</v>
      </c>
      <c r="Q10" s="68">
        <v>11.293799999999999</v>
      </c>
      <c r="R10" s="68">
        <v>11.9589</v>
      </c>
      <c r="S10" s="68">
        <v>12.933399999999999</v>
      </c>
      <c r="T10" s="68">
        <v>13.2774</v>
      </c>
      <c r="U10" s="68">
        <v>13.777100000000001</v>
      </c>
      <c r="V10" s="68">
        <v>13.987</v>
      </c>
      <c r="W10" s="68">
        <v>15.563799999999999</v>
      </c>
      <c r="X10" s="68">
        <v>17.0318</v>
      </c>
      <c r="Y10" s="68">
        <v>18.7182</v>
      </c>
      <c r="Z10" s="68">
        <v>20.357299999999999</v>
      </c>
      <c r="AA10" s="68">
        <v>22.560400000000001</v>
      </c>
      <c r="AB10" s="68">
        <v>26.700599999999998</v>
      </c>
      <c r="AC10" s="68">
        <v>29.772299999999998</v>
      </c>
      <c r="AD10" s="68">
        <v>33.330800000000004</v>
      </c>
      <c r="AE10" s="68">
        <v>41.323599999999999</v>
      </c>
      <c r="AF10" s="68">
        <v>44.1233</v>
      </c>
      <c r="AG10" s="68">
        <v>46.181599999999996</v>
      </c>
      <c r="AH10" s="68">
        <v>51.467199999999998</v>
      </c>
      <c r="AI10" s="68">
        <v>57.980599999999995</v>
      </c>
      <c r="AJ10" s="68">
        <v>64.705199999999991</v>
      </c>
      <c r="AK10" s="68">
        <v>67.786500000000004</v>
      </c>
      <c r="AL10" s="68">
        <v>74.217399999999998</v>
      </c>
      <c r="AM10" s="68">
        <v>71.48060000000001</v>
      </c>
      <c r="AN10" s="68">
        <v>78.361899999999991</v>
      </c>
      <c r="AO10" s="68">
        <v>78.901399999999995</v>
      </c>
      <c r="AP10" s="68">
        <v>82.251100000000008</v>
      </c>
      <c r="AQ10" s="68">
        <v>84.145899999999997</v>
      </c>
      <c r="AR10" s="68">
        <v>85.901200000000003</v>
      </c>
      <c r="AS10" s="68">
        <v>79.576899999999995</v>
      </c>
      <c r="AT10" s="68">
        <v>85.752300000000005</v>
      </c>
      <c r="AU10" s="68">
        <v>81.700800000000001</v>
      </c>
      <c r="AV10" s="68">
        <v>78.541699999999992</v>
      </c>
      <c r="AW10" s="68">
        <v>79.762100000000004</v>
      </c>
      <c r="AX10" s="68">
        <v>82.48660000000001</v>
      </c>
      <c r="AY10" s="68">
        <v>88.761300000000006</v>
      </c>
      <c r="AZ10" s="68">
        <v>79.2166</v>
      </c>
      <c r="BA10" s="68">
        <v>80.144800000000004</v>
      </c>
      <c r="BB10" s="68">
        <v>78.383800000000008</v>
      </c>
      <c r="BC10" s="68">
        <v>74.286500000000004</v>
      </c>
      <c r="BD10" s="68">
        <v>79.046499999999995</v>
      </c>
      <c r="BE10" s="68">
        <v>80.716700000000003</v>
      </c>
      <c r="BF10" s="68">
        <v>80.448499999999996</v>
      </c>
      <c r="BG10" s="68">
        <v>80.616900000000001</v>
      </c>
      <c r="BH10" s="68">
        <v>80.482849999999999</v>
      </c>
      <c r="BI10" s="68">
        <v>77.938330000000008</v>
      </c>
      <c r="BJ10" s="68">
        <v>78.418999999999997</v>
      </c>
      <c r="BK10" s="68">
        <v>91.411000000000001</v>
      </c>
      <c r="BL10" s="68">
        <v>94.807000000000002</v>
      </c>
      <c r="BM10" s="68"/>
      <c r="BN10" s="68"/>
    </row>
    <row r="11" spans="1:66" x14ac:dyDescent="0.2">
      <c r="A11" t="s">
        <v>273</v>
      </c>
      <c r="B11" s="80" t="s">
        <v>274</v>
      </c>
      <c r="C11" s="68">
        <v>4.9531000000000001</v>
      </c>
      <c r="D11" s="68">
        <v>5.7193999999999994</v>
      </c>
      <c r="E11" s="68">
        <v>6.8136999999999999</v>
      </c>
      <c r="F11" s="68">
        <v>7.7288000000000006</v>
      </c>
      <c r="G11" s="68">
        <v>7.9198999999999993</v>
      </c>
      <c r="H11" s="68">
        <v>8.383700000000001</v>
      </c>
      <c r="I11" s="68">
        <v>8.8595000000000006</v>
      </c>
      <c r="J11" s="68">
        <v>9.422600000000001</v>
      </c>
      <c r="K11" s="68">
        <v>10.5389</v>
      </c>
      <c r="L11" s="68">
        <v>12.123799999999999</v>
      </c>
      <c r="M11" s="68">
        <v>12.633100000000001</v>
      </c>
      <c r="N11" s="68">
        <v>14.1797</v>
      </c>
      <c r="O11" s="68">
        <v>14.8147</v>
      </c>
      <c r="P11" s="68">
        <v>16.9176</v>
      </c>
      <c r="Q11" s="68">
        <v>18.278400000000001</v>
      </c>
      <c r="R11" s="68">
        <v>19.566099999999999</v>
      </c>
      <c r="S11" s="68">
        <v>21.052900000000001</v>
      </c>
      <c r="T11" s="68">
        <v>22.985099999999999</v>
      </c>
      <c r="U11" s="68">
        <v>25.0548</v>
      </c>
      <c r="V11" s="68">
        <v>27.023400000000002</v>
      </c>
      <c r="W11" s="68">
        <v>29.305099999999999</v>
      </c>
      <c r="X11" s="68">
        <v>32.087299999999999</v>
      </c>
      <c r="Y11" s="68">
        <v>34.210300000000004</v>
      </c>
      <c r="Z11" s="68">
        <v>38.206499999999998</v>
      </c>
      <c r="AA11" s="68">
        <v>42.503599999999999</v>
      </c>
      <c r="AB11" s="68">
        <v>46.686900000000001</v>
      </c>
      <c r="AC11" s="68">
        <v>50.913199999999996</v>
      </c>
      <c r="AD11" s="68">
        <v>56.524900000000002</v>
      </c>
      <c r="AE11" s="68">
        <v>63.395099999999999</v>
      </c>
      <c r="AF11" s="68">
        <v>72.966300000000004</v>
      </c>
      <c r="AG11" s="68">
        <v>81.736100000000008</v>
      </c>
      <c r="AH11" s="68">
        <v>91.132600000000011</v>
      </c>
      <c r="AI11" s="68">
        <v>100.25449999999999</v>
      </c>
      <c r="AJ11" s="68">
        <v>114.7681</v>
      </c>
      <c r="AK11" s="68">
        <v>126.741</v>
      </c>
      <c r="AL11" s="68">
        <v>135.6431</v>
      </c>
      <c r="AM11" s="68">
        <v>144.00360000000001</v>
      </c>
      <c r="AN11" s="68">
        <v>149.92410000000001</v>
      </c>
      <c r="AO11" s="68">
        <v>155.94720000000001</v>
      </c>
      <c r="AP11" s="68">
        <v>165.91210000000001</v>
      </c>
      <c r="AQ11" s="68">
        <v>180.51259999999999</v>
      </c>
      <c r="AR11" s="68">
        <v>189.7775</v>
      </c>
      <c r="AS11" s="68">
        <v>195.37879999999998</v>
      </c>
      <c r="AT11" s="68">
        <v>203.36579999999998</v>
      </c>
      <c r="AU11" s="68">
        <v>204.4786</v>
      </c>
      <c r="AV11" s="68">
        <v>211.8794</v>
      </c>
      <c r="AW11" s="68">
        <v>218.38910000000001</v>
      </c>
      <c r="AX11" s="68">
        <v>223.53739999999999</v>
      </c>
      <c r="AY11" s="68">
        <v>226.28129999999999</v>
      </c>
      <c r="AZ11" s="68">
        <v>234.0497</v>
      </c>
      <c r="BA11" s="68">
        <v>240.73829999999998</v>
      </c>
      <c r="BB11" s="68">
        <v>252.7801</v>
      </c>
      <c r="BC11" s="68">
        <v>267.27909999999997</v>
      </c>
      <c r="BD11" s="68">
        <v>273.41490000000005</v>
      </c>
      <c r="BE11" s="68">
        <v>278.10720000000003</v>
      </c>
      <c r="BF11" s="68">
        <v>289.4932</v>
      </c>
      <c r="BG11" s="68">
        <v>298.34229999999997</v>
      </c>
      <c r="BH11" s="68">
        <v>311.04924999999997</v>
      </c>
      <c r="BI11" s="68">
        <v>327.98005000000001</v>
      </c>
      <c r="BJ11" s="68">
        <v>339.62890000000004</v>
      </c>
      <c r="BK11" s="68">
        <v>327.61743999999999</v>
      </c>
      <c r="BL11" s="68">
        <v>330.87466999999998</v>
      </c>
      <c r="BM11" s="68"/>
      <c r="BN11" s="68"/>
    </row>
    <row r="12" spans="1:66" x14ac:dyDescent="0.2">
      <c r="A12" t="s">
        <v>268</v>
      </c>
      <c r="B12" s="80" t="s">
        <v>268</v>
      </c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</row>
    <row r="13" spans="1:66" x14ac:dyDescent="0.2">
      <c r="A13" t="s">
        <v>268</v>
      </c>
      <c r="B13" s="97" t="s">
        <v>29</v>
      </c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</row>
    <row r="14" spans="1:66" x14ac:dyDescent="0.2">
      <c r="A14" t="s">
        <v>268</v>
      </c>
      <c r="B14" s="80" t="s">
        <v>118</v>
      </c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</row>
    <row r="15" spans="1:66" x14ac:dyDescent="0.2">
      <c r="A15" t="s">
        <v>273</v>
      </c>
      <c r="B15" s="80" t="s">
        <v>274</v>
      </c>
      <c r="C15" s="68">
        <v>4.9531000000000001</v>
      </c>
      <c r="D15" s="68">
        <v>5.7193999999999994</v>
      </c>
      <c r="E15" s="68">
        <v>6.8136999999999999</v>
      </c>
      <c r="F15" s="68">
        <v>7.7288000000000006</v>
      </c>
      <c r="G15" s="68">
        <v>7.9198999999999993</v>
      </c>
      <c r="H15" s="68">
        <v>8.383700000000001</v>
      </c>
      <c r="I15" s="68">
        <v>8.8595000000000006</v>
      </c>
      <c r="J15" s="68">
        <v>9.422600000000001</v>
      </c>
      <c r="K15" s="68">
        <v>10.5389</v>
      </c>
      <c r="L15" s="68">
        <v>12.123799999999999</v>
      </c>
      <c r="M15" s="68">
        <v>12.633100000000001</v>
      </c>
      <c r="N15" s="68">
        <v>14.1797</v>
      </c>
      <c r="O15" s="68">
        <v>14.8147</v>
      </c>
      <c r="P15" s="68">
        <v>16.9176</v>
      </c>
      <c r="Q15" s="68">
        <v>18.278400000000001</v>
      </c>
      <c r="R15" s="68">
        <v>19.566099999999999</v>
      </c>
      <c r="S15" s="68">
        <v>21.052900000000001</v>
      </c>
      <c r="T15" s="68">
        <v>22.985099999999999</v>
      </c>
      <c r="U15" s="68">
        <v>25.0548</v>
      </c>
      <c r="V15" s="68">
        <v>27.023400000000002</v>
      </c>
      <c r="W15" s="68">
        <v>29.305099999999999</v>
      </c>
      <c r="X15" s="68">
        <v>32.087299999999999</v>
      </c>
      <c r="Y15" s="68">
        <v>34.210300000000004</v>
      </c>
      <c r="Z15" s="68">
        <v>38.206499999999998</v>
      </c>
      <c r="AA15" s="68">
        <v>42.503599999999999</v>
      </c>
      <c r="AB15" s="68">
        <v>46.686900000000001</v>
      </c>
      <c r="AC15" s="68">
        <v>50.913199999999996</v>
      </c>
      <c r="AD15" s="68">
        <v>56.524900000000002</v>
      </c>
      <c r="AE15" s="68">
        <v>63.395099999999999</v>
      </c>
      <c r="AF15" s="68">
        <v>72.966300000000004</v>
      </c>
      <c r="AG15" s="68">
        <v>81.736100000000008</v>
      </c>
      <c r="AH15" s="68">
        <v>91.132600000000011</v>
      </c>
      <c r="AI15" s="68">
        <v>100.25449999999999</v>
      </c>
      <c r="AJ15" s="68">
        <v>114.7681</v>
      </c>
      <c r="AK15" s="68">
        <v>126.741</v>
      </c>
      <c r="AL15" s="68">
        <v>135.6431</v>
      </c>
      <c r="AM15" s="68">
        <v>144.00360000000001</v>
      </c>
      <c r="AN15" s="68">
        <v>149.92410000000001</v>
      </c>
      <c r="AO15" s="68">
        <v>155.94720000000001</v>
      </c>
      <c r="AP15" s="68">
        <v>165.91210000000001</v>
      </c>
      <c r="AQ15" s="68">
        <v>180.51259999999999</v>
      </c>
      <c r="AR15" s="68">
        <v>189.7775</v>
      </c>
      <c r="AS15" s="68">
        <v>195.37879999999998</v>
      </c>
      <c r="AT15" s="68">
        <v>203.36579999999998</v>
      </c>
      <c r="AU15" s="68">
        <v>204.4786</v>
      </c>
      <c r="AV15" s="68">
        <v>211.8794</v>
      </c>
      <c r="AW15" s="68">
        <v>218.38910000000001</v>
      </c>
      <c r="AX15" s="68">
        <v>223.53739999999999</v>
      </c>
      <c r="AY15" s="68">
        <v>226.28129999999999</v>
      </c>
      <c r="AZ15" s="68">
        <v>234.0497</v>
      </c>
      <c r="BA15" s="68">
        <v>240.73829999999998</v>
      </c>
      <c r="BB15" s="68">
        <v>252.7801</v>
      </c>
      <c r="BC15" s="68">
        <v>267.27909999999997</v>
      </c>
      <c r="BD15" s="68">
        <v>273.41490000000005</v>
      </c>
      <c r="BE15" s="68">
        <v>278.10720000000003</v>
      </c>
      <c r="BF15" s="68">
        <v>289.4932</v>
      </c>
      <c r="BG15" s="68">
        <v>298.34229999999997</v>
      </c>
      <c r="BH15" s="68">
        <v>311.04924999999997</v>
      </c>
      <c r="BI15" s="68">
        <v>327.98005000000001</v>
      </c>
      <c r="BJ15" s="68">
        <v>339.62890000000004</v>
      </c>
      <c r="BK15" s="68">
        <v>327.61743999999999</v>
      </c>
      <c r="BL15" s="68">
        <v>330.87466999999998</v>
      </c>
      <c r="BM15" s="68"/>
      <c r="BN15" s="68"/>
    </row>
    <row r="16" spans="1:66" x14ac:dyDescent="0.2">
      <c r="A16" t="s">
        <v>268</v>
      </c>
      <c r="B16" s="80" t="s">
        <v>6</v>
      </c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</row>
    <row r="17" spans="1:66" x14ac:dyDescent="0.2">
      <c r="A17" t="s">
        <v>32</v>
      </c>
      <c r="B17" s="80" t="s">
        <v>275</v>
      </c>
      <c r="C17" s="68">
        <v>0.76460000000000006</v>
      </c>
      <c r="D17" s="68">
        <v>0.8145</v>
      </c>
      <c r="E17" s="68">
        <v>0.90539999999999998</v>
      </c>
      <c r="F17" s="68">
        <v>0.99239999999999995</v>
      </c>
      <c r="G17" s="68">
        <v>1.1091</v>
      </c>
      <c r="H17" s="68">
        <v>1.1947999999999999</v>
      </c>
      <c r="I17" s="68">
        <v>1.2852999999999999</v>
      </c>
      <c r="J17" s="68">
        <v>1.3829</v>
      </c>
      <c r="K17" s="68">
        <v>1.5360999999999998</v>
      </c>
      <c r="L17" s="68">
        <v>1.6892</v>
      </c>
      <c r="M17" s="68">
        <v>1.8495999999999999</v>
      </c>
      <c r="N17" s="68">
        <v>1.9516</v>
      </c>
      <c r="O17" s="68">
        <v>2.0990000000000002</v>
      </c>
      <c r="P17" s="68">
        <v>2.3228</v>
      </c>
      <c r="Q17" s="68">
        <v>2.5680000000000001</v>
      </c>
      <c r="R17" s="68">
        <v>2.8460999999999999</v>
      </c>
      <c r="S17" s="68">
        <v>3.0526999999999997</v>
      </c>
      <c r="T17" s="68">
        <v>3.3464</v>
      </c>
      <c r="U17" s="68">
        <v>3.5863</v>
      </c>
      <c r="V17" s="68">
        <v>4.0220000000000002</v>
      </c>
      <c r="W17" s="68">
        <v>4.3375000000000004</v>
      </c>
      <c r="X17" s="68">
        <v>4.7054999999999998</v>
      </c>
      <c r="Y17" s="68">
        <v>5.0513000000000003</v>
      </c>
      <c r="Z17" s="68">
        <v>5.4032</v>
      </c>
      <c r="AA17" s="68">
        <v>5.9643999999999995</v>
      </c>
      <c r="AB17" s="68">
        <v>6.7756999999999996</v>
      </c>
      <c r="AC17" s="68">
        <v>7.6688999999999998</v>
      </c>
      <c r="AD17" s="68">
        <v>8.5328999999999997</v>
      </c>
      <c r="AE17" s="68">
        <v>9.5327000000000002</v>
      </c>
      <c r="AF17" s="68">
        <v>10.8291</v>
      </c>
      <c r="AG17" s="68">
        <v>12.095799999999999</v>
      </c>
      <c r="AH17" s="68">
        <v>13.4229</v>
      </c>
      <c r="AI17" s="68">
        <v>14.448399999999999</v>
      </c>
      <c r="AJ17" s="68">
        <v>16.375</v>
      </c>
      <c r="AK17" s="68">
        <v>17.210799999999999</v>
      </c>
      <c r="AL17" s="68">
        <v>18.298200000000001</v>
      </c>
      <c r="AM17" s="68">
        <v>18.765400000000003</v>
      </c>
      <c r="AN17" s="68">
        <v>19.016299999999998</v>
      </c>
      <c r="AO17" s="68">
        <v>19.439299999999999</v>
      </c>
      <c r="AP17" s="68">
        <v>20.5839</v>
      </c>
      <c r="AQ17" s="68">
        <v>21.642599999999998</v>
      </c>
      <c r="AR17" s="68">
        <v>22.483700000000002</v>
      </c>
      <c r="AS17" s="68">
        <v>23.098700000000001</v>
      </c>
      <c r="AT17" s="68">
        <v>23.324000000000002</v>
      </c>
      <c r="AU17" s="68">
        <v>22.7074</v>
      </c>
      <c r="AV17" s="68">
        <v>22.598099999999999</v>
      </c>
      <c r="AW17" s="68">
        <v>23.414999999999999</v>
      </c>
      <c r="AX17" s="68">
        <v>23.569200000000002</v>
      </c>
      <c r="AY17" s="68">
        <v>23.772099999999998</v>
      </c>
      <c r="AZ17" s="68">
        <v>24.371700000000001</v>
      </c>
      <c r="BA17" s="68">
        <v>25.127700000000001</v>
      </c>
      <c r="BB17" s="68">
        <v>26.463000000000001</v>
      </c>
      <c r="BC17" s="68">
        <v>26.947299999999998</v>
      </c>
      <c r="BD17" s="68">
        <v>27.507200000000001</v>
      </c>
      <c r="BE17" s="68">
        <v>27.7761</v>
      </c>
      <c r="BF17" s="68">
        <v>28.782299999999999</v>
      </c>
      <c r="BG17" s="68">
        <v>29.478400000000001</v>
      </c>
      <c r="BH17" s="68">
        <v>30.2148</v>
      </c>
      <c r="BI17" s="68">
        <v>31.359000000000002</v>
      </c>
      <c r="BJ17" s="68">
        <v>32.994</v>
      </c>
      <c r="BK17" s="68">
        <v>33.158000000000001</v>
      </c>
      <c r="BL17" s="68">
        <v>33.890999999999998</v>
      </c>
      <c r="BM17" s="68"/>
      <c r="BN17" s="68"/>
    </row>
    <row r="18" spans="1:66" x14ac:dyDescent="0.2">
      <c r="A18" t="s">
        <v>276</v>
      </c>
      <c r="B18" s="80" t="s">
        <v>277</v>
      </c>
      <c r="C18" s="68">
        <v>0.14419999999999999</v>
      </c>
      <c r="D18" s="68">
        <v>0.1653</v>
      </c>
      <c r="E18" s="68">
        <v>0.1759</v>
      </c>
      <c r="F18" s="68">
        <v>0.1981</v>
      </c>
      <c r="G18" s="68">
        <v>0.22390000000000002</v>
      </c>
      <c r="H18" s="68">
        <v>0.24669999999999997</v>
      </c>
      <c r="I18" s="68">
        <v>0.2581</v>
      </c>
      <c r="J18" s="68">
        <v>0.26550000000000001</v>
      </c>
      <c r="K18" s="68">
        <v>0.28860000000000002</v>
      </c>
      <c r="L18" s="68">
        <v>0.32969999999999999</v>
      </c>
      <c r="M18" s="68">
        <v>0.38719999999999999</v>
      </c>
      <c r="N18" s="68">
        <v>0.40699999999999997</v>
      </c>
      <c r="O18" s="68">
        <v>0.47439999999999999</v>
      </c>
      <c r="P18" s="68">
        <v>0.54189999999999994</v>
      </c>
      <c r="Q18" s="68">
        <v>0.60339999999999994</v>
      </c>
      <c r="R18" s="68">
        <v>0.67270000000000008</v>
      </c>
      <c r="S18" s="68">
        <v>0.74750000000000005</v>
      </c>
      <c r="T18" s="68">
        <v>0.82299999999999995</v>
      </c>
      <c r="U18" s="68">
        <v>0.91079999999999994</v>
      </c>
      <c r="V18" s="68">
        <v>1.0543</v>
      </c>
      <c r="W18" s="68">
        <v>1.1737</v>
      </c>
      <c r="X18" s="68">
        <v>1.2818000000000001</v>
      </c>
      <c r="Y18" s="68">
        <v>1.4000999999999999</v>
      </c>
      <c r="Z18" s="68">
        <v>1.4963</v>
      </c>
      <c r="AA18" s="68">
        <v>1.6462999999999999</v>
      </c>
      <c r="AB18" s="68">
        <v>1.9442000000000002</v>
      </c>
      <c r="AC18" s="68">
        <v>2.3841999999999999</v>
      </c>
      <c r="AD18" s="68">
        <v>2.6583999999999999</v>
      </c>
      <c r="AE18" s="68">
        <v>3.0436999999999999</v>
      </c>
      <c r="AF18" s="68">
        <v>3.4331999999999998</v>
      </c>
      <c r="AG18" s="68">
        <v>3.7754000000000003</v>
      </c>
      <c r="AH18" s="68">
        <v>4.3360000000000003</v>
      </c>
      <c r="AI18" s="68">
        <v>4.6532</v>
      </c>
      <c r="AJ18" s="68">
        <v>5.3033000000000001</v>
      </c>
      <c r="AK18" s="68">
        <v>5.8452000000000002</v>
      </c>
      <c r="AL18" s="68">
        <v>6.3108000000000004</v>
      </c>
      <c r="AM18" s="68">
        <v>6.5518000000000001</v>
      </c>
      <c r="AN18" s="68">
        <v>6.5045000000000002</v>
      </c>
      <c r="AO18" s="68">
        <v>6.5914999999999999</v>
      </c>
      <c r="AP18" s="68">
        <v>6.9385000000000003</v>
      </c>
      <c r="AQ18" s="68">
        <v>7.4046000000000003</v>
      </c>
      <c r="AR18" s="68">
        <v>7.9081999999999999</v>
      </c>
      <c r="AS18" s="68">
        <v>7.9984999999999999</v>
      </c>
      <c r="AT18" s="68">
        <v>7.8925000000000001</v>
      </c>
      <c r="AU18" s="68">
        <v>7.5359999999999996</v>
      </c>
      <c r="AV18" s="68">
        <v>7.3603000000000005</v>
      </c>
      <c r="AW18" s="68">
        <v>7.3578999999999999</v>
      </c>
      <c r="AX18" s="68">
        <v>7.1876999999999995</v>
      </c>
      <c r="AY18" s="68">
        <v>7.0513999999999992</v>
      </c>
      <c r="AZ18" s="68">
        <v>7.1814</v>
      </c>
      <c r="BA18" s="68">
        <v>7.4574999999999996</v>
      </c>
      <c r="BB18" s="68">
        <v>7.7101000000000006</v>
      </c>
      <c r="BC18" s="68">
        <v>7.8441000000000001</v>
      </c>
      <c r="BD18" s="68">
        <v>8.0112000000000005</v>
      </c>
      <c r="BE18" s="68">
        <v>8.4184999999999999</v>
      </c>
      <c r="BF18" s="68">
        <v>8.6042999999999985</v>
      </c>
      <c r="BG18" s="68">
        <v>8.7622999999999998</v>
      </c>
      <c r="BH18" s="68">
        <v>8.8640000000000008</v>
      </c>
      <c r="BI18" s="68">
        <v>9.1649999999999991</v>
      </c>
      <c r="BJ18" s="68">
        <v>9.6129999999999995</v>
      </c>
      <c r="BK18" s="68">
        <v>9.6519999999999992</v>
      </c>
      <c r="BL18" s="68">
        <v>9.8800000000000008</v>
      </c>
      <c r="BM18" s="68"/>
      <c r="BN18" s="68"/>
    </row>
    <row r="19" spans="1:66" x14ac:dyDescent="0.2">
      <c r="A19" t="s">
        <v>278</v>
      </c>
      <c r="B19" s="80" t="s">
        <v>279</v>
      </c>
      <c r="C19" s="68">
        <v>0</v>
      </c>
      <c r="D19" s="68">
        <v>0</v>
      </c>
      <c r="E19" s="68">
        <v>0</v>
      </c>
      <c r="F19" s="68">
        <v>0</v>
      </c>
      <c r="G19" s="68">
        <v>0</v>
      </c>
      <c r="H19" s="68">
        <v>0</v>
      </c>
      <c r="I19" s="68">
        <v>0</v>
      </c>
      <c r="J19" s="68">
        <v>0</v>
      </c>
      <c r="K19" s="68">
        <v>0</v>
      </c>
      <c r="L19" s="68">
        <v>0</v>
      </c>
      <c r="M19" s="68">
        <v>0</v>
      </c>
      <c r="N19" s="68">
        <v>0</v>
      </c>
      <c r="O19" s="68">
        <v>0</v>
      </c>
      <c r="P19" s="68">
        <v>0</v>
      </c>
      <c r="Q19" s="68">
        <v>0</v>
      </c>
      <c r="R19" s="68">
        <v>0</v>
      </c>
      <c r="S19" s="68">
        <v>0</v>
      </c>
      <c r="T19" s="68">
        <v>0</v>
      </c>
      <c r="U19" s="68">
        <v>0</v>
      </c>
      <c r="V19" s="68">
        <v>0</v>
      </c>
      <c r="W19" s="68">
        <v>0</v>
      </c>
      <c r="X19" s="68">
        <v>0</v>
      </c>
      <c r="Y19" s="68">
        <v>0</v>
      </c>
      <c r="Z19" s="68">
        <v>0</v>
      </c>
      <c r="AA19" s="68">
        <v>0</v>
      </c>
      <c r="AB19" s="68">
        <v>0</v>
      </c>
      <c r="AC19" s="68">
        <v>0</v>
      </c>
      <c r="AD19" s="68">
        <v>0</v>
      </c>
      <c r="AE19" s="68">
        <v>0</v>
      </c>
      <c r="AF19" s="68">
        <v>0</v>
      </c>
      <c r="AG19" s="68">
        <v>0</v>
      </c>
      <c r="AH19" s="68">
        <v>0</v>
      </c>
      <c r="AI19" s="68">
        <v>0</v>
      </c>
      <c r="AJ19" s="68">
        <v>0</v>
      </c>
      <c r="AK19" s="68">
        <v>0</v>
      </c>
      <c r="AL19" s="68">
        <v>0</v>
      </c>
      <c r="AM19" s="68">
        <v>0</v>
      </c>
      <c r="AN19" s="68">
        <v>0</v>
      </c>
      <c r="AO19" s="68">
        <v>0</v>
      </c>
      <c r="AP19" s="68">
        <v>0</v>
      </c>
      <c r="AQ19" s="68">
        <v>0</v>
      </c>
      <c r="AR19" s="68">
        <v>0</v>
      </c>
      <c r="AS19" s="68">
        <v>0</v>
      </c>
      <c r="AT19" s="68">
        <v>0</v>
      </c>
      <c r="AU19" s="68">
        <v>0</v>
      </c>
      <c r="AV19" s="68">
        <v>0</v>
      </c>
      <c r="AW19" s="68">
        <v>0</v>
      </c>
      <c r="AX19" s="68">
        <v>0</v>
      </c>
      <c r="AY19" s="68">
        <v>0</v>
      </c>
      <c r="AZ19" s="68">
        <v>0</v>
      </c>
      <c r="BA19" s="68">
        <v>0</v>
      </c>
      <c r="BB19" s="68">
        <v>0</v>
      </c>
      <c r="BC19" s="68">
        <v>0</v>
      </c>
      <c r="BD19" s="68">
        <v>0</v>
      </c>
      <c r="BE19" s="68">
        <v>0</v>
      </c>
      <c r="BF19" s="68">
        <v>0</v>
      </c>
      <c r="BG19" s="68">
        <v>0</v>
      </c>
      <c r="BH19" s="68">
        <v>6.0000000000000001E-3</v>
      </c>
      <c r="BI19" s="68">
        <v>6.0000000000000001E-3</v>
      </c>
      <c r="BJ19" s="68">
        <v>6.0000000000000001E-3</v>
      </c>
      <c r="BK19" s="68">
        <v>7.0000000000000001E-3</v>
      </c>
      <c r="BL19" s="68">
        <v>7.0000000000000001E-3</v>
      </c>
      <c r="BM19" s="68"/>
      <c r="BN19" s="68"/>
    </row>
    <row r="20" spans="1:66" x14ac:dyDescent="0.2">
      <c r="A20" t="s">
        <v>37</v>
      </c>
      <c r="B20" s="80" t="s">
        <v>280</v>
      </c>
      <c r="C20" s="68">
        <v>8.6499999999999994E-2</v>
      </c>
      <c r="D20" s="68">
        <v>9.9099999999999994E-2</v>
      </c>
      <c r="E20" s="68">
        <v>0.104</v>
      </c>
      <c r="F20" s="68">
        <v>0.1231</v>
      </c>
      <c r="G20" s="68">
        <v>0.1313</v>
      </c>
      <c r="H20" s="68">
        <v>0.1459</v>
      </c>
      <c r="I20" s="68">
        <v>0.1603</v>
      </c>
      <c r="J20" s="68">
        <v>0.16850000000000001</v>
      </c>
      <c r="K20" s="68">
        <v>0.19140000000000001</v>
      </c>
      <c r="L20" s="68">
        <v>0.22900000000000001</v>
      </c>
      <c r="M20" s="68">
        <v>0.26039999999999996</v>
      </c>
      <c r="N20" s="68">
        <v>0.29569999999999996</v>
      </c>
      <c r="O20" s="68">
        <v>0.3145</v>
      </c>
      <c r="P20" s="68">
        <v>0.35389999999999999</v>
      </c>
      <c r="Q20" s="68">
        <v>0.39330000000000004</v>
      </c>
      <c r="R20" s="68">
        <v>0.44489999999999996</v>
      </c>
      <c r="S20" s="68">
        <v>0.4793</v>
      </c>
      <c r="T20" s="68">
        <v>0.53239999999999998</v>
      </c>
      <c r="U20" s="68">
        <v>0.55179999999999996</v>
      </c>
      <c r="V20" s="68">
        <v>0.67459999999999998</v>
      </c>
      <c r="W20" s="68">
        <v>0.65300000000000002</v>
      </c>
      <c r="X20" s="68">
        <v>0.65229999999999999</v>
      </c>
      <c r="Y20" s="68">
        <v>0.68829999999999991</v>
      </c>
      <c r="Z20" s="68">
        <v>0.71829999999999994</v>
      </c>
      <c r="AA20" s="68">
        <v>1.1364000000000001</v>
      </c>
      <c r="AB20" s="68">
        <v>0.39850000000000002</v>
      </c>
      <c r="AC20" s="68">
        <v>1.1575</v>
      </c>
      <c r="AD20" s="68">
        <v>1.6865999999999999</v>
      </c>
      <c r="AE20" s="68">
        <v>1.7415</v>
      </c>
      <c r="AF20" s="68">
        <v>1.8633</v>
      </c>
      <c r="AG20" s="68">
        <v>2.1289000000000002</v>
      </c>
      <c r="AH20" s="68">
        <v>2.6492</v>
      </c>
      <c r="AI20" s="68">
        <v>3.0295999999999998</v>
      </c>
      <c r="AJ20" s="68">
        <v>3.5339999999999998</v>
      </c>
      <c r="AK20" s="68">
        <v>4.1951999999999998</v>
      </c>
      <c r="AL20" s="68">
        <v>4.915</v>
      </c>
      <c r="AM20" s="68">
        <v>5.6017999999999999</v>
      </c>
      <c r="AN20" s="68">
        <v>6.0854999999999997</v>
      </c>
      <c r="AO20" s="68">
        <v>6.1441999999999997</v>
      </c>
      <c r="AP20" s="68">
        <v>6.4284999999999997</v>
      </c>
      <c r="AQ20" s="68">
        <v>6.6476000000000006</v>
      </c>
      <c r="AR20" s="68">
        <v>7.1067</v>
      </c>
      <c r="AS20" s="68">
        <v>7.2353999999999994</v>
      </c>
      <c r="AT20" s="68">
        <v>7.4177</v>
      </c>
      <c r="AU20" s="68">
        <v>8.1053999999999995</v>
      </c>
      <c r="AV20" s="68">
        <v>8.6192999999999991</v>
      </c>
      <c r="AW20" s="68">
        <v>8.9725000000000001</v>
      </c>
      <c r="AX20" s="68">
        <v>9.5794999999999995</v>
      </c>
      <c r="AY20" s="68">
        <v>9.3704000000000001</v>
      </c>
      <c r="AZ20" s="68">
        <v>9.9632000000000005</v>
      </c>
      <c r="BA20" s="68">
        <v>10.2075</v>
      </c>
      <c r="BB20" s="68">
        <v>10.4209</v>
      </c>
      <c r="BC20" s="68">
        <v>10.3294</v>
      </c>
      <c r="BD20" s="68">
        <v>10.8794</v>
      </c>
      <c r="BE20" s="68">
        <v>11.344700000000001</v>
      </c>
      <c r="BF20" s="68">
        <v>11.985700000000001</v>
      </c>
      <c r="BG20" s="68">
        <v>12.773399999999999</v>
      </c>
      <c r="BH20" s="68">
        <v>13.377000000000001</v>
      </c>
      <c r="BI20" s="68">
        <v>13.917</v>
      </c>
      <c r="BJ20" s="68">
        <v>14.472</v>
      </c>
      <c r="BK20" s="68">
        <v>15.791</v>
      </c>
      <c r="BL20" s="68">
        <v>16.459</v>
      </c>
      <c r="BM20" s="68"/>
      <c r="BN20" s="68"/>
    </row>
    <row r="21" spans="1:66" x14ac:dyDescent="0.2">
      <c r="A21" t="s">
        <v>281</v>
      </c>
      <c r="B21" s="80" t="s">
        <v>282</v>
      </c>
      <c r="C21" s="68">
        <v>0</v>
      </c>
      <c r="D21" s="68">
        <v>0</v>
      </c>
      <c r="E21" s="68">
        <v>0</v>
      </c>
      <c r="F21" s="68">
        <v>0</v>
      </c>
      <c r="G21" s="68">
        <v>0</v>
      </c>
      <c r="H21" s="68">
        <v>0</v>
      </c>
      <c r="I21" s="68">
        <v>0</v>
      </c>
      <c r="J21" s="68">
        <v>0</v>
      </c>
      <c r="K21" s="68">
        <v>0</v>
      </c>
      <c r="L21" s="68">
        <v>0</v>
      </c>
      <c r="M21" s="68">
        <v>0</v>
      </c>
      <c r="N21" s="68">
        <v>0</v>
      </c>
      <c r="O21" s="68">
        <v>0</v>
      </c>
      <c r="P21" s="68">
        <v>0</v>
      </c>
      <c r="Q21" s="68">
        <v>0</v>
      </c>
      <c r="R21" s="68">
        <v>0</v>
      </c>
      <c r="S21" s="68">
        <v>0</v>
      </c>
      <c r="T21" s="68">
        <v>0</v>
      </c>
      <c r="U21" s="68">
        <v>0</v>
      </c>
      <c r="V21" s="68">
        <v>0</v>
      </c>
      <c r="W21" s="68">
        <v>0</v>
      </c>
      <c r="X21" s="68">
        <v>0</v>
      </c>
      <c r="Y21" s="68">
        <v>0</v>
      </c>
      <c r="Z21" s="68">
        <v>0</v>
      </c>
      <c r="AA21" s="68">
        <v>0</v>
      </c>
      <c r="AB21" s="68">
        <v>0</v>
      </c>
      <c r="AC21" s="68">
        <v>0</v>
      </c>
      <c r="AD21" s="68">
        <v>0</v>
      </c>
      <c r="AE21" s="68">
        <v>0</v>
      </c>
      <c r="AF21" s="68">
        <v>9.9199999999999997E-2</v>
      </c>
      <c r="AG21" s="68">
        <v>0.1033</v>
      </c>
      <c r="AH21" s="68">
        <v>0.1171</v>
      </c>
      <c r="AI21" s="68">
        <v>0.1221</v>
      </c>
      <c r="AJ21" s="68">
        <v>0.1507</v>
      </c>
      <c r="AK21" s="68">
        <v>0.15959999999999999</v>
      </c>
      <c r="AL21" s="68">
        <v>0.1741</v>
      </c>
      <c r="AM21" s="68">
        <v>0.2094</v>
      </c>
      <c r="AN21" s="68">
        <v>0.21390000000000001</v>
      </c>
      <c r="AO21" s="68">
        <v>0.2137</v>
      </c>
      <c r="AP21" s="68">
        <v>0.21030000000000001</v>
      </c>
      <c r="AQ21" s="68">
        <v>0.23749999999999999</v>
      </c>
      <c r="AR21" s="68">
        <v>0.25290000000000001</v>
      </c>
      <c r="AS21" s="68">
        <v>0.24359999999999998</v>
      </c>
      <c r="AT21" s="68">
        <v>0.29699999999999999</v>
      </c>
      <c r="AU21" s="68">
        <v>0.30669999999999997</v>
      </c>
      <c r="AV21" s="68">
        <v>0.33760000000000001</v>
      </c>
      <c r="AW21" s="68">
        <v>0.35910000000000003</v>
      </c>
      <c r="AX21" s="68">
        <v>0.37710000000000005</v>
      </c>
      <c r="AY21" s="68">
        <v>0.34029999999999999</v>
      </c>
      <c r="AZ21" s="68">
        <v>0.32719999999999999</v>
      </c>
      <c r="BA21" s="68">
        <v>0.33629999999999999</v>
      </c>
      <c r="BB21" s="68">
        <v>0.40670000000000001</v>
      </c>
      <c r="BC21" s="68">
        <v>0.37680000000000002</v>
      </c>
      <c r="BD21" s="68">
        <v>0.4209</v>
      </c>
      <c r="BE21" s="68">
        <v>0.4345</v>
      </c>
      <c r="BF21" s="68">
        <v>0.47939999999999999</v>
      </c>
      <c r="BG21" s="68">
        <v>0.51739999999999997</v>
      </c>
      <c r="BH21" s="68">
        <v>0.51700000000000002</v>
      </c>
      <c r="BI21" s="68">
        <v>0.53</v>
      </c>
      <c r="BJ21" s="68">
        <v>0.52100000000000002</v>
      </c>
      <c r="BK21" s="68">
        <v>0.57799999999999996</v>
      </c>
      <c r="BL21" s="68">
        <v>0.61399999999999999</v>
      </c>
      <c r="BM21" s="68"/>
      <c r="BN21" s="68"/>
    </row>
    <row r="22" spans="1:66" x14ac:dyDescent="0.2">
      <c r="A22" t="s">
        <v>283</v>
      </c>
      <c r="B22" s="80" t="s">
        <v>284</v>
      </c>
      <c r="C22" s="68">
        <v>0</v>
      </c>
      <c r="D22" s="68">
        <v>0</v>
      </c>
      <c r="E22" s="68">
        <v>0</v>
      </c>
      <c r="F22" s="68">
        <v>0</v>
      </c>
      <c r="G22" s="68">
        <v>0</v>
      </c>
      <c r="H22" s="68">
        <v>0</v>
      </c>
      <c r="I22" s="68">
        <v>0</v>
      </c>
      <c r="J22" s="68">
        <v>0</v>
      </c>
      <c r="K22" s="68">
        <v>0</v>
      </c>
      <c r="L22" s="68">
        <v>0</v>
      </c>
      <c r="M22" s="68">
        <v>0</v>
      </c>
      <c r="N22" s="68">
        <v>0</v>
      </c>
      <c r="O22" s="68">
        <v>0</v>
      </c>
      <c r="P22" s="68">
        <v>0</v>
      </c>
      <c r="Q22" s="68">
        <v>0</v>
      </c>
      <c r="R22" s="68">
        <v>0</v>
      </c>
      <c r="S22" s="68">
        <v>0</v>
      </c>
      <c r="T22" s="68">
        <v>0</v>
      </c>
      <c r="U22" s="68">
        <v>0</v>
      </c>
      <c r="V22" s="68">
        <v>0</v>
      </c>
      <c r="W22" s="68">
        <v>0</v>
      </c>
      <c r="X22" s="68">
        <v>0</v>
      </c>
      <c r="Y22" s="68">
        <v>0</v>
      </c>
      <c r="Z22" s="68">
        <v>0</v>
      </c>
      <c r="AA22" s="68">
        <v>0</v>
      </c>
      <c r="AB22" s="68">
        <v>0</v>
      </c>
      <c r="AC22" s="68">
        <v>0</v>
      </c>
      <c r="AD22" s="68">
        <v>0</v>
      </c>
      <c r="AE22" s="68">
        <v>0</v>
      </c>
      <c r="AF22" s="68">
        <v>1.764</v>
      </c>
      <c r="AG22" s="68">
        <v>2.0255999999999998</v>
      </c>
      <c r="AH22" s="68">
        <v>2.5320999999999998</v>
      </c>
      <c r="AI22" s="68">
        <v>2.9075000000000002</v>
      </c>
      <c r="AJ22" s="68">
        <v>3.3833000000000002</v>
      </c>
      <c r="AK22" s="68">
        <v>4.0355999999999996</v>
      </c>
      <c r="AL22" s="68">
        <v>4.7408000000000001</v>
      </c>
      <c r="AM22" s="68">
        <v>5.3923999999999994</v>
      </c>
      <c r="AN22" s="68">
        <v>5.8715999999999999</v>
      </c>
      <c r="AO22" s="68">
        <v>5.9306000000000001</v>
      </c>
      <c r="AP22" s="68">
        <v>6.2181999999999995</v>
      </c>
      <c r="AQ22" s="68">
        <v>6.4101000000000008</v>
      </c>
      <c r="AR22" s="68">
        <v>6.8536999999999999</v>
      </c>
      <c r="AS22" s="68">
        <v>6.9918000000000005</v>
      </c>
      <c r="AT22" s="68">
        <v>7.1207000000000003</v>
      </c>
      <c r="AU22" s="68">
        <v>7.7987000000000002</v>
      </c>
      <c r="AV22" s="68">
        <v>8.2817000000000007</v>
      </c>
      <c r="AW22" s="68">
        <v>8.6132999999999988</v>
      </c>
      <c r="AX22" s="68">
        <v>9.202399999999999</v>
      </c>
      <c r="AY22" s="68">
        <v>9.0301000000000009</v>
      </c>
      <c r="AZ22" s="68">
        <v>9.6359999999999992</v>
      </c>
      <c r="BA22" s="68">
        <v>9.8711000000000002</v>
      </c>
      <c r="BB22" s="68">
        <v>10.014200000000001</v>
      </c>
      <c r="BC22" s="68">
        <v>9.9526000000000003</v>
      </c>
      <c r="BD22" s="68">
        <v>10.458500000000001</v>
      </c>
      <c r="BE22" s="68">
        <v>10.910200000000001</v>
      </c>
      <c r="BF22" s="68">
        <v>11.506200000000002</v>
      </c>
      <c r="BG22" s="68">
        <v>12.256</v>
      </c>
      <c r="BH22" s="68">
        <v>12.86</v>
      </c>
      <c r="BI22" s="68">
        <v>13.387</v>
      </c>
      <c r="BJ22" s="68">
        <v>13.951000000000001</v>
      </c>
      <c r="BK22" s="68">
        <v>15.212999999999999</v>
      </c>
      <c r="BL22" s="68">
        <v>15.845000000000001</v>
      </c>
      <c r="BM22" s="68"/>
      <c r="BN22" s="68"/>
    </row>
    <row r="23" spans="1:66" x14ac:dyDescent="0.2">
      <c r="A23" t="s">
        <v>41</v>
      </c>
      <c r="B23" s="80" t="s">
        <v>285</v>
      </c>
      <c r="C23" s="68">
        <v>-1.9800000000000002E-2</v>
      </c>
      <c r="D23" s="68">
        <v>-2.3699999999999999E-2</v>
      </c>
      <c r="E23" s="68">
        <v>-2.69E-2</v>
      </c>
      <c r="F23" s="68">
        <v>-3.27E-2</v>
      </c>
      <c r="G23" s="68">
        <v>-3.9899999999999998E-2</v>
      </c>
      <c r="H23" s="68">
        <v>-4.8000000000000001E-2</v>
      </c>
      <c r="I23" s="68">
        <v>-6.4700000000000008E-2</v>
      </c>
      <c r="J23" s="68">
        <v>-7.7599999999999988E-2</v>
      </c>
      <c r="K23" s="68">
        <v>-6.9500000000000006E-2</v>
      </c>
      <c r="L23" s="68">
        <v>-4.0500000000000001E-2</v>
      </c>
      <c r="M23" s="68">
        <v>-4.1799999999999997E-2</v>
      </c>
      <c r="N23" s="68">
        <v>-4.7600000000000003E-2</v>
      </c>
      <c r="O23" s="68">
        <v>-6.2100000000000002E-2</v>
      </c>
      <c r="P23" s="68">
        <v>-7.46E-2</v>
      </c>
      <c r="Q23" s="68">
        <v>-8.2400000000000001E-2</v>
      </c>
      <c r="R23" s="68">
        <v>-8.4699999999999998E-2</v>
      </c>
      <c r="S23" s="68">
        <v>-9.6200000000000008E-2</v>
      </c>
      <c r="T23" s="68">
        <v>-0.1062</v>
      </c>
      <c r="U23" s="68">
        <v>-0.1129</v>
      </c>
      <c r="V23" s="68">
        <v>-0.14799999999999999</v>
      </c>
      <c r="W23" s="68">
        <v>-0.1525</v>
      </c>
      <c r="X23" s="68">
        <v>-0.1424</v>
      </c>
      <c r="Y23" s="68">
        <v>-0.15609999999999999</v>
      </c>
      <c r="Z23" s="68">
        <v>-0.17760000000000001</v>
      </c>
      <c r="AA23" s="68">
        <v>-0.21930000000000002</v>
      </c>
      <c r="AB23" s="68">
        <v>-0.2417</v>
      </c>
      <c r="AC23" s="68">
        <v>-0.31530000000000002</v>
      </c>
      <c r="AD23" s="68">
        <v>-0.37389999999999995</v>
      </c>
      <c r="AE23" s="68">
        <v>-0.4385</v>
      </c>
      <c r="AF23" s="68">
        <v>-0.43810000000000004</v>
      </c>
      <c r="AG23" s="68">
        <v>-0.2848</v>
      </c>
      <c r="AH23" s="68">
        <v>-0.41</v>
      </c>
      <c r="AI23" s="68">
        <v>-0.7238</v>
      </c>
      <c r="AJ23" s="68">
        <v>-0.57110000000000005</v>
      </c>
      <c r="AK23" s="68">
        <v>-0.59689999999999999</v>
      </c>
      <c r="AL23" s="68">
        <v>-0.68440000000000001</v>
      </c>
      <c r="AM23" s="68">
        <v>-0.69220000000000004</v>
      </c>
      <c r="AN23" s="68">
        <v>-0.81270000000000009</v>
      </c>
      <c r="AO23" s="68">
        <v>-1.1004</v>
      </c>
      <c r="AP23" s="68">
        <v>-0.80120000000000002</v>
      </c>
      <c r="AQ23" s="68">
        <v>-0.8042999999999999</v>
      </c>
      <c r="AR23" s="68">
        <v>-1.0263</v>
      </c>
      <c r="AS23" s="68">
        <v>-0.86609999999999998</v>
      </c>
      <c r="AT23" s="68">
        <v>-0.99309999999999998</v>
      </c>
      <c r="AU23" s="68">
        <v>-1.0867</v>
      </c>
      <c r="AV23" s="68">
        <v>-1.1453</v>
      </c>
      <c r="AW23" s="68">
        <v>-1.0609000000000002</v>
      </c>
      <c r="AX23" s="68">
        <v>-1.1422000000000001</v>
      </c>
      <c r="AY23" s="68">
        <v>-1.1157999999999999</v>
      </c>
      <c r="AZ23" s="68">
        <v>-0.99679999999999991</v>
      </c>
      <c r="BA23" s="68">
        <v>-0.97210000000000008</v>
      </c>
      <c r="BB23" s="68">
        <v>-1.2715000000000001</v>
      </c>
      <c r="BC23" s="68">
        <v>-1.3187</v>
      </c>
      <c r="BD23" s="68">
        <v>-0.96970000000000001</v>
      </c>
      <c r="BE23" s="68">
        <v>-1.2117</v>
      </c>
      <c r="BF23" s="68">
        <v>-0.79339999999999999</v>
      </c>
      <c r="BG23" s="68">
        <v>-1.3444</v>
      </c>
      <c r="BH23" s="68">
        <v>-2.9430000000000001</v>
      </c>
      <c r="BI23" s="68">
        <v>-2.867</v>
      </c>
      <c r="BJ23" s="68">
        <v>-2.871</v>
      </c>
      <c r="BK23" s="68">
        <v>-2.798</v>
      </c>
      <c r="BL23" s="68">
        <v>-3.2080000000000002</v>
      </c>
      <c r="BM23" s="68"/>
      <c r="BN23" s="68"/>
    </row>
    <row r="24" spans="1:66" x14ac:dyDescent="0.2">
      <c r="A24" t="s">
        <v>286</v>
      </c>
      <c r="B24" s="80" t="s">
        <v>287</v>
      </c>
      <c r="C24" s="68">
        <v>3.9775999999999998</v>
      </c>
      <c r="D24" s="68">
        <v>4.6642000000000001</v>
      </c>
      <c r="E24" s="68">
        <v>5.6553000000000004</v>
      </c>
      <c r="F24" s="68">
        <v>6.4478999999999997</v>
      </c>
      <c r="G24" s="68">
        <v>6.4954000000000001</v>
      </c>
      <c r="H24" s="68">
        <v>6.8443000000000005</v>
      </c>
      <c r="I24" s="68">
        <v>7.2205000000000004</v>
      </c>
      <c r="J24" s="68">
        <v>7.6833</v>
      </c>
      <c r="K24" s="68">
        <v>8.5922000000000001</v>
      </c>
      <c r="L24" s="68">
        <v>9.9163999999999994</v>
      </c>
      <c r="M24" s="68">
        <v>10.177700000000002</v>
      </c>
      <c r="N24" s="68">
        <v>11.572899999999999</v>
      </c>
      <c r="O24" s="68">
        <v>11.988799999999999</v>
      </c>
      <c r="P24" s="68">
        <v>13.773700000000002</v>
      </c>
      <c r="Q24" s="68">
        <v>14.795999999999999</v>
      </c>
      <c r="R24" s="68">
        <v>15.687100000000001</v>
      </c>
      <c r="S24" s="68">
        <v>16.869499999999999</v>
      </c>
      <c r="T24" s="68">
        <v>18.389599999999998</v>
      </c>
      <c r="U24" s="68">
        <v>20.1188</v>
      </c>
      <c r="V24" s="68">
        <v>21.4206</v>
      </c>
      <c r="W24" s="68">
        <v>23.293299999999999</v>
      </c>
      <c r="X24" s="68">
        <v>25.5901</v>
      </c>
      <c r="Y24" s="68">
        <v>27.226800000000001</v>
      </c>
      <c r="Z24" s="68">
        <v>30.766299999999998</v>
      </c>
      <c r="AA24" s="68">
        <v>33.975900000000003</v>
      </c>
      <c r="AB24" s="68">
        <v>37.810199999999995</v>
      </c>
      <c r="AC24" s="68">
        <v>40.017900000000004</v>
      </c>
      <c r="AD24" s="68">
        <v>44.020800000000001</v>
      </c>
      <c r="AE24" s="68">
        <v>49.515599999999999</v>
      </c>
      <c r="AF24" s="68">
        <v>57.279000000000003</v>
      </c>
      <c r="AG24" s="68">
        <v>64.020600000000002</v>
      </c>
      <c r="AH24" s="68">
        <v>71.134600000000006</v>
      </c>
      <c r="AI24" s="68">
        <v>78.847200000000001</v>
      </c>
      <c r="AJ24" s="68">
        <v>90.126800000000003</v>
      </c>
      <c r="AK24" s="68">
        <v>100.08669999999999</v>
      </c>
      <c r="AL24" s="68">
        <v>106.8036</v>
      </c>
      <c r="AM24" s="68">
        <v>113.77680000000001</v>
      </c>
      <c r="AN24" s="68">
        <v>119.1305</v>
      </c>
      <c r="AO24" s="68">
        <v>124.87269999999999</v>
      </c>
      <c r="AP24" s="68">
        <v>132.76220000000001</v>
      </c>
      <c r="AQ24" s="68">
        <v>145.62210000000002</v>
      </c>
      <c r="AR24" s="68">
        <v>153.30520000000001</v>
      </c>
      <c r="AS24" s="68">
        <v>157.91239999999999</v>
      </c>
      <c r="AT24" s="68">
        <v>165.72460000000001</v>
      </c>
      <c r="AU24" s="68">
        <v>167.21639999999999</v>
      </c>
      <c r="AV24" s="68">
        <v>174.447</v>
      </c>
      <c r="AW24" s="68">
        <v>179.7045</v>
      </c>
      <c r="AX24" s="68">
        <v>184.34309999999999</v>
      </c>
      <c r="AY24" s="68">
        <v>187.20310000000001</v>
      </c>
      <c r="AZ24" s="68">
        <v>193.5301</v>
      </c>
      <c r="BA24" s="68">
        <v>198.91770000000002</v>
      </c>
      <c r="BB24" s="68">
        <v>209.45760000000001</v>
      </c>
      <c r="BC24" s="68">
        <v>223.477</v>
      </c>
      <c r="BD24" s="68">
        <v>227.98679999999999</v>
      </c>
      <c r="BE24" s="68">
        <v>231.77970000000002</v>
      </c>
      <c r="BF24" s="68">
        <v>240.9144</v>
      </c>
      <c r="BG24" s="68">
        <v>248.67250000000001</v>
      </c>
      <c r="BH24" s="68">
        <v>261.53045000000003</v>
      </c>
      <c r="BI24" s="68">
        <v>276.40003999999999</v>
      </c>
      <c r="BJ24" s="68">
        <v>285.41490000000005</v>
      </c>
      <c r="BK24" s="68">
        <v>271.80743999999999</v>
      </c>
      <c r="BL24" s="68">
        <v>273.84566999999998</v>
      </c>
      <c r="BM24" s="68"/>
      <c r="BN24" s="68"/>
    </row>
    <row r="25" spans="1:66" x14ac:dyDescent="0.2">
      <c r="A25" t="s">
        <v>42</v>
      </c>
      <c r="B25" s="80" t="s">
        <v>43</v>
      </c>
      <c r="C25" s="68">
        <v>0.3916</v>
      </c>
      <c r="D25" s="68">
        <v>0.47839999999999999</v>
      </c>
      <c r="E25" s="68">
        <v>0.53900000000000003</v>
      </c>
      <c r="F25" s="68">
        <v>0.63629999999999998</v>
      </c>
      <c r="G25" s="68">
        <v>0.6835</v>
      </c>
      <c r="H25" s="68">
        <v>0.83099999999999996</v>
      </c>
      <c r="I25" s="68">
        <v>0.89339999999999997</v>
      </c>
      <c r="J25" s="68">
        <v>1.0335000000000001</v>
      </c>
      <c r="K25" s="68">
        <v>1.1577</v>
      </c>
      <c r="L25" s="68">
        <v>1.2907999999999999</v>
      </c>
      <c r="M25" s="68">
        <v>1.4152</v>
      </c>
      <c r="N25" s="68">
        <v>1.6476</v>
      </c>
      <c r="O25" s="68">
        <v>1.9177</v>
      </c>
      <c r="P25" s="68">
        <v>2.2426999999999997</v>
      </c>
      <c r="Q25" s="68">
        <v>2.6280000000000001</v>
      </c>
      <c r="R25" s="68">
        <v>2.9281999999999999</v>
      </c>
      <c r="S25" s="68">
        <v>3.3848000000000003</v>
      </c>
      <c r="T25" s="68">
        <v>3.8553999999999999</v>
      </c>
      <c r="U25" s="68">
        <v>4.4400000000000004</v>
      </c>
      <c r="V25" s="68">
        <v>5.0481999999999996</v>
      </c>
      <c r="W25" s="68">
        <v>5.8129</v>
      </c>
      <c r="X25" s="68">
        <v>6.5431999999999997</v>
      </c>
      <c r="Y25" s="68">
        <v>7.0026000000000002</v>
      </c>
      <c r="Z25" s="68">
        <v>7.7797000000000001</v>
      </c>
      <c r="AA25" s="68">
        <v>8.8584999999999994</v>
      </c>
      <c r="AB25" s="68">
        <v>10.7537</v>
      </c>
      <c r="AC25" s="68">
        <v>11.1936</v>
      </c>
      <c r="AD25" s="68">
        <v>12.604299999999999</v>
      </c>
      <c r="AE25" s="68">
        <v>14.76</v>
      </c>
      <c r="AF25" s="68">
        <v>17.020799999999998</v>
      </c>
      <c r="AG25" s="68">
        <v>19.8553</v>
      </c>
      <c r="AH25" s="68">
        <v>22.305199999999999</v>
      </c>
      <c r="AI25" s="68">
        <v>26.671400000000002</v>
      </c>
      <c r="AJ25" s="68">
        <v>30.196900000000003</v>
      </c>
      <c r="AK25" s="68">
        <v>34.457300000000004</v>
      </c>
      <c r="AL25" s="68">
        <v>38.871300000000005</v>
      </c>
      <c r="AM25" s="68">
        <v>41.9617</v>
      </c>
      <c r="AN25" s="68">
        <v>44.175800000000002</v>
      </c>
      <c r="AO25" s="68">
        <v>49.937800000000003</v>
      </c>
      <c r="AP25" s="68">
        <v>55.201800000000006</v>
      </c>
      <c r="AQ25" s="68">
        <v>59.361699999999999</v>
      </c>
      <c r="AR25" s="68">
        <v>64.157800000000009</v>
      </c>
      <c r="AS25" s="68">
        <v>68.733399999999989</v>
      </c>
      <c r="AT25" s="68">
        <v>75.880099999999999</v>
      </c>
      <c r="AU25" s="68">
        <v>80.385300000000001</v>
      </c>
      <c r="AV25" s="68">
        <v>85.506500000000003</v>
      </c>
      <c r="AW25" s="68">
        <v>88.698300000000003</v>
      </c>
      <c r="AX25" s="68">
        <v>92.103999999999999</v>
      </c>
      <c r="AY25" s="68">
        <v>96.80980000000001</v>
      </c>
      <c r="AZ25" s="68">
        <v>99.313999999999993</v>
      </c>
      <c r="BA25" s="68">
        <v>101.2403</v>
      </c>
      <c r="BB25" s="68">
        <v>108.5056</v>
      </c>
      <c r="BC25" s="68">
        <v>114.56660000000001</v>
      </c>
      <c r="BD25" s="68">
        <v>117.45360000000001</v>
      </c>
      <c r="BE25" s="68">
        <v>121.68210000000001</v>
      </c>
      <c r="BF25" s="68">
        <v>128.24430000000001</v>
      </c>
      <c r="BG25" s="68">
        <v>134.80329999999998</v>
      </c>
      <c r="BH25" s="68">
        <v>143.23607999999999</v>
      </c>
      <c r="BI25" s="68">
        <v>153.44433999999998</v>
      </c>
      <c r="BJ25" s="68">
        <v>161.11500000000001</v>
      </c>
      <c r="BK25" s="68">
        <v>154.489</v>
      </c>
      <c r="BL25" s="68">
        <v>154.47999999999999</v>
      </c>
      <c r="BM25" s="68"/>
      <c r="BN25" s="68"/>
    </row>
    <row r="26" spans="1:66" x14ac:dyDescent="0.2">
      <c r="A26" t="s">
        <v>44</v>
      </c>
      <c r="B26" s="80" t="s">
        <v>288</v>
      </c>
      <c r="C26" s="68">
        <v>3.5861000000000001</v>
      </c>
      <c r="D26" s="68">
        <v>4.1858999999999993</v>
      </c>
      <c r="E26" s="68">
        <v>5.1162999999999998</v>
      </c>
      <c r="F26" s="68">
        <v>5.8114999999999997</v>
      </c>
      <c r="G26" s="68">
        <v>5.8118999999999996</v>
      </c>
      <c r="H26" s="68">
        <v>6.0133000000000001</v>
      </c>
      <c r="I26" s="68">
        <v>6.3271000000000006</v>
      </c>
      <c r="J26" s="68">
        <v>6.6497000000000002</v>
      </c>
      <c r="K26" s="68">
        <v>7.4344999999999999</v>
      </c>
      <c r="L26" s="68">
        <v>8.6256000000000004</v>
      </c>
      <c r="M26" s="68">
        <v>8.7626000000000008</v>
      </c>
      <c r="N26" s="68">
        <v>9.9253</v>
      </c>
      <c r="O26" s="68">
        <v>10.071099999999999</v>
      </c>
      <c r="P26" s="68">
        <v>11.531000000000001</v>
      </c>
      <c r="Q26" s="68">
        <v>12.167999999999999</v>
      </c>
      <c r="R26" s="68">
        <v>12.759</v>
      </c>
      <c r="S26" s="68">
        <v>13.4848</v>
      </c>
      <c r="T26" s="68">
        <v>14.5341</v>
      </c>
      <c r="U26" s="68">
        <v>15.678799999999999</v>
      </c>
      <c r="V26" s="68">
        <v>16.372399999999999</v>
      </c>
      <c r="W26" s="68">
        <v>17.480400000000003</v>
      </c>
      <c r="X26" s="68">
        <v>19.047000000000001</v>
      </c>
      <c r="Y26" s="68">
        <v>20.2242</v>
      </c>
      <c r="Z26" s="68">
        <v>22.986499999999999</v>
      </c>
      <c r="AA26" s="68">
        <v>25.1175</v>
      </c>
      <c r="AB26" s="68">
        <v>27.0565</v>
      </c>
      <c r="AC26" s="68">
        <v>28.824300000000001</v>
      </c>
      <c r="AD26" s="68">
        <v>31.416499999999999</v>
      </c>
      <c r="AE26" s="68">
        <v>34.755600000000001</v>
      </c>
      <c r="AF26" s="68">
        <v>40.258199999999995</v>
      </c>
      <c r="AG26" s="68">
        <v>44.165300000000002</v>
      </c>
      <c r="AH26" s="68">
        <v>48.8294</v>
      </c>
      <c r="AI26" s="68">
        <v>52.175800000000002</v>
      </c>
      <c r="AJ26" s="68">
        <v>59.929900000000004</v>
      </c>
      <c r="AK26" s="68">
        <v>65.629499999999993</v>
      </c>
      <c r="AL26" s="68">
        <v>67.932299999999998</v>
      </c>
      <c r="AM26" s="68">
        <v>71.815100000000001</v>
      </c>
      <c r="AN26" s="68">
        <v>74.954700000000003</v>
      </c>
      <c r="AO26" s="68">
        <v>74.93480000000001</v>
      </c>
      <c r="AP26" s="68">
        <v>77.560399999999987</v>
      </c>
      <c r="AQ26" s="68">
        <v>86.26039999999999</v>
      </c>
      <c r="AR26" s="68">
        <v>89.14739999999999</v>
      </c>
      <c r="AS26" s="68">
        <v>89.179100000000005</v>
      </c>
      <c r="AT26" s="68">
        <v>89.844499999999996</v>
      </c>
      <c r="AU26" s="68">
        <v>86.831199999999995</v>
      </c>
      <c r="AV26" s="68">
        <v>88.9405</v>
      </c>
      <c r="AW26" s="68">
        <v>91.006199999999993</v>
      </c>
      <c r="AX26" s="68">
        <v>92.239100000000008</v>
      </c>
      <c r="AY26" s="68">
        <v>90.393299999999996</v>
      </c>
      <c r="AZ26" s="68">
        <v>94.216200000000001</v>
      </c>
      <c r="BA26" s="68">
        <v>97.677300000000002</v>
      </c>
      <c r="BB26" s="68">
        <v>100.952</v>
      </c>
      <c r="BC26" s="68">
        <v>108.9104</v>
      </c>
      <c r="BD26" s="68">
        <v>110.53319999999999</v>
      </c>
      <c r="BE26" s="68">
        <v>110.0976</v>
      </c>
      <c r="BF26" s="68">
        <v>112.67010000000001</v>
      </c>
      <c r="BG26" s="68">
        <v>113.86919999999999</v>
      </c>
      <c r="BH26" s="68">
        <v>118.29437</v>
      </c>
      <c r="BI26" s="68">
        <v>122.95571000000001</v>
      </c>
      <c r="BJ26" s="68">
        <v>124.29989999999999</v>
      </c>
      <c r="BK26" s="68">
        <v>117.31844</v>
      </c>
      <c r="BL26" s="68">
        <v>119.36566999999999</v>
      </c>
      <c r="BM26" s="68"/>
      <c r="BN26" s="68"/>
    </row>
    <row r="27" spans="1:66" x14ac:dyDescent="0.2">
      <c r="A27" t="s">
        <v>268</v>
      </c>
      <c r="B27" s="80" t="s">
        <v>268</v>
      </c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  <c r="BM27" s="68"/>
      <c r="BN27" s="68"/>
    </row>
    <row r="28" spans="1:66" x14ac:dyDescent="0.2">
      <c r="A28" t="s">
        <v>268</v>
      </c>
      <c r="B28" s="97" t="s">
        <v>46</v>
      </c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</row>
    <row r="29" spans="1:66" x14ac:dyDescent="0.2">
      <c r="A29" t="s">
        <v>268</v>
      </c>
      <c r="B29" s="80" t="s">
        <v>118</v>
      </c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</row>
    <row r="30" spans="1:66" x14ac:dyDescent="0.2">
      <c r="A30" t="s">
        <v>286</v>
      </c>
      <c r="B30" s="80" t="s">
        <v>287</v>
      </c>
      <c r="C30" s="68">
        <v>3.9775999999999998</v>
      </c>
      <c r="D30" s="68">
        <v>4.6642000000000001</v>
      </c>
      <c r="E30" s="68">
        <v>5.6553000000000004</v>
      </c>
      <c r="F30" s="68">
        <v>6.4478999999999997</v>
      </c>
      <c r="G30" s="68">
        <v>6.4954000000000001</v>
      </c>
      <c r="H30" s="68">
        <v>6.8443000000000005</v>
      </c>
      <c r="I30" s="68">
        <v>7.2205000000000004</v>
      </c>
      <c r="J30" s="68">
        <v>7.6833</v>
      </c>
      <c r="K30" s="68">
        <v>8.5922000000000001</v>
      </c>
      <c r="L30" s="68">
        <v>9.9163999999999994</v>
      </c>
      <c r="M30" s="68">
        <v>10.177700000000002</v>
      </c>
      <c r="N30" s="68">
        <v>11.572899999999999</v>
      </c>
      <c r="O30" s="68">
        <v>11.988799999999999</v>
      </c>
      <c r="P30" s="68">
        <v>13.773700000000002</v>
      </c>
      <c r="Q30" s="68">
        <v>14.795999999999999</v>
      </c>
      <c r="R30" s="68">
        <v>15.687100000000001</v>
      </c>
      <c r="S30" s="68">
        <v>16.869499999999999</v>
      </c>
      <c r="T30" s="68">
        <v>18.389599999999998</v>
      </c>
      <c r="U30" s="68">
        <v>20.1188</v>
      </c>
      <c r="V30" s="68">
        <v>21.4206</v>
      </c>
      <c r="W30" s="68">
        <v>23.293299999999999</v>
      </c>
      <c r="X30" s="68">
        <v>25.5901</v>
      </c>
      <c r="Y30" s="68">
        <v>27.226800000000001</v>
      </c>
      <c r="Z30" s="68">
        <v>30.766299999999998</v>
      </c>
      <c r="AA30" s="68">
        <v>33.975900000000003</v>
      </c>
      <c r="AB30" s="68">
        <v>37.810199999999995</v>
      </c>
      <c r="AC30" s="68">
        <v>40.017900000000004</v>
      </c>
      <c r="AD30" s="68">
        <v>44.020800000000001</v>
      </c>
      <c r="AE30" s="68">
        <v>49.515599999999999</v>
      </c>
      <c r="AF30" s="68">
        <v>57.279000000000003</v>
      </c>
      <c r="AG30" s="68">
        <v>64.020600000000002</v>
      </c>
      <c r="AH30" s="68">
        <v>71.134600000000006</v>
      </c>
      <c r="AI30" s="68">
        <v>78.847200000000001</v>
      </c>
      <c r="AJ30" s="68">
        <v>90.126800000000003</v>
      </c>
      <c r="AK30" s="68">
        <v>100.08669999999999</v>
      </c>
      <c r="AL30" s="68">
        <v>106.8036</v>
      </c>
      <c r="AM30" s="68">
        <v>113.77680000000001</v>
      </c>
      <c r="AN30" s="68">
        <v>119.1305</v>
      </c>
      <c r="AO30" s="68">
        <v>124.87269999999999</v>
      </c>
      <c r="AP30" s="68">
        <v>132.76220000000001</v>
      </c>
      <c r="AQ30" s="68">
        <v>145.62210000000002</v>
      </c>
      <c r="AR30" s="68">
        <v>153.30520000000001</v>
      </c>
      <c r="AS30" s="68">
        <v>157.91239999999999</v>
      </c>
      <c r="AT30" s="68">
        <v>165.72460000000001</v>
      </c>
      <c r="AU30" s="68">
        <v>167.21639999999999</v>
      </c>
      <c r="AV30" s="68">
        <v>174.447</v>
      </c>
      <c r="AW30" s="68">
        <v>179.7045</v>
      </c>
      <c r="AX30" s="68">
        <v>184.34309999999999</v>
      </c>
      <c r="AY30" s="68">
        <v>187.20310000000001</v>
      </c>
      <c r="AZ30" s="68">
        <v>193.5301</v>
      </c>
      <c r="BA30" s="68">
        <v>198.91770000000002</v>
      </c>
      <c r="BB30" s="68">
        <v>209.45760000000001</v>
      </c>
      <c r="BC30" s="68">
        <v>223.477</v>
      </c>
      <c r="BD30" s="68">
        <v>227.98679999999999</v>
      </c>
      <c r="BE30" s="68">
        <v>231.77970000000002</v>
      </c>
      <c r="BF30" s="68">
        <v>240.9144</v>
      </c>
      <c r="BG30" s="68">
        <v>248.67250000000001</v>
      </c>
      <c r="BH30" s="68">
        <v>261.53045000000003</v>
      </c>
      <c r="BI30" s="68">
        <v>276.40003999999999</v>
      </c>
      <c r="BJ30" s="68">
        <v>285.41490000000005</v>
      </c>
      <c r="BK30" s="68">
        <v>271.80743999999999</v>
      </c>
      <c r="BL30" s="68">
        <v>273.84566999999998</v>
      </c>
      <c r="BM30" s="68"/>
      <c r="BN30" s="68"/>
    </row>
    <row r="31" spans="1:66" x14ac:dyDescent="0.2">
      <c r="A31" t="s">
        <v>32</v>
      </c>
      <c r="B31" s="80" t="s">
        <v>275</v>
      </c>
      <c r="C31" s="68">
        <v>4.6473999999999993</v>
      </c>
      <c r="D31" s="68">
        <v>5.1551</v>
      </c>
      <c r="E31" s="68">
        <v>6.5901999999999994</v>
      </c>
      <c r="F31" s="68">
        <v>7.9018000000000006</v>
      </c>
      <c r="G31" s="68">
        <v>8.2092000000000009</v>
      </c>
      <c r="H31" s="68">
        <v>8.8707999999999991</v>
      </c>
      <c r="I31" s="68">
        <v>9.6202000000000005</v>
      </c>
      <c r="J31" s="68">
        <v>10.820399999999999</v>
      </c>
      <c r="K31" s="68">
        <v>12.161100000000001</v>
      </c>
      <c r="L31" s="68">
        <v>13.9321</v>
      </c>
      <c r="M31" s="68">
        <v>15.1806</v>
      </c>
      <c r="N31" s="68">
        <v>16.562999999999999</v>
      </c>
      <c r="O31" s="68">
        <v>18.279599999999999</v>
      </c>
      <c r="P31" s="68">
        <v>20.585799999999999</v>
      </c>
      <c r="Q31" s="68">
        <v>23.465599999999998</v>
      </c>
      <c r="R31" s="68">
        <v>26.057400000000001</v>
      </c>
      <c r="S31" s="68">
        <v>27.991499999999998</v>
      </c>
      <c r="T31" s="68">
        <v>30.1816</v>
      </c>
      <c r="U31" s="68">
        <v>32.433999999999997</v>
      </c>
      <c r="V31" s="68">
        <v>36.432000000000002</v>
      </c>
      <c r="W31" s="68">
        <v>41.581000000000003</v>
      </c>
      <c r="X31" s="68">
        <v>47.327100000000002</v>
      </c>
      <c r="Y31" s="68">
        <v>53.444199999999995</v>
      </c>
      <c r="Z31" s="68">
        <v>59.789199999999994</v>
      </c>
      <c r="AA31" s="68">
        <v>69.025199999999998</v>
      </c>
      <c r="AB31" s="68">
        <v>82.486699999999999</v>
      </c>
      <c r="AC31" s="68">
        <v>95.966700000000003</v>
      </c>
      <c r="AD31" s="68">
        <v>111.06530000000001</v>
      </c>
      <c r="AE31" s="68">
        <v>125.66489999999999</v>
      </c>
      <c r="AF31" s="68">
        <v>142.18679999999998</v>
      </c>
      <c r="AG31" s="68">
        <v>160.24799999999999</v>
      </c>
      <c r="AH31" s="68">
        <v>184.64109999999999</v>
      </c>
      <c r="AI31" s="68">
        <v>210.31220000000002</v>
      </c>
      <c r="AJ31" s="68">
        <v>239.7834</v>
      </c>
      <c r="AK31" s="68">
        <v>261.51429999999999</v>
      </c>
      <c r="AL31" s="68">
        <v>279.4939</v>
      </c>
      <c r="AM31" s="68">
        <v>294.99420000000003</v>
      </c>
      <c r="AN31" s="68">
        <v>310.173</v>
      </c>
      <c r="AO31" s="68">
        <v>322.84559999999999</v>
      </c>
      <c r="AP31" s="68">
        <v>341.56459999999998</v>
      </c>
      <c r="AQ31" s="68">
        <v>363.41679999999997</v>
      </c>
      <c r="AR31" s="68">
        <v>389.15300000000002</v>
      </c>
      <c r="AS31" s="68">
        <v>408.36659999999995</v>
      </c>
      <c r="AT31" s="68">
        <v>421.15979999999996</v>
      </c>
      <c r="AU31" s="68">
        <v>428.17509999999999</v>
      </c>
      <c r="AV31" s="68">
        <v>437.48859999999996</v>
      </c>
      <c r="AW31" s="68">
        <v>454.31450000000001</v>
      </c>
      <c r="AX31" s="68">
        <v>467.07900000000001</v>
      </c>
      <c r="AY31" s="68">
        <v>479.82049999999998</v>
      </c>
      <c r="AZ31" s="68">
        <v>498.13779999999997</v>
      </c>
      <c r="BA31" s="68">
        <v>522.21140000000003</v>
      </c>
      <c r="BB31" s="68">
        <v>554.38760000000002</v>
      </c>
      <c r="BC31" s="68">
        <v>581.76580000000001</v>
      </c>
      <c r="BD31" s="68">
        <v>606.81709999999998</v>
      </c>
      <c r="BE31" s="68">
        <v>622.08359999999993</v>
      </c>
      <c r="BF31" s="68">
        <v>644.99969999999996</v>
      </c>
      <c r="BG31" s="68">
        <v>668.41790000000003</v>
      </c>
      <c r="BH31" s="68">
        <v>698.20821999999998</v>
      </c>
      <c r="BI31" s="68">
        <v>726.66694999999993</v>
      </c>
      <c r="BJ31" s="68">
        <v>749.67600000000004</v>
      </c>
      <c r="BK31" s="68">
        <v>749.30899999999997</v>
      </c>
      <c r="BL31" s="68">
        <v>764.46900000000005</v>
      </c>
      <c r="BM31" s="68"/>
      <c r="BN31" s="68"/>
    </row>
    <row r="32" spans="1:66" x14ac:dyDescent="0.2">
      <c r="A32" t="s">
        <v>276</v>
      </c>
      <c r="B32" s="80" t="s">
        <v>277</v>
      </c>
      <c r="C32" s="68">
        <v>0.73639999999999994</v>
      </c>
      <c r="D32" s="68">
        <v>0.82320000000000004</v>
      </c>
      <c r="E32" s="68">
        <v>1.0642</v>
      </c>
      <c r="F32" s="68">
        <v>1.3215999999999999</v>
      </c>
      <c r="G32" s="68">
        <v>1.3913</v>
      </c>
      <c r="H32" s="68">
        <v>1.5380999999999998</v>
      </c>
      <c r="I32" s="68">
        <v>1.6585999999999999</v>
      </c>
      <c r="J32" s="68">
        <v>1.9295</v>
      </c>
      <c r="K32" s="68">
        <v>2.1261999999999999</v>
      </c>
      <c r="L32" s="68">
        <v>2.4701</v>
      </c>
      <c r="M32" s="68">
        <v>2.8059000000000003</v>
      </c>
      <c r="N32" s="68">
        <v>3.0951999999999997</v>
      </c>
      <c r="O32" s="68">
        <v>3.7170999999999998</v>
      </c>
      <c r="P32" s="68">
        <v>4.2776000000000005</v>
      </c>
      <c r="Q32" s="68">
        <v>4.9786999999999999</v>
      </c>
      <c r="R32" s="68">
        <v>5.6597</v>
      </c>
      <c r="S32" s="68">
        <v>6.2001999999999997</v>
      </c>
      <c r="T32" s="68">
        <v>6.7141000000000002</v>
      </c>
      <c r="U32" s="68">
        <v>7.4688999999999997</v>
      </c>
      <c r="V32" s="68">
        <v>8.9215</v>
      </c>
      <c r="W32" s="68">
        <v>10.434200000000001</v>
      </c>
      <c r="X32" s="68">
        <v>11.9621</v>
      </c>
      <c r="Y32" s="68">
        <v>13.515600000000001</v>
      </c>
      <c r="Z32" s="68">
        <v>15.026999999999999</v>
      </c>
      <c r="AA32" s="68">
        <v>17.1858</v>
      </c>
      <c r="AB32" s="68">
        <v>20.703400000000002</v>
      </c>
      <c r="AC32" s="68">
        <v>25.716200000000001</v>
      </c>
      <c r="AD32" s="68">
        <v>30.308400000000002</v>
      </c>
      <c r="AE32" s="68">
        <v>35.307199999999995</v>
      </c>
      <c r="AF32" s="68">
        <v>39.706499999999998</v>
      </c>
      <c r="AG32" s="68">
        <v>46.729099999999995</v>
      </c>
      <c r="AH32" s="68">
        <v>53.001199999999997</v>
      </c>
      <c r="AI32" s="68">
        <v>59.726099999999995</v>
      </c>
      <c r="AJ32" s="68">
        <v>70.120399999999989</v>
      </c>
      <c r="AK32" s="68">
        <v>78.661100000000005</v>
      </c>
      <c r="AL32" s="68">
        <v>85.484499999999997</v>
      </c>
      <c r="AM32" s="68">
        <v>91.612700000000004</v>
      </c>
      <c r="AN32" s="68">
        <v>95.537399999999991</v>
      </c>
      <c r="AO32" s="68">
        <v>100.80410000000001</v>
      </c>
      <c r="AP32" s="68">
        <v>107.5441</v>
      </c>
      <c r="AQ32" s="68">
        <v>115.0292</v>
      </c>
      <c r="AR32" s="68">
        <v>121.33030000000001</v>
      </c>
      <c r="AS32" s="68">
        <v>125.5812</v>
      </c>
      <c r="AT32" s="68">
        <v>131.5882</v>
      </c>
      <c r="AU32" s="68">
        <v>133.30189999999999</v>
      </c>
      <c r="AV32" s="68">
        <v>136.09700000000001</v>
      </c>
      <c r="AW32" s="68">
        <v>139.41629999999998</v>
      </c>
      <c r="AX32" s="68">
        <v>142.1541</v>
      </c>
      <c r="AY32" s="68">
        <v>146.66329999999999</v>
      </c>
      <c r="AZ32" s="68">
        <v>150.7276</v>
      </c>
      <c r="BA32" s="68">
        <v>158.07320000000001</v>
      </c>
      <c r="BB32" s="68">
        <v>163.5736</v>
      </c>
      <c r="BC32" s="68">
        <v>169.73229999999998</v>
      </c>
      <c r="BD32" s="68">
        <v>176.20310000000001</v>
      </c>
      <c r="BE32" s="68">
        <v>182.5361</v>
      </c>
      <c r="BF32" s="68">
        <v>188.03049999999999</v>
      </c>
      <c r="BG32" s="68">
        <v>196.02270000000001</v>
      </c>
      <c r="BH32" s="68">
        <v>206.33199999999999</v>
      </c>
      <c r="BI32" s="68">
        <v>213.63729999999998</v>
      </c>
      <c r="BJ32" s="68">
        <v>219.79</v>
      </c>
      <c r="BK32" s="68">
        <v>220.154</v>
      </c>
      <c r="BL32" s="68">
        <v>224.53899999999999</v>
      </c>
      <c r="BM32" s="68"/>
      <c r="BN32" s="68"/>
    </row>
    <row r="33" spans="1:66" x14ac:dyDescent="0.2">
      <c r="A33" t="s">
        <v>278</v>
      </c>
      <c r="B33" s="80" t="s">
        <v>279</v>
      </c>
      <c r="C33" s="68">
        <v>0.37269999999999998</v>
      </c>
      <c r="D33" s="68">
        <v>0.50460000000000005</v>
      </c>
      <c r="E33" s="68">
        <v>0.59189999999999998</v>
      </c>
      <c r="F33" s="68">
        <v>0.6542</v>
      </c>
      <c r="G33" s="68">
        <v>0.68770000000000009</v>
      </c>
      <c r="H33" s="68">
        <v>0.73450000000000004</v>
      </c>
      <c r="I33" s="68">
        <v>0.84939999999999993</v>
      </c>
      <c r="J33" s="68">
        <v>0.93479999999999996</v>
      </c>
      <c r="K33" s="68">
        <v>1.0109999999999999</v>
      </c>
      <c r="L33" s="68">
        <v>1.1012999999999999</v>
      </c>
      <c r="M33" s="68">
        <v>1.2384000000000002</v>
      </c>
      <c r="N33" s="68">
        <v>1.3362000000000001</v>
      </c>
      <c r="O33" s="68">
        <v>1.4807000000000001</v>
      </c>
      <c r="P33" s="68">
        <v>1.6962999999999999</v>
      </c>
      <c r="Q33" s="68">
        <v>1.9592000000000001</v>
      </c>
      <c r="R33" s="68">
        <v>2.1578000000000004</v>
      </c>
      <c r="S33" s="68">
        <v>2.3889999999999998</v>
      </c>
      <c r="T33" s="68">
        <v>2.5636999999999999</v>
      </c>
      <c r="U33" s="68">
        <v>2.7395</v>
      </c>
      <c r="V33" s="68">
        <v>2.6008</v>
      </c>
      <c r="W33" s="68">
        <v>2.8891</v>
      </c>
      <c r="X33" s="68">
        <v>3.0463</v>
      </c>
      <c r="Y33" s="68">
        <v>3.3820999999999999</v>
      </c>
      <c r="Z33" s="68">
        <v>3.7679</v>
      </c>
      <c r="AA33" s="68">
        <v>4.2206999999999999</v>
      </c>
      <c r="AB33" s="68">
        <v>4.9878999999999998</v>
      </c>
      <c r="AC33" s="68">
        <v>5.9660000000000002</v>
      </c>
      <c r="AD33" s="68">
        <v>7.0963000000000003</v>
      </c>
      <c r="AE33" s="68">
        <v>7.9888000000000003</v>
      </c>
      <c r="AF33" s="68">
        <v>9.4306999999999999</v>
      </c>
      <c r="AG33" s="68">
        <v>10.4405</v>
      </c>
      <c r="AH33" s="68">
        <v>12.069000000000001</v>
      </c>
      <c r="AI33" s="68">
        <v>13.863299999999999</v>
      </c>
      <c r="AJ33" s="68">
        <v>16.146000000000001</v>
      </c>
      <c r="AK33" s="68">
        <v>17.818900000000003</v>
      </c>
      <c r="AL33" s="68">
        <v>19.356400000000001</v>
      </c>
      <c r="AM33" s="68">
        <v>20.8019</v>
      </c>
      <c r="AN33" s="68">
        <v>22.360900000000001</v>
      </c>
      <c r="AO33" s="68">
        <v>22.981000000000002</v>
      </c>
      <c r="AP33" s="68">
        <v>24.1022</v>
      </c>
      <c r="AQ33" s="68">
        <v>24.889400000000002</v>
      </c>
      <c r="AR33" s="68">
        <v>26.288599999999999</v>
      </c>
      <c r="AS33" s="68">
        <v>27.6557</v>
      </c>
      <c r="AT33" s="68">
        <v>29.719099999999997</v>
      </c>
      <c r="AU33" s="68">
        <v>30.848700000000001</v>
      </c>
      <c r="AV33" s="68">
        <v>31.499500000000001</v>
      </c>
      <c r="AW33" s="68">
        <v>32.898499999999999</v>
      </c>
      <c r="AX33" s="68">
        <v>34.854699999999994</v>
      </c>
      <c r="AY33" s="68">
        <v>34.290699999999994</v>
      </c>
      <c r="AZ33" s="68">
        <v>35.344999999999999</v>
      </c>
      <c r="BA33" s="68">
        <v>36.624499999999998</v>
      </c>
      <c r="BB33" s="68">
        <v>38.256699999999995</v>
      </c>
      <c r="BC33" s="68">
        <v>39.469499999999996</v>
      </c>
      <c r="BD33" s="68">
        <v>40.991099999999996</v>
      </c>
      <c r="BE33" s="68">
        <v>42.610500000000002</v>
      </c>
      <c r="BF33" s="68">
        <v>43.887999999999998</v>
      </c>
      <c r="BG33" s="68">
        <v>43.8611</v>
      </c>
      <c r="BH33" s="68">
        <v>42.741</v>
      </c>
      <c r="BI33" s="68">
        <v>44.942039999999999</v>
      </c>
      <c r="BJ33" s="68">
        <v>46.82</v>
      </c>
      <c r="BK33" s="68">
        <v>48.433999999999997</v>
      </c>
      <c r="BL33" s="68">
        <v>50.182000000000002</v>
      </c>
      <c r="BM33" s="68"/>
      <c r="BN33" s="68"/>
    </row>
    <row r="34" spans="1:66" x14ac:dyDescent="0.2">
      <c r="A34" t="s">
        <v>49</v>
      </c>
      <c r="B34" s="80" t="s">
        <v>289</v>
      </c>
      <c r="C34" s="68">
        <v>0.18109999999999998</v>
      </c>
      <c r="D34" s="68">
        <v>0.22109999999999999</v>
      </c>
      <c r="E34" s="68">
        <v>0.27329999999999999</v>
      </c>
      <c r="F34" s="68">
        <v>0.32450000000000001</v>
      </c>
      <c r="G34" s="68">
        <v>0.37389999999999995</v>
      </c>
      <c r="H34" s="68">
        <v>0.40920000000000001</v>
      </c>
      <c r="I34" s="68">
        <v>0.442</v>
      </c>
      <c r="J34" s="68">
        <v>0.495</v>
      </c>
      <c r="K34" s="68">
        <v>0.63760000000000006</v>
      </c>
      <c r="L34" s="68">
        <v>0.79430000000000001</v>
      </c>
      <c r="M34" s="68">
        <v>0.77829999999999999</v>
      </c>
      <c r="N34" s="68">
        <v>0.81359999999999999</v>
      </c>
      <c r="O34" s="68">
        <v>1.0350999999999999</v>
      </c>
      <c r="P34" s="68">
        <v>1.0182</v>
      </c>
      <c r="Q34" s="68">
        <v>1.1332</v>
      </c>
      <c r="R34" s="68">
        <v>1.2832000000000001</v>
      </c>
      <c r="S34" s="68">
        <v>1.3834000000000002</v>
      </c>
      <c r="T34" s="68">
        <v>1.5087000000000002</v>
      </c>
      <c r="U34" s="68">
        <v>1.7705</v>
      </c>
      <c r="V34" s="68">
        <v>2.2475000000000001</v>
      </c>
      <c r="W34" s="68">
        <v>2.9824999999999999</v>
      </c>
      <c r="X34" s="68">
        <v>3.5198</v>
      </c>
      <c r="Y34" s="68">
        <v>4.1619999999999999</v>
      </c>
      <c r="Z34" s="68">
        <v>4.6091999999999995</v>
      </c>
      <c r="AA34" s="68">
        <v>6.3351000000000006</v>
      </c>
      <c r="AB34" s="68">
        <v>10.185</v>
      </c>
      <c r="AC34" s="68">
        <v>10.1534</v>
      </c>
      <c r="AD34" s="68">
        <v>11.9024</v>
      </c>
      <c r="AE34" s="68">
        <v>13.5831</v>
      </c>
      <c r="AF34" s="68">
        <v>13.974</v>
      </c>
      <c r="AG34" s="68">
        <v>17.1175</v>
      </c>
      <c r="AH34" s="68">
        <v>21.209799999999998</v>
      </c>
      <c r="AI34" s="68">
        <v>28.829000000000001</v>
      </c>
      <c r="AJ34" s="68">
        <v>33.705199999999998</v>
      </c>
      <c r="AK34" s="68">
        <v>37.526800000000001</v>
      </c>
      <c r="AL34" s="68">
        <v>41.0182</v>
      </c>
      <c r="AM34" s="68">
        <v>44.968699999999998</v>
      </c>
      <c r="AN34" s="68">
        <v>45.262300000000003</v>
      </c>
      <c r="AO34" s="68">
        <v>46.895099999999999</v>
      </c>
      <c r="AP34" s="68">
        <v>50.858899999999998</v>
      </c>
      <c r="AQ34" s="68">
        <v>59.481499999999997</v>
      </c>
      <c r="AR34" s="68">
        <v>65.44619999999999</v>
      </c>
      <c r="AS34" s="68">
        <v>64.9435</v>
      </c>
      <c r="AT34" s="68">
        <v>65.98360000000001</v>
      </c>
      <c r="AU34" s="68">
        <v>64.434100000000001</v>
      </c>
      <c r="AV34" s="68">
        <v>58.529800000000002</v>
      </c>
      <c r="AW34" s="68">
        <v>57.495599999999996</v>
      </c>
      <c r="AX34" s="68">
        <v>53.883400000000002</v>
      </c>
      <c r="AY34" s="68">
        <v>50.116599999999998</v>
      </c>
      <c r="AZ34" s="68">
        <v>48.028300000000002</v>
      </c>
      <c r="BA34" s="68">
        <v>38.722099999999998</v>
      </c>
      <c r="BB34" s="68">
        <v>45.249000000000002</v>
      </c>
      <c r="BC34" s="68">
        <v>49.75</v>
      </c>
      <c r="BD34" s="68">
        <v>42.604800000000004</v>
      </c>
      <c r="BE34" s="68">
        <v>39.008800000000001</v>
      </c>
      <c r="BF34" s="68">
        <v>37.1004</v>
      </c>
      <c r="BG34" s="68">
        <v>32.403300000000002</v>
      </c>
      <c r="BH34" s="68">
        <v>40.311</v>
      </c>
      <c r="BI34" s="68">
        <v>49.179000000000002</v>
      </c>
      <c r="BJ34" s="68">
        <v>57.052999999999997</v>
      </c>
      <c r="BK34" s="68">
        <v>39.646000000000001</v>
      </c>
      <c r="BL34" s="68">
        <v>31.28</v>
      </c>
      <c r="BM34" s="68"/>
      <c r="BN34" s="68"/>
    </row>
    <row r="35" spans="1:66" x14ac:dyDescent="0.2">
      <c r="A35" t="s">
        <v>50</v>
      </c>
      <c r="B35" s="80" t="s">
        <v>290</v>
      </c>
      <c r="C35" s="68">
        <v>0.3493</v>
      </c>
      <c r="D35" s="68">
        <v>0.40489999999999998</v>
      </c>
      <c r="E35" s="68">
        <v>0.52190000000000003</v>
      </c>
      <c r="F35" s="68">
        <v>0.61360000000000003</v>
      </c>
      <c r="G35" s="68">
        <v>0.64890000000000003</v>
      </c>
      <c r="H35" s="68">
        <v>0.67710000000000004</v>
      </c>
      <c r="I35" s="68">
        <v>0.70179999999999998</v>
      </c>
      <c r="J35" s="68">
        <v>0.7671</v>
      </c>
      <c r="K35" s="68">
        <v>0.82840000000000003</v>
      </c>
      <c r="L35" s="68">
        <v>0.82989999999999997</v>
      </c>
      <c r="M35" s="68">
        <v>0.878</v>
      </c>
      <c r="N35" s="68">
        <v>1.0085</v>
      </c>
      <c r="O35" s="68">
        <v>1.0694000000000001</v>
      </c>
      <c r="P35" s="68">
        <v>1.2004999999999999</v>
      </c>
      <c r="Q35" s="68">
        <v>1.2725</v>
      </c>
      <c r="R35" s="68">
        <v>1.3089000000000002</v>
      </c>
      <c r="S35" s="68">
        <v>1.3874000000000002</v>
      </c>
      <c r="T35" s="68">
        <v>1.4670999999999998</v>
      </c>
      <c r="U35" s="68">
        <v>1.6259999999999999</v>
      </c>
      <c r="V35" s="68">
        <v>1.6302000000000001</v>
      </c>
      <c r="W35" s="68">
        <v>1.8203</v>
      </c>
      <c r="X35" s="68">
        <v>2.0289999999999999</v>
      </c>
      <c r="Y35" s="68">
        <v>2.2679</v>
      </c>
      <c r="Z35" s="68">
        <v>2.6453000000000002</v>
      </c>
      <c r="AA35" s="68">
        <v>2.609</v>
      </c>
      <c r="AB35" s="68">
        <v>3.4030999999999998</v>
      </c>
      <c r="AC35" s="68">
        <v>3.4762</v>
      </c>
      <c r="AD35" s="68">
        <v>3.6650999999999998</v>
      </c>
      <c r="AE35" s="68">
        <v>4.1029</v>
      </c>
      <c r="AF35" s="68">
        <v>4.4116</v>
      </c>
      <c r="AG35" s="68">
        <v>5.4463999999999997</v>
      </c>
      <c r="AH35" s="68">
        <v>6.3304</v>
      </c>
      <c r="AI35" s="68">
        <v>7.7839999999999998</v>
      </c>
      <c r="AJ35" s="68">
        <v>7.0681000000000003</v>
      </c>
      <c r="AK35" s="68">
        <v>8.2849000000000004</v>
      </c>
      <c r="AL35" s="68">
        <v>9.186399999999999</v>
      </c>
      <c r="AM35" s="68">
        <v>10.089</v>
      </c>
      <c r="AN35" s="68">
        <v>10.3619</v>
      </c>
      <c r="AO35" s="68">
        <v>13.7364</v>
      </c>
      <c r="AP35" s="68">
        <v>13.0769</v>
      </c>
      <c r="AQ35" s="68">
        <v>15.957100000000001</v>
      </c>
      <c r="AR35" s="68">
        <v>16.0425</v>
      </c>
      <c r="AS35" s="68">
        <v>18.860299999999999</v>
      </c>
      <c r="AT35" s="68">
        <v>18.9024</v>
      </c>
      <c r="AU35" s="68">
        <v>21.267099999999999</v>
      </c>
      <c r="AV35" s="68">
        <v>23.172999999999998</v>
      </c>
      <c r="AW35" s="68">
        <v>26.2516</v>
      </c>
      <c r="AX35" s="68">
        <v>27.544400000000003</v>
      </c>
      <c r="AY35" s="68">
        <v>30.470299999999998</v>
      </c>
      <c r="AZ35" s="68">
        <v>32.527500000000003</v>
      </c>
      <c r="BA35" s="68">
        <v>32.8125</v>
      </c>
      <c r="BB35" s="68">
        <v>35.5336</v>
      </c>
      <c r="BC35" s="68">
        <v>38.443800000000003</v>
      </c>
      <c r="BD35" s="68">
        <v>41.733199999999997</v>
      </c>
      <c r="BE35" s="68">
        <v>45.332300000000004</v>
      </c>
      <c r="BF35" s="68">
        <v>54.188499999999998</v>
      </c>
      <c r="BG35" s="68">
        <v>59.343800000000002</v>
      </c>
      <c r="BH35" s="68">
        <v>59.796999999999997</v>
      </c>
      <c r="BI35" s="68">
        <v>65.215999999999994</v>
      </c>
      <c r="BJ35" s="68">
        <v>68.977000000000004</v>
      </c>
      <c r="BK35" s="68">
        <v>68.019000000000005</v>
      </c>
      <c r="BL35" s="68">
        <v>66.055999999999997</v>
      </c>
      <c r="BM35" s="98"/>
      <c r="BN35" s="68"/>
    </row>
    <row r="36" spans="1:66" x14ac:dyDescent="0.2">
      <c r="A36" t="s">
        <v>291</v>
      </c>
      <c r="B36" s="80" t="s">
        <v>292</v>
      </c>
      <c r="C36" s="68">
        <v>0</v>
      </c>
      <c r="D36" s="68">
        <v>0</v>
      </c>
      <c r="E36" s="68">
        <v>0</v>
      </c>
      <c r="F36" s="68">
        <v>0</v>
      </c>
      <c r="G36" s="68">
        <v>0</v>
      </c>
      <c r="H36" s="68">
        <v>0</v>
      </c>
      <c r="I36" s="68">
        <v>0</v>
      </c>
      <c r="J36" s="68">
        <v>0</v>
      </c>
      <c r="K36" s="68">
        <v>0</v>
      </c>
      <c r="L36" s="68">
        <v>0</v>
      </c>
      <c r="M36" s="68">
        <v>0</v>
      </c>
      <c r="N36" s="68">
        <v>0</v>
      </c>
      <c r="O36" s="68">
        <v>0</v>
      </c>
      <c r="P36" s="68">
        <v>0</v>
      </c>
      <c r="Q36" s="68">
        <v>0</v>
      </c>
      <c r="R36" s="68">
        <v>0</v>
      </c>
      <c r="S36" s="68">
        <v>0</v>
      </c>
      <c r="T36" s="68">
        <v>0</v>
      </c>
      <c r="U36" s="68">
        <v>0</v>
      </c>
      <c r="V36" s="68">
        <v>0</v>
      </c>
      <c r="W36" s="68">
        <v>0</v>
      </c>
      <c r="X36" s="68">
        <v>0</v>
      </c>
      <c r="Y36" s="68">
        <v>0</v>
      </c>
      <c r="Z36" s="68">
        <v>0</v>
      </c>
      <c r="AA36" s="68">
        <v>0</v>
      </c>
      <c r="AB36" s="68">
        <v>0</v>
      </c>
      <c r="AC36" s="68">
        <v>0</v>
      </c>
      <c r="AD36" s="68">
        <v>0</v>
      </c>
      <c r="AE36" s="68">
        <v>0</v>
      </c>
      <c r="AF36" s="68">
        <v>0</v>
      </c>
      <c r="AG36" s="68">
        <v>0</v>
      </c>
      <c r="AH36" s="68">
        <v>0</v>
      </c>
      <c r="AI36" s="68">
        <v>0</v>
      </c>
      <c r="AJ36" s="68">
        <v>0</v>
      </c>
      <c r="AK36" s="68">
        <v>0</v>
      </c>
      <c r="AL36" s="68">
        <v>0</v>
      </c>
      <c r="AM36" s="68">
        <v>0</v>
      </c>
      <c r="AN36" s="68">
        <v>0</v>
      </c>
      <c r="AO36" s="68">
        <v>0</v>
      </c>
      <c r="AP36" s="68">
        <v>0</v>
      </c>
      <c r="AQ36" s="68">
        <v>0</v>
      </c>
      <c r="AR36" s="68">
        <v>0</v>
      </c>
      <c r="AS36" s="68">
        <v>0</v>
      </c>
      <c r="AT36" s="68">
        <v>0</v>
      </c>
      <c r="AU36" s="68">
        <v>8.6156000000000006</v>
      </c>
      <c r="AV36" s="68">
        <v>10.513200000000001</v>
      </c>
      <c r="AW36" s="68">
        <v>13.632</v>
      </c>
      <c r="AX36" s="68">
        <v>14.9566</v>
      </c>
      <c r="AY36" s="68">
        <v>17.899900000000002</v>
      </c>
      <c r="AZ36" s="68">
        <v>19.580400000000001</v>
      </c>
      <c r="BA36" s="68">
        <v>19.150400000000001</v>
      </c>
      <c r="BB36" s="68">
        <v>20.4145</v>
      </c>
      <c r="BC36" s="68">
        <v>22.759799999999998</v>
      </c>
      <c r="BD36" s="68">
        <v>26.3127</v>
      </c>
      <c r="BE36" s="68">
        <v>27.997400000000003</v>
      </c>
      <c r="BF36" s="68">
        <v>34.856000000000002</v>
      </c>
      <c r="BG36" s="68">
        <v>39.5989</v>
      </c>
      <c r="BH36" s="68">
        <v>38.779000000000003</v>
      </c>
      <c r="BI36" s="68">
        <v>42.618000000000002</v>
      </c>
      <c r="BJ36" s="68">
        <v>44.481000000000002</v>
      </c>
      <c r="BK36" s="68">
        <v>43.283999999999999</v>
      </c>
      <c r="BL36" s="68">
        <v>41.055999999999997</v>
      </c>
      <c r="BM36" s="68"/>
      <c r="BN36" s="68"/>
    </row>
    <row r="37" spans="1:66" x14ac:dyDescent="0.2">
      <c r="A37" t="s">
        <v>293</v>
      </c>
      <c r="B37" s="80" t="s">
        <v>294</v>
      </c>
      <c r="C37" s="68">
        <v>0</v>
      </c>
      <c r="D37" s="68">
        <v>0</v>
      </c>
      <c r="E37" s="68">
        <v>0</v>
      </c>
      <c r="F37" s="68">
        <v>0</v>
      </c>
      <c r="G37" s="68">
        <v>0</v>
      </c>
      <c r="H37" s="68">
        <v>0</v>
      </c>
      <c r="I37" s="68">
        <v>0</v>
      </c>
      <c r="J37" s="68">
        <v>0</v>
      </c>
      <c r="K37" s="68">
        <v>0</v>
      </c>
      <c r="L37" s="68">
        <v>0</v>
      </c>
      <c r="M37" s="68">
        <v>0</v>
      </c>
      <c r="N37" s="68">
        <v>0</v>
      </c>
      <c r="O37" s="68">
        <v>0</v>
      </c>
      <c r="P37" s="68">
        <v>0</v>
      </c>
      <c r="Q37" s="68">
        <v>0</v>
      </c>
      <c r="R37" s="68">
        <v>0</v>
      </c>
      <c r="S37" s="68">
        <v>0</v>
      </c>
      <c r="T37" s="68">
        <v>0</v>
      </c>
      <c r="U37" s="68">
        <v>0</v>
      </c>
      <c r="V37" s="68">
        <v>0</v>
      </c>
      <c r="W37" s="68">
        <v>0</v>
      </c>
      <c r="X37" s="68">
        <v>0</v>
      </c>
      <c r="Y37" s="68">
        <v>0</v>
      </c>
      <c r="Z37" s="68">
        <v>0</v>
      </c>
      <c r="AA37" s="68">
        <v>0</v>
      </c>
      <c r="AB37" s="68">
        <v>0</v>
      </c>
      <c r="AC37" s="68">
        <v>0</v>
      </c>
      <c r="AD37" s="68">
        <v>0</v>
      </c>
      <c r="AE37" s="68">
        <v>0</v>
      </c>
      <c r="AF37" s="68">
        <v>0</v>
      </c>
      <c r="AG37" s="68">
        <v>0</v>
      </c>
      <c r="AH37" s="68">
        <v>0</v>
      </c>
      <c r="AI37" s="68">
        <v>0</v>
      </c>
      <c r="AJ37" s="68">
        <v>0</v>
      </c>
      <c r="AK37" s="68">
        <v>0</v>
      </c>
      <c r="AL37" s="68">
        <v>0</v>
      </c>
      <c r="AM37" s="68">
        <v>0</v>
      </c>
      <c r="AN37" s="68">
        <v>0</v>
      </c>
      <c r="AO37" s="68">
        <v>0</v>
      </c>
      <c r="AP37" s="68">
        <v>0</v>
      </c>
      <c r="AQ37" s="68">
        <v>0</v>
      </c>
      <c r="AR37" s="68">
        <v>0</v>
      </c>
      <c r="AS37" s="68">
        <v>0</v>
      </c>
      <c r="AT37" s="68">
        <v>0</v>
      </c>
      <c r="AU37" s="68">
        <v>0</v>
      </c>
      <c r="AV37" s="68">
        <v>0</v>
      </c>
      <c r="AW37" s="68">
        <v>0</v>
      </c>
      <c r="AX37" s="68">
        <v>0</v>
      </c>
      <c r="AY37" s="68">
        <v>0</v>
      </c>
      <c r="AZ37" s="68">
        <v>0</v>
      </c>
      <c r="BA37" s="68">
        <v>0</v>
      </c>
      <c r="BB37" s="68">
        <v>0</v>
      </c>
      <c r="BC37" s="68">
        <v>0</v>
      </c>
      <c r="BD37" s="68">
        <v>0</v>
      </c>
      <c r="BE37" s="68">
        <v>0</v>
      </c>
      <c r="BF37" s="68">
        <v>0</v>
      </c>
      <c r="BG37" s="68">
        <v>0</v>
      </c>
      <c r="BH37" s="68">
        <v>21.018000000000001</v>
      </c>
      <c r="BI37" s="68">
        <v>22.597999999999999</v>
      </c>
      <c r="BJ37" s="68">
        <v>24.495999999999999</v>
      </c>
      <c r="BK37" s="68">
        <v>24.734999999999999</v>
      </c>
      <c r="BL37" s="68">
        <v>25</v>
      </c>
      <c r="BM37" s="68"/>
      <c r="BN37" s="68"/>
    </row>
    <row r="38" spans="1:66" x14ac:dyDescent="0.2">
      <c r="A38" t="s">
        <v>52</v>
      </c>
      <c r="B38" s="80" t="s">
        <v>295</v>
      </c>
      <c r="C38" s="68">
        <v>7.0000000000000001E-3</v>
      </c>
      <c r="D38" s="68">
        <v>8.5000000000000006E-3</v>
      </c>
      <c r="E38" s="68">
        <v>1.0199999999999999E-2</v>
      </c>
      <c r="F38" s="68">
        <v>1.2999999999999999E-2</v>
      </c>
      <c r="G38" s="68">
        <v>1.6899999999999998E-2</v>
      </c>
      <c r="H38" s="68">
        <v>2.23E-2</v>
      </c>
      <c r="I38" s="68">
        <v>2.75E-2</v>
      </c>
      <c r="J38" s="68">
        <v>3.2299999999999995E-2</v>
      </c>
      <c r="K38" s="68">
        <v>3.8299999999999994E-2</v>
      </c>
      <c r="L38" s="68">
        <v>4.6700000000000005E-2</v>
      </c>
      <c r="M38" s="68">
        <v>5.3899999999999997E-2</v>
      </c>
      <c r="N38" s="68">
        <v>7.8099999999999989E-2</v>
      </c>
      <c r="O38" s="68">
        <v>9.2999999999999999E-2</v>
      </c>
      <c r="P38" s="68">
        <v>0.1245</v>
      </c>
      <c r="Q38" s="68">
        <v>0.15619999999999998</v>
      </c>
      <c r="R38" s="68">
        <v>0.18590000000000001</v>
      </c>
      <c r="S38" s="68">
        <v>0.21940000000000001</v>
      </c>
      <c r="T38" s="68">
        <v>0.24719999999999998</v>
      </c>
      <c r="U38" s="68">
        <v>0.29930000000000001</v>
      </c>
      <c r="V38" s="68">
        <v>0.3513</v>
      </c>
      <c r="W38" s="68">
        <v>0.39779999999999999</v>
      </c>
      <c r="X38" s="68">
        <v>0.4703</v>
      </c>
      <c r="Y38" s="68">
        <v>0.5595</v>
      </c>
      <c r="Z38" s="68">
        <v>0.63579999999999992</v>
      </c>
      <c r="AA38" s="68">
        <v>0.75290000000000001</v>
      </c>
      <c r="AB38" s="68">
        <v>0.88860000000000006</v>
      </c>
      <c r="AC38" s="68">
        <v>1.0429000000000002</v>
      </c>
      <c r="AD38" s="68">
        <v>1.2269000000000001</v>
      </c>
      <c r="AE38" s="68">
        <v>1.3774999999999999</v>
      </c>
      <c r="AF38" s="68">
        <v>1.5791999999999999</v>
      </c>
      <c r="AG38" s="68">
        <v>1.8669</v>
      </c>
      <c r="AH38" s="68">
        <v>2.3740000000000001</v>
      </c>
      <c r="AI38" s="68">
        <v>2.9889999999999999</v>
      </c>
      <c r="AJ38" s="68">
        <v>3.7071999999999998</v>
      </c>
      <c r="AK38" s="68">
        <v>4.4821</v>
      </c>
      <c r="AL38" s="68">
        <v>5.1535000000000002</v>
      </c>
      <c r="AM38" s="68">
        <v>5.9378000000000002</v>
      </c>
      <c r="AN38" s="68">
        <v>6.5431999999999997</v>
      </c>
      <c r="AO38" s="68">
        <v>7.1673</v>
      </c>
      <c r="AP38" s="68">
        <v>8.3817000000000004</v>
      </c>
      <c r="AQ38" s="68">
        <v>10.1854</v>
      </c>
      <c r="AR38" s="68">
        <v>12.016999999999999</v>
      </c>
      <c r="AS38" s="68">
        <v>13.988700000000001</v>
      </c>
      <c r="AT38" s="68">
        <v>16.784599999999998</v>
      </c>
      <c r="AU38" s="68">
        <v>18.9481</v>
      </c>
      <c r="AV38" s="68">
        <v>19.6433</v>
      </c>
      <c r="AW38" s="68">
        <v>22.9405</v>
      </c>
      <c r="AX38" s="68">
        <v>25.005599999999998</v>
      </c>
      <c r="AY38" s="68">
        <v>27.770900000000001</v>
      </c>
      <c r="AZ38" s="68">
        <v>29.7652</v>
      </c>
      <c r="BA38" s="68">
        <v>30.699300000000001</v>
      </c>
      <c r="BB38" s="68">
        <v>31.7746</v>
      </c>
      <c r="BC38" s="68">
        <v>32.882400000000004</v>
      </c>
      <c r="BD38" s="68">
        <v>34.448599999999999</v>
      </c>
      <c r="BE38" s="68">
        <v>35.510300000000001</v>
      </c>
      <c r="BF38" s="68">
        <v>37.003099999999996</v>
      </c>
      <c r="BG38" s="68">
        <v>38.302</v>
      </c>
      <c r="BH38" s="68">
        <v>41.973999999999997</v>
      </c>
      <c r="BI38" s="68">
        <v>44.640999999999998</v>
      </c>
      <c r="BJ38" s="68">
        <v>46.473999999999997</v>
      </c>
      <c r="BK38" s="68">
        <v>45.534999999999997</v>
      </c>
      <c r="BL38" s="68">
        <v>47.674999999999997</v>
      </c>
      <c r="BM38" s="68"/>
      <c r="BN38" s="68"/>
    </row>
    <row r="39" spans="1:66" x14ac:dyDescent="0.2">
      <c r="A39" t="s">
        <v>53</v>
      </c>
      <c r="B39" s="80" t="s">
        <v>296</v>
      </c>
      <c r="C39" s="68">
        <v>0.1201</v>
      </c>
      <c r="D39" s="68">
        <v>0.127</v>
      </c>
      <c r="E39" s="68">
        <v>0.1447</v>
      </c>
      <c r="F39" s="68">
        <v>0.1641</v>
      </c>
      <c r="G39" s="68">
        <v>0.1671</v>
      </c>
      <c r="H39" s="68">
        <v>0.17150000000000001</v>
      </c>
      <c r="I39" s="68">
        <v>0.17469999999999999</v>
      </c>
      <c r="J39" s="68">
        <v>0.18099999999999999</v>
      </c>
      <c r="K39" s="68">
        <v>0.1895</v>
      </c>
      <c r="L39" s="68">
        <v>0.20610000000000001</v>
      </c>
      <c r="M39" s="68">
        <v>0.21330000000000002</v>
      </c>
      <c r="N39" s="68">
        <v>0.23710000000000001</v>
      </c>
      <c r="O39" s="68">
        <v>0.2495</v>
      </c>
      <c r="P39" s="68">
        <v>0.27179999999999999</v>
      </c>
      <c r="Q39" s="68">
        <v>0.2923</v>
      </c>
      <c r="R39" s="68">
        <v>0.307</v>
      </c>
      <c r="S39" s="68">
        <v>0.31830000000000003</v>
      </c>
      <c r="T39" s="68">
        <v>0.33829999999999999</v>
      </c>
      <c r="U39" s="68">
        <v>0.34739999999999999</v>
      </c>
      <c r="V39" s="68">
        <v>0.38380000000000003</v>
      </c>
      <c r="W39" s="68">
        <v>0.4108</v>
      </c>
      <c r="X39" s="68">
        <v>0.45219999999999999</v>
      </c>
      <c r="Y39" s="68">
        <v>0.5</v>
      </c>
      <c r="Z39" s="68">
        <v>0.52479999999999993</v>
      </c>
      <c r="AA39" s="68">
        <v>0.58289999999999997</v>
      </c>
      <c r="AB39" s="68">
        <v>0.65900000000000003</v>
      </c>
      <c r="AC39" s="68">
        <v>0.72029999999999994</v>
      </c>
      <c r="AD39" s="68">
        <v>0.7581</v>
      </c>
      <c r="AE39" s="68">
        <v>0.78210000000000002</v>
      </c>
      <c r="AF39" s="68">
        <v>0.84729999999999994</v>
      </c>
      <c r="AG39" s="68">
        <v>0.88479999999999992</v>
      </c>
      <c r="AH39" s="68">
        <v>0.93910000000000005</v>
      </c>
      <c r="AI39" s="68">
        <v>1.0252000000000001</v>
      </c>
      <c r="AJ39" s="68">
        <v>1.2082999999999999</v>
      </c>
      <c r="AK39" s="68">
        <v>1.2294</v>
      </c>
      <c r="AL39" s="68">
        <v>1.2074</v>
      </c>
      <c r="AM39" s="68">
        <v>1.2130999999999998</v>
      </c>
      <c r="AN39" s="68">
        <v>1.2470999999999999</v>
      </c>
      <c r="AO39" s="68">
        <v>1.2694000000000001</v>
      </c>
      <c r="AP39" s="68">
        <v>1.3072000000000001</v>
      </c>
      <c r="AQ39" s="68">
        <v>1.4673</v>
      </c>
      <c r="AR39" s="68">
        <v>1.5349000000000002</v>
      </c>
      <c r="AS39" s="68">
        <v>1.4661999999999999</v>
      </c>
      <c r="AT39" s="68">
        <v>1.5009999999999999</v>
      </c>
      <c r="AU39" s="68">
        <v>1.6364000000000001</v>
      </c>
      <c r="AV39" s="68">
        <v>1.7089000000000001</v>
      </c>
      <c r="AW39" s="68">
        <v>1.7752000000000001</v>
      </c>
      <c r="AX39" s="68">
        <v>1.9060999999999999</v>
      </c>
      <c r="AY39" s="68">
        <v>2.0094000000000003</v>
      </c>
      <c r="AZ39" s="68">
        <v>2.1231999999999998</v>
      </c>
      <c r="BA39" s="68">
        <v>2.222</v>
      </c>
      <c r="BB39" s="68">
        <v>2.2376999999999998</v>
      </c>
      <c r="BC39" s="68">
        <v>2.2653000000000003</v>
      </c>
      <c r="BD39" s="68">
        <v>2.2795999999999998</v>
      </c>
      <c r="BE39" s="68">
        <v>2.2511000000000001</v>
      </c>
      <c r="BF39" s="68">
        <v>2.2016</v>
      </c>
      <c r="BG39" s="68">
        <v>2.1560999999999999</v>
      </c>
      <c r="BH39" s="68">
        <v>2.1160000000000001</v>
      </c>
      <c r="BI39" s="68">
        <v>2.16</v>
      </c>
      <c r="BJ39" s="68">
        <v>2.2789999999999999</v>
      </c>
      <c r="BK39" s="68">
        <v>2.3639999999999999</v>
      </c>
      <c r="BL39" s="68">
        <v>2.3639999999999999</v>
      </c>
      <c r="BM39" s="68"/>
      <c r="BN39" s="68"/>
    </row>
    <row r="40" spans="1:66" x14ac:dyDescent="0.2">
      <c r="A40" t="s">
        <v>268</v>
      </c>
      <c r="B40" s="80" t="s">
        <v>6</v>
      </c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  <c r="BJ40" s="68"/>
      <c r="BK40" s="68"/>
      <c r="BL40" s="68"/>
      <c r="BM40" s="68"/>
      <c r="BN40" s="68"/>
    </row>
    <row r="41" spans="1:66" x14ac:dyDescent="0.2">
      <c r="A41" t="s">
        <v>49</v>
      </c>
      <c r="B41" s="80" t="s">
        <v>289</v>
      </c>
      <c r="C41" s="68">
        <v>5.5500000000000001E-2</v>
      </c>
      <c r="D41" s="68">
        <v>6.88E-2</v>
      </c>
      <c r="E41" s="68">
        <v>8.3000000000000004E-2</v>
      </c>
      <c r="F41" s="68">
        <v>0.10790000000000001</v>
      </c>
      <c r="G41" s="68">
        <v>0.1191</v>
      </c>
      <c r="H41" s="68">
        <v>0.11899999999999999</v>
      </c>
      <c r="I41" s="68">
        <v>0.1207</v>
      </c>
      <c r="J41" s="68">
        <v>0.13869999999999999</v>
      </c>
      <c r="K41" s="68">
        <v>0.16639999999999999</v>
      </c>
      <c r="L41" s="68">
        <v>0.1973</v>
      </c>
      <c r="M41" s="68">
        <v>0.17809999999999998</v>
      </c>
      <c r="N41" s="68">
        <v>0.1721</v>
      </c>
      <c r="O41" s="68">
        <v>0.34329999999999999</v>
      </c>
      <c r="P41" s="68">
        <v>0.12670000000000001</v>
      </c>
      <c r="Q41" s="68">
        <v>0.2702</v>
      </c>
      <c r="R41" s="68">
        <v>0.34210000000000002</v>
      </c>
      <c r="S41" s="68">
        <v>0.37730000000000002</v>
      </c>
      <c r="T41" s="68">
        <v>0.44080000000000003</v>
      </c>
      <c r="U41" s="68">
        <v>0.51260000000000006</v>
      </c>
      <c r="V41" s="68">
        <v>0.66010000000000002</v>
      </c>
      <c r="W41" s="68">
        <v>0.9849</v>
      </c>
      <c r="X41" s="68">
        <v>1.1668000000000001</v>
      </c>
      <c r="Y41" s="68">
        <v>1.2575999999999998</v>
      </c>
      <c r="Z41" s="68">
        <v>1.5689000000000002</v>
      </c>
      <c r="AA41" s="68">
        <v>2.4706999999999999</v>
      </c>
      <c r="AB41" s="68">
        <v>4.3487999999999998</v>
      </c>
      <c r="AC41" s="68">
        <v>3.4828999999999999</v>
      </c>
      <c r="AD41" s="68">
        <v>4.4378000000000002</v>
      </c>
      <c r="AE41" s="68">
        <v>5.7504999999999997</v>
      </c>
      <c r="AF41" s="68">
        <v>5.9836</v>
      </c>
      <c r="AG41" s="68">
        <v>7.5395000000000003</v>
      </c>
      <c r="AH41" s="68">
        <v>10.311999999999999</v>
      </c>
      <c r="AI41" s="68">
        <v>12.8901</v>
      </c>
      <c r="AJ41" s="68">
        <v>15.565899999999999</v>
      </c>
      <c r="AK41" s="68">
        <v>17.2224</v>
      </c>
      <c r="AL41" s="68">
        <v>18.896599999999999</v>
      </c>
      <c r="AM41" s="68">
        <v>20.5106</v>
      </c>
      <c r="AN41" s="68">
        <v>19.985900000000001</v>
      </c>
      <c r="AO41" s="68">
        <v>21.141299999999998</v>
      </c>
      <c r="AP41" s="68">
        <v>23.723800000000001</v>
      </c>
      <c r="AQ41" s="68">
        <v>26.950599999999998</v>
      </c>
      <c r="AR41" s="68">
        <v>29.788900000000002</v>
      </c>
      <c r="AS41" s="68">
        <v>28.662400000000002</v>
      </c>
      <c r="AT41" s="68">
        <v>29.1754</v>
      </c>
      <c r="AU41" s="68">
        <v>27.878299999999999</v>
      </c>
      <c r="AV41" s="68">
        <v>26.374700000000001</v>
      </c>
      <c r="AW41" s="68">
        <v>25.192599999999999</v>
      </c>
      <c r="AX41" s="68">
        <v>23.797000000000001</v>
      </c>
      <c r="AY41" s="68">
        <v>23.451499999999999</v>
      </c>
      <c r="AZ41" s="68">
        <v>21.450800000000001</v>
      </c>
      <c r="BA41" s="68">
        <v>17.143900000000002</v>
      </c>
      <c r="BB41" s="68">
        <v>20.443900000000003</v>
      </c>
      <c r="BC41" s="68">
        <v>25.382900000000003</v>
      </c>
      <c r="BD41" s="68">
        <v>22.0595</v>
      </c>
      <c r="BE41" s="68">
        <v>19.5566</v>
      </c>
      <c r="BF41" s="68">
        <v>20.179200000000002</v>
      </c>
      <c r="BG41" s="68">
        <v>21.055400000000002</v>
      </c>
      <c r="BH41" s="68">
        <v>26.66</v>
      </c>
      <c r="BI41" s="68">
        <v>36.542999999999999</v>
      </c>
      <c r="BJ41" s="68">
        <v>45.82</v>
      </c>
      <c r="BK41" s="68">
        <v>28.783000000000001</v>
      </c>
      <c r="BL41" s="68">
        <v>20.741</v>
      </c>
      <c r="BM41" s="68"/>
      <c r="BN41" s="68"/>
    </row>
    <row r="42" spans="1:66" x14ac:dyDescent="0.2">
      <c r="A42" t="s">
        <v>53</v>
      </c>
      <c r="B42" s="80" t="s">
        <v>296</v>
      </c>
      <c r="C42" s="68">
        <v>0.1183</v>
      </c>
      <c r="D42" s="68">
        <v>0.12559999999999999</v>
      </c>
      <c r="E42" s="68">
        <v>0.14330000000000001</v>
      </c>
      <c r="F42" s="68">
        <v>0.16300000000000001</v>
      </c>
      <c r="G42" s="68">
        <v>0.1648</v>
      </c>
      <c r="H42" s="68">
        <v>0.16719999999999999</v>
      </c>
      <c r="I42" s="68">
        <v>0.16969999999999999</v>
      </c>
      <c r="J42" s="68">
        <v>0.17630000000000001</v>
      </c>
      <c r="K42" s="68">
        <v>0.18030000000000002</v>
      </c>
      <c r="L42" s="68">
        <v>0.1946</v>
      </c>
      <c r="M42" s="68">
        <v>0.20580000000000001</v>
      </c>
      <c r="N42" s="68">
        <v>0.22009999999999999</v>
      </c>
      <c r="O42" s="68">
        <v>0.23069999999999999</v>
      </c>
      <c r="P42" s="68">
        <v>0.24869999999999998</v>
      </c>
      <c r="Q42" s="68">
        <v>0.26139999999999997</v>
      </c>
      <c r="R42" s="68">
        <v>0.27400000000000002</v>
      </c>
      <c r="S42" s="68">
        <v>0.28499999999999998</v>
      </c>
      <c r="T42" s="68">
        <v>0.3</v>
      </c>
      <c r="U42" s="68">
        <v>0.32330000000000003</v>
      </c>
      <c r="V42" s="68">
        <v>0.3347</v>
      </c>
      <c r="W42" s="68">
        <v>0.35869999999999996</v>
      </c>
      <c r="X42" s="68">
        <v>0.37060000000000004</v>
      </c>
      <c r="Y42" s="68">
        <v>0.4153</v>
      </c>
      <c r="Z42" s="68">
        <v>0.43230000000000002</v>
      </c>
      <c r="AA42" s="68">
        <v>0.47020000000000001</v>
      </c>
      <c r="AB42" s="68">
        <v>0.52600000000000002</v>
      </c>
      <c r="AC42" s="68">
        <v>0.58589999999999998</v>
      </c>
      <c r="AD42" s="68">
        <v>0.60639999999999994</v>
      </c>
      <c r="AE42" s="68">
        <v>0.65170000000000006</v>
      </c>
      <c r="AF42" s="68">
        <v>0.68189999999999995</v>
      </c>
      <c r="AG42" s="68">
        <v>0.71299999999999997</v>
      </c>
      <c r="AH42" s="68">
        <v>0.76949999999999996</v>
      </c>
      <c r="AI42" s="68">
        <v>0.89939999999999998</v>
      </c>
      <c r="AJ42" s="68">
        <v>1.1384000000000001</v>
      </c>
      <c r="AK42" s="68">
        <v>1.2087999999999999</v>
      </c>
      <c r="AL42" s="68">
        <v>1.1725000000000001</v>
      </c>
      <c r="AM42" s="68">
        <v>1.2161999999999999</v>
      </c>
      <c r="AN42" s="68">
        <v>1.1998</v>
      </c>
      <c r="AO42" s="68">
        <v>1.1610999999999998</v>
      </c>
      <c r="AP42" s="68">
        <v>1.2133</v>
      </c>
      <c r="AQ42" s="68">
        <v>1.3574999999999999</v>
      </c>
      <c r="AR42" s="68">
        <v>1.3939000000000001</v>
      </c>
      <c r="AS42" s="68">
        <v>1.3662000000000001</v>
      </c>
      <c r="AT42" s="68">
        <v>1.4122000000000001</v>
      </c>
      <c r="AU42" s="68">
        <v>1.5029999999999999</v>
      </c>
      <c r="AV42" s="68">
        <v>1.5380999999999998</v>
      </c>
      <c r="AW42" s="68">
        <v>1.5189000000000001</v>
      </c>
      <c r="AX42" s="68">
        <v>1.5992</v>
      </c>
      <c r="AY42" s="68">
        <v>1.5012999999999999</v>
      </c>
      <c r="AZ42" s="68">
        <v>1.6291</v>
      </c>
      <c r="BA42" s="68">
        <v>1.6927999999999999</v>
      </c>
      <c r="BB42" s="68">
        <v>1.6799000000000002</v>
      </c>
      <c r="BC42" s="68">
        <v>1.6815</v>
      </c>
      <c r="BD42" s="68">
        <v>1.3785999999999998</v>
      </c>
      <c r="BE42" s="68">
        <v>1.4031</v>
      </c>
      <c r="BF42" s="68">
        <v>1.3480000000000001</v>
      </c>
      <c r="BG42" s="68">
        <v>1.2867</v>
      </c>
      <c r="BH42" s="68">
        <v>1.2290000000000001</v>
      </c>
      <c r="BI42" s="68">
        <v>1.2430000000000001</v>
      </c>
      <c r="BJ42" s="68">
        <v>1.2949999999999999</v>
      </c>
      <c r="BK42" s="68">
        <v>1.323</v>
      </c>
      <c r="BL42" s="68">
        <v>1.341</v>
      </c>
      <c r="BM42" s="68"/>
      <c r="BN42" s="68"/>
    </row>
    <row r="43" spans="1:66" x14ac:dyDescent="0.2">
      <c r="A43" t="s">
        <v>297</v>
      </c>
      <c r="B43" s="80" t="s">
        <v>298</v>
      </c>
      <c r="C43" s="68">
        <v>10.2179</v>
      </c>
      <c r="D43" s="68">
        <v>11.7141</v>
      </c>
      <c r="E43" s="68">
        <v>14.625399999999999</v>
      </c>
      <c r="F43" s="68">
        <v>17.169599999999999</v>
      </c>
      <c r="G43" s="68">
        <v>17.706499999999998</v>
      </c>
      <c r="H43" s="68">
        <v>18.9816</v>
      </c>
      <c r="I43" s="68">
        <v>20.404400000000003</v>
      </c>
      <c r="J43" s="68">
        <v>22.528200000000002</v>
      </c>
      <c r="K43" s="68">
        <v>25.237599999999997</v>
      </c>
      <c r="L43" s="68">
        <v>28.905099999999997</v>
      </c>
      <c r="M43" s="68">
        <v>30.9422</v>
      </c>
      <c r="N43" s="68">
        <v>34.3125</v>
      </c>
      <c r="O43" s="68">
        <v>37.339199999999998</v>
      </c>
      <c r="P43" s="68">
        <v>42.573099999999997</v>
      </c>
      <c r="Q43" s="68">
        <v>47.522100000000002</v>
      </c>
      <c r="R43" s="68">
        <v>52.030999999999999</v>
      </c>
      <c r="S43" s="68">
        <v>56.096299999999999</v>
      </c>
      <c r="T43" s="68">
        <v>60.669599999999996</v>
      </c>
      <c r="U43" s="68">
        <v>65.968600000000009</v>
      </c>
      <c r="V43" s="68">
        <v>72.992999999999995</v>
      </c>
      <c r="W43" s="68">
        <v>82.465399999999988</v>
      </c>
      <c r="X43" s="68">
        <v>92.859399999999994</v>
      </c>
      <c r="Y43" s="68">
        <v>103.38539999999999</v>
      </c>
      <c r="Z43" s="68">
        <v>115.7641</v>
      </c>
      <c r="AA43" s="68">
        <v>131.7465</v>
      </c>
      <c r="AB43" s="68">
        <v>156.2491</v>
      </c>
      <c r="AC43" s="68">
        <v>178.99079999999998</v>
      </c>
      <c r="AD43" s="68">
        <v>204.9991</v>
      </c>
      <c r="AE43" s="68">
        <v>231.91979999999998</v>
      </c>
      <c r="AF43" s="68">
        <v>262.74950000000001</v>
      </c>
      <c r="AG43" s="68">
        <v>298.50130000000001</v>
      </c>
      <c r="AH43" s="68">
        <v>340.61740000000003</v>
      </c>
      <c r="AI43" s="68">
        <v>389.58659999999998</v>
      </c>
      <c r="AJ43" s="68">
        <v>445.16109999999998</v>
      </c>
      <c r="AK43" s="68">
        <v>491.173</v>
      </c>
      <c r="AL43" s="68">
        <v>527.63490000000002</v>
      </c>
      <c r="AM43" s="68">
        <v>561.66750000000002</v>
      </c>
      <c r="AN43" s="68">
        <v>589.43060000000003</v>
      </c>
      <c r="AO43" s="68">
        <v>618.26909999999998</v>
      </c>
      <c r="AP43" s="68">
        <v>654.66059999999993</v>
      </c>
      <c r="AQ43" s="68">
        <v>707.74059999999997</v>
      </c>
      <c r="AR43" s="68">
        <v>753.9348</v>
      </c>
      <c r="AS43" s="68">
        <v>788.74609999999996</v>
      </c>
      <c r="AT43" s="68">
        <v>820.7758</v>
      </c>
      <c r="AU43" s="68">
        <v>836.44650000000001</v>
      </c>
      <c r="AV43" s="68">
        <v>854.67430000000002</v>
      </c>
      <c r="AW43" s="68">
        <v>888.08510000000001</v>
      </c>
      <c r="AX43" s="68">
        <v>911.3741</v>
      </c>
      <c r="AY43" s="68">
        <v>933.39190000000008</v>
      </c>
      <c r="AZ43" s="68">
        <v>967.10480000000007</v>
      </c>
      <c r="BA43" s="68">
        <v>1001.4459000000001</v>
      </c>
      <c r="BB43" s="68">
        <v>1058.3466000000001</v>
      </c>
      <c r="BC43" s="68">
        <v>1110.7218</v>
      </c>
      <c r="BD43" s="68">
        <v>1149.6263999999999</v>
      </c>
      <c r="BE43" s="68">
        <v>1180.1528000000001</v>
      </c>
      <c r="BF43" s="68">
        <v>1226.799</v>
      </c>
      <c r="BG43" s="68">
        <v>1266.8371999999999</v>
      </c>
      <c r="BH43" s="68">
        <v>1325.12067</v>
      </c>
      <c r="BI43" s="68">
        <v>1385.0563400000001</v>
      </c>
      <c r="BJ43" s="68">
        <v>1429.3688999999999</v>
      </c>
      <c r="BK43" s="68">
        <v>1415.1624399999998</v>
      </c>
      <c r="BL43" s="68">
        <v>1438.3286699999999</v>
      </c>
      <c r="BM43" s="68"/>
      <c r="BN43" s="68"/>
    </row>
    <row r="44" spans="1:66" x14ac:dyDescent="0.2">
      <c r="A44" t="s">
        <v>268</v>
      </c>
      <c r="B44" s="80" t="s">
        <v>268</v>
      </c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98"/>
      <c r="BI44" s="68"/>
      <c r="BJ44" s="68"/>
      <c r="BK44" s="68"/>
      <c r="BL44" s="68"/>
      <c r="BM44" s="68"/>
      <c r="BN44" s="68"/>
    </row>
    <row r="45" spans="1:66" x14ac:dyDescent="0.2">
      <c r="A45" t="s">
        <v>268</v>
      </c>
      <c r="B45" s="97" t="s">
        <v>54</v>
      </c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</row>
    <row r="46" spans="1:66" x14ac:dyDescent="0.2">
      <c r="A46" t="s">
        <v>268</v>
      </c>
      <c r="B46" s="95" t="s">
        <v>118</v>
      </c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  <c r="BK46" s="68"/>
      <c r="BL46" s="68"/>
      <c r="BM46" s="68"/>
      <c r="BN46" s="68"/>
    </row>
    <row r="47" spans="1:66" x14ac:dyDescent="0.2">
      <c r="A47" t="s">
        <v>297</v>
      </c>
      <c r="B47" s="80" t="s">
        <v>298</v>
      </c>
      <c r="C47" s="68">
        <v>10.2179</v>
      </c>
      <c r="D47" s="68">
        <v>11.7141</v>
      </c>
      <c r="E47" s="68">
        <v>14.625399999999999</v>
      </c>
      <c r="F47" s="68">
        <v>17.169599999999999</v>
      </c>
      <c r="G47" s="68">
        <v>17.706499999999998</v>
      </c>
      <c r="H47" s="68">
        <v>18.9816</v>
      </c>
      <c r="I47" s="68">
        <v>20.404400000000003</v>
      </c>
      <c r="J47" s="68">
        <v>22.528200000000002</v>
      </c>
      <c r="K47" s="68">
        <v>25.237599999999997</v>
      </c>
      <c r="L47" s="68">
        <v>28.905099999999997</v>
      </c>
      <c r="M47" s="68">
        <v>30.9422</v>
      </c>
      <c r="N47" s="68">
        <v>34.3125</v>
      </c>
      <c r="O47" s="68">
        <v>37.339199999999998</v>
      </c>
      <c r="P47" s="68">
        <v>42.573099999999997</v>
      </c>
      <c r="Q47" s="68">
        <v>47.522100000000002</v>
      </c>
      <c r="R47" s="68">
        <v>52.030999999999999</v>
      </c>
      <c r="S47" s="68">
        <v>56.096299999999999</v>
      </c>
      <c r="T47" s="68">
        <v>60.669599999999996</v>
      </c>
      <c r="U47" s="68">
        <v>65.968600000000009</v>
      </c>
      <c r="V47" s="68">
        <v>72.992999999999995</v>
      </c>
      <c r="W47" s="68">
        <v>82.465399999999988</v>
      </c>
      <c r="X47" s="68">
        <v>92.859399999999994</v>
      </c>
      <c r="Y47" s="68">
        <v>103.38539999999999</v>
      </c>
      <c r="Z47" s="68">
        <v>115.7641</v>
      </c>
      <c r="AA47" s="68">
        <v>131.7465</v>
      </c>
      <c r="AB47" s="68">
        <v>156.2491</v>
      </c>
      <c r="AC47" s="68">
        <v>178.99079999999998</v>
      </c>
      <c r="AD47" s="68">
        <v>204.9991</v>
      </c>
      <c r="AE47" s="68">
        <v>231.91979999999998</v>
      </c>
      <c r="AF47" s="68">
        <v>262.74950000000001</v>
      </c>
      <c r="AG47" s="68">
        <v>298.50130000000001</v>
      </c>
      <c r="AH47" s="68">
        <v>340.61740000000003</v>
      </c>
      <c r="AI47" s="68">
        <v>389.58659999999998</v>
      </c>
      <c r="AJ47" s="68">
        <v>445.16109999999998</v>
      </c>
      <c r="AK47" s="68">
        <v>491.173</v>
      </c>
      <c r="AL47" s="68">
        <v>527.63490000000002</v>
      </c>
      <c r="AM47" s="68">
        <v>561.66750000000002</v>
      </c>
      <c r="AN47" s="68">
        <v>589.43060000000003</v>
      </c>
      <c r="AO47" s="68">
        <v>618.26909999999998</v>
      </c>
      <c r="AP47" s="68">
        <v>654.66059999999993</v>
      </c>
      <c r="AQ47" s="68">
        <v>707.74059999999997</v>
      </c>
      <c r="AR47" s="68">
        <v>753.9348</v>
      </c>
      <c r="AS47" s="68">
        <v>788.74609999999996</v>
      </c>
      <c r="AT47" s="68">
        <v>820.7758</v>
      </c>
      <c r="AU47" s="68">
        <v>836.44650000000001</v>
      </c>
      <c r="AV47" s="68">
        <v>854.67430000000002</v>
      </c>
      <c r="AW47" s="68">
        <v>888.08510000000001</v>
      </c>
      <c r="AX47" s="68">
        <v>911.3741</v>
      </c>
      <c r="AY47" s="68">
        <v>933.39190000000008</v>
      </c>
      <c r="AZ47" s="68">
        <v>967.10480000000007</v>
      </c>
      <c r="BA47" s="68">
        <v>1001.4459000000001</v>
      </c>
      <c r="BB47" s="68">
        <v>1058.3466000000001</v>
      </c>
      <c r="BC47" s="68">
        <v>1110.7218</v>
      </c>
      <c r="BD47" s="68">
        <v>1149.6263999999999</v>
      </c>
      <c r="BE47" s="68">
        <v>1180.1528000000001</v>
      </c>
      <c r="BF47" s="68">
        <v>1226.799</v>
      </c>
      <c r="BG47" s="68">
        <v>1266.8371999999999</v>
      </c>
      <c r="BH47" s="68">
        <v>1325.12067</v>
      </c>
      <c r="BI47" s="68">
        <v>1385.0563400000001</v>
      </c>
      <c r="BJ47" s="68">
        <v>1429.3688999999999</v>
      </c>
      <c r="BK47" s="68">
        <v>1415.1624399999998</v>
      </c>
      <c r="BL47" s="68">
        <v>1438.3286699999999</v>
      </c>
      <c r="BM47" s="68"/>
      <c r="BN47" s="68"/>
    </row>
    <row r="48" spans="1:66" x14ac:dyDescent="0.2">
      <c r="A48" t="s">
        <v>61</v>
      </c>
      <c r="B48" s="80" t="s">
        <v>299</v>
      </c>
      <c r="C48" s="68">
        <v>1.3306</v>
      </c>
      <c r="D48" s="68">
        <v>1.6142000000000001</v>
      </c>
      <c r="E48" s="68">
        <v>2.0339</v>
      </c>
      <c r="F48" s="68">
        <v>2.3741999999999996</v>
      </c>
      <c r="G48" s="68">
        <v>2.5793000000000004</v>
      </c>
      <c r="H48" s="68">
        <v>2.7946999999999997</v>
      </c>
      <c r="I48" s="68">
        <v>3.1372</v>
      </c>
      <c r="J48" s="68">
        <v>3.4660000000000002</v>
      </c>
      <c r="K48" s="68">
        <v>3.8935</v>
      </c>
      <c r="L48" s="68">
        <v>4.3553000000000006</v>
      </c>
      <c r="M48" s="68">
        <v>4.8338000000000001</v>
      </c>
      <c r="N48" s="68">
        <v>5.2976000000000001</v>
      </c>
      <c r="O48" s="68">
        <v>5.9398999999999997</v>
      </c>
      <c r="P48" s="68">
        <v>7.0430000000000001</v>
      </c>
      <c r="Q48" s="68">
        <v>8.3115000000000006</v>
      </c>
      <c r="R48" s="68">
        <v>9.3178000000000001</v>
      </c>
      <c r="S48" s="68">
        <v>10.228999999999999</v>
      </c>
      <c r="T48" s="68">
        <v>11.117599999999999</v>
      </c>
      <c r="U48" s="68">
        <v>12.1304</v>
      </c>
      <c r="V48" s="68">
        <v>13.642200000000001</v>
      </c>
      <c r="W48" s="68">
        <v>15.4773</v>
      </c>
      <c r="X48" s="68">
        <v>17.027200000000001</v>
      </c>
      <c r="Y48" s="68">
        <v>18.965400000000002</v>
      </c>
      <c r="Z48" s="68">
        <v>21.462499999999999</v>
      </c>
      <c r="AA48" s="68">
        <v>24.683599999999998</v>
      </c>
      <c r="AB48" s="68">
        <v>29.1617</v>
      </c>
      <c r="AC48" s="68">
        <v>36.607199999999999</v>
      </c>
      <c r="AD48" s="68">
        <v>42.137599999999999</v>
      </c>
      <c r="AE48" s="68">
        <v>48.435400000000001</v>
      </c>
      <c r="AF48" s="68">
        <v>57.068899999999999</v>
      </c>
      <c r="AG48" s="68">
        <v>65.262699999999995</v>
      </c>
      <c r="AH48" s="68">
        <v>75.503799999999998</v>
      </c>
      <c r="AI48" s="68">
        <v>89.553899999999999</v>
      </c>
      <c r="AJ48" s="68">
        <v>106.4636</v>
      </c>
      <c r="AK48" s="68">
        <v>119.3156</v>
      </c>
      <c r="AL48" s="68">
        <v>131.08109999999999</v>
      </c>
      <c r="AM48" s="68">
        <v>142.51070000000001</v>
      </c>
      <c r="AN48" s="68">
        <v>152.01129999999998</v>
      </c>
      <c r="AO48" s="68">
        <v>157.75470000000001</v>
      </c>
      <c r="AP48" s="68">
        <v>167.84129999999999</v>
      </c>
      <c r="AQ48" s="68">
        <v>177.755</v>
      </c>
      <c r="AR48" s="68">
        <v>189.14410000000001</v>
      </c>
      <c r="AS48" s="68">
        <v>201.10670000000002</v>
      </c>
      <c r="AT48" s="68">
        <v>213.27579999999998</v>
      </c>
      <c r="AU48" s="68">
        <v>224.87520000000001</v>
      </c>
      <c r="AV48" s="68">
        <v>231.4161</v>
      </c>
      <c r="AW48" s="68">
        <v>238.3347</v>
      </c>
      <c r="AX48" s="68">
        <v>246.70070000000001</v>
      </c>
      <c r="AY48" s="68">
        <v>254.05950000000001</v>
      </c>
      <c r="AZ48" s="68">
        <v>260.45</v>
      </c>
      <c r="BA48" s="68">
        <v>267.98750000000001</v>
      </c>
      <c r="BB48" s="68">
        <v>274.84980000000002</v>
      </c>
      <c r="BC48" s="68">
        <v>285.51549999999997</v>
      </c>
      <c r="BD48" s="68">
        <v>301.17379999999997</v>
      </c>
      <c r="BE48" s="68">
        <v>313.63009999999997</v>
      </c>
      <c r="BF48" s="68">
        <v>327.87220000000002</v>
      </c>
      <c r="BG48" s="68">
        <v>341.0489</v>
      </c>
      <c r="BH48" s="68">
        <v>355.01299999999998</v>
      </c>
      <c r="BI48" s="68">
        <v>368.74955999999997</v>
      </c>
      <c r="BJ48" s="68">
        <v>381.37299999999999</v>
      </c>
      <c r="BK48" s="68">
        <v>402.33100000000002</v>
      </c>
      <c r="BL48" s="68">
        <v>416.17200000000003</v>
      </c>
      <c r="BM48" s="68"/>
      <c r="BN48" s="98"/>
    </row>
    <row r="49" spans="1:66" x14ac:dyDescent="0.2">
      <c r="A49" t="s">
        <v>300</v>
      </c>
      <c r="B49" s="80" t="s">
        <v>301</v>
      </c>
      <c r="C49" s="68">
        <v>0.66820000000000002</v>
      </c>
      <c r="D49" s="68">
        <v>0.79210000000000003</v>
      </c>
      <c r="E49" s="68">
        <v>1.0406</v>
      </c>
      <c r="F49" s="68">
        <v>1.246</v>
      </c>
      <c r="G49" s="68">
        <v>1.3632</v>
      </c>
      <c r="H49" s="68">
        <v>1.4943</v>
      </c>
      <c r="I49" s="68">
        <v>1.6174999999999999</v>
      </c>
      <c r="J49" s="68">
        <v>1.8411999999999999</v>
      </c>
      <c r="K49" s="68">
        <v>2.0991999999999997</v>
      </c>
      <c r="L49" s="68">
        <v>2.3515999999999999</v>
      </c>
      <c r="M49" s="68">
        <v>2.59</v>
      </c>
      <c r="N49" s="68">
        <v>2.8931</v>
      </c>
      <c r="O49" s="68">
        <v>3.2898000000000001</v>
      </c>
      <c r="P49" s="68">
        <v>3.9049999999999998</v>
      </c>
      <c r="Q49" s="68">
        <v>4.6716000000000006</v>
      </c>
      <c r="R49" s="68">
        <v>5.4198000000000004</v>
      </c>
      <c r="S49" s="68">
        <v>6.0988999999999995</v>
      </c>
      <c r="T49" s="68">
        <v>6.7763999999999998</v>
      </c>
      <c r="U49" s="68">
        <v>7.5003000000000002</v>
      </c>
      <c r="V49" s="68">
        <v>8.6931000000000012</v>
      </c>
      <c r="W49" s="68">
        <v>9.877600000000001</v>
      </c>
      <c r="X49" s="68">
        <v>10.963899999999999</v>
      </c>
      <c r="Y49" s="68">
        <v>12.2285</v>
      </c>
      <c r="Z49" s="68">
        <v>13.953799999999999</v>
      </c>
      <c r="AA49" s="68">
        <v>16.341100000000001</v>
      </c>
      <c r="AB49" s="68">
        <v>19.381599999999999</v>
      </c>
      <c r="AC49" s="68">
        <v>24.713099999999997</v>
      </c>
      <c r="AD49" s="68">
        <v>28.407700000000002</v>
      </c>
      <c r="AE49" s="68">
        <v>33.046300000000002</v>
      </c>
      <c r="AF49" s="68">
        <v>39.017300000000006</v>
      </c>
      <c r="AG49" s="68">
        <v>45.220999999999997</v>
      </c>
      <c r="AH49" s="68">
        <v>53.458199999999998</v>
      </c>
      <c r="AI49" s="68">
        <v>63.979800000000004</v>
      </c>
      <c r="AJ49" s="68">
        <v>76.564899999999994</v>
      </c>
      <c r="AK49" s="68">
        <v>85.495899999999992</v>
      </c>
      <c r="AL49" s="68">
        <v>91.721999999999994</v>
      </c>
      <c r="AM49" s="68">
        <v>98.448800000000006</v>
      </c>
      <c r="AN49" s="68">
        <v>104.3857</v>
      </c>
      <c r="AO49" s="68">
        <v>108.25360000000001</v>
      </c>
      <c r="AP49" s="68">
        <v>115.9247</v>
      </c>
      <c r="AQ49" s="68">
        <v>122.89280000000001</v>
      </c>
      <c r="AR49" s="68">
        <v>131.2483</v>
      </c>
      <c r="AS49" s="68">
        <v>140.58699999999999</v>
      </c>
      <c r="AT49" s="68">
        <v>150.24539999999999</v>
      </c>
      <c r="AU49" s="68">
        <v>157.44739999999999</v>
      </c>
      <c r="AV49" s="68">
        <v>161.72190000000001</v>
      </c>
      <c r="AW49" s="68">
        <v>166.40450000000001</v>
      </c>
      <c r="AX49" s="68">
        <v>172.67770000000002</v>
      </c>
      <c r="AY49" s="68">
        <v>178.87179999999998</v>
      </c>
      <c r="AZ49" s="68">
        <v>182.941</v>
      </c>
      <c r="BA49" s="68">
        <v>187.7029</v>
      </c>
      <c r="BB49" s="68">
        <v>192.8854</v>
      </c>
      <c r="BC49" s="68">
        <v>200.80970000000002</v>
      </c>
      <c r="BD49" s="68">
        <v>211.66629999999998</v>
      </c>
      <c r="BE49" s="68">
        <v>221.9752</v>
      </c>
      <c r="BF49" s="68">
        <v>231.32849999999999</v>
      </c>
      <c r="BG49" s="68">
        <v>241.82050000000001</v>
      </c>
      <c r="BH49" s="68">
        <v>252.77199999999999</v>
      </c>
      <c r="BI49" s="68">
        <v>262.09145000000001</v>
      </c>
      <c r="BJ49" s="68">
        <v>272.505</v>
      </c>
      <c r="BK49" s="68">
        <v>287.55200000000002</v>
      </c>
      <c r="BL49" s="68">
        <v>298.86900000000003</v>
      </c>
      <c r="BM49" s="68"/>
      <c r="BN49" s="68"/>
    </row>
    <row r="50" spans="1:66" x14ac:dyDescent="0.2">
      <c r="A50" t="s">
        <v>302</v>
      </c>
      <c r="B50" s="80" t="s">
        <v>303</v>
      </c>
      <c r="C50" s="68">
        <v>5.11E-2</v>
      </c>
      <c r="D50" s="68">
        <v>6.0499999999999998E-2</v>
      </c>
      <c r="E50" s="68">
        <v>7.4299999999999991E-2</v>
      </c>
      <c r="F50" s="68">
        <v>7.9000000000000001E-2</v>
      </c>
      <c r="G50" s="68">
        <v>8.8400000000000006E-2</v>
      </c>
      <c r="H50" s="68">
        <v>9.3200000000000005E-2</v>
      </c>
      <c r="I50" s="68">
        <v>0.13009999999999999</v>
      </c>
      <c r="J50" s="68">
        <v>0.13869999999999999</v>
      </c>
      <c r="K50" s="68">
        <v>0.14899999999999999</v>
      </c>
      <c r="L50" s="68">
        <v>0.1678</v>
      </c>
      <c r="M50" s="68">
        <v>0.2303</v>
      </c>
      <c r="N50" s="68">
        <v>0.25359999999999999</v>
      </c>
      <c r="O50" s="68">
        <v>0.27950000000000003</v>
      </c>
      <c r="P50" s="68">
        <v>0.29239999999999999</v>
      </c>
      <c r="Q50" s="68">
        <v>0.308</v>
      </c>
      <c r="R50" s="68">
        <v>0.3261</v>
      </c>
      <c r="S50" s="68">
        <v>0.3649</v>
      </c>
      <c r="T50" s="68">
        <v>0.40629999999999999</v>
      </c>
      <c r="U50" s="68">
        <v>0.45550000000000002</v>
      </c>
      <c r="V50" s="68">
        <v>0.56159999999999999</v>
      </c>
      <c r="W50" s="68">
        <v>0.64700000000000002</v>
      </c>
      <c r="X50" s="68">
        <v>0.73239999999999994</v>
      </c>
      <c r="Y50" s="68">
        <v>0.81520000000000004</v>
      </c>
      <c r="Z50" s="68">
        <v>1.0067000000000002</v>
      </c>
      <c r="AA50" s="68">
        <v>1.1025</v>
      </c>
      <c r="AB50" s="68">
        <v>1.2887999999999999</v>
      </c>
      <c r="AC50" s="68">
        <v>1.6252</v>
      </c>
      <c r="AD50" s="68">
        <v>1.8374000000000001</v>
      </c>
      <c r="AE50" s="68">
        <v>2.0367000000000002</v>
      </c>
      <c r="AF50" s="68">
        <v>2.4922</v>
      </c>
      <c r="AG50" s="68">
        <v>2.8809999999999998</v>
      </c>
      <c r="AH50" s="68">
        <v>3.1877</v>
      </c>
      <c r="AI50" s="68">
        <v>3.6219999999999999</v>
      </c>
      <c r="AJ50" s="68">
        <v>4.3016999999999994</v>
      </c>
      <c r="AK50" s="68">
        <v>4.7548000000000004</v>
      </c>
      <c r="AL50" s="68">
        <v>5.3068999999999997</v>
      </c>
      <c r="AM50" s="68">
        <v>6.0647000000000002</v>
      </c>
      <c r="AN50" s="68">
        <v>6.9779</v>
      </c>
      <c r="AO50" s="68">
        <v>7.8801999999999994</v>
      </c>
      <c r="AP50" s="68">
        <v>8.7617000000000012</v>
      </c>
      <c r="AQ50" s="68">
        <v>9.3354999999999997</v>
      </c>
      <c r="AR50" s="68">
        <v>9.9212000000000007</v>
      </c>
      <c r="AS50" s="68">
        <v>10.510899999999999</v>
      </c>
      <c r="AT50" s="68">
        <v>10.985799999999999</v>
      </c>
      <c r="AU50" s="68">
        <v>11.905899999999999</v>
      </c>
      <c r="AV50" s="68">
        <v>12.441000000000001</v>
      </c>
      <c r="AW50" s="68">
        <v>12.7544</v>
      </c>
      <c r="AX50" s="68">
        <v>14.005600000000001</v>
      </c>
      <c r="AY50" s="68">
        <v>15.0242</v>
      </c>
      <c r="AZ50" s="68">
        <v>15.9438</v>
      </c>
      <c r="BA50" s="68">
        <v>16.6157</v>
      </c>
      <c r="BB50" s="68">
        <v>17.329599999999999</v>
      </c>
      <c r="BC50" s="68">
        <v>19.1569</v>
      </c>
      <c r="BD50" s="68">
        <v>21.317900000000002</v>
      </c>
      <c r="BE50" s="68">
        <v>21.893999999999998</v>
      </c>
      <c r="BF50" s="68">
        <v>23.466099999999997</v>
      </c>
      <c r="BG50" s="68">
        <v>25.206199999999999</v>
      </c>
      <c r="BH50" s="68">
        <v>28.050999999999998</v>
      </c>
      <c r="BI50" s="68">
        <v>28.472999999999999</v>
      </c>
      <c r="BJ50" s="68">
        <v>29.199000000000002</v>
      </c>
      <c r="BK50" s="68">
        <v>29.861000000000001</v>
      </c>
      <c r="BL50" s="68">
        <v>30.712</v>
      </c>
      <c r="BM50" s="68"/>
      <c r="BN50" s="68"/>
    </row>
    <row r="51" spans="1:66" x14ac:dyDescent="0.2">
      <c r="A51" t="s">
        <v>304</v>
      </c>
      <c r="B51" s="80" t="s">
        <v>305</v>
      </c>
      <c r="C51" s="68">
        <v>0.36419999999999997</v>
      </c>
      <c r="D51" s="68">
        <v>0.49639999999999995</v>
      </c>
      <c r="E51" s="68">
        <v>0.5796</v>
      </c>
      <c r="F51" s="68">
        <v>0.64690000000000003</v>
      </c>
      <c r="G51" s="68">
        <v>0.68320000000000003</v>
      </c>
      <c r="H51" s="68">
        <v>0.72760000000000002</v>
      </c>
      <c r="I51" s="68">
        <v>0.83499999999999996</v>
      </c>
      <c r="J51" s="68">
        <v>0.89790000000000003</v>
      </c>
      <c r="K51" s="68">
        <v>0.97699999999999998</v>
      </c>
      <c r="L51" s="68">
        <v>1.0715999999999999</v>
      </c>
      <c r="M51" s="68">
        <v>1.1990000000000001</v>
      </c>
      <c r="N51" s="68">
        <v>1.2849000000000002</v>
      </c>
      <c r="O51" s="68">
        <v>1.42</v>
      </c>
      <c r="P51" s="68">
        <v>1.6227</v>
      </c>
      <c r="Q51" s="68">
        <v>1.8757999999999999</v>
      </c>
      <c r="R51" s="68">
        <v>2.0741999999999998</v>
      </c>
      <c r="S51" s="68">
        <v>2.3035999999999999</v>
      </c>
      <c r="T51" s="68">
        <v>2.4703000000000004</v>
      </c>
      <c r="U51" s="68">
        <v>2.6370999999999998</v>
      </c>
      <c r="V51" s="68">
        <v>2.6564999999999999</v>
      </c>
      <c r="W51" s="68">
        <v>2.9790000000000001</v>
      </c>
      <c r="X51" s="68">
        <v>3.2934999999999999</v>
      </c>
      <c r="Y51" s="68">
        <v>3.669</v>
      </c>
      <c r="Z51" s="68">
        <v>4.0829000000000004</v>
      </c>
      <c r="AA51" s="68">
        <v>4.5868000000000002</v>
      </c>
      <c r="AB51" s="68">
        <v>5.4091000000000005</v>
      </c>
      <c r="AC51" s="68">
        <v>6.4527999999999999</v>
      </c>
      <c r="AD51" s="68">
        <v>7.4691999999999998</v>
      </c>
      <c r="AE51" s="68">
        <v>8.4397000000000002</v>
      </c>
      <c r="AF51" s="68">
        <v>9.6089000000000002</v>
      </c>
      <c r="AG51" s="68">
        <v>10.863799999999999</v>
      </c>
      <c r="AH51" s="68">
        <v>12.5304</v>
      </c>
      <c r="AI51" s="68">
        <v>14.475899999999999</v>
      </c>
      <c r="AJ51" s="68">
        <v>16.735299999999999</v>
      </c>
      <c r="AK51" s="68">
        <v>18.8353</v>
      </c>
      <c r="AL51" s="68">
        <v>20.822700000000001</v>
      </c>
      <c r="AM51" s="68">
        <v>22.2818</v>
      </c>
      <c r="AN51" s="68">
        <v>23.388999999999999</v>
      </c>
      <c r="AO51" s="68">
        <v>24.577300000000001</v>
      </c>
      <c r="AP51" s="68">
        <v>25.536000000000001</v>
      </c>
      <c r="AQ51" s="68">
        <v>27.078799999999998</v>
      </c>
      <c r="AR51" s="68">
        <v>28.613799999999998</v>
      </c>
      <c r="AS51" s="68">
        <v>29.725099999999998</v>
      </c>
      <c r="AT51" s="68">
        <v>31.5382</v>
      </c>
      <c r="AU51" s="68">
        <v>32.5349</v>
      </c>
      <c r="AV51" s="68">
        <v>33.264499999999998</v>
      </c>
      <c r="AW51" s="68">
        <v>34.877099999999999</v>
      </c>
      <c r="AX51" s="68">
        <v>36.039300000000004</v>
      </c>
      <c r="AY51" s="68">
        <v>35.380400000000002</v>
      </c>
      <c r="AZ51" s="68">
        <v>36.5884</v>
      </c>
      <c r="BA51" s="68">
        <v>37.917099999999998</v>
      </c>
      <c r="BB51" s="68">
        <v>39.781999999999996</v>
      </c>
      <c r="BC51" s="68">
        <v>41.321899999999999</v>
      </c>
      <c r="BD51" s="68">
        <v>43.047199999999997</v>
      </c>
      <c r="BE51" s="68">
        <v>44.634900000000002</v>
      </c>
      <c r="BF51" s="68">
        <v>46.808599999999998</v>
      </c>
      <c r="BG51" s="68">
        <v>47.017000000000003</v>
      </c>
      <c r="BH51" s="68">
        <v>45.784999999999997</v>
      </c>
      <c r="BI51" s="68">
        <v>49.00891</v>
      </c>
      <c r="BJ51" s="68">
        <v>51.118000000000002</v>
      </c>
      <c r="BK51" s="68">
        <v>52.598999999999997</v>
      </c>
      <c r="BL51" s="68">
        <v>54.511000000000003</v>
      </c>
      <c r="BM51" s="68"/>
      <c r="BN51" s="68"/>
    </row>
    <row r="52" spans="1:66" x14ac:dyDescent="0.2">
      <c r="A52" t="s">
        <v>306</v>
      </c>
      <c r="B52" s="80" t="s">
        <v>307</v>
      </c>
      <c r="C52" s="68">
        <v>0.247</v>
      </c>
      <c r="D52" s="68">
        <v>0.26519999999999999</v>
      </c>
      <c r="E52" s="68">
        <v>0.33939999999999998</v>
      </c>
      <c r="F52" s="68">
        <v>0.4022</v>
      </c>
      <c r="G52" s="68">
        <v>0.44450000000000001</v>
      </c>
      <c r="H52" s="68">
        <v>0.47970000000000002</v>
      </c>
      <c r="I52" s="68">
        <v>0.55459999999999998</v>
      </c>
      <c r="J52" s="68">
        <v>0.58820000000000006</v>
      </c>
      <c r="K52" s="68">
        <v>0.66839999999999999</v>
      </c>
      <c r="L52" s="68">
        <v>0.76439999999999997</v>
      </c>
      <c r="M52" s="68">
        <v>0.8145</v>
      </c>
      <c r="N52" s="68">
        <v>0.86609999999999998</v>
      </c>
      <c r="O52" s="68">
        <v>0.95050000000000001</v>
      </c>
      <c r="P52" s="68">
        <v>1.2229000000000001</v>
      </c>
      <c r="Q52" s="68">
        <v>1.4560999999999999</v>
      </c>
      <c r="R52" s="68">
        <v>1.4978</v>
      </c>
      <c r="S52" s="68">
        <v>1.4616</v>
      </c>
      <c r="T52" s="68">
        <v>1.4644999999999999</v>
      </c>
      <c r="U52" s="68">
        <v>1.5375999999999999</v>
      </c>
      <c r="V52" s="68">
        <v>1.7310000000000001</v>
      </c>
      <c r="W52" s="68">
        <v>1.9737</v>
      </c>
      <c r="X52" s="68">
        <v>2.0373999999999999</v>
      </c>
      <c r="Y52" s="68">
        <v>2.2526999999999999</v>
      </c>
      <c r="Z52" s="68">
        <v>2.4190999999999998</v>
      </c>
      <c r="AA52" s="68">
        <v>2.6532</v>
      </c>
      <c r="AB52" s="68">
        <v>3.0821999999999998</v>
      </c>
      <c r="AC52" s="68">
        <v>3.8161</v>
      </c>
      <c r="AD52" s="68">
        <v>4.4231999999999996</v>
      </c>
      <c r="AE52" s="68">
        <v>4.9127999999999998</v>
      </c>
      <c r="AF52" s="68">
        <v>5.9504999999999999</v>
      </c>
      <c r="AG52" s="68">
        <v>6.2968000000000002</v>
      </c>
      <c r="AH52" s="68">
        <v>6.3276000000000003</v>
      </c>
      <c r="AI52" s="68">
        <v>7.4761999999999995</v>
      </c>
      <c r="AJ52" s="68">
        <v>8.8617000000000008</v>
      </c>
      <c r="AK52" s="68">
        <v>10.2295</v>
      </c>
      <c r="AL52" s="68">
        <v>13.2295</v>
      </c>
      <c r="AM52" s="68">
        <v>15.715299999999999</v>
      </c>
      <c r="AN52" s="68">
        <v>17.258700000000001</v>
      </c>
      <c r="AO52" s="68">
        <v>17.043599999999998</v>
      </c>
      <c r="AP52" s="68">
        <v>17.6189</v>
      </c>
      <c r="AQ52" s="68">
        <v>18.447800000000001</v>
      </c>
      <c r="AR52" s="68">
        <v>19.360799999999998</v>
      </c>
      <c r="AS52" s="68">
        <v>20.2837</v>
      </c>
      <c r="AT52" s="68">
        <v>20.506400000000003</v>
      </c>
      <c r="AU52" s="68">
        <v>22.987099999999998</v>
      </c>
      <c r="AV52" s="68">
        <v>23.988700000000001</v>
      </c>
      <c r="AW52" s="68">
        <v>24.2987</v>
      </c>
      <c r="AX52" s="68">
        <v>23.978099999999998</v>
      </c>
      <c r="AY52" s="68">
        <v>24.783099999999997</v>
      </c>
      <c r="AZ52" s="68">
        <v>24.976800000000001</v>
      </c>
      <c r="BA52" s="68">
        <v>25.7517</v>
      </c>
      <c r="BB52" s="68">
        <v>24.852799999999998</v>
      </c>
      <c r="BC52" s="68">
        <v>24.227</v>
      </c>
      <c r="BD52" s="68">
        <v>25.142400000000002</v>
      </c>
      <c r="BE52" s="68">
        <v>25.126000000000001</v>
      </c>
      <c r="BF52" s="68">
        <v>26.268999999999998</v>
      </c>
      <c r="BG52" s="68">
        <v>27.005200000000002</v>
      </c>
      <c r="BH52" s="68">
        <v>28.405000000000001</v>
      </c>
      <c r="BI52" s="68">
        <v>29.176200000000001</v>
      </c>
      <c r="BJ52" s="68">
        <v>28.550999999999998</v>
      </c>
      <c r="BK52" s="68">
        <v>32.319000000000003</v>
      </c>
      <c r="BL52" s="68">
        <v>32.08</v>
      </c>
      <c r="BM52" s="68"/>
      <c r="BN52" s="68"/>
    </row>
    <row r="53" spans="1:66" x14ac:dyDescent="0.2">
      <c r="A53" t="s">
        <v>65</v>
      </c>
      <c r="B53" s="80" t="s">
        <v>308</v>
      </c>
      <c r="C53" s="68">
        <v>5.3499999999999999E-2</v>
      </c>
      <c r="D53" s="68">
        <v>5.5500000000000001E-2</v>
      </c>
      <c r="E53" s="68">
        <v>6.6200000000000009E-2</v>
      </c>
      <c r="F53" s="68">
        <v>8.929999999999999E-2</v>
      </c>
      <c r="G53" s="68">
        <v>0.1082</v>
      </c>
      <c r="H53" s="68">
        <v>0.1258</v>
      </c>
      <c r="I53" s="68">
        <v>0.1658</v>
      </c>
      <c r="J53" s="68">
        <v>0.19340000000000002</v>
      </c>
      <c r="K53" s="68">
        <v>0.2404</v>
      </c>
      <c r="L53" s="68">
        <v>0.3155</v>
      </c>
      <c r="M53" s="68">
        <v>0.35660000000000003</v>
      </c>
      <c r="N53" s="68">
        <v>0.39779999999999999</v>
      </c>
      <c r="O53" s="68">
        <v>0.44169999999999998</v>
      </c>
      <c r="P53" s="68">
        <v>0.499</v>
      </c>
      <c r="Q53" s="68">
        <v>0.60039999999999993</v>
      </c>
      <c r="R53" s="68">
        <v>0.74390000000000001</v>
      </c>
      <c r="S53" s="68">
        <v>0.85489999999999999</v>
      </c>
      <c r="T53" s="68">
        <v>0.97909999999999997</v>
      </c>
      <c r="U53" s="68">
        <v>1.0742</v>
      </c>
      <c r="V53" s="68">
        <v>1.2057</v>
      </c>
      <c r="W53" s="68">
        <v>1.3711</v>
      </c>
      <c r="X53" s="68">
        <v>1.4785999999999999</v>
      </c>
      <c r="Y53" s="68">
        <v>1.7799</v>
      </c>
      <c r="Z53" s="68">
        <v>1.9173</v>
      </c>
      <c r="AA53" s="68">
        <v>2.1619999999999999</v>
      </c>
      <c r="AB53" s="68">
        <v>2.4406999999999996</v>
      </c>
      <c r="AC53" s="68">
        <v>2.9400999999999997</v>
      </c>
      <c r="AD53" s="68">
        <v>3.3783000000000003</v>
      </c>
      <c r="AE53" s="68">
        <v>3.7822</v>
      </c>
      <c r="AF53" s="68">
        <v>4.4441000000000006</v>
      </c>
      <c r="AG53" s="68">
        <v>5.2076000000000002</v>
      </c>
      <c r="AH53" s="68">
        <v>6.0499000000000001</v>
      </c>
      <c r="AI53" s="68">
        <v>7.2515000000000001</v>
      </c>
      <c r="AJ53" s="68">
        <v>8.8747000000000007</v>
      </c>
      <c r="AK53" s="68">
        <v>9.914299999999999</v>
      </c>
      <c r="AL53" s="68">
        <v>10.9254</v>
      </c>
      <c r="AM53" s="68">
        <v>11.7463</v>
      </c>
      <c r="AN53" s="68">
        <v>12.139899999999999</v>
      </c>
      <c r="AO53" s="68">
        <v>12.9404</v>
      </c>
      <c r="AP53" s="68">
        <v>13.169700000000001</v>
      </c>
      <c r="AQ53" s="68">
        <v>13.539200000000001</v>
      </c>
      <c r="AR53" s="68">
        <v>16.704499999999999</v>
      </c>
      <c r="AS53" s="68">
        <v>16.628499999999999</v>
      </c>
      <c r="AT53" s="68">
        <v>18.755200000000002</v>
      </c>
      <c r="AU53" s="68">
        <v>19.504999999999999</v>
      </c>
      <c r="AV53" s="68">
        <v>18.758900000000001</v>
      </c>
      <c r="AW53" s="68">
        <v>20.4419</v>
      </c>
      <c r="AX53" s="68">
        <v>20.011299999999999</v>
      </c>
      <c r="AY53" s="68">
        <v>20.542900000000003</v>
      </c>
      <c r="AZ53" s="68">
        <v>21.2759</v>
      </c>
      <c r="BA53" s="68">
        <v>21.040500000000002</v>
      </c>
      <c r="BB53" s="68">
        <v>20.666599999999999</v>
      </c>
      <c r="BC53" s="68">
        <v>22.3613</v>
      </c>
      <c r="BD53" s="68">
        <v>23.209900000000001</v>
      </c>
      <c r="BE53" s="68">
        <v>24.600900000000003</v>
      </c>
      <c r="BF53" s="68">
        <v>24.3489</v>
      </c>
      <c r="BG53" s="68">
        <v>25.5472</v>
      </c>
      <c r="BH53" s="68">
        <v>25.768999999999998</v>
      </c>
      <c r="BI53" s="68">
        <v>26.288</v>
      </c>
      <c r="BJ53" s="68">
        <v>25.943999999999999</v>
      </c>
      <c r="BK53" s="68">
        <v>27.693000000000001</v>
      </c>
      <c r="BL53" s="68">
        <v>27.061</v>
      </c>
      <c r="BM53" s="68"/>
      <c r="BN53" s="68"/>
    </row>
    <row r="54" spans="1:66" x14ac:dyDescent="0.2">
      <c r="A54" t="s">
        <v>68</v>
      </c>
      <c r="B54" s="80" t="s">
        <v>309</v>
      </c>
      <c r="C54" s="68">
        <v>0.42530000000000001</v>
      </c>
      <c r="D54" s="68">
        <v>0.48699999999999999</v>
      </c>
      <c r="E54" s="68">
        <v>0.62160000000000004</v>
      </c>
      <c r="F54" s="68">
        <v>0.71799999999999997</v>
      </c>
      <c r="G54" s="68">
        <v>0.75109999999999999</v>
      </c>
      <c r="H54" s="68">
        <v>0.75529999999999997</v>
      </c>
      <c r="I54" s="68">
        <v>0.78789999999999993</v>
      </c>
      <c r="J54" s="68">
        <v>0.85729999999999995</v>
      </c>
      <c r="K54" s="68">
        <v>0.94879999999999998</v>
      </c>
      <c r="L54" s="68">
        <v>1.1093</v>
      </c>
      <c r="M54" s="68">
        <v>1.2287999999999999</v>
      </c>
      <c r="N54" s="68">
        <v>1.3263</v>
      </c>
      <c r="O54" s="68">
        <v>1.3979999999999999</v>
      </c>
      <c r="P54" s="68">
        <v>1.5588</v>
      </c>
      <c r="Q54" s="68">
        <v>1.7110999999999998</v>
      </c>
      <c r="R54" s="68">
        <v>1.802</v>
      </c>
      <c r="S54" s="68">
        <v>1.8984000000000001</v>
      </c>
      <c r="T54" s="68">
        <v>2.0242</v>
      </c>
      <c r="U54" s="68">
        <v>2.1320999999999999</v>
      </c>
      <c r="V54" s="68">
        <v>2.2073</v>
      </c>
      <c r="W54" s="68">
        <v>2.4076999999999997</v>
      </c>
      <c r="X54" s="68">
        <v>2.6458000000000004</v>
      </c>
      <c r="Y54" s="68">
        <v>2.8220999999999998</v>
      </c>
      <c r="Z54" s="68">
        <v>3.2902</v>
      </c>
      <c r="AA54" s="68">
        <v>3.5756000000000001</v>
      </c>
      <c r="AB54" s="68">
        <v>4.4000000000000004</v>
      </c>
      <c r="AC54" s="68">
        <v>4.7308999999999992</v>
      </c>
      <c r="AD54" s="68">
        <v>5.3026</v>
      </c>
      <c r="AE54" s="68">
        <v>6.1959</v>
      </c>
      <c r="AF54" s="68">
        <v>6.7963999999999993</v>
      </c>
      <c r="AG54" s="68">
        <v>7.6288999999999998</v>
      </c>
      <c r="AH54" s="68">
        <v>8.3294999999999995</v>
      </c>
      <c r="AI54" s="68">
        <v>9.2243999999999993</v>
      </c>
      <c r="AJ54" s="68">
        <v>10.6257</v>
      </c>
      <c r="AK54" s="68">
        <v>11.4686</v>
      </c>
      <c r="AL54" s="68">
        <v>12.545399999999999</v>
      </c>
      <c r="AM54" s="68">
        <v>13.351700000000001</v>
      </c>
      <c r="AN54" s="68">
        <v>14.299100000000001</v>
      </c>
      <c r="AO54" s="68">
        <v>14.5528</v>
      </c>
      <c r="AP54" s="68">
        <v>15.565700000000001</v>
      </c>
      <c r="AQ54" s="68">
        <v>16.9421</v>
      </c>
      <c r="AR54" s="68">
        <v>18.504900000000003</v>
      </c>
      <c r="AS54" s="68">
        <v>18.803599999999999</v>
      </c>
      <c r="AT54" s="68">
        <v>20.083500000000001</v>
      </c>
      <c r="AU54" s="68">
        <v>18.959900000000001</v>
      </c>
      <c r="AV54" s="68">
        <v>18.0947</v>
      </c>
      <c r="AW54" s="68">
        <v>18.787599999999998</v>
      </c>
      <c r="AX54" s="68">
        <v>18.769400000000001</v>
      </c>
      <c r="AY54" s="68">
        <v>17.461599999999997</v>
      </c>
      <c r="AZ54" s="68">
        <v>19.819200000000002</v>
      </c>
      <c r="BA54" s="68">
        <v>19.261299999999999</v>
      </c>
      <c r="BB54" s="68">
        <v>22.099799999999998</v>
      </c>
      <c r="BC54" s="68">
        <v>24.3171</v>
      </c>
      <c r="BD54" s="68">
        <v>26.450400000000002</v>
      </c>
      <c r="BE54" s="68">
        <v>25.244799999999998</v>
      </c>
      <c r="BF54" s="68">
        <v>25.628</v>
      </c>
      <c r="BG54" s="68">
        <v>26.469799999999999</v>
      </c>
      <c r="BH54" s="68">
        <v>27.713509999999999</v>
      </c>
      <c r="BI54" s="68">
        <v>30.984580000000001</v>
      </c>
      <c r="BJ54" s="68">
        <v>33.228999999999999</v>
      </c>
      <c r="BK54" s="68">
        <v>31.23</v>
      </c>
      <c r="BL54" s="68">
        <v>30.648</v>
      </c>
      <c r="BM54" s="68"/>
      <c r="BN54" s="68"/>
    </row>
    <row r="55" spans="1:66" x14ac:dyDescent="0.2">
      <c r="A55" t="s">
        <v>310</v>
      </c>
      <c r="B55" s="80" t="s">
        <v>311</v>
      </c>
      <c r="C55" s="68">
        <v>0</v>
      </c>
      <c r="D55" s="68">
        <v>0</v>
      </c>
      <c r="E55" s="68">
        <v>0</v>
      </c>
      <c r="F55" s="68">
        <v>0</v>
      </c>
      <c r="G55" s="68">
        <v>0</v>
      </c>
      <c r="H55" s="68">
        <v>0</v>
      </c>
      <c r="I55" s="68">
        <v>0</v>
      </c>
      <c r="J55" s="68">
        <v>0</v>
      </c>
      <c r="K55" s="68">
        <v>0</v>
      </c>
      <c r="L55" s="68">
        <v>0</v>
      </c>
      <c r="M55" s="68">
        <v>0</v>
      </c>
      <c r="N55" s="68">
        <v>0</v>
      </c>
      <c r="O55" s="68">
        <v>0</v>
      </c>
      <c r="P55" s="68">
        <v>0</v>
      </c>
      <c r="Q55" s="68">
        <v>0</v>
      </c>
      <c r="R55" s="68">
        <v>0</v>
      </c>
      <c r="S55" s="68">
        <v>0</v>
      </c>
      <c r="T55" s="68">
        <v>0</v>
      </c>
      <c r="U55" s="68">
        <v>0</v>
      </c>
      <c r="V55" s="68">
        <v>0</v>
      </c>
      <c r="W55" s="68">
        <v>0</v>
      </c>
      <c r="X55" s="68">
        <v>0</v>
      </c>
      <c r="Y55" s="68">
        <v>0</v>
      </c>
      <c r="Z55" s="68">
        <v>0</v>
      </c>
      <c r="AA55" s="68">
        <v>0</v>
      </c>
      <c r="AB55" s="68">
        <v>0</v>
      </c>
      <c r="AC55" s="68">
        <v>0</v>
      </c>
      <c r="AD55" s="68">
        <v>0</v>
      </c>
      <c r="AE55" s="68">
        <v>0</v>
      </c>
      <c r="AF55" s="68">
        <v>0.37560000000000004</v>
      </c>
      <c r="AG55" s="68">
        <v>0.45710000000000001</v>
      </c>
      <c r="AH55" s="68">
        <v>0.61229999999999996</v>
      </c>
      <c r="AI55" s="68">
        <v>0.64129999999999998</v>
      </c>
      <c r="AJ55" s="68">
        <v>0.68770000000000009</v>
      </c>
      <c r="AK55" s="68">
        <v>0.71599999999999997</v>
      </c>
      <c r="AL55" s="68">
        <v>0.78310000000000002</v>
      </c>
      <c r="AM55" s="68">
        <v>0.72160000000000002</v>
      </c>
      <c r="AN55" s="68">
        <v>0.77729999999999999</v>
      </c>
      <c r="AO55" s="68">
        <v>0.85299999999999998</v>
      </c>
      <c r="AP55" s="68">
        <v>0.87409999999999999</v>
      </c>
      <c r="AQ55" s="68">
        <v>1.0224</v>
      </c>
      <c r="AR55" s="68">
        <v>1.2255999999999998</v>
      </c>
      <c r="AS55" s="68">
        <v>1.5201</v>
      </c>
      <c r="AT55" s="68">
        <v>1.9062000000000001</v>
      </c>
      <c r="AU55" s="68">
        <v>1.9358</v>
      </c>
      <c r="AV55" s="68">
        <v>2.0559000000000003</v>
      </c>
      <c r="AW55" s="68">
        <v>2.1398999999999999</v>
      </c>
      <c r="AX55" s="68">
        <v>2.2180999999999997</v>
      </c>
      <c r="AY55" s="68">
        <v>2.2258</v>
      </c>
      <c r="AZ55" s="68">
        <v>2.2259000000000002</v>
      </c>
      <c r="BA55" s="68">
        <v>1.9635</v>
      </c>
      <c r="BB55" s="68">
        <v>2.2174999999999998</v>
      </c>
      <c r="BC55" s="68">
        <v>2.3461999999999996</v>
      </c>
      <c r="BD55" s="68">
        <v>2.194</v>
      </c>
      <c r="BE55" s="68">
        <v>1.5259</v>
      </c>
      <c r="BF55" s="68">
        <v>1.3685999999999998</v>
      </c>
      <c r="BG55" s="68">
        <v>1.5667</v>
      </c>
      <c r="BH55" s="68">
        <v>1.421</v>
      </c>
      <c r="BI55" s="68">
        <v>1.369</v>
      </c>
      <c r="BJ55" s="68">
        <v>1.284</v>
      </c>
      <c r="BK55" s="68">
        <v>1.2</v>
      </c>
      <c r="BL55" s="68">
        <v>1.1739999999999999</v>
      </c>
      <c r="BM55" s="68"/>
      <c r="BN55" s="68"/>
    </row>
    <row r="56" spans="1:66" x14ac:dyDescent="0.2">
      <c r="A56" t="s">
        <v>312</v>
      </c>
      <c r="B56" s="80" t="s">
        <v>313</v>
      </c>
      <c r="C56" s="68">
        <v>0</v>
      </c>
      <c r="D56" s="68">
        <v>0</v>
      </c>
      <c r="E56" s="68">
        <v>0</v>
      </c>
      <c r="F56" s="68">
        <v>0</v>
      </c>
      <c r="G56" s="68">
        <v>0</v>
      </c>
      <c r="H56" s="68">
        <v>0</v>
      </c>
      <c r="I56" s="68">
        <v>0</v>
      </c>
      <c r="J56" s="68">
        <v>0</v>
      </c>
      <c r="K56" s="68">
        <v>0</v>
      </c>
      <c r="L56" s="68">
        <v>0</v>
      </c>
      <c r="M56" s="68">
        <v>0</v>
      </c>
      <c r="N56" s="68">
        <v>0</v>
      </c>
      <c r="O56" s="68">
        <v>0</v>
      </c>
      <c r="P56" s="68">
        <v>0</v>
      </c>
      <c r="Q56" s="68">
        <v>0</v>
      </c>
      <c r="R56" s="68">
        <v>0</v>
      </c>
      <c r="S56" s="68">
        <v>0</v>
      </c>
      <c r="T56" s="68">
        <v>0</v>
      </c>
      <c r="U56" s="68">
        <v>0</v>
      </c>
      <c r="V56" s="68">
        <v>0</v>
      </c>
      <c r="W56" s="68">
        <v>0</v>
      </c>
      <c r="X56" s="68">
        <v>0</v>
      </c>
      <c r="Y56" s="68">
        <v>0</v>
      </c>
      <c r="Z56" s="68">
        <v>0</v>
      </c>
      <c r="AA56" s="68">
        <v>0</v>
      </c>
      <c r="AB56" s="68">
        <v>0</v>
      </c>
      <c r="AC56" s="68">
        <v>0</v>
      </c>
      <c r="AD56" s="68">
        <v>0</v>
      </c>
      <c r="AE56" s="68">
        <v>0</v>
      </c>
      <c r="AF56" s="68">
        <v>6.4207000000000001</v>
      </c>
      <c r="AG56" s="68">
        <v>7.1718000000000002</v>
      </c>
      <c r="AH56" s="68">
        <v>7.7172999999999998</v>
      </c>
      <c r="AI56" s="68">
        <v>8.5830000000000002</v>
      </c>
      <c r="AJ56" s="68">
        <v>9.9380000000000006</v>
      </c>
      <c r="AK56" s="68">
        <v>10.752600000000001</v>
      </c>
      <c r="AL56" s="68">
        <v>11.7623</v>
      </c>
      <c r="AM56" s="68">
        <v>12.6302</v>
      </c>
      <c r="AN56" s="68">
        <v>13.521799999999999</v>
      </c>
      <c r="AO56" s="68">
        <v>13.6998</v>
      </c>
      <c r="AP56" s="68">
        <v>14.691600000000001</v>
      </c>
      <c r="AQ56" s="68">
        <v>15.919700000000001</v>
      </c>
      <c r="AR56" s="68">
        <v>17.279199999999999</v>
      </c>
      <c r="AS56" s="68">
        <v>17.2835</v>
      </c>
      <c r="AT56" s="68">
        <v>18.177299999999999</v>
      </c>
      <c r="AU56" s="68">
        <v>17.024099999999997</v>
      </c>
      <c r="AV56" s="68">
        <v>16.038799999999998</v>
      </c>
      <c r="AW56" s="68">
        <v>16.647599999999997</v>
      </c>
      <c r="AX56" s="68">
        <v>16.551299999999998</v>
      </c>
      <c r="AY56" s="68">
        <v>15.235700000000001</v>
      </c>
      <c r="AZ56" s="68">
        <v>17.593299999999999</v>
      </c>
      <c r="BA56" s="68">
        <v>17.297699999999999</v>
      </c>
      <c r="BB56" s="68">
        <v>19.882300000000001</v>
      </c>
      <c r="BC56" s="68">
        <v>21.9709</v>
      </c>
      <c r="BD56" s="68">
        <v>24.256400000000003</v>
      </c>
      <c r="BE56" s="68">
        <v>23.718900000000001</v>
      </c>
      <c r="BF56" s="68">
        <v>24.259400000000003</v>
      </c>
      <c r="BG56" s="68">
        <v>24.903099999999998</v>
      </c>
      <c r="BH56" s="68">
        <v>26.29251</v>
      </c>
      <c r="BI56" s="68">
        <v>29.615580000000001</v>
      </c>
      <c r="BJ56" s="68">
        <v>31.945</v>
      </c>
      <c r="BK56" s="68">
        <v>30.03</v>
      </c>
      <c r="BL56" s="68">
        <v>29.474</v>
      </c>
      <c r="BM56" s="68"/>
      <c r="BN56" s="68"/>
    </row>
    <row r="57" spans="1:66" x14ac:dyDescent="0.2">
      <c r="A57" t="s">
        <v>268</v>
      </c>
      <c r="B57" s="80" t="s">
        <v>6</v>
      </c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  <c r="BM57" s="68"/>
      <c r="BN57" s="68"/>
    </row>
    <row r="58" spans="1:66" x14ac:dyDescent="0.2">
      <c r="A58" t="s">
        <v>314</v>
      </c>
      <c r="B58" s="80" t="s">
        <v>315</v>
      </c>
      <c r="C58" s="68">
        <v>0.25259999999999999</v>
      </c>
      <c r="D58" s="68">
        <v>0.35270000000000001</v>
      </c>
      <c r="E58" s="68">
        <v>0.39700000000000002</v>
      </c>
      <c r="F58" s="68">
        <v>0.50929999999999997</v>
      </c>
      <c r="G58" s="68">
        <v>0.68100000000000005</v>
      </c>
      <c r="H58" s="68">
        <v>0.61260000000000003</v>
      </c>
      <c r="I58" s="68">
        <v>0.55900000000000005</v>
      </c>
      <c r="J58" s="68">
        <v>0.73380000000000001</v>
      </c>
      <c r="K58" s="68">
        <v>0.86770000000000003</v>
      </c>
      <c r="L58" s="68">
        <v>1.1040999999999999</v>
      </c>
      <c r="M58" s="68">
        <v>1.2699</v>
      </c>
      <c r="N58" s="68">
        <v>1.2827999999999999</v>
      </c>
      <c r="O58" s="68">
        <v>1.4027000000000001</v>
      </c>
      <c r="P58" s="68">
        <v>1.5098</v>
      </c>
      <c r="Q58" s="68">
        <v>1.7450999999999999</v>
      </c>
      <c r="R58" s="68">
        <v>2.2519</v>
      </c>
      <c r="S58" s="68">
        <v>2.5611999999999999</v>
      </c>
      <c r="T58" s="68">
        <v>2.8266999999999998</v>
      </c>
      <c r="U58" s="68">
        <v>2.8775999999999997</v>
      </c>
      <c r="V58" s="68">
        <v>3.5913000000000004</v>
      </c>
      <c r="W58" s="68">
        <v>4.1639999999999997</v>
      </c>
      <c r="X58" s="68">
        <v>4.5028000000000006</v>
      </c>
      <c r="Y58" s="68">
        <v>4.7309999999999999</v>
      </c>
      <c r="Z58" s="68">
        <v>5.4451999999999998</v>
      </c>
      <c r="AA58" s="68">
        <v>5.7122999999999999</v>
      </c>
      <c r="AB58" s="68">
        <v>7.7222</v>
      </c>
      <c r="AC58" s="68">
        <v>8.2454999999999998</v>
      </c>
      <c r="AD58" s="68">
        <v>10.828700000000001</v>
      </c>
      <c r="AE58" s="68">
        <v>12.7959</v>
      </c>
      <c r="AF58" s="68">
        <v>14.4086</v>
      </c>
      <c r="AG58" s="68">
        <v>17.157700000000002</v>
      </c>
      <c r="AH58" s="68">
        <v>20.591699999999999</v>
      </c>
      <c r="AI58" s="68">
        <v>23.826599999999999</v>
      </c>
      <c r="AJ58" s="68">
        <v>27.607800000000001</v>
      </c>
      <c r="AK58" s="68">
        <v>32.162099999999995</v>
      </c>
      <c r="AL58" s="68">
        <v>36.149800000000006</v>
      </c>
      <c r="AM58" s="68">
        <v>36.820599999999999</v>
      </c>
      <c r="AN58" s="68">
        <v>37.940100000000001</v>
      </c>
      <c r="AO58" s="68">
        <v>40.3979</v>
      </c>
      <c r="AP58" s="68">
        <v>39.804900000000004</v>
      </c>
      <c r="AQ58" s="68">
        <v>41.517800000000001</v>
      </c>
      <c r="AR58" s="68">
        <v>48.035899999999998</v>
      </c>
      <c r="AS58" s="68">
        <v>53.173400000000001</v>
      </c>
      <c r="AT58" s="68">
        <v>57.33</v>
      </c>
      <c r="AU58" s="68">
        <v>59.106999999999999</v>
      </c>
      <c r="AV58" s="68">
        <v>61.808599999999998</v>
      </c>
      <c r="AW58" s="68">
        <v>62.878599999999999</v>
      </c>
      <c r="AX58" s="68">
        <v>67.319000000000003</v>
      </c>
      <c r="AY58" s="68">
        <v>74.111000000000004</v>
      </c>
      <c r="AZ58" s="68">
        <v>105.60299999999999</v>
      </c>
      <c r="BA58" s="68">
        <v>112.85299999999999</v>
      </c>
      <c r="BB58" s="68">
        <v>120.843</v>
      </c>
      <c r="BC58" s="68">
        <v>123.60599999999999</v>
      </c>
      <c r="BD58" s="68">
        <v>122.608</v>
      </c>
      <c r="BE58" s="68">
        <v>126.577</v>
      </c>
      <c r="BF58" s="68">
        <v>129.95099999999999</v>
      </c>
      <c r="BG58" s="68">
        <v>136.84100000000001</v>
      </c>
      <c r="BH58" s="68">
        <v>140.011</v>
      </c>
      <c r="BI58" s="68">
        <v>140.60499999999999</v>
      </c>
      <c r="BJ58" s="68">
        <v>148.143</v>
      </c>
      <c r="BK58" s="68">
        <v>139.87200000000001</v>
      </c>
      <c r="BL58" s="68">
        <v>142.15100000000001</v>
      </c>
      <c r="BM58" s="68">
        <f>BH58+BH59</f>
        <v>157.53700000000001</v>
      </c>
      <c r="BN58" s="68"/>
    </row>
    <row r="59" spans="1:66" x14ac:dyDescent="0.2">
      <c r="A59" t="s">
        <v>316</v>
      </c>
      <c r="B59" s="80" t="s">
        <v>317</v>
      </c>
      <c r="C59" s="68">
        <v>4.8100000000000004E-2</v>
      </c>
      <c r="D59" s="68">
        <v>5.3700000000000005E-2</v>
      </c>
      <c r="E59" s="68">
        <v>5.8000000000000003E-2</v>
      </c>
      <c r="F59" s="68">
        <v>6.7599999999999993E-2</v>
      </c>
      <c r="G59" s="68">
        <v>7.3099999999999998E-2</v>
      </c>
      <c r="H59" s="68">
        <v>9.0400000000000008E-2</v>
      </c>
      <c r="I59" s="68">
        <v>0.10440000000000001</v>
      </c>
      <c r="J59" s="68">
        <v>0.1062</v>
      </c>
      <c r="K59" s="68">
        <v>0.12429999999999999</v>
      </c>
      <c r="L59" s="68">
        <v>0.1699</v>
      </c>
      <c r="M59" s="68">
        <v>0.19969999999999999</v>
      </c>
      <c r="N59" s="68">
        <v>0.2288</v>
      </c>
      <c r="O59" s="68">
        <v>0.25519999999999998</v>
      </c>
      <c r="P59" s="68">
        <v>0.29099999999999998</v>
      </c>
      <c r="Q59" s="68">
        <v>0.32330000000000003</v>
      </c>
      <c r="R59" s="68">
        <v>0.35880000000000001</v>
      </c>
      <c r="S59" s="68">
        <v>0.38439999999999996</v>
      </c>
      <c r="T59" s="68">
        <v>0.43269999999999997</v>
      </c>
      <c r="U59" s="68">
        <v>0.45100000000000001</v>
      </c>
      <c r="V59" s="68">
        <v>0.53979999999999995</v>
      </c>
      <c r="W59" s="68">
        <v>0.63679999999999992</v>
      </c>
      <c r="X59" s="68">
        <v>0.6351</v>
      </c>
      <c r="Y59" s="68">
        <v>0.66489999999999994</v>
      </c>
      <c r="Z59" s="68">
        <v>0.73720000000000008</v>
      </c>
      <c r="AA59" s="68">
        <v>1.1433</v>
      </c>
      <c r="AB59" s="68">
        <v>0.53179999999999994</v>
      </c>
      <c r="AC59" s="68">
        <v>1.5130999999999999</v>
      </c>
      <c r="AD59" s="68">
        <v>1.8804000000000001</v>
      </c>
      <c r="AE59" s="68">
        <v>1.9641999999999999</v>
      </c>
      <c r="AF59" s="68">
        <v>2.2139000000000002</v>
      </c>
      <c r="AG59" s="68">
        <v>2.5003000000000002</v>
      </c>
      <c r="AH59" s="68">
        <v>2.9551999999999996</v>
      </c>
      <c r="AI59" s="68">
        <v>3.2958000000000003</v>
      </c>
      <c r="AJ59" s="68">
        <v>4.1745000000000001</v>
      </c>
      <c r="AK59" s="68">
        <v>5.0913999999999993</v>
      </c>
      <c r="AL59" s="68">
        <v>6.2431999999999999</v>
      </c>
      <c r="AM59" s="68">
        <v>7.1071999999999997</v>
      </c>
      <c r="AN59" s="68">
        <v>7.7318999999999996</v>
      </c>
      <c r="AO59" s="68">
        <v>7.3944999999999999</v>
      </c>
      <c r="AP59" s="68">
        <v>7.4923000000000002</v>
      </c>
      <c r="AQ59" s="68">
        <v>8.9184999999999999</v>
      </c>
      <c r="AR59" s="68">
        <v>9.0553999999999988</v>
      </c>
      <c r="AS59" s="68">
        <v>10.2089</v>
      </c>
      <c r="AT59" s="68">
        <v>10.8589</v>
      </c>
      <c r="AU59" s="68">
        <v>11.153</v>
      </c>
      <c r="AV59" s="68">
        <v>11.983000000000001</v>
      </c>
      <c r="AW59" s="68">
        <v>12.388999999999999</v>
      </c>
      <c r="AX59" s="68">
        <v>13.343</v>
      </c>
      <c r="AY59" s="68">
        <v>13.645</v>
      </c>
      <c r="AZ59" s="68">
        <v>14.066000000000001</v>
      </c>
      <c r="BA59" s="68">
        <v>14.718999999999999</v>
      </c>
      <c r="BB59" s="68">
        <v>12.365</v>
      </c>
      <c r="BC59" s="68">
        <v>12.868</v>
      </c>
      <c r="BD59" s="68">
        <v>13.362</v>
      </c>
      <c r="BE59" s="68">
        <v>13.824999999999999</v>
      </c>
      <c r="BF59" s="68">
        <v>14.651999999999999</v>
      </c>
      <c r="BG59" s="68">
        <v>15.977</v>
      </c>
      <c r="BH59" s="68">
        <v>17.526</v>
      </c>
      <c r="BI59" s="68">
        <v>18.908000000000001</v>
      </c>
      <c r="BJ59" s="68">
        <v>19.283999999999999</v>
      </c>
      <c r="BK59" s="68">
        <v>19.879000000000001</v>
      </c>
      <c r="BL59" s="68">
        <v>21.596</v>
      </c>
      <c r="BM59" s="68"/>
      <c r="BN59" s="68"/>
    </row>
    <row r="60" spans="1:66" x14ac:dyDescent="0.2">
      <c r="A60" t="s">
        <v>318</v>
      </c>
      <c r="B60" s="80" t="s">
        <v>319</v>
      </c>
      <c r="C60" s="68">
        <v>0.73750000000000004</v>
      </c>
      <c r="D60" s="68">
        <v>0.82410000000000005</v>
      </c>
      <c r="E60" s="68">
        <v>1.0652999999999999</v>
      </c>
      <c r="F60" s="68">
        <v>1.3227</v>
      </c>
      <c r="G60" s="68">
        <v>1.3924000000000001</v>
      </c>
      <c r="H60" s="68">
        <v>1.5392000000000001</v>
      </c>
      <c r="I60" s="68">
        <v>1.6597999999999999</v>
      </c>
      <c r="J60" s="68">
        <v>1.9307999999999998</v>
      </c>
      <c r="K60" s="68">
        <v>2.1280999999999999</v>
      </c>
      <c r="L60" s="68">
        <v>2.4725000000000001</v>
      </c>
      <c r="M60" s="68">
        <v>2.8079999999999998</v>
      </c>
      <c r="N60" s="68">
        <v>3.0973000000000002</v>
      </c>
      <c r="O60" s="68">
        <v>3.7191999999999998</v>
      </c>
      <c r="P60" s="68">
        <v>4.2796000000000003</v>
      </c>
      <c r="Q60" s="68">
        <v>4.9806999999999997</v>
      </c>
      <c r="R60" s="68">
        <v>5.6615000000000002</v>
      </c>
      <c r="S60" s="68">
        <v>6.202</v>
      </c>
      <c r="T60" s="68">
        <v>6.7156000000000002</v>
      </c>
      <c r="U60" s="68">
        <v>7.4703999999999997</v>
      </c>
      <c r="V60" s="68">
        <v>8.9227000000000007</v>
      </c>
      <c r="W60" s="68">
        <v>10.4354</v>
      </c>
      <c r="X60" s="68">
        <v>11.9634</v>
      </c>
      <c r="Y60" s="68">
        <v>13.5169</v>
      </c>
      <c r="Z60" s="68">
        <v>15.0289</v>
      </c>
      <c r="AA60" s="68">
        <v>17.1875</v>
      </c>
      <c r="AB60" s="68">
        <v>20.705500000000001</v>
      </c>
      <c r="AC60" s="68">
        <v>25.717700000000001</v>
      </c>
      <c r="AD60" s="68">
        <v>30.309099999999997</v>
      </c>
      <c r="AE60" s="68">
        <v>35.307300000000005</v>
      </c>
      <c r="AF60" s="68">
        <v>39.706800000000001</v>
      </c>
      <c r="AG60" s="68">
        <v>46.729300000000002</v>
      </c>
      <c r="AH60" s="68">
        <v>53.001400000000004</v>
      </c>
      <c r="AI60" s="68">
        <v>59.726399999999998</v>
      </c>
      <c r="AJ60" s="68">
        <v>70.120699999999999</v>
      </c>
      <c r="AK60" s="68">
        <v>78.6614</v>
      </c>
      <c r="AL60" s="68">
        <v>85.484700000000004</v>
      </c>
      <c r="AM60" s="68">
        <v>91.613399999999999</v>
      </c>
      <c r="AN60" s="68">
        <v>95.537999999999997</v>
      </c>
      <c r="AO60" s="68">
        <v>100.80460000000001</v>
      </c>
      <c r="AP60" s="68">
        <v>107.5445</v>
      </c>
      <c r="AQ60" s="68">
        <v>115.0295</v>
      </c>
      <c r="AR60" s="68">
        <v>121.3305</v>
      </c>
      <c r="AS60" s="68">
        <v>125.5813</v>
      </c>
      <c r="AT60" s="68">
        <v>131.58829999999998</v>
      </c>
      <c r="AU60" s="68">
        <v>133.30189999999999</v>
      </c>
      <c r="AV60" s="68">
        <v>136.09700000000001</v>
      </c>
      <c r="AW60" s="68">
        <v>139.41629999999998</v>
      </c>
      <c r="AX60" s="68">
        <v>142.1541</v>
      </c>
      <c r="AY60" s="68">
        <v>146.66329999999999</v>
      </c>
      <c r="AZ60" s="68">
        <v>150.7276</v>
      </c>
      <c r="BA60" s="68">
        <v>158.07320000000001</v>
      </c>
      <c r="BB60" s="68">
        <v>163.5736</v>
      </c>
      <c r="BC60" s="68">
        <v>169.73229999999998</v>
      </c>
      <c r="BD60" s="68">
        <v>176.20310000000001</v>
      </c>
      <c r="BE60" s="68">
        <v>182.5361</v>
      </c>
      <c r="BF60" s="68">
        <v>188.03049999999999</v>
      </c>
      <c r="BG60" s="68">
        <v>196.02270000000001</v>
      </c>
      <c r="BH60" s="68">
        <v>206.33199999999999</v>
      </c>
      <c r="BI60" s="68">
        <v>213.63729999999998</v>
      </c>
      <c r="BJ60" s="68">
        <v>219.79</v>
      </c>
      <c r="BK60" s="68">
        <v>220.154</v>
      </c>
      <c r="BL60" s="68">
        <v>224.53899999999999</v>
      </c>
      <c r="BM60" s="68"/>
      <c r="BN60" s="68"/>
    </row>
    <row r="61" spans="1:66" x14ac:dyDescent="0.2">
      <c r="A61" t="s">
        <v>320</v>
      </c>
      <c r="B61" s="80" t="s">
        <v>321</v>
      </c>
      <c r="C61" s="68">
        <v>0.24959999999999999</v>
      </c>
      <c r="D61" s="68">
        <v>0.28139999999999998</v>
      </c>
      <c r="E61" s="68">
        <v>0.35310000000000002</v>
      </c>
      <c r="F61" s="68">
        <v>0.45469999999999999</v>
      </c>
      <c r="G61" s="68">
        <v>0.49310000000000004</v>
      </c>
      <c r="H61" s="68">
        <v>0.52229999999999999</v>
      </c>
      <c r="I61" s="68">
        <v>0.57229999999999992</v>
      </c>
      <c r="J61" s="68">
        <v>0.60489999999999999</v>
      </c>
      <c r="K61" s="68">
        <v>0.69210000000000005</v>
      </c>
      <c r="L61" s="68">
        <v>0.84650000000000003</v>
      </c>
      <c r="M61" s="68">
        <v>0.9647</v>
      </c>
      <c r="N61" s="68">
        <v>1.0418000000000001</v>
      </c>
      <c r="O61" s="68">
        <v>1.1918</v>
      </c>
      <c r="P61" s="68">
        <v>1.3665</v>
      </c>
      <c r="Q61" s="68">
        <v>1.649</v>
      </c>
      <c r="R61" s="68">
        <v>1.8367</v>
      </c>
      <c r="S61" s="68">
        <v>2.0165000000000002</v>
      </c>
      <c r="T61" s="68">
        <v>2.1760000000000002</v>
      </c>
      <c r="U61" s="68">
        <v>2.4316999999999998</v>
      </c>
      <c r="V61" s="68">
        <v>2.7890000000000001</v>
      </c>
      <c r="W61" s="68">
        <v>3.2391999999999999</v>
      </c>
      <c r="X61" s="68">
        <v>3.5400999999999998</v>
      </c>
      <c r="Y61" s="68">
        <v>4.0343999999999998</v>
      </c>
      <c r="Z61" s="68">
        <v>4.8326000000000002</v>
      </c>
      <c r="AA61" s="68">
        <v>5.7335000000000003</v>
      </c>
      <c r="AB61" s="68">
        <v>6.8438999999999997</v>
      </c>
      <c r="AC61" s="68">
        <v>8.4957000000000011</v>
      </c>
      <c r="AD61" s="68">
        <v>10.7151</v>
      </c>
      <c r="AE61" s="68">
        <v>12.741700000000002</v>
      </c>
      <c r="AF61" s="68">
        <v>14.5311</v>
      </c>
      <c r="AG61" s="68">
        <v>18.830299999999998</v>
      </c>
      <c r="AH61" s="68">
        <v>22.793200000000002</v>
      </c>
      <c r="AI61" s="68">
        <v>25.283999999999999</v>
      </c>
      <c r="AJ61" s="68">
        <v>30.5153</v>
      </c>
      <c r="AK61" s="68">
        <v>35.0747</v>
      </c>
      <c r="AL61" s="68">
        <v>40.587800000000001</v>
      </c>
      <c r="AM61" s="68">
        <v>43.680199999999999</v>
      </c>
      <c r="AN61" s="68">
        <v>46.877000000000002</v>
      </c>
      <c r="AO61" s="68">
        <v>51.439</v>
      </c>
      <c r="AP61" s="68">
        <v>55.734000000000002</v>
      </c>
      <c r="AQ61" s="68">
        <v>62.293099999999995</v>
      </c>
      <c r="AR61" s="68">
        <v>66.533299999999997</v>
      </c>
      <c r="AS61" s="68">
        <v>69.241900000000001</v>
      </c>
      <c r="AT61" s="68">
        <v>72.732399999999998</v>
      </c>
      <c r="AU61" s="68">
        <v>75.643699999999995</v>
      </c>
      <c r="AV61" s="68">
        <v>77.770699999999991</v>
      </c>
      <c r="AW61" s="68">
        <v>81.234200000000001</v>
      </c>
      <c r="AX61" s="68">
        <v>84.462600000000009</v>
      </c>
      <c r="AY61" s="68">
        <v>82.617999999999995</v>
      </c>
      <c r="AZ61" s="68">
        <v>66.0017</v>
      </c>
      <c r="BA61" s="68">
        <v>69.410899999999998</v>
      </c>
      <c r="BB61" s="68">
        <v>72.858199999999997</v>
      </c>
      <c r="BC61" s="68">
        <v>76.638800000000003</v>
      </c>
      <c r="BD61" s="68">
        <v>81.2333</v>
      </c>
      <c r="BE61" s="68">
        <v>84.294399999999996</v>
      </c>
      <c r="BF61" s="68">
        <v>87.538600000000002</v>
      </c>
      <c r="BG61" s="68">
        <v>91.62530000000001</v>
      </c>
      <c r="BH61" s="68">
        <v>97.527000000000001</v>
      </c>
      <c r="BI61" s="68">
        <v>100.72314</v>
      </c>
      <c r="BJ61" s="68">
        <v>102.28400000000001</v>
      </c>
      <c r="BK61" s="68">
        <v>103.16200000000001</v>
      </c>
      <c r="BL61" s="68">
        <v>105.083</v>
      </c>
      <c r="BM61" s="68"/>
      <c r="BN61" s="68"/>
    </row>
    <row r="62" spans="1:66" x14ac:dyDescent="0.2">
      <c r="A62" t="s">
        <v>322</v>
      </c>
      <c r="B62" s="80" t="s">
        <v>323</v>
      </c>
      <c r="C62" s="68">
        <v>3.1600000000000003E-2</v>
      </c>
      <c r="D62" s="68">
        <v>4.6700000000000005E-2</v>
      </c>
      <c r="E62" s="68">
        <v>6.3399999999999998E-2</v>
      </c>
      <c r="F62" s="68">
        <v>7.8799999999999995E-2</v>
      </c>
      <c r="G62" s="68">
        <v>0.11890000000000001</v>
      </c>
      <c r="H62" s="68">
        <v>0.12670000000000001</v>
      </c>
      <c r="I62" s="68">
        <v>0.13980000000000001</v>
      </c>
      <c r="J62" s="68">
        <v>0.15659999999999999</v>
      </c>
      <c r="K62" s="68">
        <v>0.193</v>
      </c>
      <c r="L62" s="68">
        <v>0.2132</v>
      </c>
      <c r="M62" s="68">
        <v>0.24580000000000002</v>
      </c>
      <c r="N62" s="68">
        <v>0.26180000000000003</v>
      </c>
      <c r="O62" s="68">
        <v>0.33160000000000001</v>
      </c>
      <c r="P62" s="68">
        <v>0.39750000000000002</v>
      </c>
      <c r="Q62" s="68">
        <v>0.4924</v>
      </c>
      <c r="R62" s="68">
        <v>0.57720000000000005</v>
      </c>
      <c r="S62" s="68">
        <v>0.6341</v>
      </c>
      <c r="T62" s="68">
        <v>0.77379999999999993</v>
      </c>
      <c r="U62" s="68">
        <v>0.86460000000000004</v>
      </c>
      <c r="V62" s="68">
        <v>0.90410000000000001</v>
      </c>
      <c r="W62" s="68">
        <v>1.1107</v>
      </c>
      <c r="X62" s="68">
        <v>1.1870000000000001</v>
      </c>
      <c r="Y62" s="68">
        <v>1.3177000000000001</v>
      </c>
      <c r="Z62" s="68">
        <v>1.4607000000000001</v>
      </c>
      <c r="AA62" s="68">
        <v>1.56</v>
      </c>
      <c r="AB62" s="68">
        <v>1.8148</v>
      </c>
      <c r="AC62" s="68">
        <v>2.1791999999999998</v>
      </c>
      <c r="AD62" s="68">
        <v>2.6594000000000002</v>
      </c>
      <c r="AE62" s="68">
        <v>3.2251999999999996</v>
      </c>
      <c r="AF62" s="68">
        <v>3.7825000000000002</v>
      </c>
      <c r="AG62" s="68">
        <v>4.7880000000000003</v>
      </c>
      <c r="AH62" s="68">
        <v>5.6618999999999993</v>
      </c>
      <c r="AI62" s="68">
        <v>6.5326000000000004</v>
      </c>
      <c r="AJ62" s="68">
        <v>7.7652999999999999</v>
      </c>
      <c r="AK62" s="68">
        <v>9.0739000000000001</v>
      </c>
      <c r="AL62" s="68">
        <v>10.1165</v>
      </c>
      <c r="AM62" s="68">
        <v>10.926</v>
      </c>
      <c r="AN62" s="68">
        <v>11.6212</v>
      </c>
      <c r="AO62" s="68">
        <v>12.4945</v>
      </c>
      <c r="AP62" s="68">
        <v>13.5501</v>
      </c>
      <c r="AQ62" s="68">
        <v>14.8055</v>
      </c>
      <c r="AR62" s="68">
        <v>15.6113</v>
      </c>
      <c r="AS62" s="68">
        <v>16.391599999999997</v>
      </c>
      <c r="AT62" s="68">
        <v>16.6831</v>
      </c>
      <c r="AU62" s="68">
        <v>16.636400000000002</v>
      </c>
      <c r="AV62" s="68">
        <v>16.4315</v>
      </c>
      <c r="AW62" s="68">
        <v>17.198</v>
      </c>
      <c r="AX62" s="68">
        <v>19.274699999999999</v>
      </c>
      <c r="AY62" s="68">
        <v>19.0639</v>
      </c>
      <c r="AZ62" s="68">
        <v>14.502799999999999</v>
      </c>
      <c r="BA62" s="68">
        <v>15.138399999999999</v>
      </c>
      <c r="BB62" s="68">
        <v>16.004799999999999</v>
      </c>
      <c r="BC62" s="68">
        <v>17.489900000000002</v>
      </c>
      <c r="BD62" s="68">
        <v>17.900599999999997</v>
      </c>
      <c r="BE62" s="68">
        <v>19.433599999999998</v>
      </c>
      <c r="BF62" s="68">
        <v>20.603900000000003</v>
      </c>
      <c r="BG62" s="68">
        <v>21.847099999999998</v>
      </c>
      <c r="BH62" s="68">
        <v>23.545000000000002</v>
      </c>
      <c r="BI62" s="68">
        <v>24.234999999999999</v>
      </c>
      <c r="BJ62" s="68">
        <v>25.672999999999998</v>
      </c>
      <c r="BK62" s="68">
        <v>26.867999999999999</v>
      </c>
      <c r="BL62" s="68">
        <v>27.341000000000001</v>
      </c>
      <c r="BM62" s="68"/>
      <c r="BN62" s="68"/>
    </row>
    <row r="63" spans="1:66" x14ac:dyDescent="0.2">
      <c r="A63" t="s">
        <v>60</v>
      </c>
      <c r="B63" s="80" t="s">
        <v>324</v>
      </c>
      <c r="C63" s="68">
        <v>0.37269999999999998</v>
      </c>
      <c r="D63" s="68">
        <v>0.50460000000000005</v>
      </c>
      <c r="E63" s="68">
        <v>0.59189999999999998</v>
      </c>
      <c r="F63" s="68">
        <v>0.6542</v>
      </c>
      <c r="G63" s="68">
        <v>0.68770000000000009</v>
      </c>
      <c r="H63" s="68">
        <v>0.73450000000000004</v>
      </c>
      <c r="I63" s="68">
        <v>0.84939999999999993</v>
      </c>
      <c r="J63" s="68">
        <v>0.93479999999999996</v>
      </c>
      <c r="K63" s="68">
        <v>1.0109999999999999</v>
      </c>
      <c r="L63" s="68">
        <v>1.1012999999999999</v>
      </c>
      <c r="M63" s="68">
        <v>1.2384000000000002</v>
      </c>
      <c r="N63" s="68">
        <v>1.3362000000000001</v>
      </c>
      <c r="O63" s="68">
        <v>1.4807000000000001</v>
      </c>
      <c r="P63" s="68">
        <v>1.6962999999999999</v>
      </c>
      <c r="Q63" s="68">
        <v>1.9592000000000001</v>
      </c>
      <c r="R63" s="68">
        <v>2.1578000000000004</v>
      </c>
      <c r="S63" s="68">
        <v>2.3889999999999998</v>
      </c>
      <c r="T63" s="68">
        <v>2.5636999999999999</v>
      </c>
      <c r="U63" s="68">
        <v>2.7395</v>
      </c>
      <c r="V63" s="68">
        <v>2.6008</v>
      </c>
      <c r="W63" s="68">
        <v>2.8891</v>
      </c>
      <c r="X63" s="68">
        <v>3.0463</v>
      </c>
      <c r="Y63" s="68">
        <v>3.3820999999999999</v>
      </c>
      <c r="Z63" s="68">
        <v>3.7679</v>
      </c>
      <c r="AA63" s="68">
        <v>4.2206999999999999</v>
      </c>
      <c r="AB63" s="68">
        <v>4.9878999999999998</v>
      </c>
      <c r="AC63" s="68">
        <v>5.9660000000000002</v>
      </c>
      <c r="AD63" s="68">
        <v>7.0963000000000003</v>
      </c>
      <c r="AE63" s="68">
        <v>7.9888000000000003</v>
      </c>
      <c r="AF63" s="68">
        <v>9.4306999999999999</v>
      </c>
      <c r="AG63" s="68">
        <v>10.4405</v>
      </c>
      <c r="AH63" s="68">
        <v>12.069000000000001</v>
      </c>
      <c r="AI63" s="68">
        <v>13.863299999999999</v>
      </c>
      <c r="AJ63" s="68">
        <v>16.146000000000001</v>
      </c>
      <c r="AK63" s="68">
        <v>17.818900000000003</v>
      </c>
      <c r="AL63" s="68">
        <v>19.356400000000001</v>
      </c>
      <c r="AM63" s="68">
        <v>20.8019</v>
      </c>
      <c r="AN63" s="68">
        <v>22.360900000000001</v>
      </c>
      <c r="AO63" s="68">
        <v>22.981000000000002</v>
      </c>
      <c r="AP63" s="68">
        <v>24.1022</v>
      </c>
      <c r="AQ63" s="68">
        <v>24.889400000000002</v>
      </c>
      <c r="AR63" s="68">
        <v>26.288599999999999</v>
      </c>
      <c r="AS63" s="68">
        <v>27.6557</v>
      </c>
      <c r="AT63" s="68">
        <v>29.719099999999997</v>
      </c>
      <c r="AU63" s="68">
        <v>30.848700000000001</v>
      </c>
      <c r="AV63" s="68">
        <v>31.499500000000001</v>
      </c>
      <c r="AW63" s="68">
        <v>32.898499999999999</v>
      </c>
      <c r="AX63" s="68">
        <v>34.854699999999994</v>
      </c>
      <c r="AY63" s="68">
        <v>34.290699999999994</v>
      </c>
      <c r="AZ63" s="68">
        <v>35.344999999999999</v>
      </c>
      <c r="BA63" s="68">
        <v>36.624499999999998</v>
      </c>
      <c r="BB63" s="68">
        <v>38.256699999999995</v>
      </c>
      <c r="BC63" s="68">
        <v>39.469499999999996</v>
      </c>
      <c r="BD63" s="68">
        <v>40.991099999999996</v>
      </c>
      <c r="BE63" s="68">
        <v>42.610500000000002</v>
      </c>
      <c r="BF63" s="68">
        <v>43.887999999999998</v>
      </c>
      <c r="BG63" s="68">
        <v>43.8611</v>
      </c>
      <c r="BH63" s="68">
        <v>42.741</v>
      </c>
      <c r="BI63" s="68">
        <v>44.942039999999999</v>
      </c>
      <c r="BJ63" s="68">
        <v>46.82</v>
      </c>
      <c r="BK63" s="68">
        <v>48.433999999999997</v>
      </c>
      <c r="BL63" s="68">
        <v>50.182000000000002</v>
      </c>
      <c r="BM63" s="68"/>
      <c r="BN63" s="68"/>
    </row>
    <row r="64" spans="1:66" x14ac:dyDescent="0.2">
      <c r="A64" t="s">
        <v>64</v>
      </c>
      <c r="B64" s="80" t="s">
        <v>325</v>
      </c>
      <c r="C64" s="68">
        <v>5.11E-2</v>
      </c>
      <c r="D64" s="68">
        <v>6.2799999999999995E-2</v>
      </c>
      <c r="E64" s="68">
        <v>7.0599999999999996E-2</v>
      </c>
      <c r="F64" s="68">
        <v>9.5400000000000013E-2</v>
      </c>
      <c r="G64" s="68">
        <v>0.1188</v>
      </c>
      <c r="H64" s="68">
        <v>0.13639999999999999</v>
      </c>
      <c r="I64" s="68">
        <v>0.1749</v>
      </c>
      <c r="J64" s="68">
        <v>0.2054</v>
      </c>
      <c r="K64" s="68">
        <v>0.2455</v>
      </c>
      <c r="L64" s="68">
        <v>0.28079999999999999</v>
      </c>
      <c r="M64" s="68">
        <v>0.31389999999999996</v>
      </c>
      <c r="N64" s="68">
        <v>0.34029999999999999</v>
      </c>
      <c r="O64" s="68">
        <v>0.39429999999999998</v>
      </c>
      <c r="P64" s="68">
        <v>0.4451</v>
      </c>
      <c r="Q64" s="68">
        <v>0.52960000000000007</v>
      </c>
      <c r="R64" s="68">
        <v>0.63639999999999997</v>
      </c>
      <c r="S64" s="68">
        <v>0.73329999999999995</v>
      </c>
      <c r="T64" s="68">
        <v>0.82199999999999995</v>
      </c>
      <c r="U64" s="68">
        <v>0.89370000000000005</v>
      </c>
      <c r="V64" s="68">
        <v>1.0185999999999999</v>
      </c>
      <c r="W64" s="68">
        <v>1.1413</v>
      </c>
      <c r="X64" s="68">
        <v>1.2755000000000001</v>
      </c>
      <c r="Y64" s="68">
        <v>1.5586</v>
      </c>
      <c r="Z64" s="68">
        <v>1.6910999999999998</v>
      </c>
      <c r="AA64" s="68">
        <v>1.8485</v>
      </c>
      <c r="AB64" s="68">
        <v>2.0585</v>
      </c>
      <c r="AC64" s="68">
        <v>2.4918</v>
      </c>
      <c r="AD64" s="68">
        <v>2.8845000000000001</v>
      </c>
      <c r="AE64" s="68">
        <v>3.2370999999999999</v>
      </c>
      <c r="AF64" s="68">
        <v>3.7010000000000001</v>
      </c>
      <c r="AG64" s="68">
        <v>4.4077000000000002</v>
      </c>
      <c r="AH64" s="68">
        <v>5.1258999999999997</v>
      </c>
      <c r="AI64" s="68">
        <v>6.1463000000000001</v>
      </c>
      <c r="AJ64" s="68">
        <v>7.6292999999999997</v>
      </c>
      <c r="AK64" s="68">
        <v>8.5652000000000008</v>
      </c>
      <c r="AL64" s="68">
        <v>9.4402000000000008</v>
      </c>
      <c r="AM64" s="68">
        <v>10.120799999999999</v>
      </c>
      <c r="AN64" s="68">
        <v>10.439399999999999</v>
      </c>
      <c r="AO64" s="68">
        <v>11.652899999999999</v>
      </c>
      <c r="AP64" s="68">
        <v>11.452200000000001</v>
      </c>
      <c r="AQ64" s="68">
        <v>11.418299999999999</v>
      </c>
      <c r="AR64" s="68">
        <v>14.827</v>
      </c>
      <c r="AS64" s="68">
        <v>14.665700000000001</v>
      </c>
      <c r="AT64" s="68">
        <v>16.684000000000001</v>
      </c>
      <c r="AU64" s="68">
        <v>17.3962</v>
      </c>
      <c r="AV64" s="68">
        <v>16.534800000000001</v>
      </c>
      <c r="AW64" s="68">
        <v>17.937200000000001</v>
      </c>
      <c r="AX64" s="68">
        <v>17.434000000000001</v>
      </c>
      <c r="AY64" s="68">
        <v>17.755599999999998</v>
      </c>
      <c r="AZ64" s="68">
        <v>18.371099999999998</v>
      </c>
      <c r="BA64" s="68">
        <v>18.362599999999997</v>
      </c>
      <c r="BB64" s="68">
        <v>17.848099999999999</v>
      </c>
      <c r="BC64" s="68">
        <v>19.491799999999998</v>
      </c>
      <c r="BD64" s="68">
        <v>20.2941</v>
      </c>
      <c r="BE64" s="68">
        <v>21.595800000000001</v>
      </c>
      <c r="BF64" s="68">
        <v>21.228000000000002</v>
      </c>
      <c r="BG64" s="68">
        <v>22.3142</v>
      </c>
      <c r="BH64" s="68">
        <v>22.643000000000001</v>
      </c>
      <c r="BI64" s="68">
        <v>23.068999999999999</v>
      </c>
      <c r="BJ64" s="68">
        <v>22.815999999999999</v>
      </c>
      <c r="BK64" s="68">
        <v>24.367000000000001</v>
      </c>
      <c r="BL64" s="68">
        <v>23.637</v>
      </c>
      <c r="BM64" s="68"/>
      <c r="BN64" s="68"/>
    </row>
    <row r="65" spans="1:66" x14ac:dyDescent="0.2">
      <c r="A65" t="s">
        <v>68</v>
      </c>
      <c r="B65" s="80" t="s">
        <v>326</v>
      </c>
      <c r="C65" s="68">
        <v>0.44889999999999997</v>
      </c>
      <c r="D65" s="68">
        <v>0.49460000000000004</v>
      </c>
      <c r="E65" s="68">
        <v>0.58779999999999999</v>
      </c>
      <c r="F65" s="68">
        <v>0.68489999999999995</v>
      </c>
      <c r="G65" s="68">
        <v>0.6976</v>
      </c>
      <c r="H65" s="68">
        <v>0.74650000000000005</v>
      </c>
      <c r="I65" s="68">
        <v>0.80200000000000005</v>
      </c>
      <c r="J65" s="68">
        <v>0.88020000000000009</v>
      </c>
      <c r="K65" s="68">
        <v>0.97560000000000002</v>
      </c>
      <c r="L65" s="68">
        <v>1.0911999999999999</v>
      </c>
      <c r="M65" s="68">
        <v>1.0915999999999999</v>
      </c>
      <c r="N65" s="68">
        <v>1.1420999999999999</v>
      </c>
      <c r="O65" s="68">
        <v>1.2244000000000002</v>
      </c>
      <c r="P65" s="68">
        <v>1.3880999999999999</v>
      </c>
      <c r="Q65" s="68">
        <v>1.5670999999999999</v>
      </c>
      <c r="R65" s="68">
        <v>1.6624000000000001</v>
      </c>
      <c r="S65" s="68">
        <v>1.7715999999999998</v>
      </c>
      <c r="T65" s="68">
        <v>1.8905000000000001</v>
      </c>
      <c r="U65" s="68">
        <v>1.9807000000000001</v>
      </c>
      <c r="V65" s="68">
        <v>2.1418000000000004</v>
      </c>
      <c r="W65" s="68">
        <v>2.4094000000000002</v>
      </c>
      <c r="X65" s="68">
        <v>2.6828000000000003</v>
      </c>
      <c r="Y65" s="68">
        <v>2.9631999999999996</v>
      </c>
      <c r="Z65" s="68">
        <v>3.2203000000000004</v>
      </c>
      <c r="AA65" s="68">
        <v>3.8005999999999998</v>
      </c>
      <c r="AB65" s="68">
        <v>4.0023999999999997</v>
      </c>
      <c r="AC65" s="68">
        <v>4.3686000000000007</v>
      </c>
      <c r="AD65" s="68">
        <v>4.8866999999999994</v>
      </c>
      <c r="AE65" s="68">
        <v>5.3981000000000003</v>
      </c>
      <c r="AF65" s="68">
        <v>6.0084</v>
      </c>
      <c r="AG65" s="68">
        <v>6.9337</v>
      </c>
      <c r="AH65" s="68">
        <v>7.7030000000000003</v>
      </c>
      <c r="AI65" s="68">
        <v>8.5150000000000006</v>
      </c>
      <c r="AJ65" s="68">
        <v>9.5497000000000014</v>
      </c>
      <c r="AK65" s="68">
        <v>9.9810999999999996</v>
      </c>
      <c r="AL65" s="68">
        <v>9.8163999999999998</v>
      </c>
      <c r="AM65" s="68">
        <v>10.6845</v>
      </c>
      <c r="AN65" s="68">
        <v>11.424200000000001</v>
      </c>
      <c r="AO65" s="68">
        <v>11.4558</v>
      </c>
      <c r="AP65" s="68">
        <v>11.7902</v>
      </c>
      <c r="AQ65" s="68">
        <v>12.8947</v>
      </c>
      <c r="AR65" s="68">
        <v>13.4285</v>
      </c>
      <c r="AS65" s="68">
        <v>14.343399999999999</v>
      </c>
      <c r="AT65" s="68">
        <v>14.4785</v>
      </c>
      <c r="AU65" s="68">
        <v>15.2285</v>
      </c>
      <c r="AV65" s="68">
        <v>15.809200000000001</v>
      </c>
      <c r="AW65" s="68">
        <v>16.861799999999999</v>
      </c>
      <c r="AX65" s="68">
        <v>17.1906</v>
      </c>
      <c r="AY65" s="68">
        <v>17.482800000000001</v>
      </c>
      <c r="AZ65" s="68">
        <v>17.493500000000001</v>
      </c>
      <c r="BA65" s="68">
        <v>19.0794</v>
      </c>
      <c r="BB65" s="68">
        <v>20.865500000000001</v>
      </c>
      <c r="BC65" s="68">
        <v>22.726800000000001</v>
      </c>
      <c r="BD65" s="68">
        <v>23.498000000000001</v>
      </c>
      <c r="BE65" s="68">
        <v>22.8733</v>
      </c>
      <c r="BF65" s="68">
        <v>23.248900000000003</v>
      </c>
      <c r="BG65" s="68">
        <v>22.725099999999998</v>
      </c>
      <c r="BH65" s="68">
        <v>23.908999999999999</v>
      </c>
      <c r="BI65" s="68">
        <v>26.283000000000001</v>
      </c>
      <c r="BJ65" s="68">
        <v>25.85</v>
      </c>
      <c r="BK65" s="68">
        <v>26.555</v>
      </c>
      <c r="BL65" s="68">
        <v>25.562999999999999</v>
      </c>
      <c r="BM65" s="68"/>
      <c r="BN65" s="68"/>
    </row>
    <row r="66" spans="1:66" x14ac:dyDescent="0.2">
      <c r="A66" t="s">
        <v>327</v>
      </c>
      <c r="B66" s="80" t="s">
        <v>328</v>
      </c>
      <c r="C66" s="68">
        <v>0</v>
      </c>
      <c r="D66" s="68">
        <v>0</v>
      </c>
      <c r="E66" s="68">
        <v>0</v>
      </c>
      <c r="F66" s="68">
        <v>0</v>
      </c>
      <c r="G66" s="68">
        <v>0</v>
      </c>
      <c r="H66" s="68">
        <v>0</v>
      </c>
      <c r="I66" s="68">
        <v>0</v>
      </c>
      <c r="J66" s="68">
        <v>0</v>
      </c>
      <c r="K66" s="68">
        <v>0</v>
      </c>
      <c r="L66" s="68">
        <v>0</v>
      </c>
      <c r="M66" s="68">
        <v>0</v>
      </c>
      <c r="N66" s="68">
        <v>0</v>
      </c>
      <c r="O66" s="68">
        <v>0</v>
      </c>
      <c r="P66" s="68">
        <v>0</v>
      </c>
      <c r="Q66" s="68">
        <v>0</v>
      </c>
      <c r="R66" s="68">
        <v>0</v>
      </c>
      <c r="S66" s="68">
        <v>0</v>
      </c>
      <c r="T66" s="68">
        <v>0</v>
      </c>
      <c r="U66" s="68">
        <v>0</v>
      </c>
      <c r="V66" s="68">
        <v>0</v>
      </c>
      <c r="W66" s="68">
        <v>0</v>
      </c>
      <c r="X66" s="68">
        <v>0</v>
      </c>
      <c r="Y66" s="68">
        <v>0</v>
      </c>
      <c r="Z66" s="68">
        <v>0</v>
      </c>
      <c r="AA66" s="68">
        <v>0</v>
      </c>
      <c r="AB66" s="68">
        <v>0</v>
      </c>
      <c r="AC66" s="68">
        <v>0</v>
      </c>
      <c r="AD66" s="68">
        <v>0</v>
      </c>
      <c r="AE66" s="68">
        <v>0</v>
      </c>
      <c r="AF66" s="68">
        <v>2.6730999999999998</v>
      </c>
      <c r="AG66" s="68">
        <v>2.9888000000000003</v>
      </c>
      <c r="AH66" s="68">
        <v>3.5339</v>
      </c>
      <c r="AI66" s="68">
        <v>3.8605999999999998</v>
      </c>
      <c r="AJ66" s="68">
        <v>4.2608999999999995</v>
      </c>
      <c r="AK66" s="68">
        <v>4.4426000000000005</v>
      </c>
      <c r="AL66" s="68">
        <v>4.4286000000000003</v>
      </c>
      <c r="AM66" s="68">
        <v>4.6361000000000008</v>
      </c>
      <c r="AN66" s="68">
        <v>4.9928999999999997</v>
      </c>
      <c r="AO66" s="68">
        <v>4.9756</v>
      </c>
      <c r="AP66" s="68">
        <v>5.01</v>
      </c>
      <c r="AQ66" s="68">
        <v>5.4618000000000002</v>
      </c>
      <c r="AR66" s="68">
        <v>5.4903999999999993</v>
      </c>
      <c r="AS66" s="68">
        <v>6.2145000000000001</v>
      </c>
      <c r="AT66" s="68">
        <v>6.4113999999999995</v>
      </c>
      <c r="AU66" s="68">
        <v>6.9878</v>
      </c>
      <c r="AV66" s="68">
        <v>7.2553999999999998</v>
      </c>
      <c r="AW66" s="68">
        <v>7.5244999999999997</v>
      </c>
      <c r="AX66" s="68">
        <v>7.9382000000000001</v>
      </c>
      <c r="AY66" s="68">
        <v>8.2539999999999996</v>
      </c>
      <c r="AZ66" s="68">
        <v>8.6768000000000001</v>
      </c>
      <c r="BA66" s="68">
        <v>9.1391000000000009</v>
      </c>
      <c r="BB66" s="68">
        <v>9.6273999999999997</v>
      </c>
      <c r="BC66" s="68">
        <v>10.258100000000001</v>
      </c>
      <c r="BD66" s="68">
        <v>11.410299999999999</v>
      </c>
      <c r="BE66" s="68">
        <v>9.3985000000000003</v>
      </c>
      <c r="BF66" s="68">
        <v>9.6252000000000013</v>
      </c>
      <c r="BG66" s="68">
        <v>9.2385999999999999</v>
      </c>
      <c r="BH66" s="68">
        <v>8.3260000000000005</v>
      </c>
      <c r="BI66" s="68">
        <v>9.0510000000000002</v>
      </c>
      <c r="BJ66" s="68">
        <v>8.9290000000000003</v>
      </c>
      <c r="BK66" s="68">
        <v>9.2080000000000002</v>
      </c>
      <c r="BL66" s="68">
        <v>9.5229999999999997</v>
      </c>
      <c r="BM66" s="68"/>
      <c r="BN66" s="68"/>
    </row>
    <row r="67" spans="1:66" x14ac:dyDescent="0.2">
      <c r="A67" t="s">
        <v>310</v>
      </c>
      <c r="B67" s="80" t="s">
        <v>311</v>
      </c>
      <c r="C67" s="68">
        <v>0</v>
      </c>
      <c r="D67" s="68">
        <v>0</v>
      </c>
      <c r="E67" s="68">
        <v>0</v>
      </c>
      <c r="F67" s="68">
        <v>0</v>
      </c>
      <c r="G67" s="68">
        <v>0</v>
      </c>
      <c r="H67" s="68">
        <v>0</v>
      </c>
      <c r="I67" s="68">
        <v>0</v>
      </c>
      <c r="J67" s="68">
        <v>0</v>
      </c>
      <c r="K67" s="68">
        <v>0</v>
      </c>
      <c r="L67" s="68">
        <v>0</v>
      </c>
      <c r="M67" s="68">
        <v>0</v>
      </c>
      <c r="N67" s="68">
        <v>0</v>
      </c>
      <c r="O67" s="68">
        <v>0</v>
      </c>
      <c r="P67" s="68">
        <v>0</v>
      </c>
      <c r="Q67" s="68">
        <v>0</v>
      </c>
      <c r="R67" s="68">
        <v>0</v>
      </c>
      <c r="S67" s="68">
        <v>0</v>
      </c>
      <c r="T67" s="68">
        <v>0</v>
      </c>
      <c r="U67" s="68">
        <v>0</v>
      </c>
      <c r="V67" s="68">
        <v>0</v>
      </c>
      <c r="W67" s="68">
        <v>0</v>
      </c>
      <c r="X67" s="68">
        <v>0</v>
      </c>
      <c r="Y67" s="68">
        <v>0</v>
      </c>
      <c r="Z67" s="68">
        <v>0</v>
      </c>
      <c r="AA67" s="68">
        <v>0</v>
      </c>
      <c r="AB67" s="68">
        <v>0</v>
      </c>
      <c r="AC67" s="68">
        <v>0</v>
      </c>
      <c r="AD67" s="68">
        <v>0</v>
      </c>
      <c r="AE67" s="68">
        <v>0</v>
      </c>
      <c r="AF67" s="68">
        <v>1.6552</v>
      </c>
      <c r="AG67" s="68">
        <v>1.8400999999999998</v>
      </c>
      <c r="AH67" s="68">
        <v>2.1579000000000002</v>
      </c>
      <c r="AI67" s="68">
        <v>2.4783000000000004</v>
      </c>
      <c r="AJ67" s="68">
        <v>2.6178000000000003</v>
      </c>
      <c r="AK67" s="68">
        <v>2.7881</v>
      </c>
      <c r="AL67" s="68">
        <v>2.6860999999999997</v>
      </c>
      <c r="AM67" s="68">
        <v>2.8176999999999999</v>
      </c>
      <c r="AN67" s="68">
        <v>2.6389999999999998</v>
      </c>
      <c r="AO67" s="68">
        <v>2.544</v>
      </c>
      <c r="AP67" s="68">
        <v>2.5171000000000001</v>
      </c>
      <c r="AQ67" s="68">
        <v>2.5313000000000003</v>
      </c>
      <c r="AR67" s="68">
        <v>2.7211999999999996</v>
      </c>
      <c r="AS67" s="68">
        <v>2.9529000000000001</v>
      </c>
      <c r="AT67" s="68">
        <v>3.1758999999999999</v>
      </c>
      <c r="AU67" s="68">
        <v>3.0818000000000003</v>
      </c>
      <c r="AV67" s="68">
        <v>3.0134000000000003</v>
      </c>
      <c r="AW67" s="68">
        <v>3.1429999999999998</v>
      </c>
      <c r="AX67" s="68">
        <v>3.1773000000000002</v>
      </c>
      <c r="AY67" s="68">
        <v>3.3595999999999999</v>
      </c>
      <c r="AZ67" s="68">
        <v>3.5867</v>
      </c>
      <c r="BA67" s="68">
        <v>3.4161999999999999</v>
      </c>
      <c r="BB67" s="68">
        <v>3.6875</v>
      </c>
      <c r="BC67" s="68">
        <v>3.9951999999999996</v>
      </c>
      <c r="BD67" s="68">
        <v>3.42</v>
      </c>
      <c r="BE67" s="68">
        <v>3.0529000000000002</v>
      </c>
      <c r="BF67" s="68">
        <v>3.0045999999999999</v>
      </c>
      <c r="BG67" s="68">
        <v>3.0867</v>
      </c>
      <c r="BH67" s="68">
        <v>3.4390000000000001</v>
      </c>
      <c r="BI67" s="68">
        <v>3.4380000000000002</v>
      </c>
      <c r="BJ67" s="68">
        <v>3.3969999999999998</v>
      </c>
      <c r="BK67" s="68">
        <v>2.847</v>
      </c>
      <c r="BL67" s="68">
        <v>2.8290000000000002</v>
      </c>
      <c r="BM67" s="68"/>
      <c r="BN67" s="68"/>
    </row>
    <row r="68" spans="1:66" x14ac:dyDescent="0.2">
      <c r="A68" t="s">
        <v>329</v>
      </c>
      <c r="B68" s="80" t="s">
        <v>330</v>
      </c>
      <c r="C68" s="68">
        <v>0</v>
      </c>
      <c r="D68" s="68">
        <v>0</v>
      </c>
      <c r="E68" s="68">
        <v>0</v>
      </c>
      <c r="F68" s="68">
        <v>0</v>
      </c>
      <c r="G68" s="68">
        <v>0</v>
      </c>
      <c r="H68" s="68">
        <v>0</v>
      </c>
      <c r="I68" s="68">
        <v>0</v>
      </c>
      <c r="J68" s="68">
        <v>0</v>
      </c>
      <c r="K68" s="68">
        <v>0</v>
      </c>
      <c r="L68" s="68">
        <v>0</v>
      </c>
      <c r="M68" s="68">
        <v>0</v>
      </c>
      <c r="N68" s="68">
        <v>0</v>
      </c>
      <c r="O68" s="68">
        <v>0</v>
      </c>
      <c r="P68" s="68">
        <v>0</v>
      </c>
      <c r="Q68" s="68">
        <v>0</v>
      </c>
      <c r="R68" s="68">
        <v>0</v>
      </c>
      <c r="S68" s="68">
        <v>0</v>
      </c>
      <c r="T68" s="68">
        <v>0</v>
      </c>
      <c r="U68" s="68">
        <v>0</v>
      </c>
      <c r="V68" s="68">
        <v>0</v>
      </c>
      <c r="W68" s="68">
        <v>0</v>
      </c>
      <c r="X68" s="68">
        <v>0</v>
      </c>
      <c r="Y68" s="68">
        <v>0</v>
      </c>
      <c r="Z68" s="68">
        <v>0</v>
      </c>
      <c r="AA68" s="68">
        <v>0</v>
      </c>
      <c r="AB68" s="68">
        <v>0</v>
      </c>
      <c r="AC68" s="68">
        <v>0</v>
      </c>
      <c r="AD68" s="68">
        <v>0</v>
      </c>
      <c r="AE68" s="68">
        <v>0</v>
      </c>
      <c r="AF68" s="68">
        <v>9.459999999999999E-2</v>
      </c>
      <c r="AG68" s="68">
        <v>0.1028</v>
      </c>
      <c r="AH68" s="68">
        <v>0.11849999999999999</v>
      </c>
      <c r="AI68" s="68">
        <v>0.1158</v>
      </c>
      <c r="AJ68" s="68">
        <v>0.15390000000000001</v>
      </c>
      <c r="AK68" s="68">
        <v>0.1399</v>
      </c>
      <c r="AL68" s="68">
        <v>0.1719</v>
      </c>
      <c r="AM68" s="68">
        <v>0.15430000000000002</v>
      </c>
      <c r="AN68" s="68">
        <v>0.19109999999999999</v>
      </c>
      <c r="AO68" s="68">
        <v>0.22469999999999998</v>
      </c>
      <c r="AP68" s="68">
        <v>0.24159999999999998</v>
      </c>
      <c r="AQ68" s="68">
        <v>0.37160000000000004</v>
      </c>
      <c r="AR68" s="68">
        <v>0.34239999999999998</v>
      </c>
      <c r="AS68" s="68">
        <v>0.35070000000000001</v>
      </c>
      <c r="AT68" s="68">
        <v>0.4</v>
      </c>
      <c r="AU68" s="68">
        <v>0.46970000000000001</v>
      </c>
      <c r="AV68" s="68">
        <v>0.4254</v>
      </c>
      <c r="AW68" s="68">
        <v>0.35310000000000002</v>
      </c>
      <c r="AX68" s="68">
        <v>0.49489999999999995</v>
      </c>
      <c r="AY68" s="68">
        <v>0.55120000000000002</v>
      </c>
      <c r="AZ68" s="68">
        <v>0.58240000000000003</v>
      </c>
      <c r="BA68" s="68">
        <v>0.5373</v>
      </c>
      <c r="BB68" s="68">
        <v>0.65100000000000002</v>
      </c>
      <c r="BC68" s="68">
        <v>0.5726</v>
      </c>
      <c r="BD68" s="68">
        <v>0.47889999999999999</v>
      </c>
      <c r="BE68" s="68">
        <v>0.81389999999999996</v>
      </c>
      <c r="BF68" s="68">
        <v>0.88970000000000005</v>
      </c>
      <c r="BG68" s="68">
        <v>1.0295999999999998</v>
      </c>
      <c r="BH68" s="68">
        <v>1.135</v>
      </c>
      <c r="BI68" s="68">
        <v>1.3440000000000001</v>
      </c>
      <c r="BJ68" s="68">
        <v>1.163</v>
      </c>
      <c r="BK68" s="68">
        <v>1.26</v>
      </c>
      <c r="BL68" s="68">
        <v>1.226</v>
      </c>
      <c r="BM68" s="68"/>
      <c r="BN68" s="68"/>
    </row>
    <row r="69" spans="1:66" x14ac:dyDescent="0.2">
      <c r="A69" t="s">
        <v>312</v>
      </c>
      <c r="B69" s="80" t="s">
        <v>313</v>
      </c>
      <c r="C69" s="68">
        <v>0</v>
      </c>
      <c r="D69" s="68">
        <v>0</v>
      </c>
      <c r="E69" s="68">
        <v>0</v>
      </c>
      <c r="F69" s="68">
        <v>0</v>
      </c>
      <c r="G69" s="68">
        <v>0</v>
      </c>
      <c r="H69" s="68">
        <v>0</v>
      </c>
      <c r="I69" s="68">
        <v>0</v>
      </c>
      <c r="J69" s="68">
        <v>0</v>
      </c>
      <c r="K69" s="68">
        <v>0</v>
      </c>
      <c r="L69" s="68">
        <v>0</v>
      </c>
      <c r="M69" s="68">
        <v>0</v>
      </c>
      <c r="N69" s="68">
        <v>0</v>
      </c>
      <c r="O69" s="68">
        <v>0</v>
      </c>
      <c r="P69" s="68">
        <v>0</v>
      </c>
      <c r="Q69" s="68">
        <v>0</v>
      </c>
      <c r="R69" s="68">
        <v>0</v>
      </c>
      <c r="S69" s="68">
        <v>0</v>
      </c>
      <c r="T69" s="68">
        <v>0</v>
      </c>
      <c r="U69" s="68">
        <v>0</v>
      </c>
      <c r="V69" s="68">
        <v>0</v>
      </c>
      <c r="W69" s="68">
        <v>0</v>
      </c>
      <c r="X69" s="68">
        <v>0</v>
      </c>
      <c r="Y69" s="68">
        <v>0</v>
      </c>
      <c r="Z69" s="68">
        <v>0</v>
      </c>
      <c r="AA69" s="68">
        <v>0</v>
      </c>
      <c r="AB69" s="68">
        <v>0</v>
      </c>
      <c r="AC69" s="68">
        <v>0</v>
      </c>
      <c r="AD69" s="68">
        <v>0</v>
      </c>
      <c r="AE69" s="68">
        <v>0</v>
      </c>
      <c r="AF69" s="68">
        <v>1.5854000000000001</v>
      </c>
      <c r="AG69" s="68">
        <v>2.0019999999999998</v>
      </c>
      <c r="AH69" s="68">
        <v>1.8925999999999998</v>
      </c>
      <c r="AI69" s="68">
        <v>2.0604</v>
      </c>
      <c r="AJ69" s="68">
        <v>2.5171000000000001</v>
      </c>
      <c r="AK69" s="68">
        <v>2.6105999999999998</v>
      </c>
      <c r="AL69" s="68">
        <v>2.5298000000000003</v>
      </c>
      <c r="AM69" s="68">
        <v>3.0764999999999998</v>
      </c>
      <c r="AN69" s="68">
        <v>3.6013000000000002</v>
      </c>
      <c r="AO69" s="68">
        <v>3.7115999999999998</v>
      </c>
      <c r="AP69" s="68">
        <v>4.0214999999999996</v>
      </c>
      <c r="AQ69" s="68">
        <v>4.5301</v>
      </c>
      <c r="AR69" s="68">
        <v>4.8745000000000003</v>
      </c>
      <c r="AS69" s="68">
        <v>4.8253000000000004</v>
      </c>
      <c r="AT69" s="68">
        <v>4.4912999999999998</v>
      </c>
      <c r="AU69" s="68">
        <v>4.6891999999999996</v>
      </c>
      <c r="AV69" s="68">
        <v>5.1151</v>
      </c>
      <c r="AW69" s="68">
        <v>5.8411999999999997</v>
      </c>
      <c r="AX69" s="68">
        <v>5.5801999999999996</v>
      </c>
      <c r="AY69" s="68">
        <v>5.3179999999999996</v>
      </c>
      <c r="AZ69" s="68">
        <v>4.6476999999999995</v>
      </c>
      <c r="BA69" s="68">
        <v>5.9868999999999994</v>
      </c>
      <c r="BB69" s="68">
        <v>6.8996000000000004</v>
      </c>
      <c r="BC69" s="68">
        <v>7.9008000000000003</v>
      </c>
      <c r="BD69" s="68">
        <v>8.1888000000000005</v>
      </c>
      <c r="BE69" s="68">
        <v>9.6080000000000005</v>
      </c>
      <c r="BF69" s="68">
        <v>9.7294</v>
      </c>
      <c r="BG69" s="68">
        <v>9.3701000000000008</v>
      </c>
      <c r="BH69" s="68">
        <v>11.009</v>
      </c>
      <c r="BI69" s="68">
        <v>12.45</v>
      </c>
      <c r="BJ69" s="68">
        <v>12.361000000000001</v>
      </c>
      <c r="BK69" s="68">
        <v>13.24</v>
      </c>
      <c r="BL69" s="68">
        <v>11.984999999999999</v>
      </c>
      <c r="BM69" s="68"/>
      <c r="BN69" s="68"/>
    </row>
    <row r="70" spans="1:66" x14ac:dyDescent="0.2">
      <c r="A70" t="s">
        <v>69</v>
      </c>
      <c r="B70" s="80" t="s">
        <v>70</v>
      </c>
      <c r="C70" s="68">
        <v>9.8352000000000004</v>
      </c>
      <c r="D70" s="68">
        <v>11.250200000000001</v>
      </c>
      <c r="E70" s="68">
        <v>14.1599</v>
      </c>
      <c r="F70" s="68">
        <v>16.483499999999999</v>
      </c>
      <c r="G70" s="68">
        <v>16.8825</v>
      </c>
      <c r="H70" s="68">
        <v>18.148799999999998</v>
      </c>
      <c r="I70" s="68">
        <v>19.633599999999998</v>
      </c>
      <c r="J70" s="68">
        <v>21.4924</v>
      </c>
      <c r="K70" s="68">
        <v>24.083099999999998</v>
      </c>
      <c r="L70" s="68">
        <v>27.4057</v>
      </c>
      <c r="M70" s="68">
        <v>29.229400000000002</v>
      </c>
      <c r="N70" s="68">
        <v>32.603099999999998</v>
      </c>
      <c r="O70" s="68">
        <v>35.1188</v>
      </c>
      <c r="P70" s="68">
        <v>40.3001</v>
      </c>
      <c r="Q70" s="68">
        <v>44.898800000000001</v>
      </c>
      <c r="R70" s="68">
        <v>48.752199999999995</v>
      </c>
      <c r="S70" s="68">
        <v>52.386499999999998</v>
      </c>
      <c r="T70" s="68">
        <v>56.589400000000005</v>
      </c>
      <c r="U70" s="68">
        <v>61.596199999999996</v>
      </c>
      <c r="V70" s="68">
        <v>67.54010000000001</v>
      </c>
      <c r="W70" s="68">
        <v>75.695599999999999</v>
      </c>
      <c r="X70" s="68">
        <v>85.177999999999997</v>
      </c>
      <c r="Y70" s="68">
        <v>94.783899999999988</v>
      </c>
      <c r="Z70" s="68">
        <v>106.25019999999999</v>
      </c>
      <c r="AA70" s="68">
        <v>120.96130000000001</v>
      </c>
      <c r="AB70" s="68">
        <v>143.58429999999998</v>
      </c>
      <c r="AC70" s="68">
        <v>164.29150000000001</v>
      </c>
      <c r="AD70" s="68">
        <v>184.5574</v>
      </c>
      <c r="AE70" s="68">
        <v>207.67529999999999</v>
      </c>
      <c r="AF70" s="68">
        <v>237.27590000000001</v>
      </c>
      <c r="AG70" s="68">
        <v>264.81299999999999</v>
      </c>
      <c r="AH70" s="68">
        <v>300.5994</v>
      </c>
      <c r="AI70" s="68">
        <v>348.4264</v>
      </c>
      <c r="AJ70" s="68">
        <v>397.61649999999997</v>
      </c>
      <c r="AK70" s="68">
        <v>435.44299999999998</v>
      </c>
      <c r="AL70" s="68">
        <v>464.99200000000002</v>
      </c>
      <c r="AM70" s="68">
        <v>497.5215</v>
      </c>
      <c r="AN70" s="68">
        <v>523.94830000000002</v>
      </c>
      <c r="AO70" s="68">
        <v>544.89670000000001</v>
      </c>
      <c r="AP70" s="68">
        <v>579.76700000000005</v>
      </c>
      <c r="AQ70" s="68">
        <v>624.21010000000001</v>
      </c>
      <c r="AR70" s="68">
        <v>663.17780000000005</v>
      </c>
      <c r="AS70" s="68">
        <v>694.02290000000005</v>
      </c>
      <c r="AT70" s="68">
        <v>722.81600000000003</v>
      </c>
      <c r="AU70" s="68">
        <v>740.47119999999995</v>
      </c>
      <c r="AV70" s="68">
        <v>755.00969999999995</v>
      </c>
      <c r="AW70" s="68">
        <v>784.83569999999997</v>
      </c>
      <c r="AX70" s="68">
        <v>800.82280000000003</v>
      </c>
      <c r="AY70" s="68">
        <v>819.82580000000007</v>
      </c>
      <c r="AZ70" s="68">
        <v>846.5394</v>
      </c>
      <c r="BA70" s="68">
        <v>865.4742</v>
      </c>
      <c r="BB70" s="68">
        <v>913.34780000000001</v>
      </c>
      <c r="BC70" s="68">
        <v>960.89269999999999</v>
      </c>
      <c r="BD70" s="68">
        <v>1004.3702</v>
      </c>
      <c r="BE70" s="68">
        <v>1029.8828000000001</v>
      </c>
      <c r="BF70" s="68">
        <v>1075.5071</v>
      </c>
      <c r="BG70" s="68">
        <v>1108.6896999999999</v>
      </c>
      <c r="BH70" s="68">
        <v>1159.3821799999998</v>
      </c>
      <c r="BI70" s="68">
        <v>1218.67599</v>
      </c>
      <c r="BJ70" s="68">
        <v>1259.2548999999999</v>
      </c>
      <c r="BK70" s="68">
        <v>1267.12544</v>
      </c>
      <c r="BL70" s="68">
        <v>1292.1176699999999</v>
      </c>
      <c r="BM70" s="68"/>
      <c r="BN70" s="68"/>
    </row>
    <row r="71" spans="1:66" x14ac:dyDescent="0.2">
      <c r="A71" t="s">
        <v>268</v>
      </c>
      <c r="B71" s="80" t="s">
        <v>268</v>
      </c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  <c r="BF71" s="68"/>
      <c r="BG71" s="68"/>
      <c r="BH71" s="68"/>
      <c r="BI71" s="68"/>
      <c r="BJ71" s="68"/>
      <c r="BK71" s="68"/>
      <c r="BL71" s="68"/>
      <c r="BM71" s="68"/>
      <c r="BN71" s="68"/>
    </row>
    <row r="72" spans="1:66" x14ac:dyDescent="0.2">
      <c r="A72" t="s">
        <v>268</v>
      </c>
      <c r="B72" s="97" t="s">
        <v>71</v>
      </c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  <c r="BH72" s="68"/>
      <c r="BI72" s="68"/>
      <c r="BJ72" s="68"/>
      <c r="BK72" s="68"/>
      <c r="BL72" s="68"/>
      <c r="BM72" s="68"/>
      <c r="BN72" s="68"/>
    </row>
    <row r="73" spans="1:66" x14ac:dyDescent="0.2">
      <c r="A73" t="s">
        <v>268</v>
      </c>
      <c r="B73" s="80" t="s">
        <v>118</v>
      </c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  <c r="BH73" s="68"/>
      <c r="BI73" s="68"/>
      <c r="BJ73" s="68"/>
      <c r="BK73" s="68"/>
      <c r="BL73" s="68"/>
      <c r="BM73" s="68"/>
      <c r="BN73" s="68"/>
    </row>
    <row r="74" spans="1:66" x14ac:dyDescent="0.2">
      <c r="A74" t="s">
        <v>69</v>
      </c>
      <c r="B74" s="80" t="s">
        <v>70</v>
      </c>
      <c r="C74" s="68">
        <v>9.8352000000000004</v>
      </c>
      <c r="D74" s="68">
        <v>11.250200000000001</v>
      </c>
      <c r="E74" s="68">
        <v>14.1599</v>
      </c>
      <c r="F74" s="68">
        <v>16.483499999999999</v>
      </c>
      <c r="G74" s="68">
        <v>16.8825</v>
      </c>
      <c r="H74" s="68">
        <v>18.148799999999998</v>
      </c>
      <c r="I74" s="68">
        <v>19.633599999999998</v>
      </c>
      <c r="J74" s="68">
        <v>21.4924</v>
      </c>
      <c r="K74" s="68">
        <v>24.083099999999998</v>
      </c>
      <c r="L74" s="68">
        <v>27.4057</v>
      </c>
      <c r="M74" s="68">
        <v>29.229400000000002</v>
      </c>
      <c r="N74" s="68">
        <v>32.603099999999998</v>
      </c>
      <c r="O74" s="68">
        <v>35.1188</v>
      </c>
      <c r="P74" s="68">
        <v>40.3001</v>
      </c>
      <c r="Q74" s="68">
        <v>44.898800000000001</v>
      </c>
      <c r="R74" s="68">
        <v>48.752199999999995</v>
      </c>
      <c r="S74" s="68">
        <v>52.386499999999998</v>
      </c>
      <c r="T74" s="68">
        <v>56.589400000000005</v>
      </c>
      <c r="U74" s="68">
        <v>61.596199999999996</v>
      </c>
      <c r="V74" s="68">
        <v>67.54010000000001</v>
      </c>
      <c r="W74" s="68">
        <v>75.695599999999999</v>
      </c>
      <c r="X74" s="68">
        <v>85.177999999999997</v>
      </c>
      <c r="Y74" s="68">
        <v>94.783899999999988</v>
      </c>
      <c r="Z74" s="68">
        <v>106.25019999999999</v>
      </c>
      <c r="AA74" s="68">
        <v>120.96130000000001</v>
      </c>
      <c r="AB74" s="68">
        <v>143.58429999999998</v>
      </c>
      <c r="AC74" s="68">
        <v>164.29150000000001</v>
      </c>
      <c r="AD74" s="68">
        <v>184.5574</v>
      </c>
      <c r="AE74" s="68">
        <v>207.67529999999999</v>
      </c>
      <c r="AF74" s="68">
        <v>237.27590000000001</v>
      </c>
      <c r="AG74" s="68">
        <v>264.81299999999999</v>
      </c>
      <c r="AH74" s="68">
        <v>300.5994</v>
      </c>
      <c r="AI74" s="68">
        <v>348.4264</v>
      </c>
      <c r="AJ74" s="68">
        <v>397.61649999999997</v>
      </c>
      <c r="AK74" s="68">
        <v>435.44299999999998</v>
      </c>
      <c r="AL74" s="68">
        <v>464.99200000000002</v>
      </c>
      <c r="AM74" s="68">
        <v>497.5215</v>
      </c>
      <c r="AN74" s="68">
        <v>523.94830000000002</v>
      </c>
      <c r="AO74" s="68">
        <v>544.89670000000001</v>
      </c>
      <c r="AP74" s="68">
        <v>579.76700000000005</v>
      </c>
      <c r="AQ74" s="68">
        <v>624.21010000000001</v>
      </c>
      <c r="AR74" s="68">
        <v>663.17780000000005</v>
      </c>
      <c r="AS74" s="68">
        <v>694.02290000000005</v>
      </c>
      <c r="AT74" s="68">
        <v>722.81600000000003</v>
      </c>
      <c r="AU74" s="68">
        <v>740.47119999999995</v>
      </c>
      <c r="AV74" s="68">
        <v>755.00969999999995</v>
      </c>
      <c r="AW74" s="68">
        <v>784.83569999999997</v>
      </c>
      <c r="AX74" s="68">
        <v>800.82280000000003</v>
      </c>
      <c r="AY74" s="68">
        <v>819.82580000000007</v>
      </c>
      <c r="AZ74" s="68">
        <v>846.5394</v>
      </c>
      <c r="BA74" s="68">
        <v>865.4742</v>
      </c>
      <c r="BB74" s="68">
        <v>913.34780000000001</v>
      </c>
      <c r="BC74" s="68">
        <v>960.89269999999999</v>
      </c>
      <c r="BD74" s="68">
        <v>1004.3702</v>
      </c>
      <c r="BE74" s="68">
        <v>1029.8828000000001</v>
      </c>
      <c r="BF74" s="68">
        <v>1075.5071</v>
      </c>
      <c r="BG74" s="68">
        <v>1108.6896999999999</v>
      </c>
      <c r="BH74" s="68">
        <v>1159.3821799999998</v>
      </c>
      <c r="BI74" s="68">
        <v>1218.67599</v>
      </c>
      <c r="BJ74" s="68">
        <v>1259.2548999999999</v>
      </c>
      <c r="BK74" s="68">
        <v>1267.12544</v>
      </c>
      <c r="BL74" s="68">
        <v>1292.1176699999999</v>
      </c>
      <c r="BM74" s="68"/>
      <c r="BN74" s="68"/>
    </row>
    <row r="75" spans="1:66" x14ac:dyDescent="0.2">
      <c r="A75" t="s">
        <v>268</v>
      </c>
      <c r="B75" s="80" t="s">
        <v>6</v>
      </c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  <c r="BH75" s="68"/>
      <c r="BI75" s="68"/>
      <c r="BJ75" s="68"/>
      <c r="BK75" s="68"/>
      <c r="BL75" s="68"/>
      <c r="BM75" s="68"/>
      <c r="BN75" s="68"/>
    </row>
    <row r="76" spans="1:66" x14ac:dyDescent="0.2">
      <c r="A76" t="s">
        <v>74</v>
      </c>
      <c r="B76" s="80" t="s">
        <v>331</v>
      </c>
      <c r="C76" s="68">
        <v>8.1074000000000002</v>
      </c>
      <c r="D76" s="68">
        <v>9.3462999999999994</v>
      </c>
      <c r="E76" s="68">
        <v>11.771000000000001</v>
      </c>
      <c r="F76" s="68">
        <v>13.6584</v>
      </c>
      <c r="G76" s="68">
        <v>14.266999999999999</v>
      </c>
      <c r="H76" s="68">
        <v>15.029399999999999</v>
      </c>
      <c r="I76" s="68">
        <v>16.056899999999999</v>
      </c>
      <c r="J76" s="68">
        <v>18.008200000000002</v>
      </c>
      <c r="K76" s="68">
        <v>19.9588</v>
      </c>
      <c r="L76" s="68">
        <v>22.540800000000001</v>
      </c>
      <c r="M76" s="68">
        <v>24.453599999999998</v>
      </c>
      <c r="N76" s="68">
        <v>26.563500000000001</v>
      </c>
      <c r="O76" s="68">
        <v>28.927700000000002</v>
      </c>
      <c r="P76" s="68">
        <v>32.362499999999997</v>
      </c>
      <c r="Q76" s="68">
        <v>36.408900000000003</v>
      </c>
      <c r="R76" s="68">
        <v>39.683999999999997</v>
      </c>
      <c r="S76" s="68">
        <v>42.355800000000002</v>
      </c>
      <c r="T76" s="68">
        <v>45.7393</v>
      </c>
      <c r="U76" s="68">
        <v>49.539199999999994</v>
      </c>
      <c r="V76" s="68">
        <v>54.235900000000001</v>
      </c>
      <c r="W76" s="68">
        <v>61.826300000000003</v>
      </c>
      <c r="X76" s="68">
        <v>67.8934</v>
      </c>
      <c r="Y76" s="68">
        <v>75.683999999999997</v>
      </c>
      <c r="Z76" s="68">
        <v>84.391199999999998</v>
      </c>
      <c r="AA76" s="68">
        <v>95.683899999999994</v>
      </c>
      <c r="AB76" s="68">
        <v>112.35289999999999</v>
      </c>
      <c r="AC76" s="68">
        <v>127.59230000000001</v>
      </c>
      <c r="AD76" s="68">
        <v>147.67970000000003</v>
      </c>
      <c r="AE76" s="68">
        <v>165.90020000000001</v>
      </c>
      <c r="AF76" s="68">
        <v>187.3381</v>
      </c>
      <c r="AG76" s="68">
        <v>214.68720000000002</v>
      </c>
      <c r="AH76" s="68">
        <v>245.5437</v>
      </c>
      <c r="AI76" s="68">
        <v>284.62119999999999</v>
      </c>
      <c r="AJ76" s="68">
        <v>328.34809999999999</v>
      </c>
      <c r="AK76" s="68">
        <v>363.25059999999996</v>
      </c>
      <c r="AL76" s="68">
        <v>395.36590000000001</v>
      </c>
      <c r="AM76" s="68">
        <v>427.55869999999999</v>
      </c>
      <c r="AN76" s="68">
        <v>455.48720000000003</v>
      </c>
      <c r="AO76" s="68">
        <v>484.233</v>
      </c>
      <c r="AP76" s="68">
        <v>513.33720000000005</v>
      </c>
      <c r="AQ76" s="68">
        <v>550.12259999999992</v>
      </c>
      <c r="AR76" s="68">
        <v>578.9325</v>
      </c>
      <c r="AS76" s="68">
        <v>598.85340000000008</v>
      </c>
      <c r="AT76" s="68">
        <v>618.48590000000002</v>
      </c>
      <c r="AU76" s="68">
        <v>627.36350000000004</v>
      </c>
      <c r="AV76" s="68">
        <v>644.51340000000005</v>
      </c>
      <c r="AW76" s="68">
        <v>660.97159999999997</v>
      </c>
      <c r="AX76" s="68">
        <v>682.41160000000002</v>
      </c>
      <c r="AY76" s="68">
        <v>690.45299999999997</v>
      </c>
      <c r="AZ76" s="68">
        <v>718.09699999999998</v>
      </c>
      <c r="BA76" s="68">
        <v>738.88430000000005</v>
      </c>
      <c r="BB76" s="68">
        <v>782.18709999999999</v>
      </c>
      <c r="BC76" s="68">
        <v>816.3356</v>
      </c>
      <c r="BD76" s="68">
        <v>840.59849999999994</v>
      </c>
      <c r="BE76" s="68">
        <v>872.48709999999994</v>
      </c>
      <c r="BF76" s="68">
        <v>906.60860000000002</v>
      </c>
      <c r="BG76" s="68">
        <v>946.11609999999996</v>
      </c>
      <c r="BH76" s="68">
        <v>986.59400000000005</v>
      </c>
      <c r="BI76" s="68">
        <v>1030.452</v>
      </c>
      <c r="BJ76" s="68">
        <v>1063.662</v>
      </c>
      <c r="BK76" s="68">
        <v>1057.7719999999999</v>
      </c>
      <c r="BL76" s="68">
        <v>1084.8233400000001</v>
      </c>
      <c r="BM76" s="68"/>
      <c r="BN76" s="68"/>
    </row>
    <row r="77" spans="1:66" x14ac:dyDescent="0.2">
      <c r="A77" t="s">
        <v>82</v>
      </c>
      <c r="B77" s="80" t="s">
        <v>332</v>
      </c>
      <c r="C77" s="68">
        <v>1.7278</v>
      </c>
      <c r="D77" s="68">
        <v>1.9039000000000001</v>
      </c>
      <c r="E77" s="68">
        <v>2.3889</v>
      </c>
      <c r="F77" s="68">
        <v>2.8250999999999999</v>
      </c>
      <c r="G77" s="68">
        <v>2.6154999999999999</v>
      </c>
      <c r="H77" s="68">
        <v>3.1194000000000002</v>
      </c>
      <c r="I77" s="68">
        <v>3.5766999999999998</v>
      </c>
      <c r="J77" s="68">
        <v>3.4842</v>
      </c>
      <c r="K77" s="68">
        <v>4.1242999999999999</v>
      </c>
      <c r="L77" s="68">
        <v>4.8648999999999996</v>
      </c>
      <c r="M77" s="68">
        <v>4.7758000000000003</v>
      </c>
      <c r="N77" s="68">
        <v>6.0396000000000001</v>
      </c>
      <c r="O77" s="68">
        <v>6.1911000000000005</v>
      </c>
      <c r="P77" s="68">
        <v>7.9376000000000007</v>
      </c>
      <c r="Q77" s="68">
        <v>8.4899000000000004</v>
      </c>
      <c r="R77" s="68">
        <v>9.0682000000000009</v>
      </c>
      <c r="S77" s="68">
        <v>10.030700000000001</v>
      </c>
      <c r="T77" s="68">
        <v>10.850100000000001</v>
      </c>
      <c r="U77" s="68">
        <v>12.057</v>
      </c>
      <c r="V77" s="68">
        <v>13.304200000000002</v>
      </c>
      <c r="W77" s="68">
        <v>13.869299999999999</v>
      </c>
      <c r="X77" s="68">
        <v>17.284599999999998</v>
      </c>
      <c r="Y77" s="68">
        <v>19.099900000000002</v>
      </c>
      <c r="Z77" s="68">
        <v>21.859000000000002</v>
      </c>
      <c r="AA77" s="68">
        <v>25.2774</v>
      </c>
      <c r="AB77" s="68">
        <v>31.231400000000001</v>
      </c>
      <c r="AC77" s="68">
        <v>36.699199999999998</v>
      </c>
      <c r="AD77" s="68">
        <v>36.877699999999997</v>
      </c>
      <c r="AE77" s="68">
        <v>41.775100000000002</v>
      </c>
      <c r="AF77" s="68">
        <v>49.937800000000003</v>
      </c>
      <c r="AG77" s="68">
        <v>50.125800000000005</v>
      </c>
      <c r="AH77" s="68">
        <v>55.055699999999995</v>
      </c>
      <c r="AI77" s="68">
        <v>63.805199999999999</v>
      </c>
      <c r="AJ77" s="68">
        <v>69.2684</v>
      </c>
      <c r="AK77" s="68">
        <v>72.192399999999992</v>
      </c>
      <c r="AL77" s="68">
        <v>69.626100000000008</v>
      </c>
      <c r="AM77" s="68">
        <v>69.962800000000001</v>
      </c>
      <c r="AN77" s="68">
        <v>68.461100000000002</v>
      </c>
      <c r="AO77" s="68">
        <v>60.663699999999999</v>
      </c>
      <c r="AP77" s="68">
        <v>66.4298</v>
      </c>
      <c r="AQ77" s="68">
        <v>74.087500000000006</v>
      </c>
      <c r="AR77" s="68">
        <v>84.2453</v>
      </c>
      <c r="AS77" s="68">
        <v>95.169499999999999</v>
      </c>
      <c r="AT77" s="68">
        <v>104.3301</v>
      </c>
      <c r="AU77" s="68">
        <v>113.10769999999999</v>
      </c>
      <c r="AV77" s="68">
        <v>110.49630000000001</v>
      </c>
      <c r="AW77" s="68">
        <v>123.86410000000001</v>
      </c>
      <c r="AX77" s="68">
        <v>118.41119999999999</v>
      </c>
      <c r="AY77" s="68">
        <v>129.37280000000001</v>
      </c>
      <c r="AZ77" s="68">
        <v>128.44239999999999</v>
      </c>
      <c r="BA77" s="68">
        <v>126.5899</v>
      </c>
      <c r="BB77" s="68">
        <v>131.16070000000002</v>
      </c>
      <c r="BC77" s="68">
        <v>144.55710000000002</v>
      </c>
      <c r="BD77" s="68">
        <v>163.77170000000001</v>
      </c>
      <c r="BE77" s="68">
        <v>157.39570000000001</v>
      </c>
      <c r="BF77" s="68">
        <v>168.89850000000001</v>
      </c>
      <c r="BG77" s="68">
        <v>162.5736</v>
      </c>
      <c r="BH77" s="68">
        <v>172.78817999999998</v>
      </c>
      <c r="BI77" s="68">
        <v>188.22398999999999</v>
      </c>
      <c r="BJ77" s="68">
        <v>195.59289999999999</v>
      </c>
      <c r="BK77" s="68">
        <v>209.35344000000001</v>
      </c>
      <c r="BL77" s="68">
        <v>207.29432999999997</v>
      </c>
      <c r="BM77" s="68"/>
      <c r="BN77" s="68"/>
    </row>
    <row r="78" spans="1:66" x14ac:dyDescent="0.2">
      <c r="A78" t="s">
        <v>268</v>
      </c>
      <c r="B78" s="80" t="s">
        <v>268</v>
      </c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  <c r="BJ78" s="68"/>
      <c r="BK78" s="68"/>
      <c r="BL78" s="68"/>
      <c r="BM78" s="68"/>
      <c r="BN78" s="68"/>
    </row>
    <row r="79" spans="1:66" x14ac:dyDescent="0.2">
      <c r="A79" t="s">
        <v>268</v>
      </c>
      <c r="B79" s="97" t="s">
        <v>86</v>
      </c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  <c r="BJ79" s="68"/>
      <c r="BK79" s="68"/>
      <c r="BL79" s="68"/>
      <c r="BM79" s="68"/>
      <c r="BN79" s="68"/>
    </row>
    <row r="80" spans="1:66" x14ac:dyDescent="0.2">
      <c r="A80" t="s">
        <v>268</v>
      </c>
      <c r="B80" s="80" t="s">
        <v>118</v>
      </c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</row>
    <row r="81" spans="1:66" x14ac:dyDescent="0.2">
      <c r="A81" t="s">
        <v>82</v>
      </c>
      <c r="B81" s="80" t="s">
        <v>332</v>
      </c>
      <c r="C81" s="68">
        <v>1.7278</v>
      </c>
      <c r="D81" s="68">
        <v>1.9039000000000001</v>
      </c>
      <c r="E81" s="68">
        <v>2.3889</v>
      </c>
      <c r="F81" s="68">
        <v>2.8250999999999999</v>
      </c>
      <c r="G81" s="68">
        <v>2.6154999999999999</v>
      </c>
      <c r="H81" s="68">
        <v>3.1194000000000002</v>
      </c>
      <c r="I81" s="68">
        <v>3.5766999999999998</v>
      </c>
      <c r="J81" s="68">
        <v>3.4842</v>
      </c>
      <c r="K81" s="68">
        <v>4.1242999999999999</v>
      </c>
      <c r="L81" s="68">
        <v>4.8648999999999996</v>
      </c>
      <c r="M81" s="68">
        <v>4.7758000000000003</v>
      </c>
      <c r="N81" s="68">
        <v>6.0396000000000001</v>
      </c>
      <c r="O81" s="68">
        <v>6.1911000000000005</v>
      </c>
      <c r="P81" s="68">
        <v>7.9376000000000007</v>
      </c>
      <c r="Q81" s="68">
        <v>8.4899000000000004</v>
      </c>
      <c r="R81" s="68">
        <v>9.0682000000000009</v>
      </c>
      <c r="S81" s="68">
        <v>10.030700000000001</v>
      </c>
      <c r="T81" s="68">
        <v>10.850100000000001</v>
      </c>
      <c r="U81" s="68">
        <v>12.057</v>
      </c>
      <c r="V81" s="68">
        <v>13.304200000000002</v>
      </c>
      <c r="W81" s="68">
        <v>13.869299999999999</v>
      </c>
      <c r="X81" s="68">
        <v>17.284599999999998</v>
      </c>
      <c r="Y81" s="68">
        <v>19.099900000000002</v>
      </c>
      <c r="Z81" s="68">
        <v>21.859000000000002</v>
      </c>
      <c r="AA81" s="68">
        <v>25.2774</v>
      </c>
      <c r="AB81" s="68">
        <v>31.231400000000001</v>
      </c>
      <c r="AC81" s="68">
        <v>36.699199999999998</v>
      </c>
      <c r="AD81" s="68">
        <v>36.877699999999997</v>
      </c>
      <c r="AE81" s="68">
        <v>41.775100000000002</v>
      </c>
      <c r="AF81" s="68">
        <v>49.937800000000003</v>
      </c>
      <c r="AG81" s="68">
        <v>50.125800000000005</v>
      </c>
      <c r="AH81" s="68">
        <v>55.055699999999995</v>
      </c>
      <c r="AI81" s="68">
        <v>63.805199999999999</v>
      </c>
      <c r="AJ81" s="68">
        <v>69.2684</v>
      </c>
      <c r="AK81" s="68">
        <v>72.192399999999992</v>
      </c>
      <c r="AL81" s="68">
        <v>69.626100000000008</v>
      </c>
      <c r="AM81" s="68">
        <v>69.962800000000001</v>
      </c>
      <c r="AN81" s="68">
        <v>68.461100000000002</v>
      </c>
      <c r="AO81" s="68">
        <v>60.663699999999999</v>
      </c>
      <c r="AP81" s="68">
        <v>66.4298</v>
      </c>
      <c r="AQ81" s="68">
        <v>74.087500000000006</v>
      </c>
      <c r="AR81" s="68">
        <v>84.2453</v>
      </c>
      <c r="AS81" s="68">
        <v>95.169499999999999</v>
      </c>
      <c r="AT81" s="68">
        <v>104.3301</v>
      </c>
      <c r="AU81" s="68">
        <v>113.10769999999999</v>
      </c>
      <c r="AV81" s="68">
        <v>110.49630000000001</v>
      </c>
      <c r="AW81" s="68">
        <v>123.86410000000001</v>
      </c>
      <c r="AX81" s="68">
        <v>118.41119999999999</v>
      </c>
      <c r="AY81" s="68">
        <v>129.37280000000001</v>
      </c>
      <c r="AZ81" s="68">
        <v>128.44239999999999</v>
      </c>
      <c r="BA81" s="68">
        <v>126.5899</v>
      </c>
      <c r="BB81" s="68">
        <v>131.16070000000002</v>
      </c>
      <c r="BC81" s="68">
        <v>144.55710000000002</v>
      </c>
      <c r="BD81" s="68">
        <v>163.77170000000001</v>
      </c>
      <c r="BE81" s="68">
        <v>157.39570000000001</v>
      </c>
      <c r="BF81" s="68">
        <v>168.89850000000001</v>
      </c>
      <c r="BG81" s="68">
        <v>162.5736</v>
      </c>
      <c r="BH81" s="68">
        <v>172.78817999999998</v>
      </c>
      <c r="BI81" s="68">
        <v>188.22398999999999</v>
      </c>
      <c r="BJ81" s="68">
        <v>195.59289999999999</v>
      </c>
      <c r="BK81" s="68">
        <v>209.35344000000001</v>
      </c>
      <c r="BL81" s="68">
        <v>207.29432999999997</v>
      </c>
      <c r="BM81" s="68"/>
      <c r="BN81" s="68"/>
    </row>
    <row r="82" spans="1:66" x14ac:dyDescent="0.2">
      <c r="A82" t="s">
        <v>87</v>
      </c>
      <c r="B82" s="80" t="s">
        <v>333</v>
      </c>
      <c r="C82" s="68">
        <v>0.19980000000000001</v>
      </c>
      <c r="D82" s="68">
        <v>0.20549999999999999</v>
      </c>
      <c r="E82" s="68">
        <v>0.22209999999999999</v>
      </c>
      <c r="F82" s="68">
        <v>0.2225</v>
      </c>
      <c r="G82" s="68">
        <v>0.22119999999999998</v>
      </c>
      <c r="H82" s="68">
        <v>0.25559999999999999</v>
      </c>
      <c r="I82" s="68">
        <v>0.30710000000000004</v>
      </c>
      <c r="J82" s="68">
        <v>0.33479999999999999</v>
      </c>
      <c r="K82" s="68">
        <v>0.33389999999999997</v>
      </c>
      <c r="L82" s="68">
        <v>0.32689999999999997</v>
      </c>
      <c r="M82" s="68">
        <v>0.2979</v>
      </c>
      <c r="N82" s="68">
        <v>0.3004</v>
      </c>
      <c r="O82" s="68">
        <v>0.2717</v>
      </c>
      <c r="P82" s="68">
        <v>0.31069999999999998</v>
      </c>
      <c r="Q82" s="68">
        <v>0.22180000000000002</v>
      </c>
      <c r="R82" s="68">
        <v>0.2306</v>
      </c>
      <c r="S82" s="68">
        <v>0.21780000000000002</v>
      </c>
      <c r="T82" s="68">
        <v>0.2039</v>
      </c>
      <c r="U82" s="68">
        <v>0.22459999999999999</v>
      </c>
      <c r="V82" s="68">
        <v>0.21919999999999998</v>
      </c>
      <c r="W82" s="68">
        <v>0.26750000000000002</v>
      </c>
      <c r="X82" s="68">
        <v>0.27079999999999999</v>
      </c>
      <c r="Y82" s="68">
        <v>0.30689999999999995</v>
      </c>
      <c r="Z82" s="68">
        <v>0.31819999999999998</v>
      </c>
      <c r="AA82" s="68">
        <v>0.37110000000000004</v>
      </c>
      <c r="AB82" s="68">
        <v>0.45230000000000004</v>
      </c>
      <c r="AC82" s="68">
        <v>0.59920000000000007</v>
      </c>
      <c r="AD82" s="68">
        <v>0.81920000000000004</v>
      </c>
      <c r="AE82" s="68">
        <v>0.73409999999999997</v>
      </c>
      <c r="AF82" s="68">
        <v>0.78620000000000001</v>
      </c>
      <c r="AG82" s="68">
        <v>1.6974</v>
      </c>
      <c r="AH82" s="68">
        <v>1.6422999999999999</v>
      </c>
      <c r="AI82" s="68">
        <v>2.3673000000000002</v>
      </c>
      <c r="AJ82" s="68">
        <v>3.3748</v>
      </c>
      <c r="AK82" s="68">
        <v>2.3089</v>
      </c>
      <c r="AL82" s="68">
        <v>3.1055000000000001</v>
      </c>
      <c r="AM82" s="68">
        <v>2.4959000000000002</v>
      </c>
      <c r="AN82" s="68">
        <v>2.1413000000000002</v>
      </c>
      <c r="AO82" s="68">
        <v>1.7497</v>
      </c>
      <c r="AP82" s="68">
        <v>5.0613999999999999</v>
      </c>
      <c r="AQ82" s="68">
        <v>3.4988000000000001</v>
      </c>
      <c r="AR82" s="68">
        <v>4.7098000000000004</v>
      </c>
      <c r="AS82" s="68">
        <v>3.105</v>
      </c>
      <c r="AT82" s="68">
        <v>3.9125999999999999</v>
      </c>
      <c r="AU82" s="68">
        <v>3.9929999999999999</v>
      </c>
      <c r="AV82" s="68">
        <v>3.8780000000000001</v>
      </c>
      <c r="AW82" s="68">
        <v>4.4340000000000002</v>
      </c>
      <c r="AX82" s="68">
        <v>4.1479999999999997</v>
      </c>
      <c r="AY82" s="68">
        <v>5.8490000000000002</v>
      </c>
      <c r="AZ82" s="68">
        <v>4.726</v>
      </c>
      <c r="BA82" s="68">
        <v>8.0518999999999998</v>
      </c>
      <c r="BB82" s="68">
        <v>9.2577999999999996</v>
      </c>
      <c r="BC82" s="68">
        <v>5.3387000000000002</v>
      </c>
      <c r="BD82" s="68">
        <v>5.1151</v>
      </c>
      <c r="BE82" s="68">
        <v>4.3090999999999999</v>
      </c>
      <c r="BF82" s="68">
        <v>3.9849000000000001</v>
      </c>
      <c r="BG82" s="68">
        <v>5.1669999999999998</v>
      </c>
      <c r="BH82" s="68">
        <v>6.3</v>
      </c>
      <c r="BI82" s="68">
        <v>5.3310000000000004</v>
      </c>
      <c r="BJ82" s="68">
        <v>5.26</v>
      </c>
      <c r="BK82" s="68">
        <v>5.94</v>
      </c>
      <c r="BL82" s="68">
        <v>5.4409999999999998</v>
      </c>
      <c r="BM82" s="68"/>
      <c r="BN82" s="68"/>
    </row>
    <row r="83" spans="1:66" x14ac:dyDescent="0.2">
      <c r="A83" t="s">
        <v>334</v>
      </c>
      <c r="B83" s="80" t="s">
        <v>335</v>
      </c>
      <c r="C83" s="68">
        <v>0</v>
      </c>
      <c r="D83" s="68">
        <v>0</v>
      </c>
      <c r="E83" s="68">
        <v>0</v>
      </c>
      <c r="F83" s="68">
        <v>0</v>
      </c>
      <c r="G83" s="68">
        <v>0</v>
      </c>
      <c r="H83" s="68">
        <v>0</v>
      </c>
      <c r="I83" s="68">
        <v>0</v>
      </c>
      <c r="J83" s="68">
        <v>0</v>
      </c>
      <c r="K83" s="68">
        <v>0</v>
      </c>
      <c r="L83" s="68">
        <v>0</v>
      </c>
      <c r="M83" s="68">
        <v>0</v>
      </c>
      <c r="N83" s="68">
        <v>0</v>
      </c>
      <c r="O83" s="68">
        <v>0</v>
      </c>
      <c r="P83" s="68">
        <v>0</v>
      </c>
      <c r="Q83" s="68">
        <v>0</v>
      </c>
      <c r="R83" s="68">
        <v>0</v>
      </c>
      <c r="S83" s="68">
        <v>0</v>
      </c>
      <c r="T83" s="68">
        <v>0</v>
      </c>
      <c r="U83" s="68">
        <v>0</v>
      </c>
      <c r="V83" s="68">
        <v>0</v>
      </c>
      <c r="W83" s="68">
        <v>0</v>
      </c>
      <c r="X83" s="68">
        <v>0</v>
      </c>
      <c r="Y83" s="68">
        <v>0</v>
      </c>
      <c r="Z83" s="68">
        <v>0</v>
      </c>
      <c r="AA83" s="68">
        <v>0</v>
      </c>
      <c r="AB83" s="68">
        <v>0</v>
      </c>
      <c r="AC83" s="68">
        <v>0</v>
      </c>
      <c r="AD83" s="68">
        <v>0</v>
      </c>
      <c r="AE83" s="68">
        <v>0</v>
      </c>
      <c r="AF83" s="68">
        <v>0.18180000000000002</v>
      </c>
      <c r="AG83" s="68">
        <v>0.2036</v>
      </c>
      <c r="AH83" s="68">
        <v>0.2727</v>
      </c>
      <c r="AI83" s="68">
        <v>0.28029999999999999</v>
      </c>
      <c r="AJ83" s="68">
        <v>0.35049999999999998</v>
      </c>
      <c r="AK83" s="68">
        <v>0.41919999999999996</v>
      </c>
      <c r="AL83" s="68">
        <v>0.38689999999999997</v>
      </c>
      <c r="AM83" s="68">
        <v>0.36380000000000001</v>
      </c>
      <c r="AN83" s="68">
        <v>0.41460000000000002</v>
      </c>
      <c r="AO83" s="68">
        <v>0.47760000000000002</v>
      </c>
      <c r="AP83" s="68">
        <v>0.55349999999999999</v>
      </c>
      <c r="AQ83" s="68">
        <v>0.46870000000000001</v>
      </c>
      <c r="AR83" s="68">
        <v>0.65360000000000007</v>
      </c>
      <c r="AS83" s="68">
        <v>0.81889999999999996</v>
      </c>
      <c r="AT83" s="68">
        <v>0.80389999999999995</v>
      </c>
      <c r="AU83" s="68">
        <v>0.86599999999999999</v>
      </c>
      <c r="AV83" s="68">
        <v>0.89300000000000002</v>
      </c>
      <c r="AW83" s="68">
        <v>0.86399999999999999</v>
      </c>
      <c r="AX83" s="68">
        <v>1.3720000000000001</v>
      </c>
      <c r="AY83" s="68">
        <v>2.0579999999999998</v>
      </c>
      <c r="AZ83" s="68">
        <v>1.962</v>
      </c>
      <c r="BA83" s="68">
        <v>1.7769999999999999</v>
      </c>
      <c r="BB83" s="68">
        <v>1.7450000000000001</v>
      </c>
      <c r="BC83" s="68">
        <v>1.9359999999999999</v>
      </c>
      <c r="BD83" s="68">
        <v>1.8049999999999999</v>
      </c>
      <c r="BE83" s="68">
        <v>1.6439999999999999</v>
      </c>
      <c r="BF83" s="68">
        <v>1.4359999999999999</v>
      </c>
      <c r="BG83" s="68">
        <v>1.421</v>
      </c>
      <c r="BH83" s="68">
        <v>1.5620000000000001</v>
      </c>
      <c r="BI83" s="68">
        <v>1.59</v>
      </c>
      <c r="BJ83" s="68">
        <v>1.581</v>
      </c>
      <c r="BK83" s="68">
        <v>2.0249999999999999</v>
      </c>
      <c r="BL83" s="68">
        <v>2.0670000000000002</v>
      </c>
      <c r="BM83" s="68"/>
      <c r="BN83" s="68"/>
    </row>
    <row r="84" spans="1:66" x14ac:dyDescent="0.2">
      <c r="A84" t="s">
        <v>336</v>
      </c>
      <c r="B84" s="80" t="s">
        <v>337</v>
      </c>
      <c r="C84" s="68">
        <v>0</v>
      </c>
      <c r="D84" s="68">
        <v>0</v>
      </c>
      <c r="E84" s="68">
        <v>0</v>
      </c>
      <c r="F84" s="68">
        <v>0</v>
      </c>
      <c r="G84" s="68">
        <v>0</v>
      </c>
      <c r="H84" s="68">
        <v>0</v>
      </c>
      <c r="I84" s="68">
        <v>0</v>
      </c>
      <c r="J84" s="68">
        <v>0</v>
      </c>
      <c r="K84" s="68">
        <v>0</v>
      </c>
      <c r="L84" s="68">
        <v>0</v>
      </c>
      <c r="M84" s="68">
        <v>0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0</v>
      </c>
      <c r="U84" s="68">
        <v>0</v>
      </c>
      <c r="V84" s="68">
        <v>0</v>
      </c>
      <c r="W84" s="68">
        <v>0</v>
      </c>
      <c r="X84" s="68">
        <v>0</v>
      </c>
      <c r="Y84" s="68">
        <v>0</v>
      </c>
      <c r="Z84" s="68">
        <v>0</v>
      </c>
      <c r="AA84" s="68">
        <v>0</v>
      </c>
      <c r="AB84" s="68">
        <v>0</v>
      </c>
      <c r="AC84" s="68">
        <v>0</v>
      </c>
      <c r="AD84" s="68">
        <v>0</v>
      </c>
      <c r="AE84" s="68">
        <v>0</v>
      </c>
      <c r="AF84" s="68">
        <v>0.60439999999999994</v>
      </c>
      <c r="AG84" s="68">
        <v>1.4938</v>
      </c>
      <c r="AH84" s="68">
        <v>1.3697000000000001</v>
      </c>
      <c r="AI84" s="68">
        <v>2.0870000000000002</v>
      </c>
      <c r="AJ84" s="68">
        <v>3.0244</v>
      </c>
      <c r="AK84" s="68">
        <v>1.8897999999999999</v>
      </c>
      <c r="AL84" s="68">
        <v>2.7186999999999997</v>
      </c>
      <c r="AM84" s="68">
        <v>2.1320999999999999</v>
      </c>
      <c r="AN84" s="68">
        <v>1.7265999999999999</v>
      </c>
      <c r="AO84" s="68">
        <v>1.2721</v>
      </c>
      <c r="AP84" s="68">
        <v>4.5078999999999994</v>
      </c>
      <c r="AQ84" s="68">
        <v>3.0301</v>
      </c>
      <c r="AR84" s="68">
        <v>4.0561999999999996</v>
      </c>
      <c r="AS84" s="68">
        <v>2.2862</v>
      </c>
      <c r="AT84" s="68">
        <v>3.1086999999999998</v>
      </c>
      <c r="AU84" s="68">
        <v>3.1269999999999998</v>
      </c>
      <c r="AV84" s="68">
        <v>2.9849999999999999</v>
      </c>
      <c r="AW84" s="68">
        <v>3.57</v>
      </c>
      <c r="AX84" s="68">
        <v>2.7759999999999998</v>
      </c>
      <c r="AY84" s="68">
        <v>3.7909999999999999</v>
      </c>
      <c r="AZ84" s="68">
        <v>2.7639999999999998</v>
      </c>
      <c r="BA84" s="68">
        <v>6.2748999999999997</v>
      </c>
      <c r="BB84" s="68">
        <v>7.5128000000000004</v>
      </c>
      <c r="BC84" s="68">
        <v>3.4026999999999998</v>
      </c>
      <c r="BD84" s="68">
        <v>3.3100999999999998</v>
      </c>
      <c r="BE84" s="68">
        <v>2.6650999999999998</v>
      </c>
      <c r="BF84" s="68">
        <v>2.5489000000000002</v>
      </c>
      <c r="BG84" s="68">
        <v>3.746</v>
      </c>
      <c r="BH84" s="68">
        <v>4.7380000000000004</v>
      </c>
      <c r="BI84" s="68">
        <v>3.7410000000000001</v>
      </c>
      <c r="BJ84" s="68">
        <v>3.6789999999999998</v>
      </c>
      <c r="BK84" s="68">
        <v>3.915</v>
      </c>
      <c r="BL84" s="68">
        <v>3.3740000000000001</v>
      </c>
      <c r="BM84" s="68"/>
      <c r="BN84" s="68"/>
    </row>
    <row r="85" spans="1:66" x14ac:dyDescent="0.2">
      <c r="A85" t="s">
        <v>89</v>
      </c>
      <c r="B85" s="80" t="s">
        <v>338</v>
      </c>
      <c r="C85" s="68">
        <v>-6.3500000000000001E-2</v>
      </c>
      <c r="D85" s="68">
        <v>-7.1099999999999997E-2</v>
      </c>
      <c r="E85" s="68">
        <v>-7.7499999999999999E-2</v>
      </c>
      <c r="F85" s="68">
        <v>-6.9699999999999998E-2</v>
      </c>
      <c r="G85" s="68">
        <v>-6.25E-2</v>
      </c>
      <c r="H85" s="68">
        <v>-6.7900000000000002E-2</v>
      </c>
      <c r="I85" s="68">
        <v>-7.9400000000000012E-2</v>
      </c>
      <c r="J85" s="68">
        <v>-9.2599999999999988E-2</v>
      </c>
      <c r="K85" s="68">
        <v>-0.1215</v>
      </c>
      <c r="L85" s="68">
        <v>-0.15559999999999999</v>
      </c>
      <c r="M85" s="68">
        <v>-0.1741</v>
      </c>
      <c r="N85" s="68">
        <v>-0.18099999999999999</v>
      </c>
      <c r="O85" s="68">
        <v>-0.1938</v>
      </c>
      <c r="P85" s="68">
        <v>-0.20830000000000001</v>
      </c>
      <c r="Q85" s="68">
        <v>-0.22550000000000001</v>
      </c>
      <c r="R85" s="68">
        <v>-0.2475</v>
      </c>
      <c r="S85" s="68">
        <v>-0.26369999999999999</v>
      </c>
      <c r="T85" s="68">
        <v>-0.31950000000000001</v>
      </c>
      <c r="U85" s="68">
        <v>-0.36230000000000001</v>
      </c>
      <c r="V85" s="68">
        <v>-0.3831</v>
      </c>
      <c r="W85" s="68">
        <v>-0.42849999999999999</v>
      </c>
      <c r="X85" s="68">
        <v>-0.49739999999999995</v>
      </c>
      <c r="Y85" s="68">
        <v>-0.54170000000000007</v>
      </c>
      <c r="Z85" s="68">
        <v>-0.52039999999999997</v>
      </c>
      <c r="AA85" s="68">
        <v>-0.57079999999999997</v>
      </c>
      <c r="AB85" s="68">
        <v>-0.65579999999999994</v>
      </c>
      <c r="AC85" s="68">
        <v>-0.91300000000000003</v>
      </c>
      <c r="AD85" s="68">
        <v>-0.74250000000000005</v>
      </c>
      <c r="AE85" s="68">
        <v>-0.96199999999999997</v>
      </c>
      <c r="AF85" s="68">
        <v>-1.2307000000000001</v>
      </c>
      <c r="AG85" s="68">
        <v>-1.3913</v>
      </c>
      <c r="AH85" s="68">
        <v>-1.5867</v>
      </c>
      <c r="AI85" s="68">
        <v>-2.2549999999999999</v>
      </c>
      <c r="AJ85" s="68">
        <v>-2.5150999999999999</v>
      </c>
      <c r="AK85" s="68">
        <v>-2.6046999999999998</v>
      </c>
      <c r="AL85" s="68">
        <v>-2.6595999999999997</v>
      </c>
      <c r="AM85" s="68">
        <v>-2.5705</v>
      </c>
      <c r="AN85" s="68">
        <v>-3.4153000000000002</v>
      </c>
      <c r="AO85" s="68">
        <v>-3.2693000000000003</v>
      </c>
      <c r="AP85" s="68">
        <v>-3.9514</v>
      </c>
      <c r="AQ85" s="68">
        <v>-4.1977000000000002</v>
      </c>
      <c r="AR85" s="68">
        <v>-4.6526000000000005</v>
      </c>
      <c r="AS85" s="68">
        <v>-5.7558999999999996</v>
      </c>
      <c r="AT85" s="68">
        <v>-5.2549999999999999</v>
      </c>
      <c r="AU85" s="68">
        <v>-5.7731000000000003</v>
      </c>
      <c r="AV85" s="68">
        <v>-6.0039999999999996</v>
      </c>
      <c r="AW85" s="68">
        <v>-5.8920000000000003</v>
      </c>
      <c r="AX85" s="68">
        <v>-8.1859999999999999</v>
      </c>
      <c r="AY85" s="68">
        <v>-8.8659999999999997</v>
      </c>
      <c r="AZ85" s="68">
        <v>-7.4130000000000003</v>
      </c>
      <c r="BA85" s="68">
        <v>-8.4480000000000004</v>
      </c>
      <c r="BB85" s="68">
        <v>-9.0020000000000007</v>
      </c>
      <c r="BC85" s="68">
        <v>-8.6920999999999999</v>
      </c>
      <c r="BD85" s="68">
        <v>-9.3988999999999994</v>
      </c>
      <c r="BE85" s="68">
        <v>-10.022</v>
      </c>
      <c r="BF85" s="68">
        <v>-10.773</v>
      </c>
      <c r="BG85" s="68">
        <v>-11.827999999999999</v>
      </c>
      <c r="BH85" s="68">
        <v>-10.768000000000001</v>
      </c>
      <c r="BI85" s="68">
        <v>-10.765000000000001</v>
      </c>
      <c r="BJ85" s="68">
        <v>-10.215</v>
      </c>
      <c r="BK85" s="68">
        <v>-9.6530000000000005</v>
      </c>
      <c r="BL85" s="68">
        <v>-10.148999999999999</v>
      </c>
      <c r="BM85" s="68"/>
      <c r="BN85" s="68"/>
    </row>
    <row r="86" spans="1:66" x14ac:dyDescent="0.2">
      <c r="A86" t="s">
        <v>339</v>
      </c>
      <c r="B86" s="80" t="s">
        <v>340</v>
      </c>
      <c r="C86" s="68">
        <v>0</v>
      </c>
      <c r="D86" s="68">
        <v>0</v>
      </c>
      <c r="E86" s="68">
        <v>0</v>
      </c>
      <c r="F86" s="68">
        <v>0</v>
      </c>
      <c r="G86" s="68">
        <v>0</v>
      </c>
      <c r="H86" s="68">
        <v>0</v>
      </c>
      <c r="I86" s="68">
        <v>0</v>
      </c>
      <c r="J86" s="68">
        <v>0</v>
      </c>
      <c r="K86" s="68">
        <v>0</v>
      </c>
      <c r="L86" s="68">
        <v>0</v>
      </c>
      <c r="M86" s="68">
        <v>0</v>
      </c>
      <c r="N86" s="68">
        <v>0</v>
      </c>
      <c r="O86" s="68">
        <v>0</v>
      </c>
      <c r="P86" s="68">
        <v>0</v>
      </c>
      <c r="Q86" s="68">
        <v>0</v>
      </c>
      <c r="R86" s="68">
        <v>0</v>
      </c>
      <c r="S86" s="68">
        <v>0</v>
      </c>
      <c r="T86" s="68">
        <v>0</v>
      </c>
      <c r="U86" s="68">
        <v>0</v>
      </c>
      <c r="V86" s="68">
        <v>0</v>
      </c>
      <c r="W86" s="68">
        <v>0</v>
      </c>
      <c r="X86" s="68">
        <v>0</v>
      </c>
      <c r="Y86" s="68">
        <v>0</v>
      </c>
      <c r="Z86" s="68">
        <v>0</v>
      </c>
      <c r="AA86" s="68">
        <v>0</v>
      </c>
      <c r="AB86" s="68">
        <v>0</v>
      </c>
      <c r="AC86" s="68">
        <v>0</v>
      </c>
      <c r="AD86" s="68">
        <v>0</v>
      </c>
      <c r="AE86" s="68">
        <v>0</v>
      </c>
      <c r="AF86" s="68">
        <v>-0.69040000000000001</v>
      </c>
      <c r="AG86" s="68">
        <v>-0.87370000000000003</v>
      </c>
      <c r="AH86" s="68">
        <v>-0.95879999999999999</v>
      </c>
      <c r="AI86" s="68">
        <v>-1.4770999999999999</v>
      </c>
      <c r="AJ86" s="68">
        <v>-1.3274000000000001</v>
      </c>
      <c r="AK86" s="68">
        <v>-1.5829000000000002</v>
      </c>
      <c r="AL86" s="68">
        <v>-1.6454000000000002</v>
      </c>
      <c r="AM86" s="68">
        <v>-1.8204</v>
      </c>
      <c r="AN86" s="68">
        <v>-2.4971000000000001</v>
      </c>
      <c r="AO86" s="68">
        <v>-2.6286</v>
      </c>
      <c r="AP86" s="68">
        <v>-3.1215999999999999</v>
      </c>
      <c r="AQ86" s="68">
        <v>-3.3498000000000001</v>
      </c>
      <c r="AR86" s="68">
        <v>-3.8605999999999998</v>
      </c>
      <c r="AS86" s="68">
        <v>-4.3460000000000001</v>
      </c>
      <c r="AT86" s="68">
        <v>-4.3711000000000002</v>
      </c>
      <c r="AU86" s="68">
        <v>-4.26</v>
      </c>
      <c r="AV86" s="68">
        <v>-4.5620000000000003</v>
      </c>
      <c r="AW86" s="68">
        <v>-4.2610000000000001</v>
      </c>
      <c r="AX86" s="68">
        <v>-4.8419999999999996</v>
      </c>
      <c r="AY86" s="68">
        <v>-6.0940000000000003</v>
      </c>
      <c r="AZ86" s="68">
        <v>-5.5940000000000003</v>
      </c>
      <c r="BA86" s="68">
        <v>-6.5620000000000003</v>
      </c>
      <c r="BB86" s="68">
        <v>-6.907</v>
      </c>
      <c r="BC86" s="68">
        <v>-7.3129999999999997</v>
      </c>
      <c r="BD86" s="68">
        <v>-6.9870000000000001</v>
      </c>
      <c r="BE86" s="68">
        <v>-7.274</v>
      </c>
      <c r="BF86" s="68">
        <v>-8.61</v>
      </c>
      <c r="BG86" s="68">
        <v>-9.0060000000000002</v>
      </c>
      <c r="BH86" s="68">
        <v>-8.3460000000000001</v>
      </c>
      <c r="BI86" s="68">
        <v>-8.91</v>
      </c>
      <c r="BJ86" s="68">
        <v>-7.8940000000000001</v>
      </c>
      <c r="BK86" s="68">
        <v>-7.4619999999999997</v>
      </c>
      <c r="BL86" s="68">
        <v>-7.7380000000000004</v>
      </c>
      <c r="BM86" s="68"/>
      <c r="BN86" s="68"/>
    </row>
    <row r="87" spans="1:66" x14ac:dyDescent="0.2">
      <c r="A87" t="s">
        <v>341</v>
      </c>
      <c r="B87" s="80" t="s">
        <v>335</v>
      </c>
      <c r="C87" s="68">
        <v>0</v>
      </c>
      <c r="D87" s="68">
        <v>0</v>
      </c>
      <c r="E87" s="68">
        <v>0</v>
      </c>
      <c r="F87" s="68">
        <v>0</v>
      </c>
      <c r="G87" s="68">
        <v>0</v>
      </c>
      <c r="H87" s="68">
        <v>0</v>
      </c>
      <c r="I87" s="68">
        <v>0</v>
      </c>
      <c r="J87" s="68">
        <v>0</v>
      </c>
      <c r="K87" s="68">
        <v>0</v>
      </c>
      <c r="L87" s="68">
        <v>0</v>
      </c>
      <c r="M87" s="68">
        <v>0</v>
      </c>
      <c r="N87" s="68">
        <v>0</v>
      </c>
      <c r="O87" s="68">
        <v>0</v>
      </c>
      <c r="P87" s="68">
        <v>0</v>
      </c>
      <c r="Q87" s="68">
        <v>0</v>
      </c>
      <c r="R87" s="68">
        <v>0</v>
      </c>
      <c r="S87" s="68">
        <v>0</v>
      </c>
      <c r="T87" s="68">
        <v>0</v>
      </c>
      <c r="U87" s="68">
        <v>0</v>
      </c>
      <c r="V87" s="68">
        <v>0</v>
      </c>
      <c r="W87" s="68">
        <v>0</v>
      </c>
      <c r="X87" s="68">
        <v>0</v>
      </c>
      <c r="Y87" s="68">
        <v>0</v>
      </c>
      <c r="Z87" s="68">
        <v>0</v>
      </c>
      <c r="AA87" s="68">
        <v>0</v>
      </c>
      <c r="AB87" s="68">
        <v>0</v>
      </c>
      <c r="AC87" s="68">
        <v>0</v>
      </c>
      <c r="AD87" s="68">
        <v>0</v>
      </c>
      <c r="AE87" s="68">
        <v>0</v>
      </c>
      <c r="AF87" s="68">
        <v>0</v>
      </c>
      <c r="AG87" s="68">
        <v>0</v>
      </c>
      <c r="AH87" s="68">
        <v>0</v>
      </c>
      <c r="AI87" s="68">
        <v>0</v>
      </c>
      <c r="AJ87" s="68">
        <v>0</v>
      </c>
      <c r="AK87" s="68">
        <v>0</v>
      </c>
      <c r="AL87" s="68">
        <v>0</v>
      </c>
      <c r="AM87" s="68">
        <v>0</v>
      </c>
      <c r="AN87" s="68">
        <v>0</v>
      </c>
      <c r="AO87" s="68">
        <v>0</v>
      </c>
      <c r="AP87" s="68">
        <v>0</v>
      </c>
      <c r="AQ87" s="68">
        <v>0</v>
      </c>
      <c r="AR87" s="68">
        <v>0</v>
      </c>
      <c r="AS87" s="68">
        <v>0</v>
      </c>
      <c r="AT87" s="68">
        <v>0</v>
      </c>
      <c r="AU87" s="68">
        <v>0</v>
      </c>
      <c r="AV87" s="68">
        <v>0</v>
      </c>
      <c r="AW87" s="68">
        <v>0</v>
      </c>
      <c r="AX87" s="68">
        <v>0</v>
      </c>
      <c r="AY87" s="68">
        <v>0</v>
      </c>
      <c r="AZ87" s="68">
        <v>0</v>
      </c>
      <c r="BA87" s="68">
        <v>0</v>
      </c>
      <c r="BB87" s="68">
        <v>0</v>
      </c>
      <c r="BC87" s="68">
        <v>0</v>
      </c>
      <c r="BD87" s="68">
        <v>0</v>
      </c>
      <c r="BE87" s="68">
        <v>0</v>
      </c>
      <c r="BF87" s="68">
        <v>0</v>
      </c>
      <c r="BG87" s="68">
        <v>0</v>
      </c>
      <c r="BH87" s="68">
        <v>0</v>
      </c>
      <c r="BI87" s="68">
        <v>0</v>
      </c>
      <c r="BJ87" s="68">
        <v>0</v>
      </c>
      <c r="BK87" s="68">
        <v>0</v>
      </c>
      <c r="BL87" s="68">
        <v>0</v>
      </c>
      <c r="BM87" s="68"/>
      <c r="BN87" s="68"/>
    </row>
    <row r="88" spans="1:66" x14ac:dyDescent="0.2">
      <c r="A88" t="s">
        <v>342</v>
      </c>
      <c r="B88" s="80" t="s">
        <v>343</v>
      </c>
      <c r="C88" s="68">
        <v>0</v>
      </c>
      <c r="D88" s="68">
        <v>0</v>
      </c>
      <c r="E88" s="68">
        <v>0</v>
      </c>
      <c r="F88" s="68">
        <v>0</v>
      </c>
      <c r="G88" s="68">
        <v>0</v>
      </c>
      <c r="H88" s="68">
        <v>0</v>
      </c>
      <c r="I88" s="68">
        <v>0</v>
      </c>
      <c r="J88" s="68">
        <v>0</v>
      </c>
      <c r="K88" s="68">
        <v>0</v>
      </c>
      <c r="L88" s="68">
        <v>0</v>
      </c>
      <c r="M88" s="68">
        <v>0</v>
      </c>
      <c r="N88" s="68">
        <v>0</v>
      </c>
      <c r="O88" s="68">
        <v>0</v>
      </c>
      <c r="P88" s="68">
        <v>0</v>
      </c>
      <c r="Q88" s="68">
        <v>0</v>
      </c>
      <c r="R88" s="68">
        <v>0</v>
      </c>
      <c r="S88" s="68">
        <v>0</v>
      </c>
      <c r="T88" s="68">
        <v>0</v>
      </c>
      <c r="U88" s="68">
        <v>0</v>
      </c>
      <c r="V88" s="68">
        <v>0</v>
      </c>
      <c r="W88" s="68">
        <v>0</v>
      </c>
      <c r="X88" s="68">
        <v>0</v>
      </c>
      <c r="Y88" s="68">
        <v>0</v>
      </c>
      <c r="Z88" s="68">
        <v>0</v>
      </c>
      <c r="AA88" s="68">
        <v>0</v>
      </c>
      <c r="AB88" s="68">
        <v>0</v>
      </c>
      <c r="AC88" s="68">
        <v>0</v>
      </c>
      <c r="AD88" s="68">
        <v>0</v>
      </c>
      <c r="AE88" s="68">
        <v>0</v>
      </c>
      <c r="AF88" s="68">
        <v>-0.5403</v>
      </c>
      <c r="AG88" s="68">
        <v>-0.51760000000000006</v>
      </c>
      <c r="AH88" s="68">
        <v>-0.62790000000000001</v>
      </c>
      <c r="AI88" s="68">
        <v>-0.77789999999999992</v>
      </c>
      <c r="AJ88" s="68">
        <v>-1.1877</v>
      </c>
      <c r="AK88" s="68">
        <v>-1.0218</v>
      </c>
      <c r="AL88" s="68">
        <v>-1.0142</v>
      </c>
      <c r="AM88" s="68">
        <v>-0.75009999999999999</v>
      </c>
      <c r="AN88" s="68">
        <v>-0.91810000000000003</v>
      </c>
      <c r="AO88" s="68">
        <v>-0.64070000000000005</v>
      </c>
      <c r="AP88" s="68">
        <v>-0.82979999999999998</v>
      </c>
      <c r="AQ88" s="68">
        <v>-0.84789999999999999</v>
      </c>
      <c r="AR88" s="68">
        <v>-0.79200000000000004</v>
      </c>
      <c r="AS88" s="68">
        <v>-1.4099000000000002</v>
      </c>
      <c r="AT88" s="68">
        <v>-0.88390000000000002</v>
      </c>
      <c r="AU88" s="68">
        <v>-1.5130999999999999</v>
      </c>
      <c r="AV88" s="68">
        <v>-1.4419999999999999</v>
      </c>
      <c r="AW88" s="68">
        <v>-1.631</v>
      </c>
      <c r="AX88" s="68">
        <v>-3.3439999999999999</v>
      </c>
      <c r="AY88" s="68">
        <v>-2.7719999999999998</v>
      </c>
      <c r="AZ88" s="68">
        <v>-1.819</v>
      </c>
      <c r="BA88" s="68">
        <v>-1.8859999999999999</v>
      </c>
      <c r="BB88" s="68">
        <v>-2.0950000000000002</v>
      </c>
      <c r="BC88" s="68">
        <v>-1.3791</v>
      </c>
      <c r="BD88" s="68">
        <v>-2.4119000000000002</v>
      </c>
      <c r="BE88" s="68">
        <v>-2.7480000000000002</v>
      </c>
      <c r="BF88" s="68">
        <v>-2.1629999999999998</v>
      </c>
      <c r="BG88" s="68">
        <v>-2.8220000000000001</v>
      </c>
      <c r="BH88" s="68">
        <v>-2.4220000000000002</v>
      </c>
      <c r="BI88" s="68">
        <v>-1.855</v>
      </c>
      <c r="BJ88" s="68">
        <v>-2.3210000000000002</v>
      </c>
      <c r="BK88" s="68">
        <v>-2.1909999999999998</v>
      </c>
      <c r="BL88" s="68">
        <v>-2.411</v>
      </c>
      <c r="BM88" s="68"/>
      <c r="BN88" s="68"/>
    </row>
    <row r="89" spans="1:66" x14ac:dyDescent="0.2">
      <c r="A89" t="s">
        <v>268</v>
      </c>
      <c r="B89" s="80" t="s">
        <v>6</v>
      </c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  <c r="BK89" s="68"/>
      <c r="BL89" s="68"/>
      <c r="BM89" s="68"/>
      <c r="BN89" s="68"/>
    </row>
    <row r="90" spans="1:66" x14ac:dyDescent="0.2">
      <c r="A90" t="s">
        <v>91</v>
      </c>
      <c r="B90" s="80" t="s">
        <v>92</v>
      </c>
      <c r="C90" s="68">
        <v>0.65810000000000002</v>
      </c>
      <c r="D90" s="68">
        <v>0.74729999999999996</v>
      </c>
      <c r="E90" s="68">
        <v>1.0809000000000002</v>
      </c>
      <c r="F90" s="68">
        <v>1.4134</v>
      </c>
      <c r="G90" s="68">
        <v>1.5037</v>
      </c>
      <c r="H90" s="68">
        <v>1.7275</v>
      </c>
      <c r="I90" s="68">
        <v>2.0144000000000002</v>
      </c>
      <c r="J90" s="68">
        <v>2.1829999999999998</v>
      </c>
      <c r="K90" s="68">
        <v>2.6006999999999998</v>
      </c>
      <c r="L90" s="68">
        <v>2.9798</v>
      </c>
      <c r="M90" s="68">
        <v>3.1595999999999997</v>
      </c>
      <c r="N90" s="68">
        <v>3.39</v>
      </c>
      <c r="O90" s="68">
        <v>3.9089</v>
      </c>
      <c r="P90" s="68">
        <v>4.0866999999999996</v>
      </c>
      <c r="Q90" s="68">
        <v>4.9032999999999998</v>
      </c>
      <c r="R90" s="68">
        <v>5.8218000000000005</v>
      </c>
      <c r="S90" s="68">
        <v>6.4744999999999999</v>
      </c>
      <c r="T90" s="68">
        <v>7.2968999999999999</v>
      </c>
      <c r="U90" s="68">
        <v>8.0002999999999993</v>
      </c>
      <c r="V90" s="68">
        <v>9.0057999999999989</v>
      </c>
      <c r="W90" s="68">
        <v>10.129200000000001</v>
      </c>
      <c r="X90" s="68">
        <v>11.0213</v>
      </c>
      <c r="Y90" s="68">
        <v>12.697100000000001</v>
      </c>
      <c r="Z90" s="68">
        <v>14.462899999999999</v>
      </c>
      <c r="AA90" s="68">
        <v>17.1294</v>
      </c>
      <c r="AB90" s="68">
        <v>20.848599999999998</v>
      </c>
      <c r="AC90" s="68">
        <v>21.683400000000002</v>
      </c>
      <c r="AD90" s="68">
        <v>24.197299999999998</v>
      </c>
      <c r="AE90" s="68">
        <v>26.1676</v>
      </c>
      <c r="AF90" s="68">
        <v>30.081299999999999</v>
      </c>
      <c r="AG90" s="68">
        <v>34.357800000000005</v>
      </c>
      <c r="AH90" s="68">
        <v>39.5779</v>
      </c>
      <c r="AI90" s="68">
        <v>42.298699999999997</v>
      </c>
      <c r="AJ90" s="68">
        <v>44.646699999999996</v>
      </c>
      <c r="AK90" s="68">
        <v>46.3934</v>
      </c>
      <c r="AL90" s="68">
        <v>47.753699999999995</v>
      </c>
      <c r="AM90" s="68">
        <v>48.328199999999995</v>
      </c>
      <c r="AN90" s="68">
        <v>51.2684</v>
      </c>
      <c r="AO90" s="68">
        <v>54.881399999999999</v>
      </c>
      <c r="AP90" s="68">
        <v>60.058</v>
      </c>
      <c r="AQ90" s="68">
        <v>66.2744</v>
      </c>
      <c r="AR90" s="68">
        <v>67.617100000000008</v>
      </c>
      <c r="AS90" s="68">
        <v>64.531599999999997</v>
      </c>
      <c r="AT90" s="68">
        <v>62.857699999999994</v>
      </c>
      <c r="AU90" s="68">
        <v>60.166499999999999</v>
      </c>
      <c r="AV90" s="68">
        <v>64.014099999999999</v>
      </c>
      <c r="AW90" s="68">
        <v>65.238799999999998</v>
      </c>
      <c r="AX90" s="68">
        <v>64.69619999999999</v>
      </c>
      <c r="AY90" s="68">
        <v>66.590899999999991</v>
      </c>
      <c r="AZ90" s="68">
        <v>69.865499999999997</v>
      </c>
      <c r="BA90" s="68">
        <v>74.950600000000009</v>
      </c>
      <c r="BB90" s="68">
        <v>77.142600000000002</v>
      </c>
      <c r="BC90" s="68">
        <v>79.991199999999992</v>
      </c>
      <c r="BD90" s="68">
        <v>83.158899999999988</v>
      </c>
      <c r="BE90" s="68">
        <v>87.722499999999997</v>
      </c>
      <c r="BF90" s="68">
        <v>94.300600000000003</v>
      </c>
      <c r="BG90" s="68">
        <v>102.63339999999999</v>
      </c>
      <c r="BH90" s="68">
        <v>114.30967999999999</v>
      </c>
      <c r="BI90" s="68">
        <v>124.94477999999999</v>
      </c>
      <c r="BJ90" s="68">
        <v>128.482</v>
      </c>
      <c r="BK90" s="68">
        <v>115.108</v>
      </c>
      <c r="BL90" s="68">
        <v>116.18</v>
      </c>
      <c r="BM90" s="68"/>
      <c r="BN90" s="68"/>
    </row>
    <row r="91" spans="1:66" x14ac:dyDescent="0.2">
      <c r="A91" t="s">
        <v>95</v>
      </c>
      <c r="B91" s="80" t="s">
        <v>344</v>
      </c>
      <c r="C91" s="68">
        <v>0.10150000000000001</v>
      </c>
      <c r="D91" s="68">
        <v>0.22569999999999998</v>
      </c>
      <c r="E91" s="68">
        <v>0.30319999999999997</v>
      </c>
      <c r="F91" s="68">
        <v>0.20580000000000001</v>
      </c>
      <c r="G91" s="68">
        <v>0.11170000000000001</v>
      </c>
      <c r="H91" s="68">
        <v>0.18559999999999999</v>
      </c>
      <c r="I91" s="68">
        <v>0.16500000000000001</v>
      </c>
      <c r="J91" s="68">
        <v>0.1628</v>
      </c>
      <c r="K91" s="68">
        <v>0.27239999999999998</v>
      </c>
      <c r="L91" s="68">
        <v>0.25469999999999998</v>
      </c>
      <c r="M91" s="68">
        <v>0.17499999999999999</v>
      </c>
      <c r="N91" s="68">
        <v>0.41120000000000001</v>
      </c>
      <c r="O91" s="68">
        <v>1.1900000000000001E-2</v>
      </c>
      <c r="P91" s="68">
        <v>0.48569999999999997</v>
      </c>
      <c r="Q91" s="68">
        <v>0.2767</v>
      </c>
      <c r="R91" s="68">
        <v>0.3669</v>
      </c>
      <c r="S91" s="68">
        <v>0.44850000000000001</v>
      </c>
      <c r="T91" s="68">
        <v>0.50190000000000001</v>
      </c>
      <c r="U91" s="68">
        <v>0.23930000000000001</v>
      </c>
      <c r="V91" s="68">
        <v>0.26500000000000001</v>
      </c>
      <c r="W91" s="68">
        <v>0.32400000000000001</v>
      </c>
      <c r="X91" s="68">
        <v>0.4718</v>
      </c>
      <c r="Y91" s="68">
        <v>5.8299999999999998E-2</v>
      </c>
      <c r="Z91" s="68">
        <v>0.71910000000000007</v>
      </c>
      <c r="AA91" s="68">
        <v>0.58440000000000003</v>
      </c>
      <c r="AB91" s="68">
        <v>0.36710000000000004</v>
      </c>
      <c r="AC91" s="68">
        <v>-0.20599999999999999</v>
      </c>
      <c r="AD91" s="68">
        <v>0.32730000000000004</v>
      </c>
      <c r="AE91" s="68">
        <v>0.40379999999999999</v>
      </c>
      <c r="AF91" s="68">
        <v>0.64510000000000001</v>
      </c>
      <c r="AG91" s="68">
        <v>0.8639</v>
      </c>
      <c r="AH91" s="68">
        <v>0.89129999999999998</v>
      </c>
      <c r="AI91" s="68">
        <v>-0.4708</v>
      </c>
      <c r="AJ91" s="68">
        <v>-0.1401</v>
      </c>
      <c r="AK91" s="68">
        <v>-0.70989999999999998</v>
      </c>
      <c r="AL91" s="68">
        <v>-0.20200000000000001</v>
      </c>
      <c r="AM91" s="68">
        <v>-1.2549999999999999</v>
      </c>
      <c r="AN91" s="68">
        <v>-0.7681</v>
      </c>
      <c r="AO91" s="68">
        <v>0.65539999999999998</v>
      </c>
      <c r="AP91" s="68">
        <v>0.70910000000000006</v>
      </c>
      <c r="AQ91" s="68">
        <v>0.79349999999999998</v>
      </c>
      <c r="AR91" s="68">
        <v>0.64190000000000003</v>
      </c>
      <c r="AS91" s="68">
        <v>0.34560000000000002</v>
      </c>
      <c r="AT91" s="68">
        <v>-9.8699999999999996E-2</v>
      </c>
      <c r="AU91" s="68">
        <v>-0.18909999999999999</v>
      </c>
      <c r="AV91" s="68">
        <v>0.2752</v>
      </c>
      <c r="AW91" s="68">
        <v>0.5413</v>
      </c>
      <c r="AX91" s="68">
        <v>0.317</v>
      </c>
      <c r="AY91" s="68">
        <v>-4.4200000000000003E-2</v>
      </c>
      <c r="AZ91" s="68">
        <v>0.46279999999999999</v>
      </c>
      <c r="BA91" s="68">
        <v>0.66459999999999997</v>
      </c>
      <c r="BB91" s="68">
        <v>0.5071</v>
      </c>
      <c r="BC91" s="68">
        <v>1.1944999999999999</v>
      </c>
      <c r="BD91" s="68">
        <v>0.84560000000000002</v>
      </c>
      <c r="BE91" s="68">
        <v>0.87129999999999996</v>
      </c>
      <c r="BF91" s="68">
        <v>3.7568000000000001</v>
      </c>
      <c r="BG91" s="68">
        <v>0.3473</v>
      </c>
      <c r="BH91" s="68">
        <v>0.55900000000000005</v>
      </c>
      <c r="BI91" s="68">
        <v>0.68</v>
      </c>
      <c r="BJ91" s="68">
        <v>0.40500000000000003</v>
      </c>
      <c r="BK91" s="68">
        <v>-0.17100000000000001</v>
      </c>
      <c r="BL91" s="68">
        <v>-0.17100000000000001</v>
      </c>
      <c r="BM91" s="68"/>
      <c r="BN91" s="68"/>
    </row>
    <row r="92" spans="1:66" x14ac:dyDescent="0.2">
      <c r="A92" t="s">
        <v>97</v>
      </c>
      <c r="B92" s="80" t="s">
        <v>345</v>
      </c>
      <c r="C92" s="68">
        <v>7.0000000000000001E-3</v>
      </c>
      <c r="D92" s="68">
        <v>8.199999999999999E-3</v>
      </c>
      <c r="E92" s="68">
        <v>1.3099999999999999E-2</v>
      </c>
      <c r="F92" s="68">
        <v>1.8600000000000002E-2</v>
      </c>
      <c r="G92" s="68">
        <v>1.95E-2</v>
      </c>
      <c r="H92" s="68">
        <v>2.3399999999999997E-2</v>
      </c>
      <c r="I92" s="68">
        <v>2.7699999999999999E-2</v>
      </c>
      <c r="J92" s="68">
        <v>2.9399999999999999E-2</v>
      </c>
      <c r="K92" s="68">
        <v>3.44E-2</v>
      </c>
      <c r="L92" s="68">
        <v>4.07E-2</v>
      </c>
      <c r="M92" s="68">
        <v>4.3400000000000001E-2</v>
      </c>
      <c r="N92" s="68">
        <v>4.8299999999999996E-2</v>
      </c>
      <c r="O92" s="68">
        <v>5.2899999999999996E-2</v>
      </c>
      <c r="P92" s="68">
        <v>5.8500000000000003E-2</v>
      </c>
      <c r="Q92" s="68">
        <v>6.8500000000000005E-2</v>
      </c>
      <c r="R92" s="68">
        <v>7.6100000000000001E-2</v>
      </c>
      <c r="S92" s="68">
        <v>8.3599999999999994E-2</v>
      </c>
      <c r="T92" s="68">
        <v>8.7599999999999997E-2</v>
      </c>
      <c r="U92" s="68">
        <v>9.3599999999999989E-2</v>
      </c>
      <c r="V92" s="68">
        <v>0.1026</v>
      </c>
      <c r="W92" s="68">
        <v>0.1196</v>
      </c>
      <c r="X92" s="68">
        <v>0.13059999999999999</v>
      </c>
      <c r="Y92" s="68">
        <v>0.1421</v>
      </c>
      <c r="Z92" s="68">
        <v>0.15890000000000001</v>
      </c>
      <c r="AA92" s="68">
        <v>0.1885</v>
      </c>
      <c r="AB92" s="68">
        <v>0.219</v>
      </c>
      <c r="AC92" s="68">
        <v>0.23499999999999999</v>
      </c>
      <c r="AD92" s="68">
        <v>0.26850000000000002</v>
      </c>
      <c r="AE92" s="68">
        <v>0.28660000000000002</v>
      </c>
      <c r="AF92" s="68">
        <v>0.31689999999999996</v>
      </c>
      <c r="AG92" s="68">
        <v>0.29830000000000001</v>
      </c>
      <c r="AH92" s="68">
        <v>0.3548</v>
      </c>
      <c r="AI92" s="68">
        <v>0.38719999999999999</v>
      </c>
      <c r="AJ92" s="68">
        <v>0.38769999999999999</v>
      </c>
      <c r="AK92" s="68">
        <v>0.51719999999999999</v>
      </c>
      <c r="AL92" s="68">
        <v>0.53470000000000006</v>
      </c>
      <c r="AM92" s="68">
        <v>0.57320000000000004</v>
      </c>
      <c r="AN92" s="68">
        <v>0.5978</v>
      </c>
      <c r="AO92" s="68">
        <v>0.60909999999999997</v>
      </c>
      <c r="AP92" s="68">
        <v>0.6603</v>
      </c>
      <c r="AQ92" s="68">
        <v>0.76929999999999998</v>
      </c>
      <c r="AR92" s="68">
        <v>0.83810000000000007</v>
      </c>
      <c r="AS92" s="68">
        <v>0.79349999999999998</v>
      </c>
      <c r="AT92" s="68">
        <v>0.70220000000000005</v>
      </c>
      <c r="AU92" s="68">
        <v>0.68589999999999995</v>
      </c>
      <c r="AV92" s="68">
        <v>0.68320000000000003</v>
      </c>
      <c r="AW92" s="68">
        <v>0.71189999999999998</v>
      </c>
      <c r="AX92" s="68">
        <v>0.69650000000000001</v>
      </c>
      <c r="AY92" s="68">
        <v>0.79089999999999994</v>
      </c>
      <c r="AZ92" s="68">
        <v>0.89129999999999998</v>
      </c>
      <c r="BA92" s="68">
        <v>1.0057</v>
      </c>
      <c r="BB92" s="68">
        <v>1.0423</v>
      </c>
      <c r="BC92" s="68">
        <v>1.0382</v>
      </c>
      <c r="BD92" s="68">
        <v>0.97089999999999999</v>
      </c>
      <c r="BE92" s="68">
        <v>0.72570000000000001</v>
      </c>
      <c r="BF92" s="68">
        <v>0.83399999999999996</v>
      </c>
      <c r="BG92" s="68">
        <v>0.96839999999999993</v>
      </c>
      <c r="BH92" s="68">
        <v>1.02948</v>
      </c>
      <c r="BI92" s="68">
        <v>1.0544800000000001</v>
      </c>
      <c r="BJ92" s="68">
        <v>0.92600000000000005</v>
      </c>
      <c r="BK92" s="68">
        <v>0.52600000000000002</v>
      </c>
      <c r="BL92" s="68">
        <v>0.59236999999999995</v>
      </c>
      <c r="BM92" s="68"/>
      <c r="BN92" s="68"/>
    </row>
    <row r="93" spans="1:66" x14ac:dyDescent="0.2">
      <c r="A93" t="s">
        <v>217</v>
      </c>
      <c r="B93" s="80" t="s">
        <v>346</v>
      </c>
      <c r="C93" s="68">
        <v>0</v>
      </c>
      <c r="D93" s="68">
        <v>0</v>
      </c>
      <c r="E93" s="68">
        <v>0</v>
      </c>
      <c r="F93" s="68">
        <v>0</v>
      </c>
      <c r="G93" s="68">
        <v>0</v>
      </c>
      <c r="H93" s="68">
        <v>0</v>
      </c>
      <c r="I93" s="68">
        <v>0</v>
      </c>
      <c r="J93" s="68">
        <v>0</v>
      </c>
      <c r="K93" s="68">
        <v>0</v>
      </c>
      <c r="L93" s="68">
        <v>0</v>
      </c>
      <c r="M93" s="68">
        <v>-1.77E-2</v>
      </c>
      <c r="N93" s="68">
        <v>-1.9800000000000002E-2</v>
      </c>
      <c r="O93" s="68">
        <v>-2.9700000000000001E-2</v>
      </c>
      <c r="P93" s="68">
        <v>-4.0500000000000001E-2</v>
      </c>
      <c r="Q93" s="68">
        <v>-4.8100000000000004E-2</v>
      </c>
      <c r="R93" s="68">
        <v>-5.1499999999999997E-2</v>
      </c>
      <c r="S93" s="68">
        <v>-5.2399999999999995E-2</v>
      </c>
      <c r="T93" s="68">
        <v>-7.1900000000000006E-2</v>
      </c>
      <c r="U93" s="68">
        <v>-6.2399999999999997E-2</v>
      </c>
      <c r="V93" s="68">
        <v>-9.5000000000000001E-2</v>
      </c>
      <c r="W93" s="68">
        <v>-8.1000000000000003E-2</v>
      </c>
      <c r="X93" s="68">
        <v>-0.11359999999999999</v>
      </c>
      <c r="Y93" s="68">
        <v>-0.1183</v>
      </c>
      <c r="Z93" s="68">
        <v>-0.17069999999999999</v>
      </c>
      <c r="AA93" s="68">
        <v>-0.19240000000000002</v>
      </c>
      <c r="AB93" s="68">
        <v>-0.2039</v>
      </c>
      <c r="AC93" s="68">
        <v>-0.2031</v>
      </c>
      <c r="AD93" s="68">
        <v>-0.21719999999999998</v>
      </c>
      <c r="AE93" s="68">
        <v>-0.25109999999999999</v>
      </c>
      <c r="AF93" s="68">
        <v>-0.22819999999999999</v>
      </c>
      <c r="AG93" s="68">
        <v>-0.2082</v>
      </c>
      <c r="AH93" s="68">
        <v>-0.25830000000000003</v>
      </c>
      <c r="AI93" s="68">
        <v>-0.2843</v>
      </c>
      <c r="AJ93" s="68">
        <v>-0.24059999999999998</v>
      </c>
      <c r="AK93" s="68">
        <v>-0.2888</v>
      </c>
      <c r="AL93" s="68">
        <v>-0.3196</v>
      </c>
      <c r="AM93" s="68">
        <v>-0.2465</v>
      </c>
      <c r="AN93" s="68">
        <v>-0.34749999999999998</v>
      </c>
      <c r="AO93" s="68">
        <v>-0.43189999999999995</v>
      </c>
      <c r="AP93" s="68">
        <v>-0.58560000000000001</v>
      </c>
      <c r="AQ93" s="68">
        <v>-0.92100000000000004</v>
      </c>
      <c r="AR93" s="68">
        <v>-1.0402</v>
      </c>
      <c r="AS93" s="68">
        <v>-1.1455</v>
      </c>
      <c r="AT93" s="68">
        <v>-0.65249999999999997</v>
      </c>
      <c r="AU93" s="68">
        <v>-0.59689999999999999</v>
      </c>
      <c r="AV93" s="68">
        <v>-0.25390000000000001</v>
      </c>
      <c r="AW93" s="68">
        <v>-0.79020000000000001</v>
      </c>
      <c r="AX93" s="68">
        <v>-0.17449999999999999</v>
      </c>
      <c r="AY93" s="68">
        <v>-0.89729999999999999</v>
      </c>
      <c r="AZ93" s="68">
        <v>-0.95220000000000005</v>
      </c>
      <c r="BA93" s="68">
        <v>-1.0567</v>
      </c>
      <c r="BB93" s="68">
        <v>-3.3256000000000001</v>
      </c>
      <c r="BC93" s="68">
        <v>-1.3928</v>
      </c>
      <c r="BD93" s="68">
        <v>-1.9830000000000001</v>
      </c>
      <c r="BE93" s="68">
        <v>-1.5826</v>
      </c>
      <c r="BF93" s="68">
        <v>-2.1064000000000003</v>
      </c>
      <c r="BG93" s="68">
        <v>-2.6809000000000003</v>
      </c>
      <c r="BH93" s="68">
        <v>-3.9809999999999999</v>
      </c>
      <c r="BI93" s="68">
        <v>-4.9771400000000003</v>
      </c>
      <c r="BJ93" s="68">
        <v>-1.8360000000000001</v>
      </c>
      <c r="BK93" s="68">
        <v>-1.9830000000000001</v>
      </c>
      <c r="BL93" s="68">
        <v>-3.0470000000000002</v>
      </c>
      <c r="BM93" s="68"/>
      <c r="BN93" s="68"/>
    </row>
    <row r="94" spans="1:66" x14ac:dyDescent="0.2">
      <c r="A94" t="s">
        <v>98</v>
      </c>
      <c r="B94" s="80" t="s">
        <v>347</v>
      </c>
      <c r="C94" s="68">
        <v>1.0974999999999999</v>
      </c>
      <c r="D94" s="68">
        <v>1.0570999999999999</v>
      </c>
      <c r="E94" s="68">
        <v>1.1362999999999999</v>
      </c>
      <c r="F94" s="68">
        <v>1.3400999999999998</v>
      </c>
      <c r="G94" s="68">
        <v>1.1394000000000002</v>
      </c>
      <c r="H94" s="68">
        <v>1.3707</v>
      </c>
      <c r="I94" s="68">
        <v>1.5972999999999999</v>
      </c>
      <c r="J94" s="68">
        <v>1.3511</v>
      </c>
      <c r="K94" s="68">
        <v>1.4293</v>
      </c>
      <c r="L94" s="68">
        <v>1.7609000000000001</v>
      </c>
      <c r="M94" s="68">
        <v>1.5392000000000001</v>
      </c>
      <c r="N94" s="68">
        <v>2.3294000000000001</v>
      </c>
      <c r="O94" s="68">
        <v>2.3250000000000002</v>
      </c>
      <c r="P94" s="68">
        <v>3.4495999999999998</v>
      </c>
      <c r="Q94" s="68">
        <v>3.2856999999999998</v>
      </c>
      <c r="R94" s="68">
        <v>2.8379000000000003</v>
      </c>
      <c r="S94" s="68">
        <v>3.0305</v>
      </c>
      <c r="T94" s="68">
        <v>2.9199000000000002</v>
      </c>
      <c r="U94" s="68">
        <v>3.6484999999999999</v>
      </c>
      <c r="V94" s="68">
        <v>3.8618000000000001</v>
      </c>
      <c r="W94" s="68">
        <v>3.2164999999999999</v>
      </c>
      <c r="X94" s="68">
        <v>5.548</v>
      </c>
      <c r="Y94" s="68">
        <v>6.0858999999999996</v>
      </c>
      <c r="Z94" s="68">
        <v>6.4865000000000004</v>
      </c>
      <c r="AA94" s="68">
        <v>7.3677000000000001</v>
      </c>
      <c r="AB94" s="68">
        <v>9.7971000000000004</v>
      </c>
      <c r="AC94" s="68">
        <v>14.876200000000001</v>
      </c>
      <c r="AD94" s="68">
        <v>12.378500000000001</v>
      </c>
      <c r="AE94" s="68">
        <v>14.9404</v>
      </c>
      <c r="AF94" s="68">
        <v>18.6782</v>
      </c>
      <c r="AG94" s="68">
        <v>15.12</v>
      </c>
      <c r="AH94" s="68">
        <v>14.5457</v>
      </c>
      <c r="AI94" s="68">
        <v>21.986699999999999</v>
      </c>
      <c r="AJ94" s="68">
        <v>25.474499999999999</v>
      </c>
      <c r="AK94" s="68">
        <v>25.9848</v>
      </c>
      <c r="AL94" s="68">
        <v>22.305199999999999</v>
      </c>
      <c r="AM94" s="68">
        <v>22.488400000000002</v>
      </c>
      <c r="AN94" s="68">
        <v>16.436499999999999</v>
      </c>
      <c r="AO94" s="68">
        <v>3.4300999999999999</v>
      </c>
      <c r="AP94" s="68">
        <v>6.6980000000000004</v>
      </c>
      <c r="AQ94" s="68">
        <v>6.4723999999999995</v>
      </c>
      <c r="AR94" s="68">
        <v>16.245699999999999</v>
      </c>
      <c r="AS94" s="68">
        <v>27.993500000000001</v>
      </c>
      <c r="AT94" s="68">
        <v>40.179000000000002</v>
      </c>
      <c r="AU94" s="68">
        <v>51.261099999999999</v>
      </c>
      <c r="AV94" s="68">
        <v>43.651699999999998</v>
      </c>
      <c r="AW94" s="68">
        <v>56.704300000000003</v>
      </c>
      <c r="AX94" s="68">
        <v>48.837900000000005</v>
      </c>
      <c r="AY94" s="68">
        <v>59.915500000000002</v>
      </c>
      <c r="AZ94" s="68">
        <v>55.488</v>
      </c>
      <c r="BA94" s="68">
        <v>50.629599999999996</v>
      </c>
      <c r="BB94" s="68">
        <v>56.050199999999997</v>
      </c>
      <c r="BC94" s="68">
        <v>60.372699999999995</v>
      </c>
      <c r="BD94" s="68">
        <v>76.495399999999989</v>
      </c>
      <c r="BE94" s="68">
        <v>63.945999999999998</v>
      </c>
      <c r="BF94" s="68">
        <v>65.325299999999999</v>
      </c>
      <c r="BG94" s="68">
        <v>54.644400000000005</v>
      </c>
      <c r="BH94" s="68">
        <v>56.403010000000002</v>
      </c>
      <c r="BI94" s="68">
        <v>61.087870000000002</v>
      </c>
      <c r="BJ94" s="68">
        <v>62.660899999999998</v>
      </c>
      <c r="BK94" s="68">
        <v>92.160440000000008</v>
      </c>
      <c r="BL94" s="68">
        <v>89.031960000000012</v>
      </c>
      <c r="BM94" s="68"/>
      <c r="BN94" s="68"/>
    </row>
    <row r="95" spans="1:66" x14ac:dyDescent="0.2">
      <c r="A95" t="s">
        <v>268</v>
      </c>
      <c r="B95" s="80" t="s">
        <v>268</v>
      </c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  <c r="BM95" s="68"/>
      <c r="BN95" s="68"/>
    </row>
    <row r="96" spans="1:66" x14ac:dyDescent="0.2">
      <c r="A96" t="s">
        <v>268</v>
      </c>
      <c r="B96" s="97" t="s">
        <v>348</v>
      </c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  <c r="BJ96" s="68"/>
      <c r="BK96" s="68"/>
      <c r="BL96" s="68"/>
      <c r="BM96" s="68"/>
      <c r="BN96" s="68"/>
    </row>
    <row r="97" spans="1:66" x14ac:dyDescent="0.2">
      <c r="A97" t="s">
        <v>268</v>
      </c>
      <c r="B97" s="80" t="s">
        <v>118</v>
      </c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  <c r="BF97" s="68"/>
      <c r="BG97" s="68"/>
      <c r="BH97" s="68"/>
      <c r="BI97" s="68"/>
      <c r="BJ97" s="68"/>
      <c r="BK97" s="68"/>
      <c r="BL97" s="68"/>
      <c r="BM97" s="68"/>
      <c r="BN97" s="68"/>
    </row>
    <row r="98" spans="1:66" x14ac:dyDescent="0.2">
      <c r="A98" t="s">
        <v>69</v>
      </c>
      <c r="B98" s="80" t="s">
        <v>70</v>
      </c>
      <c r="C98" s="68">
        <v>9.8352000000000004</v>
      </c>
      <c r="D98" s="68">
        <v>11.250200000000001</v>
      </c>
      <c r="E98" s="68">
        <v>14.1599</v>
      </c>
      <c r="F98" s="68">
        <v>16.483499999999999</v>
      </c>
      <c r="G98" s="68">
        <v>16.8825</v>
      </c>
      <c r="H98" s="68">
        <v>18.148799999999998</v>
      </c>
      <c r="I98" s="68">
        <v>19.633599999999998</v>
      </c>
      <c r="J98" s="68">
        <v>21.4924</v>
      </c>
      <c r="K98" s="68">
        <v>24.083099999999998</v>
      </c>
      <c r="L98" s="68">
        <v>27.4057</v>
      </c>
      <c r="M98" s="68">
        <v>29.229400000000002</v>
      </c>
      <c r="N98" s="68">
        <v>32.603099999999998</v>
      </c>
      <c r="O98" s="68">
        <v>35.1188</v>
      </c>
      <c r="P98" s="68">
        <v>40.3001</v>
      </c>
      <c r="Q98" s="68">
        <v>44.898800000000001</v>
      </c>
      <c r="R98" s="68">
        <v>48.752199999999995</v>
      </c>
      <c r="S98" s="68">
        <v>52.386499999999998</v>
      </c>
      <c r="T98" s="68">
        <v>56.589400000000005</v>
      </c>
      <c r="U98" s="68">
        <v>61.596199999999996</v>
      </c>
      <c r="V98" s="68">
        <v>67.54010000000001</v>
      </c>
      <c r="W98" s="68">
        <v>75.695599999999999</v>
      </c>
      <c r="X98" s="68">
        <v>85.177999999999997</v>
      </c>
      <c r="Y98" s="68">
        <v>94.783899999999988</v>
      </c>
      <c r="Z98" s="68">
        <v>106.25019999999999</v>
      </c>
      <c r="AA98" s="68">
        <v>120.96130000000001</v>
      </c>
      <c r="AB98" s="68">
        <v>143.58429999999998</v>
      </c>
      <c r="AC98" s="68">
        <v>164.29150000000001</v>
      </c>
      <c r="AD98" s="68">
        <v>184.5574</v>
      </c>
      <c r="AE98" s="68">
        <v>207.67529999999999</v>
      </c>
      <c r="AF98" s="68">
        <v>237.27590000000001</v>
      </c>
      <c r="AG98" s="68">
        <v>264.81299999999999</v>
      </c>
      <c r="AH98" s="68">
        <v>300.5994</v>
      </c>
      <c r="AI98" s="68">
        <v>348.4264</v>
      </c>
      <c r="AJ98" s="68">
        <v>397.61649999999997</v>
      </c>
      <c r="AK98" s="68">
        <v>435.44299999999998</v>
      </c>
      <c r="AL98" s="68">
        <v>464.99200000000002</v>
      </c>
      <c r="AM98" s="68">
        <v>497.5215</v>
      </c>
      <c r="AN98" s="68">
        <v>523.94830000000002</v>
      </c>
      <c r="AO98" s="68">
        <v>544.89670000000001</v>
      </c>
      <c r="AP98" s="68">
        <v>579.76700000000005</v>
      </c>
      <c r="AQ98" s="68">
        <v>624.21010000000001</v>
      </c>
      <c r="AR98" s="68">
        <v>663.17780000000005</v>
      </c>
      <c r="AS98" s="68">
        <v>694.02290000000005</v>
      </c>
      <c r="AT98" s="68">
        <v>722.81600000000003</v>
      </c>
      <c r="AU98" s="68">
        <v>740.47119999999995</v>
      </c>
      <c r="AV98" s="68">
        <v>755.00969999999995</v>
      </c>
      <c r="AW98" s="68">
        <v>784.83569999999997</v>
      </c>
      <c r="AX98" s="68">
        <v>800.82280000000003</v>
      </c>
      <c r="AY98" s="68">
        <v>819.82580000000007</v>
      </c>
      <c r="AZ98" s="68">
        <v>846.5394</v>
      </c>
      <c r="BA98" s="68">
        <v>865.4742</v>
      </c>
      <c r="BB98" s="68">
        <v>913.34780000000001</v>
      </c>
      <c r="BC98" s="68">
        <v>960.89269999999999</v>
      </c>
      <c r="BD98" s="68">
        <v>1004.3702</v>
      </c>
      <c r="BE98" s="68">
        <v>1029.8828000000001</v>
      </c>
      <c r="BF98" s="68">
        <v>1075.5071</v>
      </c>
      <c r="BG98" s="68">
        <v>1108.6896999999999</v>
      </c>
      <c r="BH98" s="68">
        <v>1159.3821799999998</v>
      </c>
      <c r="BI98" s="68">
        <v>1218.67599</v>
      </c>
      <c r="BJ98" s="68">
        <v>1259.2548999999999</v>
      </c>
      <c r="BK98" s="68">
        <v>1267.12544</v>
      </c>
      <c r="BL98" s="68">
        <v>1292.1176699999999</v>
      </c>
      <c r="BM98" s="68"/>
      <c r="BN98" s="68"/>
    </row>
    <row r="99" spans="1:66" x14ac:dyDescent="0.2">
      <c r="A99" t="s">
        <v>349</v>
      </c>
      <c r="B99" s="80" t="s">
        <v>350</v>
      </c>
      <c r="C99" s="68">
        <v>1.2492999999999999</v>
      </c>
      <c r="D99" s="68">
        <v>1.4650000000000001</v>
      </c>
      <c r="E99" s="68">
        <v>1.8597999999999999</v>
      </c>
      <c r="F99" s="68">
        <v>2.2970999999999999</v>
      </c>
      <c r="G99" s="68">
        <v>2.4506000000000001</v>
      </c>
      <c r="H99" s="68">
        <v>2.5319000000000003</v>
      </c>
      <c r="I99" s="68">
        <v>2.6695000000000002</v>
      </c>
      <c r="J99" s="68">
        <v>3.0373000000000001</v>
      </c>
      <c r="K99" s="68">
        <v>3.3531</v>
      </c>
      <c r="L99" s="68">
        <v>3.7888000000000002</v>
      </c>
      <c r="M99" s="68">
        <v>4.1961000000000004</v>
      </c>
      <c r="N99" s="68">
        <v>4.5421000000000005</v>
      </c>
      <c r="O99" s="68">
        <v>5.0598999999999998</v>
      </c>
      <c r="P99" s="68">
        <v>5.7454000000000001</v>
      </c>
      <c r="Q99" s="68">
        <v>6.5952999999999999</v>
      </c>
      <c r="R99" s="68">
        <v>7.4448999999999996</v>
      </c>
      <c r="S99" s="68">
        <v>8.1280999999999999</v>
      </c>
      <c r="T99" s="68">
        <v>8.8664000000000005</v>
      </c>
      <c r="U99" s="68">
        <v>9.6691000000000003</v>
      </c>
      <c r="V99" s="68">
        <v>10.687899999999999</v>
      </c>
      <c r="W99" s="68">
        <v>12.527899999999999</v>
      </c>
      <c r="X99" s="68">
        <v>14.2857</v>
      </c>
      <c r="Y99" s="68">
        <v>16.2851</v>
      </c>
      <c r="Z99" s="68">
        <v>18.264099999999999</v>
      </c>
      <c r="AA99" s="68">
        <v>21.3795</v>
      </c>
      <c r="AB99" s="68">
        <v>25.323799999999999</v>
      </c>
      <c r="AC99" s="68">
        <v>30.900400000000001</v>
      </c>
      <c r="AD99" s="68">
        <v>35.913599999999995</v>
      </c>
      <c r="AE99" s="68">
        <v>40.8767</v>
      </c>
      <c r="AF99" s="68">
        <v>47.953499999999998</v>
      </c>
      <c r="AG99" s="68">
        <v>54.384699999999995</v>
      </c>
      <c r="AH99" s="68">
        <v>63.090400000000002</v>
      </c>
      <c r="AI99" s="68">
        <v>73.365399999999994</v>
      </c>
      <c r="AJ99" s="68">
        <v>85.968299999999999</v>
      </c>
      <c r="AK99" s="68">
        <v>95.177399999999992</v>
      </c>
      <c r="AL99" s="68">
        <v>104.13860000000001</v>
      </c>
      <c r="AM99" s="68">
        <v>111.4551</v>
      </c>
      <c r="AN99" s="68">
        <v>118.0231</v>
      </c>
      <c r="AO99" s="68">
        <v>123.4256</v>
      </c>
      <c r="AP99" s="68">
        <v>130.45510000000002</v>
      </c>
      <c r="AQ99" s="68">
        <v>139.2739</v>
      </c>
      <c r="AR99" s="68">
        <v>149.18570000000003</v>
      </c>
      <c r="AS99" s="68">
        <v>157.96770000000001</v>
      </c>
      <c r="AT99" s="68">
        <v>169.06970000000001</v>
      </c>
      <c r="AU99" s="68">
        <v>177.9025</v>
      </c>
      <c r="AV99" s="68">
        <v>183.8802</v>
      </c>
      <c r="AW99" s="68">
        <v>194.184</v>
      </c>
      <c r="AX99" s="68">
        <v>200.15270000000001</v>
      </c>
      <c r="AY99" s="68">
        <v>205.2311</v>
      </c>
      <c r="AZ99" s="68">
        <v>212.23079999999999</v>
      </c>
      <c r="BA99" s="68">
        <v>219.94370000000001</v>
      </c>
      <c r="BB99" s="68">
        <v>230.86060000000001</v>
      </c>
      <c r="BC99" s="68">
        <v>242.12539999999998</v>
      </c>
      <c r="BD99" s="68">
        <v>259.63040000000001</v>
      </c>
      <c r="BE99" s="68">
        <v>272.83600000000001</v>
      </c>
      <c r="BF99" s="68">
        <v>282.93700000000001</v>
      </c>
      <c r="BG99" s="68">
        <v>294.45</v>
      </c>
      <c r="BH99" s="68">
        <v>305.60599999999999</v>
      </c>
      <c r="BI99" s="68">
        <v>317.90674999999999</v>
      </c>
      <c r="BJ99" s="68">
        <v>328.59399999999999</v>
      </c>
      <c r="BK99" s="68">
        <v>340.56700000000001</v>
      </c>
      <c r="BL99" s="68">
        <v>350.37200000000001</v>
      </c>
      <c r="BM99" s="68"/>
      <c r="BN99" s="68"/>
    </row>
    <row r="100" spans="1:66" x14ac:dyDescent="0.2">
      <c r="A100" t="s">
        <v>77</v>
      </c>
      <c r="B100" s="80" t="s">
        <v>78</v>
      </c>
      <c r="C100" s="68">
        <v>0.36680000000000001</v>
      </c>
      <c r="D100" s="68">
        <v>0.4279</v>
      </c>
      <c r="E100" s="68">
        <v>0.54770000000000008</v>
      </c>
      <c r="F100" s="68">
        <v>0.66500000000000004</v>
      </c>
      <c r="G100" s="68">
        <v>0.70529999999999993</v>
      </c>
      <c r="H100" s="68">
        <v>0.72809999999999997</v>
      </c>
      <c r="I100" s="68">
        <v>0.76779999999999993</v>
      </c>
      <c r="J100" s="68">
        <v>0.87309999999999999</v>
      </c>
      <c r="K100" s="68">
        <v>0.96860000000000002</v>
      </c>
      <c r="L100" s="68">
        <v>1.0851999999999999</v>
      </c>
      <c r="M100" s="68">
        <v>1.198</v>
      </c>
      <c r="N100" s="68">
        <v>1.3187</v>
      </c>
      <c r="O100" s="68">
        <v>1.5175999999999998</v>
      </c>
      <c r="P100" s="68">
        <v>1.7372999999999998</v>
      </c>
      <c r="Q100" s="68">
        <v>2.0556999999999999</v>
      </c>
      <c r="R100" s="68">
        <v>2.3660999999999999</v>
      </c>
      <c r="S100" s="68">
        <v>2.6373000000000002</v>
      </c>
      <c r="T100" s="68">
        <v>2.9335999999999998</v>
      </c>
      <c r="U100" s="68">
        <v>3.2620999999999998</v>
      </c>
      <c r="V100" s="68">
        <v>3.6429</v>
      </c>
      <c r="W100" s="68">
        <v>4.3793999999999995</v>
      </c>
      <c r="X100" s="68">
        <v>5.1195000000000004</v>
      </c>
      <c r="Y100" s="68">
        <v>5.9881000000000002</v>
      </c>
      <c r="Z100" s="68">
        <v>6.8141999999999996</v>
      </c>
      <c r="AA100" s="68">
        <v>8.1050000000000004</v>
      </c>
      <c r="AB100" s="68">
        <v>9.8246000000000002</v>
      </c>
      <c r="AC100" s="68">
        <v>12.4856</v>
      </c>
      <c r="AD100" s="68">
        <v>14.769600000000001</v>
      </c>
      <c r="AE100" s="68">
        <v>17.096299999999999</v>
      </c>
      <c r="AF100" s="68">
        <v>20.041</v>
      </c>
      <c r="AG100" s="68">
        <v>23.618299999999998</v>
      </c>
      <c r="AH100" s="68">
        <v>27.09</v>
      </c>
      <c r="AI100" s="68">
        <v>32.017499999999998</v>
      </c>
      <c r="AJ100" s="68">
        <v>38.24</v>
      </c>
      <c r="AK100" s="68">
        <v>42.7697</v>
      </c>
      <c r="AL100" s="68">
        <v>48.195300000000003</v>
      </c>
      <c r="AM100" s="68">
        <v>51.630199999999995</v>
      </c>
      <c r="AN100" s="68">
        <v>55.7727</v>
      </c>
      <c r="AO100" s="68">
        <v>58.334900000000005</v>
      </c>
      <c r="AP100" s="68">
        <v>62.707699999999996</v>
      </c>
      <c r="AQ100" s="68">
        <v>68.301299999999998</v>
      </c>
      <c r="AR100" s="68">
        <v>72.384899999999988</v>
      </c>
      <c r="AS100" s="68">
        <v>75.26939999999999</v>
      </c>
      <c r="AT100" s="68">
        <v>79.213800000000006</v>
      </c>
      <c r="AU100" s="68">
        <v>85.146100000000004</v>
      </c>
      <c r="AV100" s="68">
        <v>87.564300000000003</v>
      </c>
      <c r="AW100" s="68">
        <v>92.744600000000005</v>
      </c>
      <c r="AX100" s="68">
        <v>95.183700000000002</v>
      </c>
      <c r="AY100" s="68">
        <v>97.973199999999991</v>
      </c>
      <c r="AZ100" s="68">
        <v>101.5163</v>
      </c>
      <c r="BA100" s="68">
        <v>105.08969999999999</v>
      </c>
      <c r="BB100" s="68">
        <v>112.595</v>
      </c>
      <c r="BC100" s="68">
        <v>117.33239999999999</v>
      </c>
      <c r="BD100" s="68">
        <v>126.18169999999999</v>
      </c>
      <c r="BE100" s="68">
        <v>135.62090000000001</v>
      </c>
      <c r="BF100" s="68">
        <v>143.7277</v>
      </c>
      <c r="BG100" s="68">
        <v>149.66139999999999</v>
      </c>
      <c r="BH100" s="68">
        <v>156.869</v>
      </c>
      <c r="BI100" s="68">
        <v>163.46074999999999</v>
      </c>
      <c r="BJ100" s="68">
        <v>169.71100000000001</v>
      </c>
      <c r="BK100" s="68">
        <v>176.09800000000001</v>
      </c>
      <c r="BL100" s="68">
        <v>181.00399999999999</v>
      </c>
      <c r="BM100" s="68"/>
      <c r="BN100" s="68"/>
    </row>
    <row r="101" spans="1:66" x14ac:dyDescent="0.2">
      <c r="A101" t="s">
        <v>351</v>
      </c>
      <c r="B101" s="80" t="s">
        <v>352</v>
      </c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>
        <v>43.941699999999997</v>
      </c>
      <c r="BB101" s="68">
        <v>47.698999999999998</v>
      </c>
      <c r="BC101" s="68">
        <v>51.130699999999997</v>
      </c>
      <c r="BD101" s="68">
        <v>55.229199999999999</v>
      </c>
      <c r="BE101" s="68">
        <v>59.2928</v>
      </c>
      <c r="BF101" s="68">
        <v>62.506399999999999</v>
      </c>
      <c r="BG101" s="68">
        <v>64.566999999999993</v>
      </c>
      <c r="BH101" s="68">
        <v>66.962000000000003</v>
      </c>
      <c r="BI101" s="68">
        <v>70.444999999999993</v>
      </c>
      <c r="BJ101" s="68">
        <v>72.084999999999994</v>
      </c>
      <c r="BK101" s="68">
        <v>74.561999999999998</v>
      </c>
      <c r="BL101" s="68">
        <v>77.111999999999995</v>
      </c>
      <c r="BM101" s="68"/>
      <c r="BN101" s="68"/>
    </row>
    <row r="102" spans="1:66" x14ac:dyDescent="0.2">
      <c r="A102" t="s">
        <v>353</v>
      </c>
      <c r="B102" s="80" t="s">
        <v>354</v>
      </c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>
        <v>45.2834</v>
      </c>
      <c r="BB102" s="68">
        <v>48.0886</v>
      </c>
      <c r="BC102" s="68">
        <v>49.855400000000003</v>
      </c>
      <c r="BD102" s="68">
        <v>52.133900000000004</v>
      </c>
      <c r="BE102" s="68">
        <v>55.2</v>
      </c>
      <c r="BF102" s="68">
        <v>57.829599999999999</v>
      </c>
      <c r="BG102" s="68">
        <v>60.986800000000002</v>
      </c>
      <c r="BH102" s="68">
        <v>64.230999999999995</v>
      </c>
      <c r="BI102" s="68">
        <v>66.465000000000003</v>
      </c>
      <c r="BJ102" s="68">
        <v>69.528000000000006</v>
      </c>
      <c r="BK102" s="68">
        <v>72.048000000000002</v>
      </c>
      <c r="BL102" s="68">
        <v>73.111999999999995</v>
      </c>
      <c r="BM102" s="68"/>
      <c r="BN102" s="68"/>
    </row>
    <row r="103" spans="1:66" x14ac:dyDescent="0.2">
      <c r="A103" t="s">
        <v>355</v>
      </c>
      <c r="B103" s="80" t="s">
        <v>356</v>
      </c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>
        <v>15.8645</v>
      </c>
      <c r="BB103" s="68">
        <v>16.807500000000001</v>
      </c>
      <c r="BC103" s="68">
        <v>16.3462</v>
      </c>
      <c r="BD103" s="68">
        <v>18.8186</v>
      </c>
      <c r="BE103" s="68">
        <v>21.1281</v>
      </c>
      <c r="BF103" s="68">
        <v>23.3917</v>
      </c>
      <c r="BG103" s="68">
        <v>24.107500000000002</v>
      </c>
      <c r="BH103" s="68">
        <v>25.675999999999998</v>
      </c>
      <c r="BI103" s="68">
        <v>26.550750000000001</v>
      </c>
      <c r="BJ103" s="68">
        <v>28.097999999999999</v>
      </c>
      <c r="BK103" s="68">
        <v>29.488</v>
      </c>
      <c r="BL103" s="68">
        <v>30.78</v>
      </c>
      <c r="BM103" s="68"/>
      <c r="BN103" s="68"/>
    </row>
    <row r="104" spans="1:66" x14ac:dyDescent="0.2">
      <c r="A104" t="s">
        <v>79</v>
      </c>
      <c r="B104" s="80" t="s">
        <v>357</v>
      </c>
      <c r="C104" s="68">
        <v>0.88249999999999995</v>
      </c>
      <c r="D104" s="68">
        <v>1.0370999999999999</v>
      </c>
      <c r="E104" s="68">
        <v>1.3120999999999998</v>
      </c>
      <c r="F104" s="68">
        <v>1.6320999999999999</v>
      </c>
      <c r="G104" s="68">
        <v>1.7452999999999999</v>
      </c>
      <c r="H104" s="68">
        <v>1.8037999999999998</v>
      </c>
      <c r="I104" s="68">
        <v>1.9016999999999999</v>
      </c>
      <c r="J104" s="68">
        <v>2.1641999999999997</v>
      </c>
      <c r="K104" s="68">
        <v>2.3845000000000001</v>
      </c>
      <c r="L104" s="68">
        <v>2.7035999999999998</v>
      </c>
      <c r="M104" s="68">
        <v>2.9981</v>
      </c>
      <c r="N104" s="68">
        <v>3.2234000000000003</v>
      </c>
      <c r="O104" s="68">
        <v>3.5423</v>
      </c>
      <c r="P104" s="68">
        <v>4.0080999999999998</v>
      </c>
      <c r="Q104" s="68">
        <v>4.5396000000000001</v>
      </c>
      <c r="R104" s="68">
        <v>5.0788000000000002</v>
      </c>
      <c r="S104" s="68">
        <v>5.4908000000000001</v>
      </c>
      <c r="T104" s="68">
        <v>5.9328000000000003</v>
      </c>
      <c r="U104" s="68">
        <v>6.407</v>
      </c>
      <c r="V104" s="68">
        <v>7.0449999999999999</v>
      </c>
      <c r="W104" s="68">
        <v>8.1485000000000003</v>
      </c>
      <c r="X104" s="68">
        <v>9.1661999999999999</v>
      </c>
      <c r="Y104" s="68">
        <v>10.297000000000001</v>
      </c>
      <c r="Z104" s="68">
        <v>11.4499</v>
      </c>
      <c r="AA104" s="68">
        <v>13.2745</v>
      </c>
      <c r="AB104" s="68">
        <v>15.4992</v>
      </c>
      <c r="AC104" s="68">
        <v>18.4148</v>
      </c>
      <c r="AD104" s="68">
        <v>21.143999999999998</v>
      </c>
      <c r="AE104" s="68">
        <v>23.7804</v>
      </c>
      <c r="AF104" s="68">
        <v>27.912500000000001</v>
      </c>
      <c r="AG104" s="68">
        <v>30.766400000000001</v>
      </c>
      <c r="AH104" s="68">
        <v>36.000399999999999</v>
      </c>
      <c r="AI104" s="68">
        <v>41.347900000000003</v>
      </c>
      <c r="AJ104" s="68">
        <v>47.728300000000004</v>
      </c>
      <c r="AK104" s="68">
        <v>52.407699999999998</v>
      </c>
      <c r="AL104" s="68">
        <v>55.943300000000001</v>
      </c>
      <c r="AM104" s="68">
        <v>59.8249</v>
      </c>
      <c r="AN104" s="68">
        <v>62.250399999999999</v>
      </c>
      <c r="AO104" s="68">
        <v>65.090699999999998</v>
      </c>
      <c r="AP104" s="68">
        <v>67.747399999999999</v>
      </c>
      <c r="AQ104" s="68">
        <v>70.9726</v>
      </c>
      <c r="AR104" s="68">
        <v>76.80080000000001</v>
      </c>
      <c r="AS104" s="68">
        <v>82.698300000000003</v>
      </c>
      <c r="AT104" s="68">
        <v>89.855899999999991</v>
      </c>
      <c r="AU104" s="68">
        <v>92.756399999999999</v>
      </c>
      <c r="AV104" s="68">
        <v>96.315899999999999</v>
      </c>
      <c r="AW104" s="68">
        <v>101.43939999999999</v>
      </c>
      <c r="AX104" s="68">
        <v>104.96899999999999</v>
      </c>
      <c r="AY104" s="68">
        <v>107.25789999999999</v>
      </c>
      <c r="AZ104" s="68">
        <v>110.7145</v>
      </c>
      <c r="BA104" s="68">
        <v>114.854</v>
      </c>
      <c r="BB104" s="68">
        <v>118.26560000000001</v>
      </c>
      <c r="BC104" s="68">
        <v>124.79300000000001</v>
      </c>
      <c r="BD104" s="68">
        <v>133.4487</v>
      </c>
      <c r="BE104" s="68">
        <v>137.21510000000001</v>
      </c>
      <c r="BF104" s="68">
        <v>139.20929999999998</v>
      </c>
      <c r="BG104" s="68">
        <v>144.7886</v>
      </c>
      <c r="BH104" s="68">
        <v>148.73699999999999</v>
      </c>
      <c r="BI104" s="68">
        <v>154.446</v>
      </c>
      <c r="BJ104" s="68">
        <v>158.88300000000001</v>
      </c>
      <c r="BK104" s="68">
        <v>164.46899999999999</v>
      </c>
      <c r="BL104" s="68">
        <v>169.36799999999999</v>
      </c>
      <c r="BM104" s="68"/>
      <c r="BN104" s="68"/>
    </row>
    <row r="105" spans="1:66" x14ac:dyDescent="0.2">
      <c r="A105" t="s">
        <v>268</v>
      </c>
      <c r="B105" s="80" t="s">
        <v>6</v>
      </c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</row>
    <row r="106" spans="1:66" x14ac:dyDescent="0.2">
      <c r="A106" t="s">
        <v>130</v>
      </c>
      <c r="B106" s="80" t="s">
        <v>358</v>
      </c>
      <c r="C106" s="68">
        <v>11.0845</v>
      </c>
      <c r="D106" s="68">
        <v>12.715200000000001</v>
      </c>
      <c r="E106" s="68">
        <v>16.0197</v>
      </c>
      <c r="F106" s="68">
        <v>18.7806</v>
      </c>
      <c r="G106" s="68">
        <v>19.333099999999998</v>
      </c>
      <c r="H106" s="68">
        <v>20.680700000000002</v>
      </c>
      <c r="I106" s="68">
        <v>22.303099999999997</v>
      </c>
      <c r="J106" s="68">
        <v>24.529700000000002</v>
      </c>
      <c r="K106" s="68">
        <v>27.436199999999999</v>
      </c>
      <c r="L106" s="68">
        <v>31.194500000000001</v>
      </c>
      <c r="M106" s="68">
        <v>33.4255</v>
      </c>
      <c r="N106" s="68">
        <v>37.145199999999996</v>
      </c>
      <c r="O106" s="68">
        <v>40.178699999999999</v>
      </c>
      <c r="P106" s="68">
        <v>46.045499999999997</v>
      </c>
      <c r="Q106" s="68">
        <v>51.494099999999996</v>
      </c>
      <c r="R106" s="68">
        <v>56.197099999999999</v>
      </c>
      <c r="S106" s="68">
        <v>60.514600000000002</v>
      </c>
      <c r="T106" s="68">
        <v>65.455799999999996</v>
      </c>
      <c r="U106" s="68">
        <v>71.265299999999996</v>
      </c>
      <c r="V106" s="68">
        <v>78.227999999999994</v>
      </c>
      <c r="W106" s="68">
        <v>88.223500000000001</v>
      </c>
      <c r="X106" s="68">
        <v>99.463700000000003</v>
      </c>
      <c r="Y106" s="68">
        <v>111.069</v>
      </c>
      <c r="Z106" s="68">
        <v>124.51430000000001</v>
      </c>
      <c r="AA106" s="68">
        <v>142.3408</v>
      </c>
      <c r="AB106" s="68">
        <v>168.90810000000002</v>
      </c>
      <c r="AC106" s="68">
        <v>195.1919</v>
      </c>
      <c r="AD106" s="68">
        <v>220.471</v>
      </c>
      <c r="AE106" s="68">
        <v>248.55199999999999</v>
      </c>
      <c r="AF106" s="68">
        <v>285.2294</v>
      </c>
      <c r="AG106" s="68">
        <v>319.1977</v>
      </c>
      <c r="AH106" s="68">
        <v>363.68979999999999</v>
      </c>
      <c r="AI106" s="68">
        <v>421.79179999999997</v>
      </c>
      <c r="AJ106" s="68">
        <v>483.58479999999997</v>
      </c>
      <c r="AK106" s="68">
        <v>530.62040000000002</v>
      </c>
      <c r="AL106" s="68">
        <v>569.13059999999996</v>
      </c>
      <c r="AM106" s="68">
        <v>608.97659999999996</v>
      </c>
      <c r="AN106" s="68">
        <v>641.97140000000002</v>
      </c>
      <c r="AO106" s="68">
        <v>668.32230000000004</v>
      </c>
      <c r="AP106" s="68">
        <v>710.22209999999995</v>
      </c>
      <c r="AQ106" s="68">
        <v>763.48400000000004</v>
      </c>
      <c r="AR106" s="68">
        <v>812.36350000000004</v>
      </c>
      <c r="AS106" s="68">
        <v>851.99059999999997</v>
      </c>
      <c r="AT106" s="68">
        <v>891.88569999999993</v>
      </c>
      <c r="AU106" s="68">
        <v>918.37369999999999</v>
      </c>
      <c r="AV106" s="68">
        <v>938.88990000000001</v>
      </c>
      <c r="AW106" s="68">
        <v>979.01969999999994</v>
      </c>
      <c r="AX106" s="68">
        <v>1000.9755</v>
      </c>
      <c r="AY106" s="68">
        <v>1025.0569</v>
      </c>
      <c r="AZ106" s="68">
        <v>1058.7701999999999</v>
      </c>
      <c r="BA106" s="68">
        <v>1085.4178999999999</v>
      </c>
      <c r="BB106" s="68">
        <v>1144.2084</v>
      </c>
      <c r="BC106" s="68">
        <v>1203.0181</v>
      </c>
      <c r="BD106" s="68">
        <v>1264.0006000000001</v>
      </c>
      <c r="BE106" s="68">
        <v>1302.7188000000001</v>
      </c>
      <c r="BF106" s="68">
        <v>1358.4441000000002</v>
      </c>
      <c r="BG106" s="68">
        <v>1403.1396999999999</v>
      </c>
      <c r="BH106" s="68">
        <v>1464.9881799999998</v>
      </c>
      <c r="BI106" s="68">
        <v>1536.5827400000001</v>
      </c>
      <c r="BJ106" s="68">
        <v>1587.8489</v>
      </c>
      <c r="BK106" s="68">
        <v>1607.69244</v>
      </c>
      <c r="BL106" s="68">
        <v>1642.4896699999999</v>
      </c>
      <c r="BM106" s="68"/>
      <c r="BN106" s="68"/>
    </row>
    <row r="107" spans="1:66" x14ac:dyDescent="0.2">
      <c r="A107" t="s">
        <v>268</v>
      </c>
      <c r="B107" s="80" t="s">
        <v>268</v>
      </c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</row>
    <row r="108" spans="1:66" x14ac:dyDescent="0.2">
      <c r="A108" t="s">
        <v>268</v>
      </c>
      <c r="B108" s="97" t="s">
        <v>359</v>
      </c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</row>
    <row r="109" spans="1:66" x14ac:dyDescent="0.2">
      <c r="A109" t="s">
        <v>268</v>
      </c>
      <c r="B109" s="80" t="s">
        <v>118</v>
      </c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  <c r="BH109" s="68"/>
      <c r="BI109" s="68"/>
      <c r="BJ109" s="68"/>
      <c r="BK109" s="68"/>
      <c r="BL109" s="68"/>
      <c r="BM109" s="68"/>
      <c r="BN109" s="68"/>
    </row>
    <row r="110" spans="1:66" x14ac:dyDescent="0.2">
      <c r="A110" t="s">
        <v>130</v>
      </c>
      <c r="B110" s="80" t="s">
        <v>358</v>
      </c>
      <c r="C110" s="68">
        <v>11.0845</v>
      </c>
      <c r="D110" s="68">
        <v>12.715200000000001</v>
      </c>
      <c r="E110" s="68">
        <v>16.0197</v>
      </c>
      <c r="F110" s="68">
        <v>18.7806</v>
      </c>
      <c r="G110" s="68">
        <v>19.333099999999998</v>
      </c>
      <c r="H110" s="68">
        <v>20.680700000000002</v>
      </c>
      <c r="I110" s="68">
        <v>22.303099999999997</v>
      </c>
      <c r="J110" s="68">
        <v>24.529700000000002</v>
      </c>
      <c r="K110" s="68">
        <v>27.436199999999999</v>
      </c>
      <c r="L110" s="68">
        <v>31.194500000000001</v>
      </c>
      <c r="M110" s="68">
        <v>33.4255</v>
      </c>
      <c r="N110" s="68">
        <v>37.145199999999996</v>
      </c>
      <c r="O110" s="68">
        <v>40.178699999999999</v>
      </c>
      <c r="P110" s="68">
        <v>46.045499999999997</v>
      </c>
      <c r="Q110" s="68">
        <v>51.494099999999996</v>
      </c>
      <c r="R110" s="68">
        <v>56.197099999999999</v>
      </c>
      <c r="S110" s="68">
        <v>60.514600000000002</v>
      </c>
      <c r="T110" s="68">
        <v>65.455799999999996</v>
      </c>
      <c r="U110" s="68">
        <v>71.265299999999996</v>
      </c>
      <c r="V110" s="68">
        <v>78.227999999999994</v>
      </c>
      <c r="W110" s="68">
        <v>88.223500000000001</v>
      </c>
      <c r="X110" s="68">
        <v>99.463700000000003</v>
      </c>
      <c r="Y110" s="68">
        <v>111.069</v>
      </c>
      <c r="Z110" s="68">
        <v>124.51430000000001</v>
      </c>
      <c r="AA110" s="68">
        <v>142.3408</v>
      </c>
      <c r="AB110" s="68">
        <v>168.90810000000002</v>
      </c>
      <c r="AC110" s="68">
        <v>195.1919</v>
      </c>
      <c r="AD110" s="68">
        <v>220.471</v>
      </c>
      <c r="AE110" s="68">
        <v>248.55199999999999</v>
      </c>
      <c r="AF110" s="68">
        <v>285.2294</v>
      </c>
      <c r="AG110" s="68">
        <v>319.1977</v>
      </c>
      <c r="AH110" s="68">
        <v>363.68979999999999</v>
      </c>
      <c r="AI110" s="68">
        <v>421.79179999999997</v>
      </c>
      <c r="AJ110" s="68">
        <v>483.58479999999997</v>
      </c>
      <c r="AK110" s="68">
        <v>530.62040000000002</v>
      </c>
      <c r="AL110" s="68">
        <v>569.13059999999996</v>
      </c>
      <c r="AM110" s="68">
        <v>608.97659999999996</v>
      </c>
      <c r="AN110" s="68">
        <v>641.97140000000002</v>
      </c>
      <c r="AO110" s="68">
        <v>668.32230000000004</v>
      </c>
      <c r="AP110" s="68">
        <v>710.22209999999995</v>
      </c>
      <c r="AQ110" s="68">
        <v>763.48400000000004</v>
      </c>
      <c r="AR110" s="68">
        <v>812.36350000000004</v>
      </c>
      <c r="AS110" s="68">
        <v>851.99059999999997</v>
      </c>
      <c r="AT110" s="68">
        <v>891.88569999999993</v>
      </c>
      <c r="AU110" s="68">
        <v>918.37369999999999</v>
      </c>
      <c r="AV110" s="68">
        <v>938.88990000000001</v>
      </c>
      <c r="AW110" s="68">
        <v>979.01969999999994</v>
      </c>
      <c r="AX110" s="68">
        <v>1000.9755</v>
      </c>
      <c r="AY110" s="68">
        <v>1025.0569</v>
      </c>
      <c r="AZ110" s="68">
        <v>1058.7701999999999</v>
      </c>
      <c r="BA110" s="68">
        <v>1085.4178999999999</v>
      </c>
      <c r="BB110" s="68">
        <v>1144.2084</v>
      </c>
      <c r="BC110" s="68">
        <v>1203.0181</v>
      </c>
      <c r="BD110" s="68">
        <v>1264.0006000000001</v>
      </c>
      <c r="BE110" s="68">
        <v>1302.7188000000001</v>
      </c>
      <c r="BF110" s="68">
        <v>1358.4441000000002</v>
      </c>
      <c r="BG110" s="68">
        <v>1403.1396999999999</v>
      </c>
      <c r="BH110" s="68">
        <v>1464.9881799999998</v>
      </c>
      <c r="BI110" s="68">
        <v>1536.5827400000001</v>
      </c>
      <c r="BJ110" s="68">
        <v>1587.8489</v>
      </c>
      <c r="BK110" s="68">
        <v>1607.69244</v>
      </c>
      <c r="BL110" s="68">
        <v>1642.4896699999999</v>
      </c>
      <c r="BM110" s="68"/>
      <c r="BN110" s="68"/>
    </row>
    <row r="111" spans="1:66" x14ac:dyDescent="0.2">
      <c r="A111" t="s">
        <v>268</v>
      </c>
      <c r="B111" s="80" t="s">
        <v>6</v>
      </c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  <c r="BJ111" s="68"/>
      <c r="BK111" s="68"/>
      <c r="BL111" s="68"/>
      <c r="BM111" s="68"/>
      <c r="BN111" s="68"/>
    </row>
    <row r="112" spans="1:66" x14ac:dyDescent="0.2">
      <c r="A112" t="s">
        <v>80</v>
      </c>
      <c r="B112" s="80" t="s">
        <v>81</v>
      </c>
      <c r="C112" s="68">
        <v>9.3567</v>
      </c>
      <c r="D112" s="68">
        <v>10.811299999999999</v>
      </c>
      <c r="E112" s="68">
        <v>13.630799999999999</v>
      </c>
      <c r="F112" s="68">
        <v>15.955500000000001</v>
      </c>
      <c r="G112" s="68">
        <v>16.717599999999997</v>
      </c>
      <c r="H112" s="68">
        <v>17.561299999999999</v>
      </c>
      <c r="I112" s="68">
        <v>18.726400000000002</v>
      </c>
      <c r="J112" s="68">
        <v>21.045500000000001</v>
      </c>
      <c r="K112" s="68">
        <v>23.311900000000001</v>
      </c>
      <c r="L112" s="68">
        <v>26.329599999999999</v>
      </c>
      <c r="M112" s="68">
        <v>28.649699999999999</v>
      </c>
      <c r="N112" s="68">
        <v>31.105599999999999</v>
      </c>
      <c r="O112" s="68">
        <v>33.9876</v>
      </c>
      <c r="P112" s="68">
        <v>38.107900000000001</v>
      </c>
      <c r="Q112" s="68">
        <v>43.004199999999997</v>
      </c>
      <c r="R112" s="68">
        <v>47.128900000000002</v>
      </c>
      <c r="S112" s="68">
        <v>50.483899999999998</v>
      </c>
      <c r="T112" s="68">
        <v>54.605699999999999</v>
      </c>
      <c r="U112" s="68">
        <v>59.208300000000001</v>
      </c>
      <c r="V112" s="68">
        <v>64.9238</v>
      </c>
      <c r="W112" s="68">
        <v>74.354199999999992</v>
      </c>
      <c r="X112" s="68">
        <v>82.179100000000005</v>
      </c>
      <c r="Y112" s="68">
        <v>91.969100000000012</v>
      </c>
      <c r="Z112" s="68">
        <v>102.6553</v>
      </c>
      <c r="AA112" s="68">
        <v>117.06339999999999</v>
      </c>
      <c r="AB112" s="68">
        <v>137.67670000000001</v>
      </c>
      <c r="AC112" s="68">
        <v>158.49270000000001</v>
      </c>
      <c r="AD112" s="68">
        <v>183.5933</v>
      </c>
      <c r="AE112" s="68">
        <v>206.77689999999998</v>
      </c>
      <c r="AF112" s="68">
        <v>235.29160000000002</v>
      </c>
      <c r="AG112" s="68">
        <v>269.07190000000003</v>
      </c>
      <c r="AH112" s="68">
        <v>308.63409999999999</v>
      </c>
      <c r="AI112" s="68">
        <v>357.98659999999995</v>
      </c>
      <c r="AJ112" s="68">
        <v>414.31640000000004</v>
      </c>
      <c r="AK112" s="68">
        <v>458.428</v>
      </c>
      <c r="AL112" s="68">
        <v>499.50450000000001</v>
      </c>
      <c r="AM112" s="68">
        <v>539.01380000000006</v>
      </c>
      <c r="AN112" s="68">
        <v>573.51030000000003</v>
      </c>
      <c r="AO112" s="68">
        <v>607.65859999999998</v>
      </c>
      <c r="AP112" s="68">
        <v>643.79230000000007</v>
      </c>
      <c r="AQ112" s="68">
        <v>689.39649999999995</v>
      </c>
      <c r="AR112" s="68">
        <v>728.1182</v>
      </c>
      <c r="AS112" s="68">
        <v>756.8211</v>
      </c>
      <c r="AT112" s="68">
        <v>787.55560000000003</v>
      </c>
      <c r="AU112" s="68">
        <v>805.26599999999996</v>
      </c>
      <c r="AV112" s="68">
        <v>828.39359999999999</v>
      </c>
      <c r="AW112" s="68">
        <v>855.15559999999994</v>
      </c>
      <c r="AX112" s="68">
        <v>882.5643</v>
      </c>
      <c r="AY112" s="68">
        <v>895.68409999999994</v>
      </c>
      <c r="AZ112" s="68">
        <v>930.32780000000002</v>
      </c>
      <c r="BA112" s="68">
        <v>958.82799999999997</v>
      </c>
      <c r="BB112" s="68">
        <v>1013.0477</v>
      </c>
      <c r="BC112" s="68">
        <v>1058.461</v>
      </c>
      <c r="BD112" s="68">
        <v>1100.2288999999998</v>
      </c>
      <c r="BE112" s="68">
        <v>1145.3231000000001</v>
      </c>
      <c r="BF112" s="68">
        <v>1189.5456000000001</v>
      </c>
      <c r="BG112" s="68">
        <v>1240.5661</v>
      </c>
      <c r="BH112" s="68">
        <v>1292.2</v>
      </c>
      <c r="BI112" s="68">
        <v>1348.3587500000001</v>
      </c>
      <c r="BJ112" s="68">
        <v>1392.2560000000001</v>
      </c>
      <c r="BK112" s="68">
        <v>1398.3389999999999</v>
      </c>
      <c r="BL112" s="68">
        <v>1435.19534</v>
      </c>
      <c r="BM112" s="68"/>
      <c r="BN112" s="68"/>
    </row>
    <row r="113" spans="1:66" x14ac:dyDescent="0.2">
      <c r="A113" t="s">
        <v>82</v>
      </c>
      <c r="B113" s="80" t="s">
        <v>332</v>
      </c>
      <c r="C113" s="68">
        <v>1.7278</v>
      </c>
      <c r="D113" s="68">
        <v>1.9039000000000001</v>
      </c>
      <c r="E113" s="68">
        <v>2.3889</v>
      </c>
      <c r="F113" s="68">
        <v>2.8250999999999999</v>
      </c>
      <c r="G113" s="68">
        <v>2.6154999999999999</v>
      </c>
      <c r="H113" s="68">
        <v>3.1194000000000002</v>
      </c>
      <c r="I113" s="68">
        <v>3.5766999999999998</v>
      </c>
      <c r="J113" s="68">
        <v>3.4842</v>
      </c>
      <c r="K113" s="68">
        <v>4.1242999999999999</v>
      </c>
      <c r="L113" s="68">
        <v>4.8648999999999996</v>
      </c>
      <c r="M113" s="68">
        <v>4.7758000000000003</v>
      </c>
      <c r="N113" s="68">
        <v>6.0396000000000001</v>
      </c>
      <c r="O113" s="68">
        <v>6.1911000000000005</v>
      </c>
      <c r="P113" s="68">
        <v>7.9376000000000007</v>
      </c>
      <c r="Q113" s="68">
        <v>8.4899000000000004</v>
      </c>
      <c r="R113" s="68">
        <v>9.0682000000000009</v>
      </c>
      <c r="S113" s="68">
        <v>10.030700000000001</v>
      </c>
      <c r="T113" s="68">
        <v>10.850100000000001</v>
      </c>
      <c r="U113" s="68">
        <v>12.057</v>
      </c>
      <c r="V113" s="68">
        <v>13.304200000000002</v>
      </c>
      <c r="W113" s="68">
        <v>13.869299999999999</v>
      </c>
      <c r="X113" s="68">
        <v>17.284599999999998</v>
      </c>
      <c r="Y113" s="68">
        <v>19.099900000000002</v>
      </c>
      <c r="Z113" s="68">
        <v>21.859000000000002</v>
      </c>
      <c r="AA113" s="68">
        <v>25.2774</v>
      </c>
      <c r="AB113" s="68">
        <v>31.231400000000001</v>
      </c>
      <c r="AC113" s="68">
        <v>36.699199999999998</v>
      </c>
      <c r="AD113" s="68">
        <v>36.877699999999997</v>
      </c>
      <c r="AE113" s="68">
        <v>41.775100000000002</v>
      </c>
      <c r="AF113" s="68">
        <v>49.937800000000003</v>
      </c>
      <c r="AG113" s="68">
        <v>50.125800000000005</v>
      </c>
      <c r="AH113" s="68">
        <v>55.055699999999995</v>
      </c>
      <c r="AI113" s="68">
        <v>63.805199999999999</v>
      </c>
      <c r="AJ113" s="68">
        <v>69.2684</v>
      </c>
      <c r="AK113" s="68">
        <v>72.192399999999992</v>
      </c>
      <c r="AL113" s="68">
        <v>69.626100000000008</v>
      </c>
      <c r="AM113" s="68">
        <v>69.962800000000001</v>
      </c>
      <c r="AN113" s="68">
        <v>68.461100000000002</v>
      </c>
      <c r="AO113" s="68">
        <v>60.663699999999999</v>
      </c>
      <c r="AP113" s="68">
        <v>66.4298</v>
      </c>
      <c r="AQ113" s="68">
        <v>74.087500000000006</v>
      </c>
      <c r="AR113" s="68">
        <v>84.2453</v>
      </c>
      <c r="AS113" s="68">
        <v>95.169499999999999</v>
      </c>
      <c r="AT113" s="68">
        <v>104.3301</v>
      </c>
      <c r="AU113" s="68">
        <v>113.10769999999999</v>
      </c>
      <c r="AV113" s="68">
        <v>110.49630000000001</v>
      </c>
      <c r="AW113" s="68">
        <v>123.86410000000001</v>
      </c>
      <c r="AX113" s="68">
        <v>118.41119999999999</v>
      </c>
      <c r="AY113" s="68">
        <v>129.37280000000001</v>
      </c>
      <c r="AZ113" s="68">
        <v>128.44239999999999</v>
      </c>
      <c r="BA113" s="68">
        <v>126.5899</v>
      </c>
      <c r="BB113" s="68">
        <v>131.16070000000002</v>
      </c>
      <c r="BC113" s="68">
        <v>144.55710000000002</v>
      </c>
      <c r="BD113" s="68">
        <v>163.77170000000001</v>
      </c>
      <c r="BE113" s="68">
        <v>157.39570000000001</v>
      </c>
      <c r="BF113" s="68">
        <v>168.89850000000001</v>
      </c>
      <c r="BG113" s="68">
        <v>162.5736</v>
      </c>
      <c r="BH113" s="68">
        <v>172.78817999999998</v>
      </c>
      <c r="BI113" s="68">
        <v>188.22398999999999</v>
      </c>
      <c r="BJ113" s="68">
        <v>195.59289999999999</v>
      </c>
      <c r="BK113" s="68">
        <v>209.35344000000001</v>
      </c>
      <c r="BL113" s="68">
        <v>207.29432999999997</v>
      </c>
      <c r="BM113" s="68"/>
      <c r="BN113" s="68"/>
    </row>
    <row r="114" spans="1:66" x14ac:dyDescent="0.2">
      <c r="B114" s="80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  <c r="BK114" s="68"/>
      <c r="BL114" s="68"/>
      <c r="BM114" s="68"/>
      <c r="BN114" s="68"/>
    </row>
    <row r="115" spans="1:66" x14ac:dyDescent="0.2">
      <c r="B115" s="80" t="s">
        <v>360</v>
      </c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  <c r="BK115" s="68"/>
      <c r="BL115" s="68"/>
      <c r="BM115" s="68"/>
      <c r="BN115" s="68"/>
    </row>
    <row r="116" spans="1:66" x14ac:dyDescent="0.2">
      <c r="B116" s="80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  <c r="BK116" s="68"/>
      <c r="BL116" s="68"/>
      <c r="BM116" s="68"/>
      <c r="BN116" s="68"/>
    </row>
    <row r="117" spans="1:66" x14ac:dyDescent="0.2">
      <c r="B117" s="80" t="s">
        <v>244</v>
      </c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  <c r="BK117" s="68"/>
      <c r="BL117" s="68"/>
      <c r="BM117" s="68"/>
      <c r="BN117" s="6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pageSetUpPr fitToPage="1"/>
  </sheetPr>
  <dimension ref="A1:BH356"/>
  <sheetViews>
    <sheetView tabSelected="1" zoomScale="80" zoomScaleNormal="80" workbookViewId="0">
      <pane xSplit="2" ySplit="7" topLeftCell="C106" activePane="bottomRight" state="frozen"/>
      <selection pane="topRight" activeCell="C1" sqref="C1"/>
      <selection pane="bottomLeft" activeCell="A8" sqref="A8"/>
      <selection pane="bottomRight" activeCell="C85" sqref="C85"/>
    </sheetView>
  </sheetViews>
  <sheetFormatPr baseColWidth="10" defaultColWidth="11.42578125" defaultRowHeight="12.75" outlineLevelRow="1" x14ac:dyDescent="0.2"/>
  <cols>
    <col min="1" max="1" width="7.42578125" customWidth="1"/>
    <col min="2" max="2" width="35.5703125" customWidth="1"/>
    <col min="3" max="3" width="12.42578125" customWidth="1"/>
    <col min="4" max="5" width="11.5703125" bestFit="1" customWidth="1"/>
    <col min="6" max="6" width="13.5703125" bestFit="1" customWidth="1"/>
    <col min="7" max="7" width="12.5703125" bestFit="1" customWidth="1"/>
    <col min="8" max="8" width="14.5703125" customWidth="1"/>
    <col min="9" max="9" width="13.42578125" customWidth="1"/>
    <col min="10" max="10" width="12.5703125" customWidth="1"/>
    <col min="11" max="11" width="16.42578125" bestFit="1" customWidth="1"/>
    <col min="12" max="12" width="12.42578125" customWidth="1"/>
    <col min="13" max="13" width="14.5703125" customWidth="1"/>
    <col min="14" max="14" width="12.140625" customWidth="1"/>
    <col min="15" max="18" width="9.5703125" customWidth="1"/>
    <col min="19" max="19" width="13" bestFit="1" customWidth="1"/>
    <col min="20" max="20" width="11" customWidth="1"/>
    <col min="21" max="23" width="9.5703125" customWidth="1"/>
    <col min="24" max="24" width="7.42578125" customWidth="1"/>
    <col min="25" max="25" width="35.5703125" customWidth="1"/>
    <col min="29" max="29" width="41.42578125" bestFit="1" customWidth="1"/>
    <col min="30" max="30" width="13.5703125" bestFit="1" customWidth="1"/>
    <col min="31" max="31" width="21" bestFit="1" customWidth="1"/>
    <col min="32" max="32" width="23.5703125" bestFit="1" customWidth="1"/>
    <col min="33" max="33" width="15" bestFit="1" customWidth="1"/>
    <col min="38" max="38" width="35.5703125" bestFit="1" customWidth="1"/>
    <col min="39" max="39" width="7.5703125" bestFit="1" customWidth="1"/>
    <col min="40" max="40" width="11.5703125" customWidth="1"/>
    <col min="41" max="41" width="23.5703125" bestFit="1" customWidth="1"/>
    <col min="42" max="42" width="17.140625" bestFit="1" customWidth="1"/>
    <col min="43" max="43" width="16.140625" bestFit="1" customWidth="1"/>
    <col min="44" max="44" width="9.140625" bestFit="1" customWidth="1"/>
    <col min="45" max="45" width="10" bestFit="1" customWidth="1"/>
    <col min="46" max="46" width="12.85546875" style="93" bestFit="1" customWidth="1"/>
    <col min="47" max="47" width="13.5703125" bestFit="1" customWidth="1"/>
    <col min="60" max="60" width="41" bestFit="1" customWidth="1"/>
  </cols>
  <sheetData>
    <row r="1" spans="1:60" outlineLevel="1" x14ac:dyDescent="0.2">
      <c r="A1">
        <v>1</v>
      </c>
      <c r="B1">
        <f>A1+1</f>
        <v>2</v>
      </c>
      <c r="C1">
        <f t="shared" ref="C1:Y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AK1" s="297"/>
      <c r="AL1" s="281" t="s">
        <v>535</v>
      </c>
      <c r="AM1" s="282"/>
      <c r="AN1" s="282"/>
      <c r="AO1" s="282"/>
      <c r="AP1" s="282"/>
      <c r="AQ1" s="282"/>
      <c r="AR1" s="282"/>
      <c r="AS1" s="282"/>
      <c r="AT1" s="283" t="s">
        <v>477</v>
      </c>
      <c r="AU1" s="284"/>
    </row>
    <row r="2" spans="1:60" outlineLevel="1" x14ac:dyDescent="0.2">
      <c r="AC2" s="17" t="s">
        <v>251</v>
      </c>
      <c r="AD2" s="97">
        <f>S60</f>
        <v>1479.606</v>
      </c>
      <c r="AE2" s="17"/>
      <c r="AF2" s="17" t="s">
        <v>252</v>
      </c>
      <c r="AG2" s="17" t="s">
        <v>253</v>
      </c>
      <c r="AH2" s="17" t="s">
        <v>254</v>
      </c>
      <c r="AI2" s="208">
        <f>SUM(AD3:AD19)</f>
        <v>1404.413</v>
      </c>
      <c r="AJ2" s="209">
        <f>AI2-AD2</f>
        <v>-75.192999999999984</v>
      </c>
      <c r="AK2" s="298"/>
      <c r="AL2" s="17" t="s">
        <v>251</v>
      </c>
      <c r="AM2" s="97">
        <f>AD2</f>
        <v>1479.606</v>
      </c>
      <c r="AN2" s="285">
        <f>SUM(AN4,AM10,AN8:AN9,AM12,AM17:AM19)</f>
        <v>1430.6109999999999</v>
      </c>
      <c r="AO2" s="17" t="s">
        <v>252</v>
      </c>
      <c r="AP2" s="17" t="s">
        <v>253</v>
      </c>
      <c r="AQ2" s="17" t="s">
        <v>254</v>
      </c>
      <c r="AR2" s="208">
        <f>SUM(AM3:AM19)</f>
        <v>1404.413</v>
      </c>
      <c r="AS2" s="286">
        <f>AR2-AM2</f>
        <v>-75.192999999999984</v>
      </c>
      <c r="AT2" s="287"/>
      <c r="AU2" s="288"/>
    </row>
    <row r="3" spans="1:60" outlineLevel="1" x14ac:dyDescent="0.2">
      <c r="AC3" s="210" t="s">
        <v>255</v>
      </c>
      <c r="AD3" s="97">
        <f>S23</f>
        <v>1264.4590000000001</v>
      </c>
      <c r="AE3" s="17"/>
      <c r="AF3" s="97">
        <f>C23</f>
        <v>1242.8710000000001</v>
      </c>
      <c r="AG3" s="97">
        <f>J23</f>
        <v>23.146999999999998</v>
      </c>
      <c r="AH3" s="97">
        <f>-P23</f>
        <v>-1.5580000000000001</v>
      </c>
      <c r="AI3" s="208">
        <f>SUM(AF3:AH3)</f>
        <v>1264.46</v>
      </c>
      <c r="AJ3" s="209">
        <f>AI3-AD3</f>
        <v>9.9999999997635314E-4</v>
      </c>
      <c r="AK3" s="298"/>
      <c r="AL3" s="210" t="s">
        <v>255</v>
      </c>
      <c r="AM3" s="97">
        <f t="shared" ref="AM3:AM21" si="1">AD3</f>
        <v>1264.4590000000001</v>
      </c>
      <c r="AN3" s="97">
        <f t="shared" ref="AN3:AN21" si="2">AE3</f>
        <v>0</v>
      </c>
      <c r="AO3" s="208">
        <f>[1]CPR_CEB_Simple!$G$58/1000</f>
        <v>935.67100000000005</v>
      </c>
      <c r="AP3" s="208">
        <f>AM3-SUM(AO3,AQ3)</f>
        <v>330.346</v>
      </c>
      <c r="AQ3" s="97">
        <f>AH3</f>
        <v>-1.5580000000000001</v>
      </c>
      <c r="AR3" s="208">
        <f>SUM(AO3:AQ3)</f>
        <v>1264.4590000000001</v>
      </c>
      <c r="AS3" s="286">
        <f>AR3-AM3</f>
        <v>0</v>
      </c>
      <c r="AT3" s="287"/>
      <c r="AU3" s="288"/>
    </row>
    <row r="4" spans="1:60" outlineLevel="1" x14ac:dyDescent="0.2">
      <c r="D4" s="80"/>
      <c r="AC4" s="207" t="s">
        <v>468</v>
      </c>
      <c r="AD4" s="80"/>
      <c r="AE4" s="80">
        <f>S24</f>
        <v>947.851</v>
      </c>
      <c r="AF4" s="80">
        <f>C24</f>
        <v>931.77</v>
      </c>
      <c r="AG4" s="80">
        <f>J24</f>
        <v>17.547999999999998</v>
      </c>
      <c r="AH4" s="80">
        <f>-P24</f>
        <v>-1.4670000000000001</v>
      </c>
      <c r="AI4" s="92">
        <f>SUM(AF4:AH4)</f>
        <v>947.851</v>
      </c>
      <c r="AJ4" s="93">
        <f>AI4-AE4</f>
        <v>0</v>
      </c>
      <c r="AK4" s="298"/>
      <c r="AL4" s="207" t="s">
        <v>468</v>
      </c>
      <c r="AM4" s="97">
        <f t="shared" si="1"/>
        <v>0</v>
      </c>
      <c r="AN4" s="97">
        <f t="shared" si="2"/>
        <v>947.851</v>
      </c>
      <c r="AO4" s="208">
        <f>[1]CPR_CEB_Simple!$O$58/1000</f>
        <v>689.62116198180888</v>
      </c>
      <c r="AP4" s="208">
        <f>AN4-SUM(AO4,AQ4)</f>
        <v>259.6968380181911</v>
      </c>
      <c r="AQ4" s="97">
        <f>AH4</f>
        <v>-1.4670000000000001</v>
      </c>
      <c r="AR4" s="92">
        <f>SUM(AO4:AQ4)</f>
        <v>947.851</v>
      </c>
      <c r="AS4" s="287">
        <f>AR4-AN4</f>
        <v>0</v>
      </c>
      <c r="AT4" s="287" t="e">
        <f>([2]Supply_Use_dom!$AP$33+#REF!-#REF!)/1000-SUM(AN4,AN8)</f>
        <v>#REF!</v>
      </c>
      <c r="AU4" s="305"/>
    </row>
    <row r="5" spans="1:60" ht="15.75" customHeight="1" x14ac:dyDescent="0.25">
      <c r="A5" s="8" t="s">
        <v>541</v>
      </c>
      <c r="B5" s="8"/>
      <c r="C5" s="9"/>
      <c r="D5" s="8"/>
      <c r="E5" s="9"/>
      <c r="F5" s="9"/>
      <c r="G5" s="9"/>
      <c r="H5" s="8"/>
      <c r="I5" s="8"/>
      <c r="J5" s="8"/>
      <c r="K5" s="8"/>
      <c r="L5" s="50"/>
      <c r="N5" s="8"/>
      <c r="O5" s="8"/>
      <c r="P5" s="8"/>
      <c r="Q5" s="8"/>
      <c r="R5" s="9"/>
      <c r="S5" s="9"/>
      <c r="T5" s="9"/>
      <c r="U5" s="8"/>
      <c r="V5" s="9"/>
      <c r="W5" s="8"/>
      <c r="X5" s="8"/>
      <c r="Y5" s="50" t="s">
        <v>216</v>
      </c>
      <c r="AC5" s="212" t="s">
        <v>471</v>
      </c>
      <c r="AD5" s="2"/>
      <c r="AE5" s="213">
        <f>S25</f>
        <v>316.608</v>
      </c>
      <c r="AF5" s="213">
        <f>C25</f>
        <v>311.101</v>
      </c>
      <c r="AG5" s="213">
        <f>J25</f>
        <v>5.5990000000000002</v>
      </c>
      <c r="AH5" s="213">
        <f>-P25</f>
        <v>-9.0999999999999998E-2</v>
      </c>
      <c r="AI5" s="214">
        <f>SUM(AF5:AH5)</f>
        <v>316.60899999999998</v>
      </c>
      <c r="AJ5" s="215">
        <f>AI5-AE5</f>
        <v>9.9999999997635314E-4</v>
      </c>
      <c r="AK5" s="298"/>
      <c r="AL5" s="212" t="s">
        <v>471</v>
      </c>
      <c r="AM5" s="97">
        <f t="shared" si="1"/>
        <v>0</v>
      </c>
      <c r="AN5" s="97">
        <f>AE5</f>
        <v>316.608</v>
      </c>
      <c r="AO5" s="208">
        <f>[1]CPR_CEB_Simple!$Q$58/1000</f>
        <v>246.04983801819108</v>
      </c>
      <c r="AP5" s="208">
        <f>AN5-SUM(AO5,AQ5)</f>
        <v>70.64916198180893</v>
      </c>
      <c r="AQ5" s="97">
        <f>AH5</f>
        <v>-9.0999999999999998E-2</v>
      </c>
      <c r="AR5" s="214">
        <f>SUM(AO5:AQ5)</f>
        <v>316.608</v>
      </c>
      <c r="AS5" s="289">
        <f>AR5-AN5</f>
        <v>0</v>
      </c>
      <c r="AT5" s="287">
        <f>([2]Supply_Use_dom!$AP$35+[2]OTH_VARIABLE!$D$4)/1000-AN5</f>
        <v>-67.534999999999911</v>
      </c>
      <c r="AU5" s="288"/>
      <c r="AW5" s="35" t="s">
        <v>497</v>
      </c>
    </row>
    <row r="6" spans="1:60" ht="15.75" customHeight="1" x14ac:dyDescent="0.2">
      <c r="A6" s="10"/>
      <c r="B6" s="10"/>
      <c r="C6" s="11" t="s">
        <v>203</v>
      </c>
      <c r="D6" s="11" t="s">
        <v>0</v>
      </c>
      <c r="E6" s="11" t="s">
        <v>1</v>
      </c>
      <c r="F6" s="11" t="s">
        <v>2</v>
      </c>
      <c r="G6" s="11" t="s">
        <v>3</v>
      </c>
      <c r="H6" s="11" t="s">
        <v>4</v>
      </c>
      <c r="I6" s="11"/>
      <c r="J6" s="11" t="s">
        <v>5</v>
      </c>
      <c r="K6" s="12"/>
      <c r="L6" s="11"/>
      <c r="N6" s="11"/>
      <c r="O6" s="12"/>
      <c r="P6" s="11" t="s">
        <v>5</v>
      </c>
      <c r="Q6" s="11"/>
      <c r="R6" s="11" t="s">
        <v>4</v>
      </c>
      <c r="S6" s="11" t="s">
        <v>3</v>
      </c>
      <c r="T6" s="11" t="s">
        <v>2</v>
      </c>
      <c r="U6" s="11" t="s">
        <v>1</v>
      </c>
      <c r="V6" s="11" t="s">
        <v>0</v>
      </c>
      <c r="W6" s="11" t="s">
        <v>203</v>
      </c>
      <c r="X6" s="10"/>
      <c r="Y6" s="30"/>
      <c r="AC6" s="210" t="s">
        <v>256</v>
      </c>
      <c r="AD6" s="97">
        <f>-G49</f>
        <v>-463.87799999999999</v>
      </c>
      <c r="AE6" s="97"/>
      <c r="AF6" s="17"/>
      <c r="AG6" s="17"/>
      <c r="AH6" s="17"/>
      <c r="AI6" s="208">
        <f>SUM(AE7:AE9)</f>
        <v>-437.68</v>
      </c>
      <c r="AJ6" s="209">
        <f>AI6-AD6</f>
        <v>26.197999999999979</v>
      </c>
      <c r="AK6" s="298"/>
      <c r="AL6" s="210" t="s">
        <v>256</v>
      </c>
      <c r="AM6" s="97">
        <f>AD6</f>
        <v>-463.87799999999999</v>
      </c>
      <c r="AN6" s="97">
        <f t="shared" si="2"/>
        <v>0</v>
      </c>
      <c r="AO6" s="17"/>
      <c r="AP6" s="17"/>
      <c r="AQ6" s="17"/>
      <c r="AR6" s="208">
        <f>SUM(AN7:AN9)</f>
        <v>-437.68</v>
      </c>
      <c r="AS6" s="286">
        <f>AR6-AM6</f>
        <v>26.197999999999979</v>
      </c>
      <c r="AT6" s="287"/>
      <c r="AU6" s="288"/>
      <c r="AW6" s="221" t="str">
        <f>W6</f>
        <v>S1</v>
      </c>
      <c r="AX6" s="222" t="str">
        <f>V6</f>
        <v>S11</v>
      </c>
      <c r="AY6" s="221" t="str">
        <f>U6</f>
        <v>S12</v>
      </c>
      <c r="AZ6" s="221" t="str">
        <f>T6</f>
        <v>S13</v>
      </c>
      <c r="BA6" s="221" t="str">
        <f>S6</f>
        <v>S14</v>
      </c>
      <c r="BB6" s="221" t="str">
        <f>R6</f>
        <v>S15</v>
      </c>
      <c r="BC6" s="221">
        <f>Q6</f>
        <v>0</v>
      </c>
      <c r="BD6" s="221" t="str">
        <f>P6</f>
        <v>S2</v>
      </c>
      <c r="BE6" s="221">
        <f>O6</f>
        <v>0</v>
      </c>
      <c r="BF6" s="221">
        <f>N6</f>
        <v>0</v>
      </c>
      <c r="BG6" s="10">
        <f>X6</f>
        <v>0</v>
      </c>
      <c r="BH6" s="10">
        <f>Y6</f>
        <v>0</v>
      </c>
    </row>
    <row r="7" spans="1:60" ht="39.950000000000003" customHeight="1" x14ac:dyDescent="0.2">
      <c r="A7" s="13" t="s">
        <v>6</v>
      </c>
      <c r="B7" s="13"/>
      <c r="C7" s="14" t="s">
        <v>7</v>
      </c>
      <c r="D7" s="14" t="s">
        <v>8</v>
      </c>
      <c r="E7" s="14" t="s">
        <v>9</v>
      </c>
      <c r="F7" s="14" t="s">
        <v>10</v>
      </c>
      <c r="G7" s="14" t="s">
        <v>11</v>
      </c>
      <c r="H7" s="14" t="s">
        <v>12</v>
      </c>
      <c r="I7" s="89" t="s">
        <v>242</v>
      </c>
      <c r="J7" s="14" t="s">
        <v>13</v>
      </c>
      <c r="K7" s="14" t="s">
        <v>14</v>
      </c>
      <c r="L7" s="14" t="s">
        <v>15</v>
      </c>
      <c r="N7" s="14" t="s">
        <v>15</v>
      </c>
      <c r="O7" s="14" t="s">
        <v>14</v>
      </c>
      <c r="P7" s="14" t="s">
        <v>13</v>
      </c>
      <c r="Q7" s="89" t="s">
        <v>242</v>
      </c>
      <c r="R7" s="14" t="s">
        <v>12</v>
      </c>
      <c r="S7" s="14" t="s">
        <v>11</v>
      </c>
      <c r="T7" s="14" t="s">
        <v>117</v>
      </c>
      <c r="U7" s="14" t="s">
        <v>9</v>
      </c>
      <c r="V7" s="14" t="s">
        <v>8</v>
      </c>
      <c r="W7" s="14" t="s">
        <v>7</v>
      </c>
      <c r="X7" s="13"/>
      <c r="Y7" s="13" t="s">
        <v>118</v>
      </c>
      <c r="AC7" s="216" t="s">
        <v>472</v>
      </c>
      <c r="AD7" s="2"/>
      <c r="AE7" s="213">
        <f>-AE5</f>
        <v>-316.608</v>
      </c>
      <c r="AF7" s="213">
        <f>-AF5</f>
        <v>-311.101</v>
      </c>
      <c r="AG7" s="213">
        <f>-AG5</f>
        <v>-5.5990000000000002</v>
      </c>
      <c r="AH7" s="213">
        <f>-AH5</f>
        <v>9.0999999999999998E-2</v>
      </c>
      <c r="AI7" s="214">
        <f>SUM(AF7:AH7)</f>
        <v>-316.60899999999998</v>
      </c>
      <c r="AJ7" s="215">
        <f>AI7-AE7</f>
        <v>-9.9999999997635314E-4</v>
      </c>
      <c r="AK7" s="298"/>
      <c r="AL7" s="216" t="s">
        <v>472</v>
      </c>
      <c r="AM7" s="97">
        <f t="shared" si="1"/>
        <v>0</v>
      </c>
      <c r="AN7" s="97">
        <f t="shared" si="2"/>
        <v>-316.608</v>
      </c>
      <c r="AO7" s="213">
        <f>AF7</f>
        <v>-311.101</v>
      </c>
      <c r="AP7" s="213">
        <f>AG7</f>
        <v>-5.5990000000000002</v>
      </c>
      <c r="AQ7" s="213">
        <f>AH7</f>
        <v>9.0999999999999998E-2</v>
      </c>
      <c r="AR7" s="214">
        <f>SUM(AO7:AQ7)</f>
        <v>-316.60899999999998</v>
      </c>
      <c r="AS7" s="289">
        <f>AR7-AN7</f>
        <v>-9.9999999997635314E-4</v>
      </c>
      <c r="AT7" s="287"/>
      <c r="AU7" s="288"/>
      <c r="AW7" s="223" t="str">
        <f t="shared" ref="AW7:AW70" si="3">W7</f>
        <v>Économie nationale</v>
      </c>
      <c r="AX7" s="223" t="str">
        <f t="shared" ref="AX7:AX70" si="4">V7</f>
        <v>Sociétés non financières</v>
      </c>
      <c r="AY7" s="223" t="str">
        <f t="shared" ref="AY7:AY70" si="5">U7</f>
        <v>Sociétés financières</v>
      </c>
      <c r="AZ7" s="224" t="str">
        <f t="shared" ref="AZ7:AZ70" si="6">T7</f>
        <v>Administra- tions publiques</v>
      </c>
      <c r="BA7" s="223" t="str">
        <f t="shared" ref="BA7:BA70" si="7">S7</f>
        <v>Ménages</v>
      </c>
      <c r="BB7" s="223" t="str">
        <f t="shared" ref="BB7:BB70" si="8">R7</f>
        <v>Institutions sans but lucratif</v>
      </c>
      <c r="BC7" s="223" t="str">
        <f t="shared" ref="BC7:BC70" si="9">Q7</f>
        <v>Impôts - subventions sur produits</v>
      </c>
      <c r="BD7" s="223" t="str">
        <f t="shared" ref="BD7:BD70" si="10">P7</f>
        <v>Reste du Monde</v>
      </c>
      <c r="BE7" s="223" t="str">
        <f t="shared" ref="BE7:BE70" si="11">O7</f>
        <v>Biens et Services</v>
      </c>
      <c r="BF7" s="223" t="str">
        <f t="shared" ref="BF7:BF70" si="12">N7</f>
        <v>Total</v>
      </c>
      <c r="BG7" s="13">
        <f t="shared" ref="BG7:BG70" si="13">X7</f>
        <v>0</v>
      </c>
      <c r="BH7" s="13" t="str">
        <f t="shared" ref="BH7:BH70" si="14">Y7</f>
        <v>Ressources</v>
      </c>
    </row>
    <row r="8" spans="1:60" ht="12.75" customHeight="1" x14ac:dyDescent="0.2">
      <c r="A8" s="59" t="s">
        <v>241</v>
      </c>
      <c r="B8" s="1"/>
      <c r="C8" s="351"/>
      <c r="D8" s="351"/>
      <c r="E8" s="351"/>
      <c r="F8" s="351"/>
      <c r="G8" s="351"/>
      <c r="H8" s="351"/>
      <c r="I8" s="351"/>
      <c r="J8" s="351"/>
      <c r="K8" s="351"/>
      <c r="L8" s="352"/>
      <c r="N8" s="58"/>
      <c r="O8" s="58"/>
      <c r="P8" s="57"/>
      <c r="Q8" s="57"/>
      <c r="R8" s="57"/>
      <c r="S8" s="57"/>
      <c r="T8" s="57"/>
      <c r="U8" s="57"/>
      <c r="V8" s="57"/>
      <c r="W8" s="57"/>
      <c r="X8" s="59" t="s">
        <v>241</v>
      </c>
      <c r="Y8" s="1"/>
      <c r="AC8" s="216" t="s">
        <v>469</v>
      </c>
      <c r="AD8" s="2"/>
      <c r="AE8" s="2">
        <f>-CpteMenage_t_7401!BH61</f>
        <v>-97.527000000000001</v>
      </c>
      <c r="AF8" s="2">
        <f>-AF4*AF30</f>
        <v>-95.872381619051936</v>
      </c>
      <c r="AG8" s="2">
        <f>-AG4*AG30</f>
        <v>-1.8055620514194739</v>
      </c>
      <c r="AH8" s="2">
        <f>-AH4*AH30</f>
        <v>0.15094367047141377</v>
      </c>
      <c r="AI8" s="214">
        <f>SUM(AF8:AH8)</f>
        <v>-97.526999999999987</v>
      </c>
      <c r="AJ8" s="215">
        <f>AI8-AE8</f>
        <v>0</v>
      </c>
      <c r="AK8" s="298"/>
      <c r="AL8" s="216" t="s">
        <v>469</v>
      </c>
      <c r="AM8" s="97">
        <f t="shared" si="1"/>
        <v>0</v>
      </c>
      <c r="AN8" s="97">
        <f t="shared" si="2"/>
        <v>-97.527000000000001</v>
      </c>
      <c r="AO8" s="2">
        <f>-AO4*AO30</f>
        <v>-70.957020739124474</v>
      </c>
      <c r="AP8" s="2">
        <f>-AP4*AP30</f>
        <v>-26.720922931346934</v>
      </c>
      <c r="AQ8" s="2">
        <f>-AQ4*AQ30</f>
        <v>0.15094367047141377</v>
      </c>
      <c r="AR8" s="214">
        <f>SUM(AO8:AQ8)</f>
        <v>-97.526999999999987</v>
      </c>
      <c r="AS8" s="289">
        <f>AR8-AN8</f>
        <v>0</v>
      </c>
      <c r="AT8" s="287" t="e">
        <f>#REF!/1000+AN8</f>
        <v>#REF!</v>
      </c>
      <c r="AU8" s="288"/>
      <c r="AW8">
        <f t="shared" si="3"/>
        <v>0</v>
      </c>
      <c r="AX8">
        <f t="shared" si="4"/>
        <v>0</v>
      </c>
      <c r="AY8">
        <f t="shared" si="5"/>
        <v>0</v>
      </c>
      <c r="AZ8">
        <f t="shared" si="6"/>
        <v>0</v>
      </c>
      <c r="BA8">
        <f t="shared" si="7"/>
        <v>0</v>
      </c>
      <c r="BB8">
        <f t="shared" si="8"/>
        <v>0</v>
      </c>
      <c r="BC8">
        <f t="shared" si="9"/>
        <v>0</v>
      </c>
      <c r="BD8">
        <f t="shared" si="10"/>
        <v>0</v>
      </c>
      <c r="BE8">
        <f t="shared" si="11"/>
        <v>0</v>
      </c>
      <c r="BF8">
        <f t="shared" si="12"/>
        <v>0</v>
      </c>
      <c r="BG8" s="59" t="str">
        <f t="shared" si="13"/>
        <v>Compte de prod. et compte ext. de biens et services</v>
      </c>
      <c r="BH8" s="1">
        <f t="shared" si="14"/>
        <v>0</v>
      </c>
    </row>
    <row r="9" spans="1:60" ht="12.75" customHeight="1" x14ac:dyDescent="0.2">
      <c r="A9" s="2" t="s">
        <v>16</v>
      </c>
      <c r="B9" s="2" t="s">
        <v>120</v>
      </c>
      <c r="C9" s="353"/>
      <c r="D9" s="354"/>
      <c r="E9" s="354"/>
      <c r="F9" s="354"/>
      <c r="G9" s="354"/>
      <c r="H9" s="354"/>
      <c r="I9" s="354"/>
      <c r="J9" s="354">
        <v>770.09900000000005</v>
      </c>
      <c r="K9" s="354"/>
      <c r="L9" s="353">
        <v>770.09900000000005</v>
      </c>
      <c r="M9" s="80"/>
      <c r="N9" s="353">
        <v>770.09900000000005</v>
      </c>
      <c r="O9" s="354">
        <v>770.09900000000005</v>
      </c>
      <c r="P9" s="354"/>
      <c r="Q9" s="354"/>
      <c r="R9" s="354"/>
      <c r="S9" s="354"/>
      <c r="T9" s="354"/>
      <c r="U9" s="354"/>
      <c r="V9" s="354"/>
      <c r="W9" s="353"/>
      <c r="X9" s="2" t="s">
        <v>16</v>
      </c>
      <c r="Y9" s="31" t="s">
        <v>120</v>
      </c>
      <c r="AC9" s="216" t="s">
        <v>470</v>
      </c>
      <c r="AD9" s="2"/>
      <c r="AE9" s="2">
        <f>-CpteMenage_t_7401!BH62</f>
        <v>-23.545000000000002</v>
      </c>
      <c r="AF9" s="2"/>
      <c r="AG9" s="2"/>
      <c r="AH9" s="2"/>
      <c r="AI9" s="2"/>
      <c r="AJ9" s="2"/>
      <c r="AK9" s="298"/>
      <c r="AL9" s="216" t="s">
        <v>470</v>
      </c>
      <c r="AM9" s="97">
        <f t="shared" si="1"/>
        <v>0</v>
      </c>
      <c r="AN9" s="97">
        <f t="shared" si="2"/>
        <v>-23.545000000000002</v>
      </c>
      <c r="AO9" s="2"/>
      <c r="AP9" s="2"/>
      <c r="AQ9" s="2"/>
      <c r="AR9" s="2"/>
      <c r="AS9" s="2"/>
      <c r="AT9" s="287" t="e">
        <f>#REF!/1000+AN9</f>
        <v>#REF!</v>
      </c>
      <c r="AU9" s="288"/>
      <c r="AW9">
        <f t="shared" si="3"/>
        <v>0</v>
      </c>
      <c r="AX9">
        <f t="shared" si="4"/>
        <v>0</v>
      </c>
      <c r="AY9">
        <f t="shared" si="5"/>
        <v>0</v>
      </c>
      <c r="AZ9">
        <f t="shared" si="6"/>
        <v>0</v>
      </c>
      <c r="BA9">
        <f t="shared" si="7"/>
        <v>0</v>
      </c>
      <c r="BB9">
        <f t="shared" si="8"/>
        <v>0</v>
      </c>
      <c r="BC9">
        <f t="shared" si="9"/>
        <v>0</v>
      </c>
      <c r="BD9">
        <f t="shared" si="10"/>
        <v>0</v>
      </c>
      <c r="BE9">
        <f t="shared" si="11"/>
        <v>770.09900000000005</v>
      </c>
      <c r="BF9">
        <f t="shared" si="12"/>
        <v>770.09900000000005</v>
      </c>
      <c r="BG9" s="2" t="str">
        <f t="shared" si="13"/>
        <v>P6</v>
      </c>
      <c r="BH9" s="31" t="str">
        <f t="shared" si="14"/>
        <v>Exportations de biens et services</v>
      </c>
    </row>
    <row r="10" spans="1:60" ht="12.75" customHeight="1" x14ac:dyDescent="0.2">
      <c r="A10" s="2" t="s">
        <v>17</v>
      </c>
      <c r="B10" s="2" t="s">
        <v>121</v>
      </c>
      <c r="C10" s="353"/>
      <c r="D10" s="354"/>
      <c r="E10" s="354"/>
      <c r="F10" s="354"/>
      <c r="G10" s="354"/>
      <c r="H10" s="354"/>
      <c r="I10" s="354"/>
      <c r="J10" s="354"/>
      <c r="K10" s="354">
        <v>793.43600000000004</v>
      </c>
      <c r="L10" s="353">
        <v>793.43600000000004</v>
      </c>
      <c r="M10" s="80"/>
      <c r="N10" s="353">
        <v>793.43600000000004</v>
      </c>
      <c r="O10" s="354"/>
      <c r="P10" s="354">
        <v>793.43600000000004</v>
      </c>
      <c r="Q10" s="354"/>
      <c r="R10" s="354"/>
      <c r="S10" s="354"/>
      <c r="T10" s="354"/>
      <c r="U10" s="354"/>
      <c r="V10" s="354"/>
      <c r="W10" s="353"/>
      <c r="X10" s="2" t="s">
        <v>17</v>
      </c>
      <c r="Y10" s="31" t="s">
        <v>121</v>
      </c>
      <c r="AC10" s="210" t="s">
        <v>537</v>
      </c>
      <c r="AD10" s="285">
        <f>S34</f>
        <v>128.34</v>
      </c>
      <c r="AE10" s="97"/>
      <c r="AF10" s="17"/>
      <c r="AG10" s="17"/>
      <c r="AH10" s="211"/>
      <c r="AI10" s="211"/>
      <c r="AJ10" s="17"/>
      <c r="AK10" s="298"/>
      <c r="AL10" s="210" t="s">
        <v>539</v>
      </c>
      <c r="AM10" s="285">
        <f t="shared" si="1"/>
        <v>128.34</v>
      </c>
      <c r="AN10" s="97">
        <f t="shared" si="2"/>
        <v>0</v>
      </c>
      <c r="AO10" s="17"/>
      <c r="AP10" s="17"/>
      <c r="AQ10" s="211"/>
      <c r="AR10" s="211"/>
      <c r="AS10" s="17"/>
      <c r="AT10" s="287" t="e">
        <f>([2]Supply_Use_dom!$AP$34-#REF!)/1000-SUM(AM10,AN9)</f>
        <v>#REF!</v>
      </c>
      <c r="AU10" s="288"/>
      <c r="AW10">
        <f t="shared" si="3"/>
        <v>0</v>
      </c>
      <c r="AX10">
        <f t="shared" si="4"/>
        <v>0</v>
      </c>
      <c r="AY10">
        <f t="shared" si="5"/>
        <v>0</v>
      </c>
      <c r="AZ10">
        <f t="shared" si="6"/>
        <v>0</v>
      </c>
      <c r="BA10">
        <f t="shared" si="7"/>
        <v>0</v>
      </c>
      <c r="BB10">
        <f t="shared" si="8"/>
        <v>0</v>
      </c>
      <c r="BC10">
        <f t="shared" si="9"/>
        <v>0</v>
      </c>
      <c r="BD10">
        <f t="shared" si="10"/>
        <v>793.43600000000004</v>
      </c>
      <c r="BE10">
        <f t="shared" si="11"/>
        <v>0</v>
      </c>
      <c r="BF10">
        <f t="shared" si="12"/>
        <v>793.43600000000004</v>
      </c>
      <c r="BG10" s="2" t="str">
        <f t="shared" si="13"/>
        <v>P7</v>
      </c>
      <c r="BH10" s="31" t="str">
        <f t="shared" si="14"/>
        <v>Importations de biens et services</v>
      </c>
    </row>
    <row r="11" spans="1:60" ht="12.75" customHeight="1" x14ac:dyDescent="0.2">
      <c r="A11" s="2" t="s">
        <v>18</v>
      </c>
      <c r="B11" s="2" t="s">
        <v>19</v>
      </c>
      <c r="C11" s="353"/>
      <c r="D11" s="354"/>
      <c r="E11" s="354"/>
      <c r="F11" s="354"/>
      <c r="G11" s="354"/>
      <c r="H11" s="354"/>
      <c r="I11" s="354"/>
      <c r="J11" s="354"/>
      <c r="K11" s="354">
        <v>4314.9690000000001</v>
      </c>
      <c r="L11" s="353">
        <v>4314.9690000000001</v>
      </c>
      <c r="M11" s="80"/>
      <c r="N11" s="353">
        <v>4314.9690000000001</v>
      </c>
      <c r="O11" s="354"/>
      <c r="P11" s="354"/>
      <c r="Q11" s="354"/>
      <c r="R11" s="354">
        <v>56.005000000000003</v>
      </c>
      <c r="S11" s="354">
        <v>461.21600000000001</v>
      </c>
      <c r="T11" s="354">
        <v>507.66800000000001</v>
      </c>
      <c r="U11" s="354">
        <v>247.39699999999999</v>
      </c>
      <c r="V11" s="354">
        <v>3042.683</v>
      </c>
      <c r="W11" s="353">
        <v>4314.9690000000001</v>
      </c>
      <c r="X11" s="2" t="s">
        <v>18</v>
      </c>
      <c r="Y11" s="31" t="s">
        <v>19</v>
      </c>
      <c r="AF11" s="17" t="s">
        <v>257</v>
      </c>
      <c r="AG11" s="17" t="s">
        <v>258</v>
      </c>
      <c r="AI11" s="92">
        <f t="shared" ref="AI11:AI17" si="15">SUM(AF11:AH11)</f>
        <v>0</v>
      </c>
      <c r="AJ11" s="93"/>
      <c r="AK11" s="298"/>
      <c r="AM11" s="97">
        <f t="shared" si="1"/>
        <v>0</v>
      </c>
      <c r="AN11" s="97">
        <f t="shared" si="2"/>
        <v>0</v>
      </c>
      <c r="AO11" s="17" t="s">
        <v>257</v>
      </c>
      <c r="AP11" s="17" t="s">
        <v>258</v>
      </c>
      <c r="AR11" s="92">
        <f t="shared" ref="AR11:AR18" si="16">SUM(AO11:AQ11)</f>
        <v>0</v>
      </c>
      <c r="AS11" s="287"/>
      <c r="AT11" s="287"/>
      <c r="AU11" s="288"/>
      <c r="AW11">
        <f t="shared" si="3"/>
        <v>4314.9690000000001</v>
      </c>
      <c r="AX11">
        <f t="shared" si="4"/>
        <v>3042.683</v>
      </c>
      <c r="AY11">
        <f t="shared" si="5"/>
        <v>247.39699999999999</v>
      </c>
      <c r="AZ11">
        <f t="shared" si="6"/>
        <v>507.66800000000001</v>
      </c>
      <c r="BA11">
        <f t="shared" si="7"/>
        <v>461.21600000000001</v>
      </c>
      <c r="BB11">
        <f t="shared" si="8"/>
        <v>56.005000000000003</v>
      </c>
      <c r="BC11">
        <f t="shared" si="9"/>
        <v>0</v>
      </c>
      <c r="BD11">
        <f t="shared" si="10"/>
        <v>0</v>
      </c>
      <c r="BE11">
        <f t="shared" si="11"/>
        <v>0</v>
      </c>
      <c r="BF11">
        <f t="shared" si="12"/>
        <v>4314.9690000000001</v>
      </c>
      <c r="BG11" s="2" t="str">
        <f t="shared" si="13"/>
        <v>P1</v>
      </c>
      <c r="BH11" s="31" t="str">
        <f t="shared" si="14"/>
        <v>Production</v>
      </c>
    </row>
    <row r="12" spans="1:60" ht="12.75" customHeight="1" x14ac:dyDescent="0.2">
      <c r="A12" s="2" t="s">
        <v>20</v>
      </c>
      <c r="B12" s="2" t="s">
        <v>179</v>
      </c>
      <c r="C12" s="353"/>
      <c r="D12" s="354"/>
      <c r="E12" s="354"/>
      <c r="F12" s="354"/>
      <c r="G12" s="354"/>
      <c r="H12" s="354"/>
      <c r="I12" s="354"/>
      <c r="J12" s="354"/>
      <c r="K12" s="354">
        <v>3529.127</v>
      </c>
      <c r="L12" s="353">
        <v>3529.127</v>
      </c>
      <c r="M12" s="80"/>
      <c r="N12" s="353">
        <v>3529.127</v>
      </c>
      <c r="O12" s="354"/>
      <c r="P12" s="354"/>
      <c r="Q12" s="354"/>
      <c r="R12" s="354">
        <v>2.9209999999999998</v>
      </c>
      <c r="S12" s="354">
        <v>248.428</v>
      </c>
      <c r="T12" s="354">
        <v>64.498000000000005</v>
      </c>
      <c r="U12" s="354">
        <v>244.20599999999999</v>
      </c>
      <c r="V12" s="354">
        <v>2969.0740000000001</v>
      </c>
      <c r="W12" s="353">
        <v>3529.127</v>
      </c>
      <c r="X12" s="2" t="s">
        <v>20</v>
      </c>
      <c r="Y12" s="31" t="s">
        <v>179</v>
      </c>
      <c r="AC12" s="210" t="s">
        <v>259</v>
      </c>
      <c r="AD12" s="285">
        <f>S38-G38+S33</f>
        <v>278.41699999999997</v>
      </c>
      <c r="AE12" s="17"/>
      <c r="AF12" s="285">
        <f>S38+S33</f>
        <v>294.71799999999996</v>
      </c>
      <c r="AG12" s="97">
        <f>-G38</f>
        <v>-16.300999999999998</v>
      </c>
      <c r="AH12" s="17"/>
      <c r="AI12" s="302">
        <f>SUM(AF12:AH12)</f>
        <v>278.41699999999997</v>
      </c>
      <c r="AJ12" s="209">
        <f>AI12-AD12</f>
        <v>0</v>
      </c>
      <c r="AK12" s="299"/>
      <c r="AL12" s="210" t="s">
        <v>540</v>
      </c>
      <c r="AM12" s="285">
        <f>AD12</f>
        <v>278.41699999999997</v>
      </c>
      <c r="AN12" s="97">
        <f t="shared" si="2"/>
        <v>0</v>
      </c>
      <c r="AO12" s="285">
        <f t="shared" ref="AO12:AO17" si="17">AF12</f>
        <v>294.71799999999996</v>
      </c>
      <c r="AP12" s="97">
        <f t="shared" ref="AP12:AP18" si="18">AG12</f>
        <v>-16.300999999999998</v>
      </c>
      <c r="AQ12" s="97">
        <f t="shared" ref="AQ12:AQ18" si="19">AH12</f>
        <v>0</v>
      </c>
      <c r="AR12" s="302">
        <f t="shared" si="16"/>
        <v>278.41699999999997</v>
      </c>
      <c r="AS12" s="286">
        <f>AR12-AM12</f>
        <v>0</v>
      </c>
      <c r="AT12" s="287"/>
      <c r="AU12" s="288"/>
      <c r="AW12">
        <f t="shared" si="3"/>
        <v>3529.127</v>
      </c>
      <c r="AX12">
        <f t="shared" si="4"/>
        <v>2969.0740000000001</v>
      </c>
      <c r="AY12">
        <f t="shared" si="5"/>
        <v>244.20599999999999</v>
      </c>
      <c r="AZ12">
        <f t="shared" si="6"/>
        <v>64.498000000000005</v>
      </c>
      <c r="BA12">
        <f t="shared" si="7"/>
        <v>248.428</v>
      </c>
      <c r="BB12">
        <f t="shared" si="8"/>
        <v>2.9209999999999998</v>
      </c>
      <c r="BC12">
        <f t="shared" si="9"/>
        <v>0</v>
      </c>
      <c r="BD12">
        <f t="shared" si="10"/>
        <v>0</v>
      </c>
      <c r="BE12">
        <f t="shared" si="11"/>
        <v>0</v>
      </c>
      <c r="BF12">
        <f t="shared" si="12"/>
        <v>3529.127</v>
      </c>
      <c r="BG12" s="2" t="str">
        <f t="shared" si="13"/>
        <v>P11</v>
      </c>
      <c r="BH12" s="31" t="str">
        <f t="shared" si="14"/>
        <v xml:space="preserve">  Production marchande</v>
      </c>
    </row>
    <row r="13" spans="1:60" ht="12.75" customHeight="1" x14ac:dyDescent="0.2">
      <c r="A13" s="2" t="s">
        <v>21</v>
      </c>
      <c r="B13" s="2" t="s">
        <v>180</v>
      </c>
      <c r="C13" s="353"/>
      <c r="D13" s="354"/>
      <c r="E13" s="354"/>
      <c r="F13" s="354"/>
      <c r="G13" s="354"/>
      <c r="H13" s="354"/>
      <c r="I13" s="354"/>
      <c r="J13" s="354"/>
      <c r="K13" s="354">
        <v>305.404</v>
      </c>
      <c r="L13" s="353">
        <v>305.404</v>
      </c>
      <c r="M13" s="80"/>
      <c r="N13" s="353">
        <v>305.404</v>
      </c>
      <c r="O13" s="354"/>
      <c r="P13" s="354"/>
      <c r="Q13" s="354"/>
      <c r="R13" s="354">
        <v>0</v>
      </c>
      <c r="S13" s="354">
        <v>212.78800000000001</v>
      </c>
      <c r="T13" s="354">
        <v>15.816000000000001</v>
      </c>
      <c r="U13" s="354">
        <v>3.1909999999999998</v>
      </c>
      <c r="V13" s="354">
        <v>73.608999999999995</v>
      </c>
      <c r="W13" s="353">
        <v>305.404</v>
      </c>
      <c r="X13" s="2" t="s">
        <v>21</v>
      </c>
      <c r="Y13" s="31" t="s">
        <v>180</v>
      </c>
      <c r="AC13" s="212" t="s">
        <v>188</v>
      </c>
      <c r="AD13" s="2"/>
      <c r="AE13" s="213">
        <f>SUM(AF13:AG13)</f>
        <v>-0.26200000000000045</v>
      </c>
      <c r="AF13" s="213">
        <f>S39</f>
        <v>14.336</v>
      </c>
      <c r="AG13" s="213">
        <f>-G39</f>
        <v>-14.598000000000001</v>
      </c>
      <c r="AH13" s="2"/>
      <c r="AI13" s="214">
        <f t="shared" si="15"/>
        <v>-0.26200000000000045</v>
      </c>
      <c r="AJ13" s="215">
        <f>AI13-AE13</f>
        <v>0</v>
      </c>
      <c r="AK13" s="298"/>
      <c r="AL13" s="212" t="s">
        <v>188</v>
      </c>
      <c r="AM13" s="75">
        <f t="shared" si="1"/>
        <v>0</v>
      </c>
      <c r="AN13" s="213">
        <f t="shared" si="2"/>
        <v>-0.26200000000000045</v>
      </c>
      <c r="AO13" s="213">
        <f t="shared" si="17"/>
        <v>14.336</v>
      </c>
      <c r="AP13" s="213">
        <f t="shared" si="18"/>
        <v>-14.598000000000001</v>
      </c>
      <c r="AQ13" s="97">
        <f t="shared" si="19"/>
        <v>0</v>
      </c>
      <c r="AR13" s="214">
        <f t="shared" si="16"/>
        <v>-0.26200000000000045</v>
      </c>
      <c r="AS13" s="289">
        <f>AR13-AN13</f>
        <v>0</v>
      </c>
      <c r="AT13" s="287"/>
      <c r="AU13" s="288"/>
      <c r="AW13">
        <f t="shared" si="3"/>
        <v>305.404</v>
      </c>
      <c r="AX13">
        <f t="shared" si="4"/>
        <v>73.608999999999995</v>
      </c>
      <c r="AY13">
        <f t="shared" si="5"/>
        <v>3.1909999999999998</v>
      </c>
      <c r="AZ13">
        <f t="shared" si="6"/>
        <v>15.816000000000001</v>
      </c>
      <c r="BA13">
        <f t="shared" si="7"/>
        <v>212.78800000000001</v>
      </c>
      <c r="BB13">
        <f t="shared" si="8"/>
        <v>0</v>
      </c>
      <c r="BC13">
        <f t="shared" si="9"/>
        <v>0</v>
      </c>
      <c r="BD13">
        <f t="shared" si="10"/>
        <v>0</v>
      </c>
      <c r="BE13">
        <f t="shared" si="11"/>
        <v>0</v>
      </c>
      <c r="BF13">
        <f t="shared" si="12"/>
        <v>305.404</v>
      </c>
      <c r="BG13" s="2" t="str">
        <f t="shared" si="13"/>
        <v>P12</v>
      </c>
      <c r="BH13" s="31" t="str">
        <f t="shared" si="14"/>
        <v xml:space="preserve">  Production pour emploi final propre</v>
      </c>
    </row>
    <row r="14" spans="1:60" ht="12.75" customHeight="1" x14ac:dyDescent="0.2">
      <c r="A14" s="2" t="s">
        <v>22</v>
      </c>
      <c r="B14" s="2" t="s">
        <v>181</v>
      </c>
      <c r="C14" s="353"/>
      <c r="D14" s="354"/>
      <c r="E14" s="354"/>
      <c r="F14" s="354"/>
      <c r="G14" s="354"/>
      <c r="H14" s="354"/>
      <c r="I14" s="354"/>
      <c r="J14" s="354"/>
      <c r="K14" s="354">
        <v>480.43799999999999</v>
      </c>
      <c r="L14" s="353">
        <v>480.43799999999999</v>
      </c>
      <c r="M14" s="80"/>
      <c r="N14" s="353">
        <v>480.43799999999999</v>
      </c>
      <c r="O14" s="354"/>
      <c r="P14" s="354"/>
      <c r="Q14" s="354"/>
      <c r="R14" s="354">
        <v>53.084000000000003</v>
      </c>
      <c r="S14" s="354"/>
      <c r="T14" s="354">
        <v>427.35399999999998</v>
      </c>
      <c r="U14" s="354"/>
      <c r="V14" s="354"/>
      <c r="W14" s="353">
        <v>480.43799999999999</v>
      </c>
      <c r="X14" s="2" t="s">
        <v>22</v>
      </c>
      <c r="Y14" s="31" t="s">
        <v>181</v>
      </c>
      <c r="AC14" s="212" t="s">
        <v>189</v>
      </c>
      <c r="AD14" s="2"/>
      <c r="AE14" s="213">
        <f>SUM(AF14:AG14)</f>
        <v>42.128999999999998</v>
      </c>
      <c r="AF14" s="213">
        <f>S40</f>
        <v>42.128999999999998</v>
      </c>
      <c r="AG14" s="213">
        <f>-G40</f>
        <v>0</v>
      </c>
      <c r="AH14" s="2"/>
      <c r="AI14" s="214">
        <f t="shared" si="15"/>
        <v>42.128999999999998</v>
      </c>
      <c r="AJ14" s="215">
        <f>AI14-AE14</f>
        <v>0</v>
      </c>
      <c r="AK14" s="298"/>
      <c r="AL14" s="212" t="s">
        <v>189</v>
      </c>
      <c r="AM14" s="75">
        <f t="shared" si="1"/>
        <v>0</v>
      </c>
      <c r="AN14" s="213">
        <f t="shared" si="2"/>
        <v>42.128999999999998</v>
      </c>
      <c r="AO14" s="213">
        <f t="shared" si="17"/>
        <v>42.128999999999998</v>
      </c>
      <c r="AP14" s="213">
        <f t="shared" si="18"/>
        <v>0</v>
      </c>
      <c r="AQ14" s="97">
        <f t="shared" si="19"/>
        <v>0</v>
      </c>
      <c r="AR14" s="214">
        <f t="shared" si="16"/>
        <v>42.128999999999998</v>
      </c>
      <c r="AS14" s="289">
        <f>AR14-AN14</f>
        <v>0</v>
      </c>
      <c r="AT14" s="287"/>
      <c r="AU14" s="288"/>
      <c r="AW14">
        <f t="shared" si="3"/>
        <v>480.43799999999999</v>
      </c>
      <c r="AX14">
        <f t="shared" si="4"/>
        <v>0</v>
      </c>
      <c r="AY14">
        <f t="shared" si="5"/>
        <v>0</v>
      </c>
      <c r="AZ14">
        <f t="shared" si="6"/>
        <v>427.35399999999998</v>
      </c>
      <c r="BA14">
        <f t="shared" si="7"/>
        <v>0</v>
      </c>
      <c r="BB14">
        <f t="shared" si="8"/>
        <v>53.084000000000003</v>
      </c>
      <c r="BC14">
        <f t="shared" si="9"/>
        <v>0</v>
      </c>
      <c r="BD14">
        <f t="shared" si="10"/>
        <v>0</v>
      </c>
      <c r="BE14">
        <f t="shared" si="11"/>
        <v>0</v>
      </c>
      <c r="BF14">
        <f t="shared" si="12"/>
        <v>480.43799999999999</v>
      </c>
      <c r="BG14" s="2" t="str">
        <f t="shared" si="13"/>
        <v>P13</v>
      </c>
      <c r="BH14" s="31" t="str">
        <f t="shared" si="14"/>
        <v xml:space="preserve">  Autre production non marchande</v>
      </c>
    </row>
    <row r="15" spans="1:60" ht="12.75" customHeight="1" x14ac:dyDescent="0.2">
      <c r="A15" s="2" t="s">
        <v>23</v>
      </c>
      <c r="B15" s="2" t="s">
        <v>24</v>
      </c>
      <c r="C15" s="353">
        <v>2145.6999999999998</v>
      </c>
      <c r="D15" s="354">
        <v>1768.674</v>
      </c>
      <c r="E15" s="354">
        <v>155.845</v>
      </c>
      <c r="F15" s="354">
        <v>120.402</v>
      </c>
      <c r="G15" s="354">
        <v>82.486000000000004</v>
      </c>
      <c r="H15" s="354">
        <v>18.292999999999999</v>
      </c>
      <c r="I15" s="354"/>
      <c r="J15" s="354"/>
      <c r="K15" s="354"/>
      <c r="L15" s="353">
        <v>2145.6999999999998</v>
      </c>
      <c r="M15" s="80"/>
      <c r="N15" s="353">
        <v>2145.6999999999998</v>
      </c>
      <c r="O15" s="354">
        <v>2145.6999999999998</v>
      </c>
      <c r="P15" s="354"/>
      <c r="Q15" s="354"/>
      <c r="R15" s="354"/>
      <c r="S15" s="354"/>
      <c r="T15" s="354"/>
      <c r="U15" s="354"/>
      <c r="V15" s="354"/>
      <c r="W15" s="353"/>
      <c r="X15" s="2" t="s">
        <v>23</v>
      </c>
      <c r="Y15" s="31" t="s">
        <v>24</v>
      </c>
      <c r="AC15" s="212" t="s">
        <v>538</v>
      </c>
      <c r="AD15" s="2"/>
      <c r="AE15" s="301">
        <f>SUM(AF15:AG15)</f>
        <v>235.387</v>
      </c>
      <c r="AF15" s="301">
        <f>S42+S33</f>
        <v>235.387</v>
      </c>
      <c r="AG15" s="213">
        <f>-G42</f>
        <v>0</v>
      </c>
      <c r="AH15" s="2"/>
      <c r="AI15" s="303">
        <f t="shared" si="15"/>
        <v>235.387</v>
      </c>
      <c r="AJ15" s="215">
        <f>AI15-AE15</f>
        <v>0</v>
      </c>
      <c r="AK15" s="298"/>
      <c r="AL15" s="212" t="s">
        <v>538</v>
      </c>
      <c r="AM15" s="75">
        <f t="shared" si="1"/>
        <v>0</v>
      </c>
      <c r="AN15" s="213">
        <f t="shared" si="2"/>
        <v>235.387</v>
      </c>
      <c r="AO15" s="301">
        <f t="shared" si="17"/>
        <v>235.387</v>
      </c>
      <c r="AP15" s="213">
        <f t="shared" si="18"/>
        <v>0</v>
      </c>
      <c r="AQ15" s="97">
        <f t="shared" si="19"/>
        <v>0</v>
      </c>
      <c r="AR15" s="303">
        <f t="shared" si="16"/>
        <v>235.387</v>
      </c>
      <c r="AS15" s="289">
        <f>AR15-AN15</f>
        <v>0</v>
      </c>
      <c r="AT15" s="287"/>
      <c r="AU15" s="288"/>
      <c r="AW15">
        <f t="shared" si="3"/>
        <v>0</v>
      </c>
      <c r="AX15">
        <f t="shared" si="4"/>
        <v>0</v>
      </c>
      <c r="AY15">
        <f t="shared" si="5"/>
        <v>0</v>
      </c>
      <c r="AZ15">
        <f t="shared" si="6"/>
        <v>0</v>
      </c>
      <c r="BA15">
        <f t="shared" si="7"/>
        <v>0</v>
      </c>
      <c r="BB15">
        <f t="shared" si="8"/>
        <v>0</v>
      </c>
      <c r="BC15">
        <f t="shared" si="9"/>
        <v>0</v>
      </c>
      <c r="BD15">
        <f t="shared" si="10"/>
        <v>0</v>
      </c>
      <c r="BE15">
        <f t="shared" si="11"/>
        <v>2145.6999999999998</v>
      </c>
      <c r="BF15">
        <f t="shared" si="12"/>
        <v>2145.6999999999998</v>
      </c>
      <c r="BG15" s="2" t="str">
        <f t="shared" si="13"/>
        <v>P2</v>
      </c>
      <c r="BH15" s="31" t="str">
        <f t="shared" si="14"/>
        <v>Consommation intermédiaire</v>
      </c>
    </row>
    <row r="16" spans="1:60" ht="12.75" customHeight="1" x14ac:dyDescent="0.2">
      <c r="A16" s="2" t="s">
        <v>25</v>
      </c>
      <c r="B16" s="31" t="s">
        <v>26</v>
      </c>
      <c r="C16" s="353"/>
      <c r="D16" s="354"/>
      <c r="E16" s="354"/>
      <c r="F16" s="354"/>
      <c r="G16" s="354"/>
      <c r="H16" s="354"/>
      <c r="I16" s="354"/>
      <c r="J16" s="354"/>
      <c r="K16" s="354">
        <v>268.36599999999999</v>
      </c>
      <c r="L16" s="353">
        <v>268.36599999999999</v>
      </c>
      <c r="M16" s="80"/>
      <c r="N16" s="353">
        <v>268.36599999999999</v>
      </c>
      <c r="O16" s="354"/>
      <c r="P16" s="354"/>
      <c r="Q16" s="354">
        <v>268.36599999999999</v>
      </c>
      <c r="R16" s="354"/>
      <c r="S16" s="354"/>
      <c r="T16" s="354">
        <v>267.40499999999997</v>
      </c>
      <c r="U16" s="354"/>
      <c r="V16" s="354"/>
      <c r="W16" s="353">
        <v>268.36599999999999</v>
      </c>
      <c r="X16" s="32" t="s">
        <v>25</v>
      </c>
      <c r="Y16" s="33" t="s">
        <v>26</v>
      </c>
      <c r="AC16" s="212" t="s">
        <v>192</v>
      </c>
      <c r="AD16" s="2"/>
      <c r="AE16" s="213">
        <f>SUM(AF16:AG16)</f>
        <v>1.163</v>
      </c>
      <c r="AF16" s="213">
        <f>S43</f>
        <v>2.8660000000000001</v>
      </c>
      <c r="AG16" s="213">
        <f>-G43</f>
        <v>-1.7030000000000001</v>
      </c>
      <c r="AH16" s="2"/>
      <c r="AI16" s="214">
        <f t="shared" si="15"/>
        <v>1.163</v>
      </c>
      <c r="AJ16" s="215">
        <f>AI16-AE16</f>
        <v>0</v>
      </c>
      <c r="AK16" s="298"/>
      <c r="AL16" s="212" t="s">
        <v>192</v>
      </c>
      <c r="AM16" s="75">
        <f t="shared" si="1"/>
        <v>0</v>
      </c>
      <c r="AN16" s="213">
        <f t="shared" si="2"/>
        <v>1.163</v>
      </c>
      <c r="AO16" s="213">
        <f t="shared" si="17"/>
        <v>2.8660000000000001</v>
      </c>
      <c r="AP16" s="213">
        <f t="shared" si="18"/>
        <v>-1.7030000000000001</v>
      </c>
      <c r="AQ16" s="97">
        <f t="shared" si="19"/>
        <v>0</v>
      </c>
      <c r="AR16" s="214">
        <f t="shared" si="16"/>
        <v>1.163</v>
      </c>
      <c r="AS16" s="289">
        <f>AR16-AN16</f>
        <v>0</v>
      </c>
      <c r="AT16" s="287"/>
      <c r="AU16" s="288"/>
      <c r="AW16">
        <f t="shared" si="3"/>
        <v>268.36599999999999</v>
      </c>
      <c r="AX16">
        <f t="shared" si="4"/>
        <v>0</v>
      </c>
      <c r="AY16">
        <f t="shared" si="5"/>
        <v>0</v>
      </c>
      <c r="AZ16">
        <f t="shared" si="6"/>
        <v>267.40499999999997</v>
      </c>
      <c r="BA16">
        <f t="shared" si="7"/>
        <v>0</v>
      </c>
      <c r="BB16">
        <f t="shared" si="8"/>
        <v>0</v>
      </c>
      <c r="BC16">
        <f t="shared" si="9"/>
        <v>268.36599999999999</v>
      </c>
      <c r="BD16">
        <f t="shared" si="10"/>
        <v>0</v>
      </c>
      <c r="BE16">
        <f t="shared" si="11"/>
        <v>0</v>
      </c>
      <c r="BF16">
        <f t="shared" si="12"/>
        <v>268.36599999999999</v>
      </c>
      <c r="BG16" s="32" t="str">
        <f t="shared" si="13"/>
        <v>D21N</v>
      </c>
      <c r="BH16" s="33" t="str">
        <f t="shared" si="14"/>
        <v>Impôts moins subventions sur les produits</v>
      </c>
    </row>
    <row r="17" spans="1:60" ht="12.75" customHeight="1" x14ac:dyDescent="0.2">
      <c r="A17" s="2"/>
      <c r="B17" s="31"/>
      <c r="C17" s="353"/>
      <c r="D17" s="354"/>
      <c r="E17" s="354"/>
      <c r="F17" s="354"/>
      <c r="G17" s="354"/>
      <c r="H17" s="354"/>
      <c r="I17" s="354"/>
      <c r="J17" s="354"/>
      <c r="K17" s="353"/>
      <c r="L17" s="353"/>
      <c r="M17" s="80"/>
      <c r="N17" s="67"/>
      <c r="O17" s="78"/>
      <c r="P17" s="68"/>
      <c r="Q17" s="68"/>
      <c r="R17" s="68"/>
      <c r="S17" s="68"/>
      <c r="T17" s="68"/>
      <c r="U17" s="68"/>
      <c r="V17" s="68"/>
      <c r="W17" s="67"/>
      <c r="X17" s="16" t="s">
        <v>29</v>
      </c>
      <c r="Y17" s="2"/>
      <c r="AC17" s="210" t="s">
        <v>260</v>
      </c>
      <c r="AD17" s="97">
        <f>S53-G53</f>
        <v>446.024</v>
      </c>
      <c r="AF17" s="97">
        <f>S53</f>
        <v>519.76</v>
      </c>
      <c r="AG17" s="97">
        <f>-G53</f>
        <v>-73.736000000000004</v>
      </c>
      <c r="AH17" s="17"/>
      <c r="AI17" s="208">
        <f t="shared" si="15"/>
        <v>446.024</v>
      </c>
      <c r="AJ17" s="209">
        <f>AI17-AD17</f>
        <v>0</v>
      </c>
      <c r="AK17" s="298"/>
      <c r="AL17" s="210" t="s">
        <v>260</v>
      </c>
      <c r="AM17" s="97">
        <f t="shared" si="1"/>
        <v>446.024</v>
      </c>
      <c r="AN17" s="97">
        <f t="shared" si="2"/>
        <v>0</v>
      </c>
      <c r="AO17" s="290">
        <f t="shared" si="17"/>
        <v>519.76</v>
      </c>
      <c r="AP17" s="290">
        <f t="shared" si="18"/>
        <v>-73.736000000000004</v>
      </c>
      <c r="AQ17" s="290">
        <f t="shared" si="19"/>
        <v>0</v>
      </c>
      <c r="AR17" s="214">
        <f t="shared" si="16"/>
        <v>446.024</v>
      </c>
      <c r="AS17" s="286">
        <f>AR17-AM17</f>
        <v>0</v>
      </c>
      <c r="AT17" s="287"/>
      <c r="AU17" s="288"/>
      <c r="AW17">
        <f t="shared" si="3"/>
        <v>0</v>
      </c>
      <c r="AX17">
        <f t="shared" si="4"/>
        <v>0</v>
      </c>
      <c r="AY17">
        <f t="shared" si="5"/>
        <v>0</v>
      </c>
      <c r="AZ17">
        <f t="shared" si="6"/>
        <v>0</v>
      </c>
      <c r="BA17">
        <f t="shared" si="7"/>
        <v>0</v>
      </c>
      <c r="BB17">
        <f t="shared" si="8"/>
        <v>0</v>
      </c>
      <c r="BC17">
        <f t="shared" si="9"/>
        <v>0</v>
      </c>
      <c r="BD17">
        <f t="shared" si="10"/>
        <v>0</v>
      </c>
      <c r="BE17">
        <f t="shared" si="11"/>
        <v>0</v>
      </c>
      <c r="BF17">
        <f t="shared" si="12"/>
        <v>0</v>
      </c>
      <c r="BG17" s="16" t="str">
        <f t="shared" si="13"/>
        <v>Compte d'exploitation</v>
      </c>
      <c r="BH17" s="2">
        <f t="shared" si="14"/>
        <v>0</v>
      </c>
    </row>
    <row r="18" spans="1:60" ht="12.75" customHeight="1" x14ac:dyDescent="0.2">
      <c r="A18" s="59" t="s">
        <v>233</v>
      </c>
      <c r="B18" s="59" t="s">
        <v>245</v>
      </c>
      <c r="C18" s="353">
        <v>2437.6350000000002</v>
      </c>
      <c r="D18" s="353">
        <v>1274.009</v>
      </c>
      <c r="E18" s="353">
        <v>91.552000000000007</v>
      </c>
      <c r="F18" s="353">
        <v>387.26600000000002</v>
      </c>
      <c r="G18" s="353">
        <v>378.73</v>
      </c>
      <c r="H18" s="353">
        <v>37.712000000000003</v>
      </c>
      <c r="I18" s="353">
        <v>268.36599999999999</v>
      </c>
      <c r="J18" s="353"/>
      <c r="K18" s="353"/>
      <c r="L18" s="353">
        <v>2437.6350000000002</v>
      </c>
      <c r="M18" s="80"/>
      <c r="N18" s="353">
        <v>2437.6350000000002</v>
      </c>
      <c r="O18" s="353"/>
      <c r="P18" s="353"/>
      <c r="Q18" s="353">
        <v>268.36599999999999</v>
      </c>
      <c r="R18" s="353">
        <v>37.712000000000003</v>
      </c>
      <c r="S18" s="353">
        <v>378.73</v>
      </c>
      <c r="T18" s="353">
        <v>387.26600000000002</v>
      </c>
      <c r="U18" s="353">
        <v>91.552000000000007</v>
      </c>
      <c r="V18" s="353">
        <v>1274.009</v>
      </c>
      <c r="W18" s="353">
        <v>2437.6350000000002</v>
      </c>
      <c r="X18" s="59" t="s">
        <v>233</v>
      </c>
      <c r="Y18" s="61" t="s">
        <v>245</v>
      </c>
      <c r="Z18" s="80">
        <f>S11-G15</f>
        <v>378.73</v>
      </c>
      <c r="AC18" s="210" t="s">
        <v>261</v>
      </c>
      <c r="AD18" s="97">
        <f>S52</f>
        <v>0</v>
      </c>
      <c r="AE18" s="17"/>
      <c r="AF18" s="97">
        <f>C52</f>
        <v>522.00400000000002</v>
      </c>
      <c r="AG18" s="97">
        <f>J52</f>
        <v>5.5430000000000001</v>
      </c>
      <c r="AH18" s="97">
        <f>-P52</f>
        <v>-2.1440000000000001</v>
      </c>
      <c r="AI18" s="208">
        <f>SUM(AF18:AH18)</f>
        <v>525.40300000000002</v>
      </c>
      <c r="AJ18" s="209">
        <f>AI18-AD18</f>
        <v>525.40300000000002</v>
      </c>
      <c r="AK18" s="298"/>
      <c r="AL18" s="210" t="s">
        <v>478</v>
      </c>
      <c r="AM18" s="97">
        <f t="shared" si="1"/>
        <v>0</v>
      </c>
      <c r="AN18" s="97">
        <f t="shared" si="2"/>
        <v>0</v>
      </c>
      <c r="AO18" s="290">
        <f>AF18</f>
        <v>522.00400000000002</v>
      </c>
      <c r="AP18" s="290">
        <f t="shared" si="18"/>
        <v>5.5430000000000001</v>
      </c>
      <c r="AQ18" s="290">
        <f t="shared" si="19"/>
        <v>-2.1440000000000001</v>
      </c>
      <c r="AR18" s="208">
        <f t="shared" si="16"/>
        <v>525.40300000000002</v>
      </c>
      <c r="AS18" s="286">
        <f>AR18-AM18</f>
        <v>525.40300000000002</v>
      </c>
      <c r="AT18" s="287" t="e">
        <f>#REF!/1000-AM18</f>
        <v>#REF!</v>
      </c>
      <c r="AU18" s="288"/>
      <c r="AW18">
        <f t="shared" si="3"/>
        <v>2437.6350000000002</v>
      </c>
      <c r="AX18">
        <f t="shared" si="4"/>
        <v>1274.009</v>
      </c>
      <c r="AY18">
        <f t="shared" si="5"/>
        <v>91.552000000000007</v>
      </c>
      <c r="AZ18">
        <f t="shared" si="6"/>
        <v>387.26600000000002</v>
      </c>
      <c r="BA18">
        <f t="shared" si="7"/>
        <v>378.73</v>
      </c>
      <c r="BB18">
        <f t="shared" si="8"/>
        <v>37.712000000000003</v>
      </c>
      <c r="BC18">
        <f t="shared" si="9"/>
        <v>268.36599999999999</v>
      </c>
      <c r="BD18">
        <f t="shared" si="10"/>
        <v>0</v>
      </c>
      <c r="BE18">
        <f t="shared" si="11"/>
        <v>0</v>
      </c>
      <c r="BF18">
        <f t="shared" si="12"/>
        <v>2437.6350000000002</v>
      </c>
      <c r="BG18" s="59" t="str">
        <f t="shared" si="13"/>
        <v>B1/PIB</v>
      </c>
      <c r="BH18" s="61" t="str">
        <f t="shared" si="14"/>
        <v>Valeur ajoutée brute/PIB</v>
      </c>
    </row>
    <row r="19" spans="1:60" ht="12.75" customHeight="1" x14ac:dyDescent="0.2">
      <c r="A19" s="2" t="s">
        <v>122</v>
      </c>
      <c r="B19" s="2" t="s">
        <v>123</v>
      </c>
      <c r="C19" s="353">
        <v>450.173</v>
      </c>
      <c r="D19" s="354">
        <v>257.59199999999998</v>
      </c>
      <c r="E19" s="354">
        <v>19.263999999999999</v>
      </c>
      <c r="F19" s="354">
        <v>80.113</v>
      </c>
      <c r="G19" s="354">
        <v>88.572999999999993</v>
      </c>
      <c r="H19" s="354">
        <v>4.6310000000000002</v>
      </c>
      <c r="I19" s="354"/>
      <c r="J19" s="354"/>
      <c r="K19" s="354"/>
      <c r="L19" s="353">
        <v>450.173</v>
      </c>
      <c r="M19" s="80"/>
      <c r="N19" s="353">
        <v>450.173</v>
      </c>
      <c r="O19" s="354">
        <v>450.173</v>
      </c>
      <c r="P19" s="354"/>
      <c r="Q19" s="354"/>
      <c r="R19" s="354"/>
      <c r="S19" s="354"/>
      <c r="T19" s="354"/>
      <c r="U19" s="354"/>
      <c r="V19" s="354"/>
      <c r="W19" s="353"/>
      <c r="X19" s="2" t="s">
        <v>122</v>
      </c>
      <c r="Y19" s="31" t="s">
        <v>123</v>
      </c>
      <c r="AC19" s="210" t="s">
        <v>262</v>
      </c>
      <c r="AD19" s="97">
        <f>-G48</f>
        <v>-248.94900000000001</v>
      </c>
      <c r="AE19" s="17"/>
      <c r="AF19" s="17"/>
      <c r="AG19" s="17"/>
      <c r="AH19" s="208"/>
      <c r="AI19" s="209"/>
      <c r="AJ19" s="17"/>
      <c r="AK19" s="298"/>
      <c r="AL19" s="210" t="s">
        <v>262</v>
      </c>
      <c r="AM19" s="97">
        <f t="shared" si="1"/>
        <v>-248.94900000000001</v>
      </c>
      <c r="AN19" s="97">
        <f t="shared" si="2"/>
        <v>0</v>
      </c>
      <c r="AO19" s="17"/>
      <c r="AP19" s="17"/>
      <c r="AQ19" s="208"/>
      <c r="AR19" s="286"/>
      <c r="AS19" s="17"/>
      <c r="AT19" s="287"/>
      <c r="AU19" s="288"/>
      <c r="AW19">
        <f t="shared" si="3"/>
        <v>0</v>
      </c>
      <c r="AX19">
        <f t="shared" si="4"/>
        <v>0</v>
      </c>
      <c r="AY19">
        <f t="shared" si="5"/>
        <v>0</v>
      </c>
      <c r="AZ19">
        <f t="shared" si="6"/>
        <v>0</v>
      </c>
      <c r="BA19">
        <f t="shared" si="7"/>
        <v>0</v>
      </c>
      <c r="BB19">
        <f t="shared" si="8"/>
        <v>0</v>
      </c>
      <c r="BC19">
        <f t="shared" si="9"/>
        <v>0</v>
      </c>
      <c r="BD19">
        <f t="shared" si="10"/>
        <v>0</v>
      </c>
      <c r="BE19">
        <f t="shared" si="11"/>
        <v>450.173</v>
      </c>
      <c r="BF19">
        <f t="shared" si="12"/>
        <v>450.173</v>
      </c>
      <c r="BG19" s="2" t="str">
        <f t="shared" si="13"/>
        <v>K1</v>
      </c>
      <c r="BH19" s="31" t="str">
        <f t="shared" si="14"/>
        <v>Consommation de capital fixe</v>
      </c>
    </row>
    <row r="20" spans="1:60" ht="12.75" customHeight="1" x14ac:dyDescent="0.2">
      <c r="A20" s="59" t="s">
        <v>223</v>
      </c>
      <c r="B20" s="59" t="s">
        <v>246</v>
      </c>
      <c r="C20" s="353">
        <v>1987.462</v>
      </c>
      <c r="D20" s="353">
        <v>1016.4160000000001</v>
      </c>
      <c r="E20" s="353">
        <v>72.287999999999997</v>
      </c>
      <c r="F20" s="353">
        <v>307.15300000000002</v>
      </c>
      <c r="G20" s="353">
        <v>290.15699999999998</v>
      </c>
      <c r="H20" s="353">
        <v>33.081000000000003</v>
      </c>
      <c r="I20" s="353">
        <v>268.36599999999999</v>
      </c>
      <c r="J20" s="353"/>
      <c r="K20" s="353"/>
      <c r="L20" s="353">
        <v>1987.462</v>
      </c>
      <c r="M20" s="80"/>
      <c r="N20" s="353">
        <v>1987.462</v>
      </c>
      <c r="O20" s="353"/>
      <c r="P20" s="353"/>
      <c r="Q20" s="353">
        <v>268.36599999999999</v>
      </c>
      <c r="R20" s="353">
        <v>33.081000000000003</v>
      </c>
      <c r="S20" s="353">
        <v>290.15699999999998</v>
      </c>
      <c r="T20" s="353">
        <v>307.15300000000002</v>
      </c>
      <c r="U20" s="353">
        <v>72.287999999999997</v>
      </c>
      <c r="V20" s="353">
        <v>1016.4160000000001</v>
      </c>
      <c r="W20" s="353">
        <v>1987.462</v>
      </c>
      <c r="X20" s="59" t="s">
        <v>223</v>
      </c>
      <c r="Y20" s="61" t="s">
        <v>246</v>
      </c>
      <c r="Z20" s="80">
        <f>G18-G19</f>
        <v>290.15700000000004</v>
      </c>
      <c r="AC20" s="216" t="s">
        <v>475</v>
      </c>
      <c r="AE20" s="2">
        <f>-CpteMenage_t_7401!BH58</f>
        <v>-140.011</v>
      </c>
      <c r="AK20" s="298"/>
      <c r="AL20" s="216" t="s">
        <v>475</v>
      </c>
      <c r="AM20" s="97">
        <f t="shared" si="1"/>
        <v>0</v>
      </c>
      <c r="AN20" s="97">
        <f t="shared" si="2"/>
        <v>-140.011</v>
      </c>
      <c r="AT20" s="287"/>
      <c r="AU20" s="288"/>
      <c r="AW20">
        <f t="shared" si="3"/>
        <v>1987.462</v>
      </c>
      <c r="AX20">
        <f t="shared" si="4"/>
        <v>1016.4160000000001</v>
      </c>
      <c r="AY20">
        <f t="shared" si="5"/>
        <v>72.287999999999997</v>
      </c>
      <c r="AZ20">
        <f t="shared" si="6"/>
        <v>307.15300000000002</v>
      </c>
      <c r="BA20">
        <f t="shared" si="7"/>
        <v>290.15699999999998</v>
      </c>
      <c r="BB20">
        <f t="shared" si="8"/>
        <v>33.081000000000003</v>
      </c>
      <c r="BC20">
        <f t="shared" si="9"/>
        <v>268.36599999999999</v>
      </c>
      <c r="BD20">
        <f t="shared" si="10"/>
        <v>0</v>
      </c>
      <c r="BE20">
        <f t="shared" si="11"/>
        <v>0</v>
      </c>
      <c r="BF20">
        <f t="shared" si="12"/>
        <v>1987.462</v>
      </c>
      <c r="BG20" s="59" t="str">
        <f t="shared" si="13"/>
        <v>B1n/PIN</v>
      </c>
      <c r="BH20" s="61" t="str">
        <f t="shared" si="14"/>
        <v>Valeur ajoutée nette/PIN</v>
      </c>
    </row>
    <row r="21" spans="1:60" ht="12.75" customHeight="1" x14ac:dyDescent="0.2">
      <c r="A21" s="65" t="s">
        <v>27</v>
      </c>
      <c r="B21" s="65" t="s">
        <v>28</v>
      </c>
      <c r="C21" s="353"/>
      <c r="D21" s="353"/>
      <c r="E21" s="353"/>
      <c r="F21" s="353"/>
      <c r="G21" s="353"/>
      <c r="H21" s="353"/>
      <c r="I21" s="353"/>
      <c r="J21" s="353">
        <v>23.337</v>
      </c>
      <c r="K21" s="353"/>
      <c r="L21" s="353">
        <v>23.337</v>
      </c>
      <c r="M21" s="80"/>
      <c r="N21" s="353">
        <v>23.337</v>
      </c>
      <c r="O21" s="353"/>
      <c r="P21" s="353">
        <v>23.337</v>
      </c>
      <c r="Q21" s="353"/>
      <c r="R21" s="353"/>
      <c r="S21" s="353"/>
      <c r="T21" s="353"/>
      <c r="U21" s="353"/>
      <c r="V21" s="353"/>
      <c r="W21" s="353"/>
      <c r="X21" s="65" t="s">
        <v>27</v>
      </c>
      <c r="Y21" s="66" t="s">
        <v>28</v>
      </c>
      <c r="AC21" s="216" t="s">
        <v>476</v>
      </c>
      <c r="AE21" s="2">
        <f>-CpteMenage_t_7401!BH59</f>
        <v>-17.526</v>
      </c>
      <c r="AK21" s="298"/>
      <c r="AL21" s="216" t="s">
        <v>476</v>
      </c>
      <c r="AM21" s="97">
        <f t="shared" si="1"/>
        <v>0</v>
      </c>
      <c r="AN21" s="97">
        <f t="shared" si="2"/>
        <v>-17.526</v>
      </c>
      <c r="AT21" s="287"/>
      <c r="AU21" s="288"/>
      <c r="AW21">
        <f t="shared" si="3"/>
        <v>0</v>
      </c>
      <c r="AX21">
        <f t="shared" si="4"/>
        <v>0</v>
      </c>
      <c r="AY21">
        <f t="shared" si="5"/>
        <v>0</v>
      </c>
      <c r="AZ21">
        <f t="shared" si="6"/>
        <v>0</v>
      </c>
      <c r="BA21">
        <f t="shared" si="7"/>
        <v>0</v>
      </c>
      <c r="BB21">
        <f t="shared" si="8"/>
        <v>0</v>
      </c>
      <c r="BC21">
        <f t="shared" si="9"/>
        <v>0</v>
      </c>
      <c r="BD21">
        <f t="shared" si="10"/>
        <v>23.337</v>
      </c>
      <c r="BE21">
        <f t="shared" si="11"/>
        <v>0</v>
      </c>
      <c r="BF21">
        <f t="shared" si="12"/>
        <v>23.337</v>
      </c>
      <c r="BG21" s="65" t="str">
        <f t="shared" si="13"/>
        <v>B11</v>
      </c>
      <c r="BH21" s="66" t="str">
        <f t="shared" si="14"/>
        <v>Solde extérieur de biens et services</v>
      </c>
    </row>
    <row r="22" spans="1:60" ht="12.75" customHeight="1" x14ac:dyDescent="0.2">
      <c r="A22" s="17" t="s">
        <v>29</v>
      </c>
      <c r="B22" s="1"/>
      <c r="C22" s="353"/>
      <c r="D22" s="354"/>
      <c r="E22" s="354"/>
      <c r="F22" s="354"/>
      <c r="G22" s="354"/>
      <c r="H22" s="354"/>
      <c r="I22" s="354"/>
      <c r="J22" s="354"/>
      <c r="K22" s="353"/>
      <c r="L22" s="353"/>
      <c r="M22" s="80"/>
      <c r="N22" s="67"/>
      <c r="O22" s="78"/>
      <c r="P22" s="68"/>
      <c r="Q22" s="68"/>
      <c r="R22" s="68"/>
      <c r="S22" s="68"/>
      <c r="T22" s="68"/>
      <c r="U22" s="68"/>
      <c r="V22" s="68"/>
      <c r="W22" s="67"/>
      <c r="X22" s="16" t="s">
        <v>46</v>
      </c>
      <c r="Y22" s="2"/>
      <c r="AE22" s="80"/>
      <c r="AK22" s="298"/>
      <c r="AN22" s="80"/>
      <c r="AO22" s="80"/>
      <c r="AT22" s="287"/>
      <c r="AU22" s="288"/>
      <c r="AW22">
        <f t="shared" si="3"/>
        <v>0</v>
      </c>
      <c r="AX22">
        <f t="shared" si="4"/>
        <v>0</v>
      </c>
      <c r="AY22">
        <f t="shared" si="5"/>
        <v>0</v>
      </c>
      <c r="AZ22">
        <f t="shared" si="6"/>
        <v>0</v>
      </c>
      <c r="BA22">
        <f t="shared" si="7"/>
        <v>0</v>
      </c>
      <c r="BB22">
        <f t="shared" si="8"/>
        <v>0</v>
      </c>
      <c r="BC22">
        <f t="shared" si="9"/>
        <v>0</v>
      </c>
      <c r="BD22">
        <f t="shared" si="10"/>
        <v>0</v>
      </c>
      <c r="BE22">
        <f t="shared" si="11"/>
        <v>0</v>
      </c>
      <c r="BF22">
        <f t="shared" si="12"/>
        <v>0</v>
      </c>
      <c r="BG22" s="16" t="str">
        <f t="shared" si="13"/>
        <v>Compte d'affectation des revenus primaires</v>
      </c>
      <c r="BH22" s="2">
        <f t="shared" si="14"/>
        <v>0</v>
      </c>
    </row>
    <row r="23" spans="1:60" ht="12.75" customHeight="1" x14ac:dyDescent="0.2">
      <c r="A23" s="2" t="s">
        <v>30</v>
      </c>
      <c r="B23" s="2" t="s">
        <v>31</v>
      </c>
      <c r="C23" s="353">
        <v>1242.8710000000001</v>
      </c>
      <c r="D23" s="354">
        <v>813.85699999999997</v>
      </c>
      <c r="E23" s="354">
        <v>56.366</v>
      </c>
      <c r="F23" s="354">
        <v>297.32</v>
      </c>
      <c r="G23" s="354">
        <v>42.359000000000002</v>
      </c>
      <c r="H23" s="354">
        <v>32.969000000000001</v>
      </c>
      <c r="I23" s="354"/>
      <c r="J23" s="354">
        <v>23.146999999999998</v>
      </c>
      <c r="K23" s="354"/>
      <c r="L23" s="353">
        <v>1266.018</v>
      </c>
      <c r="M23" s="80"/>
      <c r="N23" s="353">
        <v>1266.0170000000001</v>
      </c>
      <c r="O23" s="354"/>
      <c r="P23" s="354">
        <v>1.5580000000000001</v>
      </c>
      <c r="Q23" s="354"/>
      <c r="R23" s="354"/>
      <c r="S23" s="354">
        <v>1264.4590000000001</v>
      </c>
      <c r="T23" s="354"/>
      <c r="U23" s="354"/>
      <c r="V23" s="354"/>
      <c r="W23" s="353">
        <v>1264.4590000000001</v>
      </c>
      <c r="X23" s="2" t="s">
        <v>30</v>
      </c>
      <c r="Y23" s="31" t="s">
        <v>31</v>
      </c>
      <c r="Z23" s="80">
        <f>C23+J23-P23</f>
        <v>1264.46</v>
      </c>
      <c r="AA23" s="95">
        <f>S24+S25</f>
        <v>1264.4590000000001</v>
      </c>
      <c r="AB23" s="95"/>
      <c r="AC23" s="17"/>
      <c r="AK23" s="298"/>
      <c r="AT23" s="287"/>
      <c r="AU23" s="288"/>
      <c r="AW23">
        <f t="shared" si="3"/>
        <v>1264.4590000000001</v>
      </c>
      <c r="AX23">
        <f t="shared" si="4"/>
        <v>0</v>
      </c>
      <c r="AY23">
        <f t="shared" si="5"/>
        <v>0</v>
      </c>
      <c r="AZ23">
        <f t="shared" si="6"/>
        <v>0</v>
      </c>
      <c r="BA23">
        <f t="shared" si="7"/>
        <v>1264.4590000000001</v>
      </c>
      <c r="BB23">
        <f t="shared" si="8"/>
        <v>0</v>
      </c>
      <c r="BC23">
        <f t="shared" si="9"/>
        <v>0</v>
      </c>
      <c r="BD23">
        <f t="shared" si="10"/>
        <v>1.5580000000000001</v>
      </c>
      <c r="BE23">
        <f t="shared" si="11"/>
        <v>0</v>
      </c>
      <c r="BF23">
        <f t="shared" si="12"/>
        <v>1266.0170000000001</v>
      </c>
      <c r="BG23" s="2" t="str">
        <f t="shared" si="13"/>
        <v>D1</v>
      </c>
      <c r="BH23" s="31" t="str">
        <f t="shared" si="14"/>
        <v>Rémunération des salariés</v>
      </c>
    </row>
    <row r="24" spans="1:60" ht="12.75" customHeight="1" x14ac:dyDescent="0.2">
      <c r="A24" s="2" t="s">
        <v>32</v>
      </c>
      <c r="B24" s="2" t="s">
        <v>183</v>
      </c>
      <c r="C24" s="353">
        <v>931.77</v>
      </c>
      <c r="D24" s="354">
        <v>634.35500000000002</v>
      </c>
      <c r="E24" s="354">
        <v>41.076999999999998</v>
      </c>
      <c r="F24" s="354">
        <v>199.375</v>
      </c>
      <c r="G24" s="354">
        <v>32.256999999999998</v>
      </c>
      <c r="H24" s="354">
        <v>24.706</v>
      </c>
      <c r="I24" s="354"/>
      <c r="J24" s="354">
        <v>17.547999999999998</v>
      </c>
      <c r="K24" s="354"/>
      <c r="L24" s="353">
        <v>949.31799999999998</v>
      </c>
      <c r="M24" s="80"/>
      <c r="N24" s="353">
        <v>949.31799999999998</v>
      </c>
      <c r="O24" s="354"/>
      <c r="P24" s="354">
        <v>1.4670000000000001</v>
      </c>
      <c r="Q24" s="354"/>
      <c r="R24" s="354"/>
      <c r="S24" s="354">
        <v>947.851</v>
      </c>
      <c r="T24" s="354"/>
      <c r="U24" s="354"/>
      <c r="V24" s="354"/>
      <c r="W24" s="353">
        <v>947.851</v>
      </c>
      <c r="X24" s="2" t="s">
        <v>32</v>
      </c>
      <c r="Y24" s="31" t="s">
        <v>183</v>
      </c>
      <c r="AC24" s="17"/>
      <c r="AK24" s="298"/>
      <c r="AT24" s="287"/>
      <c r="AU24" s="288"/>
      <c r="AW24">
        <f t="shared" si="3"/>
        <v>947.851</v>
      </c>
      <c r="AX24">
        <f t="shared" si="4"/>
        <v>0</v>
      </c>
      <c r="AY24">
        <f t="shared" si="5"/>
        <v>0</v>
      </c>
      <c r="AZ24">
        <f t="shared" si="6"/>
        <v>0</v>
      </c>
      <c r="BA24">
        <f t="shared" si="7"/>
        <v>947.851</v>
      </c>
      <c r="BB24">
        <f t="shared" si="8"/>
        <v>0</v>
      </c>
      <c r="BC24">
        <f t="shared" si="9"/>
        <v>0</v>
      </c>
      <c r="BD24">
        <f t="shared" si="10"/>
        <v>1.4670000000000001</v>
      </c>
      <c r="BE24">
        <f t="shared" si="11"/>
        <v>0</v>
      </c>
      <c r="BF24">
        <f t="shared" si="12"/>
        <v>949.31799999999998</v>
      </c>
      <c r="BG24" s="2" t="str">
        <f t="shared" si="13"/>
        <v>D11</v>
      </c>
      <c r="BH24" s="31" t="str">
        <f t="shared" si="14"/>
        <v xml:space="preserve">  Salaires et traitements</v>
      </c>
    </row>
    <row r="25" spans="1:60" ht="12.75" customHeight="1" x14ac:dyDescent="0.2">
      <c r="A25" s="2" t="s">
        <v>33</v>
      </c>
      <c r="B25" s="2" t="s">
        <v>182</v>
      </c>
      <c r="C25" s="353">
        <v>311.101</v>
      </c>
      <c r="D25" s="354">
        <v>179.50200000000001</v>
      </c>
      <c r="E25" s="354">
        <v>15.289</v>
      </c>
      <c r="F25" s="354">
        <v>97.944999999999993</v>
      </c>
      <c r="G25" s="354">
        <v>10.102</v>
      </c>
      <c r="H25" s="354">
        <v>8.2629999999999999</v>
      </c>
      <c r="I25" s="354"/>
      <c r="J25" s="354">
        <v>5.5990000000000002</v>
      </c>
      <c r="K25" s="354"/>
      <c r="L25" s="353">
        <v>316.7</v>
      </c>
      <c r="M25" s="80"/>
      <c r="N25" s="353">
        <v>316.69900000000001</v>
      </c>
      <c r="O25" s="354"/>
      <c r="P25" s="354">
        <v>9.0999999999999998E-2</v>
      </c>
      <c r="Q25" s="354"/>
      <c r="R25" s="354"/>
      <c r="S25" s="354">
        <v>316.608</v>
      </c>
      <c r="T25" s="354"/>
      <c r="U25" s="354"/>
      <c r="V25" s="354"/>
      <c r="W25" s="353">
        <v>316.608</v>
      </c>
      <c r="X25" s="2" t="s">
        <v>33</v>
      </c>
      <c r="Y25" s="31" t="s">
        <v>182</v>
      </c>
      <c r="AK25" s="298"/>
      <c r="AL25" s="17" t="s">
        <v>536</v>
      </c>
      <c r="AM25" s="80">
        <f>SUM(AM3:AM18)</f>
        <v>1653.3620000000001</v>
      </c>
      <c r="AT25" s="287"/>
      <c r="AU25" s="288"/>
      <c r="AW25">
        <f t="shared" si="3"/>
        <v>316.608</v>
      </c>
      <c r="AX25">
        <f t="shared" si="4"/>
        <v>0</v>
      </c>
      <c r="AY25">
        <f t="shared" si="5"/>
        <v>0</v>
      </c>
      <c r="AZ25">
        <f t="shared" si="6"/>
        <v>0</v>
      </c>
      <c r="BA25">
        <f t="shared" si="7"/>
        <v>316.608</v>
      </c>
      <c r="BB25">
        <f t="shared" si="8"/>
        <v>0</v>
      </c>
      <c r="BC25">
        <f t="shared" si="9"/>
        <v>0</v>
      </c>
      <c r="BD25">
        <f t="shared" si="10"/>
        <v>9.0999999999999998E-2</v>
      </c>
      <c r="BE25">
        <f t="shared" si="11"/>
        <v>0</v>
      </c>
      <c r="BF25">
        <f t="shared" si="12"/>
        <v>316.69900000000001</v>
      </c>
      <c r="BG25" s="2" t="str">
        <f t="shared" si="13"/>
        <v>D12</v>
      </c>
      <c r="BH25" s="31" t="str">
        <f t="shared" si="14"/>
        <v xml:space="preserve">  Cotisations sociales employeurs</v>
      </c>
    </row>
    <row r="26" spans="1:60" ht="12.75" customHeight="1" x14ac:dyDescent="0.2">
      <c r="A26" s="2" t="s">
        <v>34</v>
      </c>
      <c r="B26" s="2" t="s">
        <v>35</v>
      </c>
      <c r="C26" s="353">
        <v>411.66</v>
      </c>
      <c r="D26" s="354">
        <v>74.015000000000001</v>
      </c>
      <c r="E26" s="354">
        <v>11.548999999999999</v>
      </c>
      <c r="F26" s="354">
        <v>11.113</v>
      </c>
      <c r="G26" s="354">
        <v>21.824000000000002</v>
      </c>
      <c r="H26" s="354">
        <v>1.282</v>
      </c>
      <c r="I26" s="354">
        <v>291.87700000000001</v>
      </c>
      <c r="J26" s="354"/>
      <c r="K26" s="354"/>
      <c r="L26" s="353">
        <v>411.66</v>
      </c>
      <c r="M26" s="80"/>
      <c r="N26" s="353">
        <v>411.66</v>
      </c>
      <c r="O26" s="354"/>
      <c r="P26" s="354">
        <v>4.6109999999999998</v>
      </c>
      <c r="Q26" s="354"/>
      <c r="R26" s="354"/>
      <c r="S26" s="354"/>
      <c r="T26" s="354">
        <v>407.04899999999998</v>
      </c>
      <c r="U26" s="354"/>
      <c r="V26" s="354"/>
      <c r="W26" s="353">
        <v>407.04899999999998</v>
      </c>
      <c r="X26" s="2" t="s">
        <v>34</v>
      </c>
      <c r="Y26" s="31" t="s">
        <v>35</v>
      </c>
      <c r="AC26" s="17" t="s">
        <v>479</v>
      </c>
      <c r="AD26" s="80">
        <f>AD2-SUM(AD19,AG12)</f>
        <v>1744.856</v>
      </c>
      <c r="AE26" s="80">
        <f>SUM(AE4,AD10,AE8:AE9,AF12,AD17:AD18)</f>
        <v>1695.8609999999999</v>
      </c>
      <c r="AF26" s="90">
        <f>AD26-AE26</f>
        <v>48.995000000000118</v>
      </c>
      <c r="AK26" s="298"/>
      <c r="AL26" s="291" t="s">
        <v>479</v>
      </c>
      <c r="AM26" s="292">
        <f>AM2-SUM(AM19,AP12)</f>
        <v>1744.856</v>
      </c>
      <c r="AN26" s="292">
        <f>SUM(AN4,AM10,AN8:AN9,AO12,AM17:AM18)</f>
        <v>1695.8609999999999</v>
      </c>
      <c r="AO26" s="293">
        <f>AM26-AN26</f>
        <v>48.995000000000118</v>
      </c>
      <c r="AT26" s="287"/>
      <c r="AU26" s="288"/>
      <c r="AW26">
        <f t="shared" si="3"/>
        <v>407.04899999999998</v>
      </c>
      <c r="AX26">
        <f t="shared" si="4"/>
        <v>0</v>
      </c>
      <c r="AY26">
        <f t="shared" si="5"/>
        <v>0</v>
      </c>
      <c r="AZ26">
        <f t="shared" si="6"/>
        <v>407.04899999999998</v>
      </c>
      <c r="BA26">
        <f t="shared" si="7"/>
        <v>0</v>
      </c>
      <c r="BB26">
        <f t="shared" si="8"/>
        <v>0</v>
      </c>
      <c r="BC26">
        <f t="shared" si="9"/>
        <v>0</v>
      </c>
      <c r="BD26">
        <f t="shared" si="10"/>
        <v>4.6109999999999998</v>
      </c>
      <c r="BE26">
        <f t="shared" si="11"/>
        <v>0</v>
      </c>
      <c r="BF26">
        <f t="shared" si="12"/>
        <v>411.66</v>
      </c>
      <c r="BG26" s="2" t="str">
        <f t="shared" si="13"/>
        <v>D2</v>
      </c>
      <c r="BH26" s="31" t="str">
        <f t="shared" si="14"/>
        <v>Impôts sur la production et les importations</v>
      </c>
    </row>
    <row r="27" spans="1:60" ht="12.75" customHeight="1" x14ac:dyDescent="0.2">
      <c r="A27" s="2" t="s">
        <v>36</v>
      </c>
      <c r="B27" s="2" t="s">
        <v>184</v>
      </c>
      <c r="C27" s="353">
        <v>291.87700000000001</v>
      </c>
      <c r="D27" s="354"/>
      <c r="E27" s="354"/>
      <c r="F27" s="354"/>
      <c r="G27" s="354"/>
      <c r="H27" s="354"/>
      <c r="I27" s="354">
        <v>291.87700000000001</v>
      </c>
      <c r="J27" s="354"/>
      <c r="K27" s="354"/>
      <c r="L27" s="353">
        <v>291.87700000000001</v>
      </c>
      <c r="M27" s="80"/>
      <c r="N27" s="353">
        <v>291.87700000000001</v>
      </c>
      <c r="O27" s="354"/>
      <c r="P27" s="354">
        <v>2.1920000000000002</v>
      </c>
      <c r="Q27" s="354"/>
      <c r="R27" s="354"/>
      <c r="S27" s="354"/>
      <c r="T27" s="354">
        <v>289.685</v>
      </c>
      <c r="U27" s="354"/>
      <c r="V27" s="354"/>
      <c r="W27" s="353">
        <v>289.685</v>
      </c>
      <c r="X27" s="2" t="s">
        <v>36</v>
      </c>
      <c r="Y27" s="31" t="s">
        <v>184</v>
      </c>
      <c r="AD27" s="80"/>
      <c r="AE27" s="80"/>
      <c r="AK27" s="298"/>
      <c r="AM27" s="80"/>
      <c r="AN27" s="80"/>
      <c r="AT27" s="287"/>
      <c r="AU27" s="288"/>
      <c r="AW27">
        <f t="shared" si="3"/>
        <v>289.685</v>
      </c>
      <c r="AX27">
        <f t="shared" si="4"/>
        <v>0</v>
      </c>
      <c r="AY27">
        <f t="shared" si="5"/>
        <v>0</v>
      </c>
      <c r="AZ27">
        <f t="shared" si="6"/>
        <v>289.685</v>
      </c>
      <c r="BA27">
        <f t="shared" si="7"/>
        <v>0</v>
      </c>
      <c r="BB27">
        <f t="shared" si="8"/>
        <v>0</v>
      </c>
      <c r="BC27">
        <f t="shared" si="9"/>
        <v>0</v>
      </c>
      <c r="BD27">
        <f t="shared" si="10"/>
        <v>2.1920000000000002</v>
      </c>
      <c r="BE27">
        <f t="shared" si="11"/>
        <v>0</v>
      </c>
      <c r="BF27">
        <f t="shared" si="12"/>
        <v>291.87700000000001</v>
      </c>
      <c r="BG27" s="2" t="str">
        <f t="shared" si="13"/>
        <v>D21</v>
      </c>
      <c r="BH27" s="31" t="str">
        <f t="shared" si="14"/>
        <v xml:space="preserve">  Impôts sur les produits</v>
      </c>
    </row>
    <row r="28" spans="1:60" ht="12.75" customHeight="1" x14ac:dyDescent="0.2">
      <c r="A28" s="2" t="s">
        <v>37</v>
      </c>
      <c r="B28" s="2" t="s">
        <v>185</v>
      </c>
      <c r="C28" s="353">
        <v>119.783</v>
      </c>
      <c r="D28" s="354">
        <v>74.015000000000001</v>
      </c>
      <c r="E28" s="354">
        <v>11.548999999999999</v>
      </c>
      <c r="F28" s="354">
        <v>11.113</v>
      </c>
      <c r="G28" s="354">
        <v>21.824000000000002</v>
      </c>
      <c r="H28" s="354">
        <v>1.282</v>
      </c>
      <c r="I28" s="354"/>
      <c r="J28" s="354"/>
      <c r="K28" s="354"/>
      <c r="L28" s="353">
        <v>119.783</v>
      </c>
      <c r="M28" s="80"/>
      <c r="N28" s="353">
        <v>119.783</v>
      </c>
      <c r="O28" s="354"/>
      <c r="P28" s="354">
        <v>2.419</v>
      </c>
      <c r="Q28" s="354"/>
      <c r="R28" s="354"/>
      <c r="S28" s="354"/>
      <c r="T28" s="354">
        <v>117.364</v>
      </c>
      <c r="U28" s="354"/>
      <c r="V28" s="354"/>
      <c r="W28" s="353">
        <v>117.364</v>
      </c>
      <c r="X28" s="2" t="s">
        <v>37</v>
      </c>
      <c r="Y28" s="31" t="s">
        <v>185</v>
      </c>
      <c r="AK28" s="298"/>
      <c r="AT28" s="287"/>
      <c r="AU28" s="288"/>
      <c r="AW28">
        <f t="shared" si="3"/>
        <v>117.364</v>
      </c>
      <c r="AX28">
        <f t="shared" si="4"/>
        <v>0</v>
      </c>
      <c r="AY28">
        <f t="shared" si="5"/>
        <v>0</v>
      </c>
      <c r="AZ28">
        <f t="shared" si="6"/>
        <v>117.364</v>
      </c>
      <c r="BA28">
        <f t="shared" si="7"/>
        <v>0</v>
      </c>
      <c r="BB28">
        <f t="shared" si="8"/>
        <v>0</v>
      </c>
      <c r="BC28">
        <f t="shared" si="9"/>
        <v>0</v>
      </c>
      <c r="BD28">
        <f t="shared" si="10"/>
        <v>2.419</v>
      </c>
      <c r="BE28">
        <f t="shared" si="11"/>
        <v>0</v>
      </c>
      <c r="BF28">
        <f t="shared" si="12"/>
        <v>119.783</v>
      </c>
      <c r="BG28" s="2" t="str">
        <f t="shared" si="13"/>
        <v>D29</v>
      </c>
      <c r="BH28" s="31" t="str">
        <f t="shared" si="14"/>
        <v xml:space="preserve">  Impôts sur la production</v>
      </c>
    </row>
    <row r="29" spans="1:60" ht="12.75" customHeight="1" x14ac:dyDescent="0.2">
      <c r="A29" s="2" t="s">
        <v>38</v>
      </c>
      <c r="B29" s="2" t="s">
        <v>39</v>
      </c>
      <c r="C29" s="353">
        <v>-75.052999999999997</v>
      </c>
      <c r="D29" s="354">
        <v>-38.264000000000003</v>
      </c>
      <c r="E29" s="354">
        <v>-1.298</v>
      </c>
      <c r="F29" s="354">
        <v>-2.9860000000000002</v>
      </c>
      <c r="G29" s="354">
        <v>-7.8810000000000002</v>
      </c>
      <c r="H29" s="354">
        <v>-1.113</v>
      </c>
      <c r="I29" s="354">
        <v>-23.510999999999999</v>
      </c>
      <c r="J29" s="354"/>
      <c r="K29" s="354"/>
      <c r="L29" s="353">
        <v>-75.052999999999997</v>
      </c>
      <c r="M29" s="80"/>
      <c r="N29" s="353">
        <v>-75.052999999999997</v>
      </c>
      <c r="O29" s="354"/>
      <c r="P29" s="354">
        <v>-8.1790000000000003</v>
      </c>
      <c r="Q29" s="354"/>
      <c r="R29" s="354"/>
      <c r="S29" s="354"/>
      <c r="T29" s="354">
        <v>-66.873999999999995</v>
      </c>
      <c r="U29" s="354"/>
      <c r="V29" s="354"/>
      <c r="W29" s="353">
        <v>-66.873999999999995</v>
      </c>
      <c r="X29" s="2" t="s">
        <v>38</v>
      </c>
      <c r="Y29" s="31" t="s">
        <v>39</v>
      </c>
      <c r="AC29" s="91" t="s">
        <v>266</v>
      </c>
      <c r="AE29">
        <f>AE5/AE4</f>
        <v>0.33402718359742195</v>
      </c>
      <c r="AF29">
        <f>AF5/AF4</f>
        <v>0.33388175193449027</v>
      </c>
      <c r="AG29">
        <f>AG5/AG4</f>
        <v>0.31906770002279466</v>
      </c>
      <c r="AH29">
        <f>AH5/AH4</f>
        <v>6.203135650988411E-2</v>
      </c>
      <c r="AK29" s="298"/>
      <c r="AL29" s="91" t="s">
        <v>266</v>
      </c>
      <c r="AN29">
        <f>AN5/AN4</f>
        <v>0.33402718359742195</v>
      </c>
      <c r="AO29">
        <f>AO5/AO4</f>
        <v>0.35678986026342602</v>
      </c>
      <c r="AP29">
        <f>AP5/AP4</f>
        <v>0.27204475233872555</v>
      </c>
      <c r="AQ29">
        <f>AQ5/AQ4</f>
        <v>6.203135650988411E-2</v>
      </c>
      <c r="AT29" s="287"/>
      <c r="AU29" s="288"/>
      <c r="AW29">
        <f t="shared" si="3"/>
        <v>-66.873999999999995</v>
      </c>
      <c r="AX29">
        <f t="shared" si="4"/>
        <v>0</v>
      </c>
      <c r="AY29">
        <f t="shared" si="5"/>
        <v>0</v>
      </c>
      <c r="AZ29">
        <f t="shared" si="6"/>
        <v>-66.873999999999995</v>
      </c>
      <c r="BA29">
        <f t="shared" si="7"/>
        <v>0</v>
      </c>
      <c r="BB29">
        <f t="shared" si="8"/>
        <v>0</v>
      </c>
      <c r="BC29">
        <f t="shared" si="9"/>
        <v>0</v>
      </c>
      <c r="BD29">
        <f t="shared" si="10"/>
        <v>-8.1790000000000003</v>
      </c>
      <c r="BE29">
        <f t="shared" si="11"/>
        <v>0</v>
      </c>
      <c r="BF29">
        <f t="shared" si="12"/>
        <v>-75.052999999999997</v>
      </c>
      <c r="BG29" s="2" t="str">
        <f t="shared" si="13"/>
        <v>D3</v>
      </c>
      <c r="BH29" s="31" t="str">
        <f t="shared" si="14"/>
        <v>Subventions</v>
      </c>
    </row>
    <row r="30" spans="1:60" ht="12.75" customHeight="1" x14ac:dyDescent="0.2">
      <c r="A30" s="2" t="s">
        <v>40</v>
      </c>
      <c r="B30" s="2" t="s">
        <v>186</v>
      </c>
      <c r="C30" s="353">
        <v>-23.510999999999999</v>
      </c>
      <c r="D30" s="354"/>
      <c r="E30" s="354"/>
      <c r="F30" s="354"/>
      <c r="G30" s="354"/>
      <c r="H30" s="354"/>
      <c r="I30" s="354">
        <v>-23.510999999999999</v>
      </c>
      <c r="J30" s="354"/>
      <c r="K30" s="354"/>
      <c r="L30" s="353">
        <v>-23.510999999999999</v>
      </c>
      <c r="M30" s="80"/>
      <c r="N30" s="353">
        <v>-23.510999999999999</v>
      </c>
      <c r="O30" s="354"/>
      <c r="P30" s="354">
        <v>-1.2310000000000001</v>
      </c>
      <c r="Q30" s="354"/>
      <c r="R30" s="354"/>
      <c r="S30" s="354"/>
      <c r="T30" s="354">
        <v>-22.28</v>
      </c>
      <c r="U30" s="354"/>
      <c r="V30" s="354"/>
      <c r="W30" s="353">
        <v>-22.28</v>
      </c>
      <c r="X30" s="2" t="s">
        <v>40</v>
      </c>
      <c r="Y30" s="31" t="s">
        <v>186</v>
      </c>
      <c r="AC30" s="91" t="s">
        <v>263</v>
      </c>
      <c r="AE30">
        <f>-AE8/AE4</f>
        <v>0.10289275424090917</v>
      </c>
      <c r="AF30">
        <f>AE30</f>
        <v>0.10289275424090917</v>
      </c>
      <c r="AG30">
        <f>AF30</f>
        <v>0.10289275424090917</v>
      </c>
      <c r="AH30">
        <f>AG30</f>
        <v>0.10289275424090917</v>
      </c>
      <c r="AI30" s="93"/>
      <c r="AK30" s="298"/>
      <c r="AL30" s="91" t="s">
        <v>263</v>
      </c>
      <c r="AN30">
        <f>-AN8/AN4</f>
        <v>0.10289275424090917</v>
      </c>
      <c r="AO30">
        <f>AN30</f>
        <v>0.10289275424090917</v>
      </c>
      <c r="AP30">
        <f>AO30</f>
        <v>0.10289275424090917</v>
      </c>
      <c r="AQ30">
        <f>AP30</f>
        <v>0.10289275424090917</v>
      </c>
      <c r="AT30" s="287"/>
      <c r="AU30" s="288"/>
      <c r="AW30">
        <f t="shared" si="3"/>
        <v>-22.28</v>
      </c>
      <c r="AX30">
        <f t="shared" si="4"/>
        <v>0</v>
      </c>
      <c r="AY30">
        <f t="shared" si="5"/>
        <v>0</v>
      </c>
      <c r="AZ30">
        <f t="shared" si="6"/>
        <v>-22.28</v>
      </c>
      <c r="BA30">
        <f t="shared" si="7"/>
        <v>0</v>
      </c>
      <c r="BB30">
        <f t="shared" si="8"/>
        <v>0</v>
      </c>
      <c r="BC30">
        <f t="shared" si="9"/>
        <v>0</v>
      </c>
      <c r="BD30">
        <f t="shared" si="10"/>
        <v>-1.2310000000000001</v>
      </c>
      <c r="BE30">
        <f t="shared" si="11"/>
        <v>0</v>
      </c>
      <c r="BF30">
        <f t="shared" si="12"/>
        <v>-23.510999999999999</v>
      </c>
      <c r="BG30" s="2" t="str">
        <f t="shared" si="13"/>
        <v>D31</v>
      </c>
      <c r="BH30" s="31" t="str">
        <f t="shared" si="14"/>
        <v xml:space="preserve">  Subventions sur les produits</v>
      </c>
    </row>
    <row r="31" spans="1:60" ht="12.75" customHeight="1" x14ac:dyDescent="0.2">
      <c r="A31" s="2" t="s">
        <v>41</v>
      </c>
      <c r="B31" s="2" t="s">
        <v>187</v>
      </c>
      <c r="C31" s="353">
        <v>-51.542000000000002</v>
      </c>
      <c r="D31" s="354">
        <v>-38.264000000000003</v>
      </c>
      <c r="E31" s="354">
        <v>-1.298</v>
      </c>
      <c r="F31" s="354">
        <v>-2.9860000000000002</v>
      </c>
      <c r="G31" s="354">
        <v>-7.8810000000000002</v>
      </c>
      <c r="H31" s="354">
        <v>-1.113</v>
      </c>
      <c r="I31" s="354"/>
      <c r="J31" s="354"/>
      <c r="K31" s="354"/>
      <c r="L31" s="353">
        <v>-51.542000000000002</v>
      </c>
      <c r="M31" s="80"/>
      <c r="N31" s="353">
        <v>-51.542000000000002</v>
      </c>
      <c r="O31" s="354"/>
      <c r="P31" s="354">
        <v>-6.9480000000000004</v>
      </c>
      <c r="Q31" s="354"/>
      <c r="R31" s="354"/>
      <c r="S31" s="354"/>
      <c r="T31" s="354">
        <v>-44.594000000000001</v>
      </c>
      <c r="U31" s="354"/>
      <c r="V31" s="354"/>
      <c r="W31" s="353">
        <v>-44.594000000000001</v>
      </c>
      <c r="X31" s="2" t="s">
        <v>41</v>
      </c>
      <c r="Y31" s="31" t="s">
        <v>187</v>
      </c>
      <c r="AC31" s="91" t="s">
        <v>264</v>
      </c>
      <c r="AD31" s="304">
        <f>-AE9/AD10</f>
        <v>0.18345800218170485</v>
      </c>
      <c r="AH31" s="92"/>
      <c r="AI31" s="93"/>
      <c r="AK31" s="298"/>
      <c r="AL31" s="91" t="s">
        <v>264</v>
      </c>
      <c r="AM31">
        <f>-AN9/AM10</f>
        <v>0.18345800218170485</v>
      </c>
      <c r="AQ31" s="92"/>
      <c r="AT31" s="287"/>
      <c r="AU31" s="288"/>
      <c r="AW31">
        <f t="shared" si="3"/>
        <v>-44.594000000000001</v>
      </c>
      <c r="AX31">
        <f t="shared" si="4"/>
        <v>0</v>
      </c>
      <c r="AY31">
        <f t="shared" si="5"/>
        <v>0</v>
      </c>
      <c r="AZ31">
        <f t="shared" si="6"/>
        <v>-44.594000000000001</v>
      </c>
      <c r="BA31">
        <f t="shared" si="7"/>
        <v>0</v>
      </c>
      <c r="BB31">
        <f t="shared" si="8"/>
        <v>0</v>
      </c>
      <c r="BC31">
        <f t="shared" si="9"/>
        <v>0</v>
      </c>
      <c r="BD31">
        <f t="shared" si="10"/>
        <v>-6.9480000000000004</v>
      </c>
      <c r="BE31">
        <f t="shared" si="11"/>
        <v>0</v>
      </c>
      <c r="BF31">
        <f t="shared" si="12"/>
        <v>-51.542000000000002</v>
      </c>
      <c r="BG31" s="2" t="str">
        <f t="shared" si="13"/>
        <v>D39</v>
      </c>
      <c r="BH31" s="31" t="str">
        <f t="shared" si="14"/>
        <v xml:space="preserve">  Subventions d'exploitation</v>
      </c>
    </row>
    <row r="32" spans="1:60" ht="12.75" customHeight="1" x14ac:dyDescent="0.2">
      <c r="A32" s="2"/>
      <c r="B32" s="2"/>
      <c r="C32" s="67"/>
      <c r="D32" s="78"/>
      <c r="E32" s="78"/>
      <c r="F32" s="78"/>
      <c r="G32" s="78"/>
      <c r="H32" s="78"/>
      <c r="I32" s="78"/>
      <c r="J32" s="78"/>
      <c r="K32" s="78"/>
      <c r="L32" s="67"/>
      <c r="M32" s="80"/>
      <c r="N32" s="353"/>
      <c r="O32" s="354"/>
      <c r="P32" s="354"/>
      <c r="Q32" s="354"/>
      <c r="R32" s="354"/>
      <c r="S32" s="354"/>
      <c r="T32" s="354"/>
      <c r="U32" s="354"/>
      <c r="V32" s="354"/>
      <c r="W32" s="353"/>
      <c r="X32" s="2"/>
      <c r="Y32" s="31"/>
      <c r="AC32" s="91" t="s">
        <v>265</v>
      </c>
      <c r="AD32">
        <f>-AD19/SUM(AD3:AD18)</f>
        <v>0.15057138122201913</v>
      </c>
      <c r="AK32" s="298"/>
      <c r="AL32" s="91" t="s">
        <v>265</v>
      </c>
      <c r="AM32">
        <f>-AM19/AM25</f>
        <v>0.15057138122201913</v>
      </c>
      <c r="AT32" s="287"/>
      <c r="AU32" s="288"/>
      <c r="AW32">
        <f t="shared" si="3"/>
        <v>0</v>
      </c>
      <c r="AX32">
        <f t="shared" si="4"/>
        <v>0</v>
      </c>
      <c r="AY32">
        <f t="shared" si="5"/>
        <v>0</v>
      </c>
      <c r="AZ32">
        <f t="shared" si="6"/>
        <v>0</v>
      </c>
      <c r="BA32">
        <f t="shared" si="7"/>
        <v>0</v>
      </c>
      <c r="BB32">
        <f t="shared" si="8"/>
        <v>0</v>
      </c>
      <c r="BC32">
        <f t="shared" si="9"/>
        <v>0</v>
      </c>
      <c r="BD32">
        <f t="shared" si="10"/>
        <v>0</v>
      </c>
      <c r="BE32">
        <f t="shared" si="11"/>
        <v>0</v>
      </c>
      <c r="BF32">
        <f t="shared" si="12"/>
        <v>0</v>
      </c>
      <c r="BG32" s="2">
        <f t="shared" si="13"/>
        <v>0</v>
      </c>
      <c r="BH32" s="31">
        <f t="shared" si="14"/>
        <v>0</v>
      </c>
    </row>
    <row r="33" spans="1:60" ht="12.75" customHeight="1" x14ac:dyDescent="0.2">
      <c r="A33" s="59" t="s">
        <v>42</v>
      </c>
      <c r="B33" s="59" t="s">
        <v>43</v>
      </c>
      <c r="C33" s="353">
        <v>729.81700000000001</v>
      </c>
      <c r="D33" s="353">
        <v>424.40100000000001</v>
      </c>
      <c r="E33" s="353">
        <v>24.934999999999999</v>
      </c>
      <c r="F33" s="353">
        <v>81.819000000000003</v>
      </c>
      <c r="G33" s="353">
        <v>194.08799999999999</v>
      </c>
      <c r="H33" s="353">
        <v>4.5739999999999998</v>
      </c>
      <c r="I33" s="353"/>
      <c r="J33" s="353"/>
      <c r="K33" s="353"/>
      <c r="L33" s="353">
        <v>729.81700000000001</v>
      </c>
      <c r="M33" s="80"/>
      <c r="N33" s="353">
        <v>729.81700000000001</v>
      </c>
      <c r="O33" s="353"/>
      <c r="P33" s="353"/>
      <c r="Q33" s="353"/>
      <c r="R33" s="353">
        <v>4.5739999999999998</v>
      </c>
      <c r="S33" s="353">
        <v>194.08799999999999</v>
      </c>
      <c r="T33" s="353">
        <v>81.819000000000003</v>
      </c>
      <c r="U33" s="353">
        <v>24.934999999999999</v>
      </c>
      <c r="V33" s="353">
        <v>424.40100000000001</v>
      </c>
      <c r="W33" s="353">
        <v>729.81700000000001</v>
      </c>
      <c r="X33" s="59" t="s">
        <v>42</v>
      </c>
      <c r="Y33" s="61" t="s">
        <v>43</v>
      </c>
      <c r="Z33" s="80">
        <f>G33+G34</f>
        <v>322.428</v>
      </c>
      <c r="AA33" s="80">
        <f>S18-G23-G26-G29</f>
        <v>322.428</v>
      </c>
      <c r="AB33" s="80"/>
      <c r="AC33" s="91" t="s">
        <v>473</v>
      </c>
      <c r="AD33">
        <f>AE4/AD3</f>
        <v>0.74960991222333029</v>
      </c>
      <c r="AK33" s="298"/>
      <c r="AL33" s="91" t="s">
        <v>473</v>
      </c>
      <c r="AM33">
        <f>AN4/AM3</f>
        <v>0.74960991222333029</v>
      </c>
      <c r="AT33" s="287"/>
      <c r="AU33" s="288"/>
      <c r="AW33">
        <f t="shared" si="3"/>
        <v>729.81700000000001</v>
      </c>
      <c r="AX33">
        <f t="shared" si="4"/>
        <v>424.40100000000001</v>
      </c>
      <c r="AY33">
        <f t="shared" si="5"/>
        <v>24.934999999999999</v>
      </c>
      <c r="AZ33">
        <f t="shared" si="6"/>
        <v>81.819000000000003</v>
      </c>
      <c r="BA33">
        <f t="shared" si="7"/>
        <v>194.08799999999999</v>
      </c>
      <c r="BB33">
        <f t="shared" si="8"/>
        <v>4.5739999999999998</v>
      </c>
      <c r="BC33">
        <f t="shared" si="9"/>
        <v>0</v>
      </c>
      <c r="BD33">
        <f t="shared" si="10"/>
        <v>0</v>
      </c>
      <c r="BE33">
        <f t="shared" si="11"/>
        <v>0</v>
      </c>
      <c r="BF33">
        <f t="shared" si="12"/>
        <v>729.81700000000001</v>
      </c>
      <c r="BG33" s="59" t="str">
        <f t="shared" si="13"/>
        <v>B2</v>
      </c>
      <c r="BH33" s="61" t="str">
        <f t="shared" si="14"/>
        <v>Excédent brut d'exploitation</v>
      </c>
    </row>
    <row r="34" spans="1:60" ht="12.75" customHeight="1" x14ac:dyDescent="0.2">
      <c r="A34" s="59" t="s">
        <v>44</v>
      </c>
      <c r="B34" s="59" t="s">
        <v>45</v>
      </c>
      <c r="C34" s="353">
        <v>128.34</v>
      </c>
      <c r="D34" s="353"/>
      <c r="E34" s="353"/>
      <c r="F34" s="353"/>
      <c r="G34" s="353">
        <v>128.34</v>
      </c>
      <c r="H34" s="353"/>
      <c r="I34" s="353"/>
      <c r="J34" s="353"/>
      <c r="K34" s="353"/>
      <c r="L34" s="353">
        <v>128.34</v>
      </c>
      <c r="M34" s="80"/>
      <c r="N34" s="353">
        <v>128.34</v>
      </c>
      <c r="O34" s="353"/>
      <c r="P34" s="353"/>
      <c r="Q34" s="353"/>
      <c r="R34" s="353"/>
      <c r="S34" s="353">
        <v>128.34</v>
      </c>
      <c r="T34" s="353"/>
      <c r="U34" s="353"/>
      <c r="V34" s="353"/>
      <c r="W34" s="353">
        <v>128.34</v>
      </c>
      <c r="X34" s="59" t="s">
        <v>44</v>
      </c>
      <c r="Y34" s="61" t="s">
        <v>45</v>
      </c>
      <c r="Z34" s="80"/>
      <c r="AC34" s="91" t="s">
        <v>474</v>
      </c>
      <c r="AD34">
        <f>(AE4+AE8)/AD3</f>
        <v>0.67248048374838565</v>
      </c>
      <c r="AK34" s="298"/>
      <c r="AL34" s="91" t="s">
        <v>474</v>
      </c>
      <c r="AM34">
        <f>(AN4+AN8)/AM3</f>
        <v>0.67248048374838565</v>
      </c>
      <c r="AT34" s="287"/>
      <c r="AU34" s="288"/>
      <c r="AW34">
        <f t="shared" si="3"/>
        <v>128.34</v>
      </c>
      <c r="AX34">
        <f t="shared" si="4"/>
        <v>0</v>
      </c>
      <c r="AY34">
        <f t="shared" si="5"/>
        <v>0</v>
      </c>
      <c r="AZ34">
        <f t="shared" si="6"/>
        <v>0</v>
      </c>
      <c r="BA34">
        <f t="shared" si="7"/>
        <v>128.34</v>
      </c>
      <c r="BB34">
        <f t="shared" si="8"/>
        <v>0</v>
      </c>
      <c r="BC34">
        <f t="shared" si="9"/>
        <v>0</v>
      </c>
      <c r="BD34">
        <f t="shared" si="10"/>
        <v>0</v>
      </c>
      <c r="BE34">
        <f t="shared" si="11"/>
        <v>0</v>
      </c>
      <c r="BF34">
        <f t="shared" si="12"/>
        <v>128.34</v>
      </c>
      <c r="BG34" s="59" t="str">
        <f t="shared" si="13"/>
        <v>B3</v>
      </c>
      <c r="BH34" s="61" t="str">
        <f t="shared" si="14"/>
        <v>Revenu mixte brut</v>
      </c>
    </row>
    <row r="35" spans="1:60" ht="12.75" customHeight="1" x14ac:dyDescent="0.2">
      <c r="A35" s="59" t="s">
        <v>124</v>
      </c>
      <c r="B35" s="59" t="s">
        <v>126</v>
      </c>
      <c r="C35" s="353">
        <v>291.66399999999999</v>
      </c>
      <c r="D35" s="353">
        <v>166.809</v>
      </c>
      <c r="E35" s="353">
        <v>5.6710000000000003</v>
      </c>
      <c r="F35" s="353">
        <v>1.706</v>
      </c>
      <c r="G35" s="353">
        <v>117.535</v>
      </c>
      <c r="H35" s="353">
        <v>-5.7000000000000002E-2</v>
      </c>
      <c r="I35" s="353"/>
      <c r="J35" s="353"/>
      <c r="K35" s="353"/>
      <c r="L35" s="353">
        <v>291.66399999999999</v>
      </c>
      <c r="M35" s="80"/>
      <c r="N35" s="353">
        <v>291.66399999999999</v>
      </c>
      <c r="O35" s="353"/>
      <c r="P35" s="353"/>
      <c r="Q35" s="353"/>
      <c r="R35" s="353">
        <v>-5.7000000000000002E-2</v>
      </c>
      <c r="S35" s="353">
        <v>117.535</v>
      </c>
      <c r="T35" s="353">
        <v>1.706</v>
      </c>
      <c r="U35" s="353">
        <v>5.6710000000000003</v>
      </c>
      <c r="V35" s="353">
        <v>166.809</v>
      </c>
      <c r="W35" s="353">
        <v>291.66399999999999</v>
      </c>
      <c r="X35" s="59" t="s">
        <v>124</v>
      </c>
      <c r="Y35" s="61" t="s">
        <v>126</v>
      </c>
      <c r="AK35" s="298"/>
      <c r="AT35" s="287"/>
      <c r="AU35" s="288"/>
      <c r="AW35">
        <f t="shared" si="3"/>
        <v>291.66399999999999</v>
      </c>
      <c r="AX35">
        <f t="shared" si="4"/>
        <v>166.809</v>
      </c>
      <c r="AY35">
        <f t="shared" si="5"/>
        <v>5.6710000000000003</v>
      </c>
      <c r="AZ35">
        <f t="shared" si="6"/>
        <v>1.706</v>
      </c>
      <c r="BA35">
        <f t="shared" si="7"/>
        <v>117.535</v>
      </c>
      <c r="BB35">
        <f t="shared" si="8"/>
        <v>-5.7000000000000002E-2</v>
      </c>
      <c r="BC35">
        <f t="shared" si="9"/>
        <v>0</v>
      </c>
      <c r="BD35">
        <f t="shared" si="10"/>
        <v>0</v>
      </c>
      <c r="BE35">
        <f t="shared" si="11"/>
        <v>0</v>
      </c>
      <c r="BF35">
        <f t="shared" si="12"/>
        <v>291.66399999999999</v>
      </c>
      <c r="BG35" s="59" t="str">
        <f t="shared" si="13"/>
        <v>B2n</v>
      </c>
      <c r="BH35" s="61" t="str">
        <f t="shared" si="14"/>
        <v>Excédent net d'exploitation</v>
      </c>
    </row>
    <row r="36" spans="1:60" ht="12.75" customHeight="1" thickBot="1" x14ac:dyDescent="0.25">
      <c r="A36" s="65" t="s">
        <v>125</v>
      </c>
      <c r="B36" s="65" t="s">
        <v>127</v>
      </c>
      <c r="C36" s="353">
        <v>116.32</v>
      </c>
      <c r="D36" s="353"/>
      <c r="E36" s="353"/>
      <c r="F36" s="353"/>
      <c r="G36" s="353">
        <v>116.32</v>
      </c>
      <c r="H36" s="353"/>
      <c r="I36" s="353"/>
      <c r="J36" s="353"/>
      <c r="K36" s="353"/>
      <c r="L36" s="353">
        <v>116.32</v>
      </c>
      <c r="M36" s="80"/>
      <c r="N36" s="353">
        <v>116.32</v>
      </c>
      <c r="O36" s="353"/>
      <c r="P36" s="353"/>
      <c r="Q36" s="353"/>
      <c r="R36" s="353"/>
      <c r="S36" s="353">
        <v>116.32</v>
      </c>
      <c r="T36" s="353"/>
      <c r="U36" s="353"/>
      <c r="V36" s="353"/>
      <c r="W36" s="353">
        <v>116.32</v>
      </c>
      <c r="X36" s="59" t="s">
        <v>125</v>
      </c>
      <c r="Y36" s="61" t="s">
        <v>127</v>
      </c>
      <c r="AC36" s="91"/>
      <c r="AD36" s="80"/>
      <c r="AE36" s="91"/>
      <c r="AK36" s="300"/>
      <c r="AL36" s="294"/>
      <c r="AM36" s="294"/>
      <c r="AN36" s="294"/>
      <c r="AO36" s="294"/>
      <c r="AP36" s="294"/>
      <c r="AQ36" s="294"/>
      <c r="AR36" s="294"/>
      <c r="AS36" s="294"/>
      <c r="AT36" s="295"/>
      <c r="AU36" s="296"/>
      <c r="AW36">
        <f t="shared" si="3"/>
        <v>116.32</v>
      </c>
      <c r="AX36">
        <f t="shared" si="4"/>
        <v>0</v>
      </c>
      <c r="AY36">
        <f t="shared" si="5"/>
        <v>0</v>
      </c>
      <c r="AZ36">
        <f t="shared" si="6"/>
        <v>0</v>
      </c>
      <c r="BA36">
        <f t="shared" si="7"/>
        <v>116.32</v>
      </c>
      <c r="BB36">
        <f t="shared" si="8"/>
        <v>0</v>
      </c>
      <c r="BC36">
        <f t="shared" si="9"/>
        <v>0</v>
      </c>
      <c r="BD36">
        <f t="shared" si="10"/>
        <v>0</v>
      </c>
      <c r="BE36">
        <f t="shared" si="11"/>
        <v>0</v>
      </c>
      <c r="BF36">
        <f t="shared" si="12"/>
        <v>116.32</v>
      </c>
      <c r="BG36" s="59" t="str">
        <f t="shared" si="13"/>
        <v>B3n</v>
      </c>
      <c r="BH36" s="61" t="str">
        <f t="shared" si="14"/>
        <v>Revenu mixte net</v>
      </c>
    </row>
    <row r="37" spans="1:60" ht="12.75" customHeight="1" x14ac:dyDescent="0.2">
      <c r="A37" s="16" t="s">
        <v>46</v>
      </c>
      <c r="B37" s="1"/>
      <c r="C37" s="67"/>
      <c r="D37" s="78"/>
      <c r="E37" s="78"/>
      <c r="F37" s="78"/>
      <c r="G37" s="78"/>
      <c r="H37" s="78"/>
      <c r="I37" s="78"/>
      <c r="J37" s="78"/>
      <c r="K37" s="78"/>
      <c r="L37" s="67"/>
      <c r="M37" s="80"/>
      <c r="N37" s="67"/>
      <c r="O37" s="78"/>
      <c r="P37" s="68"/>
      <c r="Q37" s="68"/>
      <c r="R37" s="68"/>
      <c r="S37" s="68"/>
      <c r="T37" s="68"/>
      <c r="U37" s="68"/>
      <c r="V37" s="68"/>
      <c r="W37" s="67"/>
      <c r="X37" s="2"/>
      <c r="Y37" s="31"/>
      <c r="AC37" s="91"/>
      <c r="AD37" s="80"/>
      <c r="AE37" s="94"/>
      <c r="AW37">
        <f t="shared" si="3"/>
        <v>0</v>
      </c>
      <c r="AX37">
        <f t="shared" si="4"/>
        <v>0</v>
      </c>
      <c r="AY37">
        <f t="shared" si="5"/>
        <v>0</v>
      </c>
      <c r="AZ37">
        <f t="shared" si="6"/>
        <v>0</v>
      </c>
      <c r="BA37">
        <f t="shared" si="7"/>
        <v>0</v>
      </c>
      <c r="BB37">
        <f t="shared" si="8"/>
        <v>0</v>
      </c>
      <c r="BC37">
        <f t="shared" si="9"/>
        <v>0</v>
      </c>
      <c r="BD37">
        <f t="shared" si="10"/>
        <v>0</v>
      </c>
      <c r="BE37">
        <f t="shared" si="11"/>
        <v>0</v>
      </c>
      <c r="BF37">
        <f t="shared" si="12"/>
        <v>0</v>
      </c>
      <c r="BG37" s="2">
        <f t="shared" si="13"/>
        <v>0</v>
      </c>
      <c r="BH37" s="31">
        <f t="shared" si="14"/>
        <v>0</v>
      </c>
    </row>
    <row r="38" spans="1:60" ht="12.75" customHeight="1" x14ac:dyDescent="0.2">
      <c r="A38" s="2" t="s">
        <v>47</v>
      </c>
      <c r="B38" s="2" t="s">
        <v>48</v>
      </c>
      <c r="C38" s="353">
        <v>567.97</v>
      </c>
      <c r="D38" s="354">
        <v>294.87700000000001</v>
      </c>
      <c r="E38" s="354">
        <v>220.50700000000001</v>
      </c>
      <c r="F38" s="354">
        <v>36.158000000000001</v>
      </c>
      <c r="G38" s="354">
        <v>16.300999999999998</v>
      </c>
      <c r="H38" s="354">
        <v>0.127</v>
      </c>
      <c r="I38" s="354"/>
      <c r="J38" s="354">
        <v>154.89400000000001</v>
      </c>
      <c r="K38" s="354"/>
      <c r="L38" s="353">
        <v>722.86400000000003</v>
      </c>
      <c r="M38" s="80"/>
      <c r="N38" s="353">
        <v>722.86400000000003</v>
      </c>
      <c r="O38" s="354"/>
      <c r="P38" s="354">
        <v>127.752</v>
      </c>
      <c r="Q38" s="354"/>
      <c r="R38" s="354">
        <v>0.86399999999999999</v>
      </c>
      <c r="S38" s="354">
        <v>100.63</v>
      </c>
      <c r="T38" s="354">
        <v>16.649000000000001</v>
      </c>
      <c r="U38" s="354">
        <v>236.202</v>
      </c>
      <c r="V38" s="354">
        <v>240.767</v>
      </c>
      <c r="W38" s="353">
        <v>595.11199999999997</v>
      </c>
      <c r="X38" s="2" t="s">
        <v>47</v>
      </c>
      <c r="Y38" s="31" t="s">
        <v>48</v>
      </c>
      <c r="Z38" s="80">
        <f>SUM(S39:S43)</f>
        <v>100.63</v>
      </c>
      <c r="AC38" s="95"/>
      <c r="AE38" s="96"/>
      <c r="AF38" s="95"/>
      <c r="AG38" s="80"/>
      <c r="AW38">
        <f t="shared" si="3"/>
        <v>595.11199999999997</v>
      </c>
      <c r="AX38">
        <f t="shared" si="4"/>
        <v>240.767</v>
      </c>
      <c r="AY38">
        <f t="shared" si="5"/>
        <v>236.202</v>
      </c>
      <c r="AZ38">
        <f t="shared" si="6"/>
        <v>16.649000000000001</v>
      </c>
      <c r="BA38">
        <f t="shared" si="7"/>
        <v>100.63</v>
      </c>
      <c r="BB38">
        <f t="shared" si="8"/>
        <v>0.86399999999999999</v>
      </c>
      <c r="BC38">
        <f t="shared" si="9"/>
        <v>0</v>
      </c>
      <c r="BD38">
        <f t="shared" si="10"/>
        <v>127.752</v>
      </c>
      <c r="BE38">
        <f t="shared" si="11"/>
        <v>0</v>
      </c>
      <c r="BF38">
        <f t="shared" si="12"/>
        <v>722.86400000000003</v>
      </c>
      <c r="BG38" s="2" t="str">
        <f t="shared" si="13"/>
        <v>D4</v>
      </c>
      <c r="BH38" s="31" t="str">
        <f t="shared" si="14"/>
        <v>Revenus de la propriété</v>
      </c>
    </row>
    <row r="39" spans="1:60" ht="12.75" customHeight="1" x14ac:dyDescent="0.2">
      <c r="A39" s="2" t="s">
        <v>49</v>
      </c>
      <c r="B39" s="2" t="s">
        <v>188</v>
      </c>
      <c r="C39" s="353">
        <v>228.934</v>
      </c>
      <c r="D39" s="354">
        <v>62.944000000000003</v>
      </c>
      <c r="E39" s="354">
        <v>115.279</v>
      </c>
      <c r="F39" s="354">
        <v>35.985999999999997</v>
      </c>
      <c r="G39" s="354">
        <v>14.598000000000001</v>
      </c>
      <c r="H39" s="354">
        <v>0.127</v>
      </c>
      <c r="I39" s="354"/>
      <c r="J39" s="354">
        <v>65.082999999999998</v>
      </c>
      <c r="K39" s="354"/>
      <c r="L39" s="353">
        <v>294.017</v>
      </c>
      <c r="M39" s="80"/>
      <c r="N39" s="353">
        <v>294.017</v>
      </c>
      <c r="O39" s="354"/>
      <c r="P39" s="354">
        <v>73.554000000000002</v>
      </c>
      <c r="Q39" s="354"/>
      <c r="R39" s="354">
        <v>0.74199999999999999</v>
      </c>
      <c r="S39" s="354">
        <v>14.336</v>
      </c>
      <c r="T39" s="354">
        <v>2.8919999999999999</v>
      </c>
      <c r="U39" s="354">
        <v>153.08099999999999</v>
      </c>
      <c r="V39" s="354">
        <v>49.411999999999999</v>
      </c>
      <c r="W39" s="353">
        <v>220.46299999999999</v>
      </c>
      <c r="X39" s="2" t="s">
        <v>49</v>
      </c>
      <c r="Y39" s="31" t="s">
        <v>188</v>
      </c>
      <c r="AD39">
        <f>AD37/(AD3-AD44)</f>
        <v>0</v>
      </c>
      <c r="AH39" s="92"/>
      <c r="AI39" s="93"/>
      <c r="AW39">
        <f t="shared" si="3"/>
        <v>220.46299999999999</v>
      </c>
      <c r="AX39">
        <f t="shared" si="4"/>
        <v>49.411999999999999</v>
      </c>
      <c r="AY39">
        <f t="shared" si="5"/>
        <v>153.08099999999999</v>
      </c>
      <c r="AZ39">
        <f t="shared" si="6"/>
        <v>2.8919999999999999</v>
      </c>
      <c r="BA39">
        <f t="shared" si="7"/>
        <v>14.336</v>
      </c>
      <c r="BB39">
        <f t="shared" si="8"/>
        <v>0.74199999999999999</v>
      </c>
      <c r="BC39">
        <f t="shared" si="9"/>
        <v>0</v>
      </c>
      <c r="BD39">
        <f t="shared" si="10"/>
        <v>73.554000000000002</v>
      </c>
      <c r="BE39">
        <f t="shared" si="11"/>
        <v>0</v>
      </c>
      <c r="BF39">
        <f t="shared" si="12"/>
        <v>294.017</v>
      </c>
      <c r="BG39" s="2" t="str">
        <f t="shared" si="13"/>
        <v>D41</v>
      </c>
      <c r="BH39" s="31" t="str">
        <f t="shared" si="14"/>
        <v xml:space="preserve">  Intérêts</v>
      </c>
    </row>
    <row r="40" spans="1:60" ht="12.75" customHeight="1" x14ac:dyDescent="0.2">
      <c r="A40" s="2" t="s">
        <v>50</v>
      </c>
      <c r="B40" s="2" t="s">
        <v>189</v>
      </c>
      <c r="C40" s="353">
        <v>261.678</v>
      </c>
      <c r="D40" s="354">
        <v>220.39599999999999</v>
      </c>
      <c r="E40" s="354">
        <v>41.281999999999996</v>
      </c>
      <c r="F40" s="354"/>
      <c r="G40" s="354"/>
      <c r="H40" s="354"/>
      <c r="I40" s="354"/>
      <c r="J40" s="354">
        <v>74.44</v>
      </c>
      <c r="K40" s="354"/>
      <c r="L40" s="353">
        <v>336.11799999999999</v>
      </c>
      <c r="M40" s="80"/>
      <c r="N40" s="353">
        <v>336.11799999999999</v>
      </c>
      <c r="O40" s="354"/>
      <c r="P40" s="354">
        <v>43.951999999999998</v>
      </c>
      <c r="Q40" s="354"/>
      <c r="R40" s="354">
        <v>0</v>
      </c>
      <c r="S40" s="354">
        <v>42.128999999999998</v>
      </c>
      <c r="T40" s="354">
        <v>8.4060000000000006</v>
      </c>
      <c r="U40" s="354">
        <v>58.430999999999997</v>
      </c>
      <c r="V40" s="354">
        <v>183.2</v>
      </c>
      <c r="W40" s="353">
        <v>292.166</v>
      </c>
      <c r="X40" s="2" t="s">
        <v>50</v>
      </c>
      <c r="Y40" s="31" t="s">
        <v>189</v>
      </c>
      <c r="AD40">
        <f>AD38/AD10</f>
        <v>0</v>
      </c>
      <c r="AW40">
        <f t="shared" si="3"/>
        <v>292.166</v>
      </c>
      <c r="AX40">
        <f t="shared" si="4"/>
        <v>183.2</v>
      </c>
      <c r="AY40">
        <f t="shared" si="5"/>
        <v>58.430999999999997</v>
      </c>
      <c r="AZ40">
        <f t="shared" si="6"/>
        <v>8.4060000000000006</v>
      </c>
      <c r="BA40">
        <f t="shared" si="7"/>
        <v>42.128999999999998</v>
      </c>
      <c r="BB40">
        <f t="shared" si="8"/>
        <v>0</v>
      </c>
      <c r="BC40">
        <f t="shared" si="9"/>
        <v>0</v>
      </c>
      <c r="BD40">
        <f t="shared" si="10"/>
        <v>43.951999999999998</v>
      </c>
      <c r="BE40">
        <f t="shared" si="11"/>
        <v>0</v>
      </c>
      <c r="BF40">
        <f t="shared" si="12"/>
        <v>336.11799999999999</v>
      </c>
      <c r="BG40" s="2" t="str">
        <f t="shared" si="13"/>
        <v>D42</v>
      </c>
      <c r="BH40" s="31" t="str">
        <f t="shared" si="14"/>
        <v xml:space="preserve">  Revenus distribués des sociétés</v>
      </c>
    </row>
    <row r="41" spans="1:60" ht="12.75" customHeight="1" x14ac:dyDescent="0.2">
      <c r="A41" s="2" t="s">
        <v>51</v>
      </c>
      <c r="B41" s="2" t="s">
        <v>190</v>
      </c>
      <c r="C41" s="353">
        <v>7.2069999999999999</v>
      </c>
      <c r="D41" s="354">
        <v>6.9080000000000004</v>
      </c>
      <c r="E41" s="354">
        <v>0.29899999999999999</v>
      </c>
      <c r="F41" s="354"/>
      <c r="G41" s="354">
        <v>0</v>
      </c>
      <c r="H41" s="354">
        <v>0</v>
      </c>
      <c r="I41" s="354"/>
      <c r="J41" s="354">
        <v>11.278</v>
      </c>
      <c r="K41" s="354"/>
      <c r="L41" s="353">
        <v>18.484999999999999</v>
      </c>
      <c r="M41" s="80"/>
      <c r="N41" s="353">
        <v>18.484999999999999</v>
      </c>
      <c r="O41" s="354"/>
      <c r="P41" s="354">
        <v>7.2069999999999999</v>
      </c>
      <c r="Q41" s="354"/>
      <c r="R41" s="354">
        <v>0</v>
      </c>
      <c r="S41" s="354">
        <v>0</v>
      </c>
      <c r="T41" s="354">
        <v>0</v>
      </c>
      <c r="U41" s="354">
        <v>4.992</v>
      </c>
      <c r="V41" s="354">
        <v>6.2859999999999996</v>
      </c>
      <c r="W41" s="353">
        <v>11.278</v>
      </c>
      <c r="X41" s="2" t="s">
        <v>51</v>
      </c>
      <c r="Y41" s="31" t="s">
        <v>190</v>
      </c>
      <c r="AE41" s="91"/>
      <c r="AF41" s="91"/>
      <c r="AG41" s="91"/>
      <c r="AH41" s="92"/>
      <c r="AI41" s="93"/>
      <c r="AJ41" s="91"/>
      <c r="AW41">
        <f t="shared" si="3"/>
        <v>11.278</v>
      </c>
      <c r="AX41">
        <f t="shared" si="4"/>
        <v>6.2859999999999996</v>
      </c>
      <c r="AY41">
        <f t="shared" si="5"/>
        <v>4.992</v>
      </c>
      <c r="AZ41">
        <f t="shared" si="6"/>
        <v>0</v>
      </c>
      <c r="BA41">
        <f t="shared" si="7"/>
        <v>0</v>
      </c>
      <c r="BB41">
        <f t="shared" si="8"/>
        <v>0</v>
      </c>
      <c r="BC41">
        <f t="shared" si="9"/>
        <v>0</v>
      </c>
      <c r="BD41">
        <f t="shared" si="10"/>
        <v>7.2069999999999999</v>
      </c>
      <c r="BE41">
        <f t="shared" si="11"/>
        <v>0</v>
      </c>
      <c r="BF41">
        <f t="shared" si="12"/>
        <v>18.484999999999999</v>
      </c>
      <c r="BG41" s="2" t="str">
        <f t="shared" si="13"/>
        <v>D43</v>
      </c>
      <c r="BH41" s="31" t="str">
        <f t="shared" si="14"/>
        <v xml:space="preserve">  Bénéfices réinvestis d'invest. directs étrangers</v>
      </c>
    </row>
    <row r="42" spans="1:60" ht="12.75" customHeight="1" x14ac:dyDescent="0.2">
      <c r="A42" s="2" t="s">
        <v>52</v>
      </c>
      <c r="B42" s="2" t="s">
        <v>191</v>
      </c>
      <c r="C42" s="353">
        <v>63.646999999999998</v>
      </c>
      <c r="D42" s="354">
        <v>0</v>
      </c>
      <c r="E42" s="354">
        <v>63.646999999999998</v>
      </c>
      <c r="F42" s="354"/>
      <c r="G42" s="354">
        <v>0</v>
      </c>
      <c r="H42" s="354">
        <v>0</v>
      </c>
      <c r="I42" s="354"/>
      <c r="J42" s="354">
        <v>4.093</v>
      </c>
      <c r="K42" s="354"/>
      <c r="L42" s="353">
        <v>67.739999999999995</v>
      </c>
      <c r="M42" s="80"/>
      <c r="N42" s="353">
        <v>67.739999999999995</v>
      </c>
      <c r="O42" s="354"/>
      <c r="P42" s="354">
        <v>3.0390000000000001</v>
      </c>
      <c r="Q42" s="354"/>
      <c r="R42" s="354">
        <v>0.122</v>
      </c>
      <c r="S42" s="354">
        <v>41.298999999999999</v>
      </c>
      <c r="T42" s="354">
        <v>1.7130000000000001</v>
      </c>
      <c r="U42" s="354">
        <v>19.698</v>
      </c>
      <c r="V42" s="354">
        <v>1.869</v>
      </c>
      <c r="W42" s="353">
        <v>64.700999999999993</v>
      </c>
      <c r="X42" s="2" t="s">
        <v>52</v>
      </c>
      <c r="Y42" s="31" t="s">
        <v>191</v>
      </c>
      <c r="AD42" s="80"/>
      <c r="AE42" s="80"/>
      <c r="AF42" s="80"/>
      <c r="AG42" s="80"/>
      <c r="AH42" s="92"/>
      <c r="AI42" s="93"/>
      <c r="AW42">
        <f t="shared" si="3"/>
        <v>64.700999999999993</v>
      </c>
      <c r="AX42">
        <f t="shared" si="4"/>
        <v>1.869</v>
      </c>
      <c r="AY42">
        <f t="shared" si="5"/>
        <v>19.698</v>
      </c>
      <c r="AZ42">
        <f t="shared" si="6"/>
        <v>1.7130000000000001</v>
      </c>
      <c r="BA42">
        <f t="shared" si="7"/>
        <v>41.298999999999999</v>
      </c>
      <c r="BB42">
        <f t="shared" si="8"/>
        <v>0.122</v>
      </c>
      <c r="BC42">
        <f t="shared" si="9"/>
        <v>0</v>
      </c>
      <c r="BD42">
        <f t="shared" si="10"/>
        <v>3.0390000000000001</v>
      </c>
      <c r="BE42">
        <f t="shared" si="11"/>
        <v>0</v>
      </c>
      <c r="BF42">
        <f t="shared" si="12"/>
        <v>67.739999999999995</v>
      </c>
      <c r="BG42" s="2" t="str">
        <f t="shared" si="13"/>
        <v>D44</v>
      </c>
      <c r="BH42" s="31" t="str">
        <f t="shared" si="14"/>
        <v xml:space="preserve">  Revenus de la propriété attribués aux assurés</v>
      </c>
    </row>
    <row r="43" spans="1:60" ht="12.75" customHeight="1" x14ac:dyDescent="0.2">
      <c r="A43" s="2" t="s">
        <v>53</v>
      </c>
      <c r="B43" s="2" t="s">
        <v>192</v>
      </c>
      <c r="C43" s="353">
        <v>6.5039999999999996</v>
      </c>
      <c r="D43" s="354">
        <v>4.6289999999999996</v>
      </c>
      <c r="E43" s="354">
        <v>0</v>
      </c>
      <c r="F43" s="354">
        <v>0.17199999999999999</v>
      </c>
      <c r="G43" s="354">
        <v>1.7030000000000001</v>
      </c>
      <c r="H43" s="354">
        <v>0</v>
      </c>
      <c r="I43" s="354"/>
      <c r="J43" s="354"/>
      <c r="K43" s="354"/>
      <c r="L43" s="353">
        <v>6.5039999999999996</v>
      </c>
      <c r="M43" s="80"/>
      <c r="N43" s="353">
        <v>6.5039999999999996</v>
      </c>
      <c r="O43" s="354"/>
      <c r="P43" s="354"/>
      <c r="Q43" s="354"/>
      <c r="R43" s="354">
        <v>0</v>
      </c>
      <c r="S43" s="354">
        <v>2.8660000000000001</v>
      </c>
      <c r="T43" s="354">
        <v>3.6379999999999999</v>
      </c>
      <c r="U43" s="354">
        <v>0</v>
      </c>
      <c r="V43" s="354">
        <v>0</v>
      </c>
      <c r="W43" s="353">
        <v>6.5039999999999996</v>
      </c>
      <c r="X43" s="32" t="s">
        <v>53</v>
      </c>
      <c r="Y43" s="33" t="s">
        <v>192</v>
      </c>
      <c r="AD43" s="80"/>
      <c r="AW43">
        <f t="shared" si="3"/>
        <v>6.5039999999999996</v>
      </c>
      <c r="AX43">
        <f t="shared" si="4"/>
        <v>0</v>
      </c>
      <c r="AY43">
        <f t="shared" si="5"/>
        <v>0</v>
      </c>
      <c r="AZ43">
        <f t="shared" si="6"/>
        <v>3.6379999999999999</v>
      </c>
      <c r="BA43">
        <f t="shared" si="7"/>
        <v>2.8660000000000001</v>
      </c>
      <c r="BB43">
        <f t="shared" si="8"/>
        <v>0</v>
      </c>
      <c r="BC43">
        <f t="shared" si="9"/>
        <v>0</v>
      </c>
      <c r="BD43">
        <f t="shared" si="10"/>
        <v>0</v>
      </c>
      <c r="BE43">
        <f t="shared" si="11"/>
        <v>0</v>
      </c>
      <c r="BF43">
        <f t="shared" si="12"/>
        <v>6.5039999999999996</v>
      </c>
      <c r="BG43" s="32" t="str">
        <f t="shared" si="13"/>
        <v>D45</v>
      </c>
      <c r="BH43" s="33" t="str">
        <f t="shared" si="14"/>
        <v xml:space="preserve">  Revenus des terrains et gisements</v>
      </c>
    </row>
    <row r="44" spans="1:60" ht="12.75" customHeight="1" x14ac:dyDescent="0.2">
      <c r="A44" s="2"/>
      <c r="B44" s="2"/>
      <c r="C44" s="67"/>
      <c r="D44" s="78"/>
      <c r="E44" s="78"/>
      <c r="F44" s="78"/>
      <c r="G44" s="78"/>
      <c r="H44" s="78"/>
      <c r="I44" s="78"/>
      <c r="J44" s="78"/>
      <c r="K44" s="78"/>
      <c r="L44" s="67"/>
      <c r="M44" s="80"/>
      <c r="N44" s="353"/>
      <c r="O44" s="353"/>
      <c r="P44" s="354"/>
      <c r="Q44" s="354"/>
      <c r="R44" s="354"/>
      <c r="S44" s="354"/>
      <c r="T44" s="354"/>
      <c r="U44" s="354"/>
      <c r="V44" s="354"/>
      <c r="W44" s="353"/>
      <c r="X44" s="16" t="s">
        <v>54</v>
      </c>
      <c r="Y44" s="2"/>
      <c r="AD44" s="80"/>
      <c r="AE44" s="80"/>
      <c r="AF44" s="80"/>
      <c r="AG44" s="80"/>
      <c r="AH44" s="92"/>
      <c r="AI44" s="93"/>
      <c r="AW44">
        <f t="shared" si="3"/>
        <v>0</v>
      </c>
      <c r="AX44">
        <f t="shared" si="4"/>
        <v>0</v>
      </c>
      <c r="AY44">
        <f t="shared" si="5"/>
        <v>0</v>
      </c>
      <c r="AZ44">
        <f t="shared" si="6"/>
        <v>0</v>
      </c>
      <c r="BA44">
        <f t="shared" si="7"/>
        <v>0</v>
      </c>
      <c r="BB44">
        <f t="shared" si="8"/>
        <v>0</v>
      </c>
      <c r="BC44">
        <f t="shared" si="9"/>
        <v>0</v>
      </c>
      <c r="BD44">
        <f t="shared" si="10"/>
        <v>0</v>
      </c>
      <c r="BE44">
        <f t="shared" si="11"/>
        <v>0</v>
      </c>
      <c r="BF44">
        <f t="shared" si="12"/>
        <v>0</v>
      </c>
      <c r="BG44" s="16" t="str">
        <f t="shared" si="13"/>
        <v>Compte de distribution secondaire du revenu</v>
      </c>
      <c r="BH44" s="2">
        <f t="shared" si="14"/>
        <v>0</v>
      </c>
    </row>
    <row r="45" spans="1:60" ht="12.75" customHeight="1" outlineLevel="1" x14ac:dyDescent="0.2">
      <c r="A45" s="59" t="s">
        <v>247</v>
      </c>
      <c r="B45" s="59" t="s">
        <v>239</v>
      </c>
      <c r="C45" s="353">
        <v>2489.933</v>
      </c>
      <c r="D45" s="353">
        <v>370.291</v>
      </c>
      <c r="E45" s="353">
        <v>40.630000000000003</v>
      </c>
      <c r="F45" s="353">
        <v>402.48500000000001</v>
      </c>
      <c r="G45" s="353">
        <v>1671.2159999999999</v>
      </c>
      <c r="H45" s="353">
        <v>5.3109999999999999</v>
      </c>
      <c r="I45" s="353"/>
      <c r="J45" s="353"/>
      <c r="K45" s="353"/>
      <c r="L45" s="353">
        <v>2489.933</v>
      </c>
      <c r="M45" s="80"/>
      <c r="N45" s="353">
        <v>2489.933</v>
      </c>
      <c r="O45" s="353"/>
      <c r="P45" s="353"/>
      <c r="Q45" s="353"/>
      <c r="R45" s="353">
        <v>5.3109999999999999</v>
      </c>
      <c r="S45" s="353">
        <v>1671.2159999999999</v>
      </c>
      <c r="T45" s="353">
        <v>402.48500000000001</v>
      </c>
      <c r="U45" s="353">
        <v>40.630000000000003</v>
      </c>
      <c r="V45" s="353">
        <v>370.291</v>
      </c>
      <c r="W45" s="353">
        <v>2489.933</v>
      </c>
      <c r="X45" s="59" t="s">
        <v>247</v>
      </c>
      <c r="Y45" s="61" t="s">
        <v>239</v>
      </c>
      <c r="Z45" s="80">
        <f>S23+S33+S34+S38-G38</f>
        <v>1671.2159999999999</v>
      </c>
      <c r="AA45" s="80"/>
      <c r="AW45">
        <f t="shared" si="3"/>
        <v>2489.933</v>
      </c>
      <c r="AX45">
        <f t="shared" si="4"/>
        <v>370.291</v>
      </c>
      <c r="AY45">
        <f t="shared" si="5"/>
        <v>40.630000000000003</v>
      </c>
      <c r="AZ45">
        <f t="shared" si="6"/>
        <v>402.48500000000001</v>
      </c>
      <c r="BA45">
        <f t="shared" si="7"/>
        <v>1671.2159999999999</v>
      </c>
      <c r="BB45">
        <f t="shared" si="8"/>
        <v>5.3109999999999999</v>
      </c>
      <c r="BC45">
        <f t="shared" si="9"/>
        <v>0</v>
      </c>
      <c r="BD45">
        <f t="shared" si="10"/>
        <v>0</v>
      </c>
      <c r="BE45">
        <f t="shared" si="11"/>
        <v>0</v>
      </c>
      <c r="BF45">
        <f t="shared" si="12"/>
        <v>2489.933</v>
      </c>
      <c r="BG45" s="59" t="str">
        <f t="shared" si="13"/>
        <v>B5/RNB</v>
      </c>
      <c r="BH45" s="61" t="str">
        <f t="shared" si="14"/>
        <v>Solde des revenus primaires bruts/RNB</v>
      </c>
    </row>
    <row r="46" spans="1:60" ht="12.75" customHeight="1" outlineLevel="1" x14ac:dyDescent="0.2">
      <c r="A46" s="65" t="s">
        <v>248</v>
      </c>
      <c r="B46" s="65" t="s">
        <v>240</v>
      </c>
      <c r="C46" s="353">
        <v>2039.76</v>
      </c>
      <c r="D46" s="353">
        <v>112.69799999999999</v>
      </c>
      <c r="E46" s="353">
        <v>21.366</v>
      </c>
      <c r="F46" s="353">
        <v>322.37200000000001</v>
      </c>
      <c r="G46" s="353">
        <v>1582.643</v>
      </c>
      <c r="H46" s="353">
        <v>0.68</v>
      </c>
      <c r="I46" s="353"/>
      <c r="J46" s="353"/>
      <c r="K46" s="353"/>
      <c r="L46" s="353">
        <v>2039.76</v>
      </c>
      <c r="M46" s="80"/>
      <c r="N46" s="353">
        <v>2039.76</v>
      </c>
      <c r="O46" s="353"/>
      <c r="P46" s="353"/>
      <c r="Q46" s="353"/>
      <c r="R46" s="353">
        <v>0.68</v>
      </c>
      <c r="S46" s="353">
        <v>1582.643</v>
      </c>
      <c r="T46" s="353">
        <v>322.37200000000001</v>
      </c>
      <c r="U46" s="353">
        <v>21.366</v>
      </c>
      <c r="V46" s="353">
        <v>112.69799999999999</v>
      </c>
      <c r="W46" s="353">
        <v>2039.76</v>
      </c>
      <c r="X46" s="59" t="s">
        <v>248</v>
      </c>
      <c r="Y46" s="61" t="s">
        <v>240</v>
      </c>
      <c r="Z46" s="80">
        <f>S23+S35+S36+S38-G38</f>
        <v>1582.643</v>
      </c>
      <c r="AW46">
        <f t="shared" si="3"/>
        <v>2039.76</v>
      </c>
      <c r="AX46">
        <f t="shared" si="4"/>
        <v>112.69799999999999</v>
      </c>
      <c r="AY46">
        <f t="shared" si="5"/>
        <v>21.366</v>
      </c>
      <c r="AZ46">
        <f t="shared" si="6"/>
        <v>322.37200000000001</v>
      </c>
      <c r="BA46">
        <f t="shared" si="7"/>
        <v>1582.643</v>
      </c>
      <c r="BB46">
        <f t="shared" si="8"/>
        <v>0.68</v>
      </c>
      <c r="BC46">
        <f t="shared" si="9"/>
        <v>0</v>
      </c>
      <c r="BD46">
        <f t="shared" si="10"/>
        <v>0</v>
      </c>
      <c r="BE46">
        <f t="shared" si="11"/>
        <v>0</v>
      </c>
      <c r="BF46">
        <f t="shared" si="12"/>
        <v>2039.76</v>
      </c>
      <c r="BG46" s="59" t="str">
        <f t="shared" si="13"/>
        <v>B5n/RNN</v>
      </c>
      <c r="BH46" s="61" t="str">
        <f t="shared" si="14"/>
        <v>Solde des revenus primaires nets/RNN</v>
      </c>
    </row>
    <row r="47" spans="1:60" ht="12.75" customHeight="1" outlineLevel="1" x14ac:dyDescent="0.2">
      <c r="A47" s="17" t="s">
        <v>54</v>
      </c>
      <c r="B47" s="1"/>
      <c r="C47" s="67"/>
      <c r="D47" s="78"/>
      <c r="E47" s="78"/>
      <c r="F47" s="78"/>
      <c r="G47" s="78"/>
      <c r="H47" s="78"/>
      <c r="I47" s="78"/>
      <c r="J47" s="78"/>
      <c r="K47" s="67"/>
      <c r="L47" s="67"/>
      <c r="M47" s="80"/>
      <c r="N47" s="67"/>
      <c r="O47" s="78"/>
      <c r="P47" s="68"/>
      <c r="Q47" s="68"/>
      <c r="R47" s="68"/>
      <c r="S47" s="68"/>
      <c r="T47" s="68"/>
      <c r="U47" s="68"/>
      <c r="V47" s="68"/>
      <c r="W47" s="67"/>
      <c r="X47" s="2"/>
      <c r="Y47" s="31"/>
      <c r="AW47">
        <f t="shared" si="3"/>
        <v>0</v>
      </c>
      <c r="AX47">
        <f t="shared" si="4"/>
        <v>0</v>
      </c>
      <c r="AY47">
        <f t="shared" si="5"/>
        <v>0</v>
      </c>
      <c r="AZ47">
        <f t="shared" si="6"/>
        <v>0</v>
      </c>
      <c r="BA47">
        <f t="shared" si="7"/>
        <v>0</v>
      </c>
      <c r="BB47">
        <f t="shared" si="8"/>
        <v>0</v>
      </c>
      <c r="BC47">
        <f t="shared" si="9"/>
        <v>0</v>
      </c>
      <c r="BD47">
        <f t="shared" si="10"/>
        <v>0</v>
      </c>
      <c r="BE47">
        <f t="shared" si="11"/>
        <v>0</v>
      </c>
      <c r="BF47">
        <f t="shared" si="12"/>
        <v>0</v>
      </c>
      <c r="BG47" s="2">
        <f t="shared" si="13"/>
        <v>0</v>
      </c>
      <c r="BH47" s="31">
        <f t="shared" si="14"/>
        <v>0</v>
      </c>
    </row>
    <row r="48" spans="1:60" ht="12.75" customHeight="1" outlineLevel="1" x14ac:dyDescent="0.2">
      <c r="A48" s="2" t="s">
        <v>55</v>
      </c>
      <c r="B48" s="2" t="s">
        <v>56</v>
      </c>
      <c r="C48" s="353">
        <v>313.077</v>
      </c>
      <c r="D48" s="354">
        <v>47.573999999999998</v>
      </c>
      <c r="E48" s="354">
        <v>16.472000000000001</v>
      </c>
      <c r="F48" s="354">
        <v>8.2000000000000003E-2</v>
      </c>
      <c r="G48" s="354">
        <v>248.94900000000001</v>
      </c>
      <c r="H48" s="354">
        <v>0</v>
      </c>
      <c r="I48" s="354"/>
      <c r="J48" s="354">
        <v>5.4409999999999998</v>
      </c>
      <c r="K48" s="354"/>
      <c r="L48" s="353">
        <v>318.51799999999997</v>
      </c>
      <c r="M48" s="350">
        <f>(G48+G26+H48+H26)/(S46+S52+S53-G53+R46+R52+R53-H53)</f>
        <v>0.1341648888481215</v>
      </c>
      <c r="N48" s="353">
        <v>318.51799999999997</v>
      </c>
      <c r="O48" s="354"/>
      <c r="P48" s="354">
        <v>0</v>
      </c>
      <c r="Q48" s="354"/>
      <c r="R48" s="354"/>
      <c r="S48" s="354"/>
      <c r="T48" s="354">
        <v>318.51799999999997</v>
      </c>
      <c r="U48" s="354"/>
      <c r="V48" s="354"/>
      <c r="W48" s="353">
        <v>318.51799999999997</v>
      </c>
      <c r="X48" s="2" t="s">
        <v>55</v>
      </c>
      <c r="Y48" s="31" t="s">
        <v>56</v>
      </c>
      <c r="Z48" s="80"/>
      <c r="AW48">
        <f t="shared" si="3"/>
        <v>318.51799999999997</v>
      </c>
      <c r="AX48">
        <f t="shared" si="4"/>
        <v>0</v>
      </c>
      <c r="AY48">
        <f t="shared" si="5"/>
        <v>0</v>
      </c>
      <c r="AZ48">
        <f t="shared" si="6"/>
        <v>318.51799999999997</v>
      </c>
      <c r="BA48">
        <f t="shared" si="7"/>
        <v>0</v>
      </c>
      <c r="BB48">
        <f t="shared" si="8"/>
        <v>0</v>
      </c>
      <c r="BC48">
        <f t="shared" si="9"/>
        <v>0</v>
      </c>
      <c r="BD48">
        <f t="shared" si="10"/>
        <v>0</v>
      </c>
      <c r="BE48">
        <f t="shared" si="11"/>
        <v>0</v>
      </c>
      <c r="BF48">
        <f t="shared" si="12"/>
        <v>318.51799999999997</v>
      </c>
      <c r="BG48" s="2" t="str">
        <f t="shared" si="13"/>
        <v>D5</v>
      </c>
      <c r="BH48" s="31" t="str">
        <f t="shared" si="14"/>
        <v>Impôts courants sur le revenu et le patrimoine</v>
      </c>
    </row>
    <row r="49" spans="1:60" ht="12.75" customHeight="1" outlineLevel="1" x14ac:dyDescent="0.2">
      <c r="A49" s="2" t="s">
        <v>57</v>
      </c>
      <c r="B49" s="2" t="s">
        <v>58</v>
      </c>
      <c r="C49" s="353">
        <v>463.87799999999999</v>
      </c>
      <c r="D49" s="354"/>
      <c r="E49" s="354"/>
      <c r="F49" s="354"/>
      <c r="G49" s="354">
        <v>463.87799999999999</v>
      </c>
      <c r="H49" s="354"/>
      <c r="I49" s="354"/>
      <c r="J49" s="354">
        <v>0.27</v>
      </c>
      <c r="K49" s="354"/>
      <c r="L49" s="353">
        <v>464.14800000000002</v>
      </c>
      <c r="M49" s="350">
        <f>(G48+G26)/(S46+S52+S53-G53)</f>
        <v>0.13347335960017095</v>
      </c>
      <c r="N49" s="353">
        <v>464.14800000000002</v>
      </c>
      <c r="O49" s="354"/>
      <c r="P49" s="354">
        <v>7.7430000000000003</v>
      </c>
      <c r="Q49" s="354"/>
      <c r="R49" s="354">
        <v>0</v>
      </c>
      <c r="S49" s="354">
        <v>0.01</v>
      </c>
      <c r="T49" s="354">
        <v>407.78199999999998</v>
      </c>
      <c r="U49" s="354">
        <v>35.055999999999997</v>
      </c>
      <c r="V49" s="354">
        <v>13.557</v>
      </c>
      <c r="W49" s="353">
        <v>456.40499999999997</v>
      </c>
      <c r="X49" s="2" t="s">
        <v>57</v>
      </c>
      <c r="Y49" s="31" t="s">
        <v>58</v>
      </c>
      <c r="AW49">
        <f t="shared" si="3"/>
        <v>456.40499999999997</v>
      </c>
      <c r="AX49">
        <f t="shared" si="4"/>
        <v>13.557</v>
      </c>
      <c r="AY49">
        <f t="shared" si="5"/>
        <v>35.055999999999997</v>
      </c>
      <c r="AZ49">
        <f t="shared" si="6"/>
        <v>407.78199999999998</v>
      </c>
      <c r="BA49">
        <f t="shared" si="7"/>
        <v>0.01</v>
      </c>
      <c r="BB49">
        <f t="shared" si="8"/>
        <v>0</v>
      </c>
      <c r="BC49">
        <f t="shared" si="9"/>
        <v>0</v>
      </c>
      <c r="BD49">
        <f t="shared" si="10"/>
        <v>7.7430000000000003</v>
      </c>
      <c r="BE49">
        <f t="shared" si="11"/>
        <v>0</v>
      </c>
      <c r="BF49">
        <f t="shared" si="12"/>
        <v>464.14800000000002</v>
      </c>
      <c r="BG49" s="2" t="str">
        <f t="shared" si="13"/>
        <v>D61</v>
      </c>
      <c r="BH49" s="31" t="str">
        <f t="shared" si="14"/>
        <v>Cotisations sociales</v>
      </c>
    </row>
    <row r="50" spans="1:60" ht="12.75" customHeight="1" outlineLevel="1" x14ac:dyDescent="0.2">
      <c r="A50" s="2" t="s">
        <v>59</v>
      </c>
      <c r="B50" s="2" t="s">
        <v>193</v>
      </c>
      <c r="C50" s="353">
        <v>258.24099999999999</v>
      </c>
      <c r="D50" s="354"/>
      <c r="E50" s="354"/>
      <c r="F50" s="354"/>
      <c r="G50" s="354">
        <v>258.24099999999999</v>
      </c>
      <c r="H50" s="354"/>
      <c r="I50" s="354"/>
      <c r="J50" s="354">
        <v>9.0999999999999998E-2</v>
      </c>
      <c r="K50" s="354"/>
      <c r="L50" s="353">
        <v>258.33199999999999</v>
      </c>
      <c r="M50" s="350">
        <f>(G48+G26+H48+H26+J48)/(S46+S52+S53+R46+R52+R53-G53-H53-J53)</f>
        <v>0.13792596127082588</v>
      </c>
      <c r="N50" s="353">
        <v>258.33199999999999</v>
      </c>
      <c r="O50" s="354"/>
      <c r="P50" s="354">
        <v>5.5990000000000002</v>
      </c>
      <c r="Q50" s="354"/>
      <c r="R50" s="354">
        <v>0</v>
      </c>
      <c r="S50" s="354">
        <v>0</v>
      </c>
      <c r="T50" s="354">
        <v>247.43700000000001</v>
      </c>
      <c r="U50" s="354">
        <v>5.2960000000000003</v>
      </c>
      <c r="V50" s="354">
        <v>0</v>
      </c>
      <c r="W50" s="353">
        <v>252.733</v>
      </c>
      <c r="X50" s="2" t="s">
        <v>59</v>
      </c>
      <c r="Y50" s="31" t="s">
        <v>193</v>
      </c>
      <c r="AW50">
        <f t="shared" si="3"/>
        <v>252.733</v>
      </c>
      <c r="AX50">
        <f t="shared" si="4"/>
        <v>0</v>
      </c>
      <c r="AY50">
        <f t="shared" si="5"/>
        <v>5.2960000000000003</v>
      </c>
      <c r="AZ50">
        <f t="shared" si="6"/>
        <v>247.43700000000001</v>
      </c>
      <c r="BA50">
        <f t="shared" si="7"/>
        <v>0</v>
      </c>
      <c r="BB50">
        <f t="shared" si="8"/>
        <v>0</v>
      </c>
      <c r="BC50">
        <f t="shared" si="9"/>
        <v>0</v>
      </c>
      <c r="BD50">
        <f t="shared" si="10"/>
        <v>5.5990000000000002</v>
      </c>
      <c r="BE50">
        <f t="shared" si="11"/>
        <v>0</v>
      </c>
      <c r="BF50">
        <f t="shared" si="12"/>
        <v>258.33199999999999</v>
      </c>
      <c r="BG50" s="2" t="str">
        <f t="shared" si="13"/>
        <v>D611</v>
      </c>
      <c r="BH50" s="31" t="str">
        <f t="shared" si="14"/>
        <v xml:space="preserve">  Cotisations sociales effectives</v>
      </c>
    </row>
    <row r="51" spans="1:60" ht="12.75" customHeight="1" outlineLevel="1" x14ac:dyDescent="0.2">
      <c r="A51" s="2" t="s">
        <v>60</v>
      </c>
      <c r="B51" s="2" t="s">
        <v>194</v>
      </c>
      <c r="C51" s="353">
        <v>58.366999999999997</v>
      </c>
      <c r="D51" s="354"/>
      <c r="E51" s="354"/>
      <c r="F51" s="354"/>
      <c r="G51" s="354">
        <v>58.366999999999997</v>
      </c>
      <c r="H51" s="354"/>
      <c r="I51" s="354"/>
      <c r="J51" s="354">
        <v>0</v>
      </c>
      <c r="K51" s="354"/>
      <c r="L51" s="353">
        <v>58.366999999999997</v>
      </c>
      <c r="M51" s="80"/>
      <c r="N51" s="353">
        <v>58.366999999999997</v>
      </c>
      <c r="O51" s="354"/>
      <c r="P51" s="354">
        <v>0</v>
      </c>
      <c r="Q51" s="354"/>
      <c r="R51" s="354">
        <v>0</v>
      </c>
      <c r="S51" s="354">
        <v>0.01</v>
      </c>
      <c r="T51" s="354">
        <v>43.965000000000003</v>
      </c>
      <c r="U51" s="354">
        <v>1.036</v>
      </c>
      <c r="V51" s="354">
        <v>13.356</v>
      </c>
      <c r="W51" s="353">
        <v>58.366999999999997</v>
      </c>
      <c r="X51" s="2" t="s">
        <v>60</v>
      </c>
      <c r="Y51" s="31" t="s">
        <v>194</v>
      </c>
      <c r="AW51">
        <f t="shared" si="3"/>
        <v>58.366999999999997</v>
      </c>
      <c r="AX51">
        <f t="shared" si="4"/>
        <v>13.356</v>
      </c>
      <c r="AY51">
        <f t="shared" si="5"/>
        <v>1.036</v>
      </c>
      <c r="AZ51">
        <f t="shared" si="6"/>
        <v>43.965000000000003</v>
      </c>
      <c r="BA51">
        <f t="shared" si="7"/>
        <v>0.01</v>
      </c>
      <c r="BB51">
        <f t="shared" si="8"/>
        <v>0</v>
      </c>
      <c r="BC51">
        <f t="shared" si="9"/>
        <v>0</v>
      </c>
      <c r="BD51">
        <f t="shared" si="10"/>
        <v>0</v>
      </c>
      <c r="BE51">
        <f t="shared" si="11"/>
        <v>0</v>
      </c>
      <c r="BF51">
        <f t="shared" si="12"/>
        <v>58.366999999999997</v>
      </c>
      <c r="BG51" s="2" t="str">
        <f t="shared" si="13"/>
        <v>D612</v>
      </c>
      <c r="BH51" s="31" t="str">
        <f t="shared" si="14"/>
        <v xml:space="preserve">  Cotisations sociales imputées</v>
      </c>
    </row>
    <row r="52" spans="1:60" ht="12.75" customHeight="1" outlineLevel="1" x14ac:dyDescent="0.2">
      <c r="A52" s="81" t="s">
        <v>61</v>
      </c>
      <c r="B52" s="81" t="s">
        <v>234</v>
      </c>
      <c r="C52" s="353">
        <v>522.00400000000002</v>
      </c>
      <c r="D52" s="354">
        <v>13.467000000000001</v>
      </c>
      <c r="E52" s="354">
        <v>35.055999999999997</v>
      </c>
      <c r="F52" s="354">
        <v>473.04700000000003</v>
      </c>
      <c r="G52" s="354">
        <v>0.01</v>
      </c>
      <c r="H52" s="354">
        <v>0.42399999999999999</v>
      </c>
      <c r="I52" s="354"/>
      <c r="J52" s="354">
        <v>5.5430000000000001</v>
      </c>
      <c r="K52" s="354"/>
      <c r="L52" s="353">
        <v>527.54700000000003</v>
      </c>
      <c r="M52" s="80"/>
      <c r="N52" s="353">
        <v>147.44900000000001</v>
      </c>
      <c r="O52" s="354"/>
      <c r="P52" s="354">
        <v>2.1440000000000001</v>
      </c>
      <c r="Q52" s="354"/>
      <c r="R52" s="354">
        <v>0</v>
      </c>
      <c r="S52" s="354">
        <v>0</v>
      </c>
      <c r="T52" s="354">
        <v>116.38</v>
      </c>
      <c r="U52" s="354">
        <v>28.724</v>
      </c>
      <c r="V52" s="354">
        <v>0.20100000000000001</v>
      </c>
      <c r="W52" s="353">
        <v>145.30500000000001</v>
      </c>
      <c r="X52" s="81" t="s">
        <v>61</v>
      </c>
      <c r="Y52" s="81" t="s">
        <v>234</v>
      </c>
      <c r="AW52">
        <f t="shared" si="3"/>
        <v>145.30500000000001</v>
      </c>
      <c r="AX52">
        <f t="shared" si="4"/>
        <v>0.20100000000000001</v>
      </c>
      <c r="AY52">
        <f t="shared" si="5"/>
        <v>28.724</v>
      </c>
      <c r="AZ52">
        <f t="shared" si="6"/>
        <v>116.38</v>
      </c>
      <c r="BA52">
        <f t="shared" si="7"/>
        <v>0</v>
      </c>
      <c r="BB52">
        <f t="shared" si="8"/>
        <v>0</v>
      </c>
      <c r="BC52">
        <f t="shared" si="9"/>
        <v>0</v>
      </c>
      <c r="BD52">
        <f t="shared" si="10"/>
        <v>2.1440000000000001</v>
      </c>
      <c r="BE52">
        <f t="shared" si="11"/>
        <v>0</v>
      </c>
      <c r="BF52">
        <f t="shared" si="12"/>
        <v>147.44900000000001</v>
      </c>
      <c r="BG52" s="81" t="str">
        <f t="shared" si="13"/>
        <v>D62</v>
      </c>
      <c r="BH52" s="81" t="str">
        <f t="shared" si="14"/>
        <v>Prest. soc. autres que transf. sociaux en nature</v>
      </c>
    </row>
    <row r="53" spans="1:60" ht="12.75" customHeight="1" outlineLevel="1" x14ac:dyDescent="0.2">
      <c r="A53" s="2" t="s">
        <v>62</v>
      </c>
      <c r="B53" s="2" t="s">
        <v>63</v>
      </c>
      <c r="C53" s="353">
        <v>745.59</v>
      </c>
      <c r="D53" s="354">
        <v>42.468000000000004</v>
      </c>
      <c r="E53" s="354">
        <v>99.712999999999994</v>
      </c>
      <c r="F53" s="354">
        <v>528.09199999999998</v>
      </c>
      <c r="G53" s="354">
        <v>73.736000000000004</v>
      </c>
      <c r="H53" s="354">
        <v>1.581</v>
      </c>
      <c r="I53" s="354"/>
      <c r="J53" s="354">
        <v>15.846</v>
      </c>
      <c r="K53" s="354"/>
      <c r="L53" s="353">
        <v>761.43600000000004</v>
      </c>
      <c r="M53" s="80"/>
      <c r="N53" s="353">
        <v>527.54700000000003</v>
      </c>
      <c r="O53" s="354"/>
      <c r="P53" s="354">
        <v>7.7869999999999999</v>
      </c>
      <c r="Q53" s="354"/>
      <c r="R53" s="354"/>
      <c r="S53" s="354">
        <v>519.76</v>
      </c>
      <c r="T53" s="354"/>
      <c r="U53" s="354"/>
      <c r="V53" s="354"/>
      <c r="W53" s="353">
        <v>519.76</v>
      </c>
      <c r="X53" s="2" t="s">
        <v>62</v>
      </c>
      <c r="Y53" s="31" t="s">
        <v>63</v>
      </c>
      <c r="AW53">
        <f t="shared" si="3"/>
        <v>519.76</v>
      </c>
      <c r="AX53">
        <f t="shared" si="4"/>
        <v>0</v>
      </c>
      <c r="AY53">
        <f t="shared" si="5"/>
        <v>0</v>
      </c>
      <c r="AZ53">
        <f t="shared" si="6"/>
        <v>0</v>
      </c>
      <c r="BA53">
        <f t="shared" si="7"/>
        <v>519.76</v>
      </c>
      <c r="BB53">
        <f t="shared" si="8"/>
        <v>0</v>
      </c>
      <c r="BC53">
        <f t="shared" si="9"/>
        <v>0</v>
      </c>
      <c r="BD53">
        <f t="shared" si="10"/>
        <v>7.7869999999999999</v>
      </c>
      <c r="BE53">
        <f t="shared" si="11"/>
        <v>0</v>
      </c>
      <c r="BF53">
        <f t="shared" si="12"/>
        <v>527.54700000000003</v>
      </c>
      <c r="BG53" s="2" t="str">
        <f t="shared" si="13"/>
        <v>D7</v>
      </c>
      <c r="BH53" s="31" t="str">
        <f t="shared" si="14"/>
        <v>Autres transferts courants</v>
      </c>
    </row>
    <row r="54" spans="1:60" ht="12.75" customHeight="1" outlineLevel="1" x14ac:dyDescent="0.2">
      <c r="A54" s="2" t="s">
        <v>64</v>
      </c>
      <c r="B54" s="2" t="s">
        <v>195</v>
      </c>
      <c r="C54" s="353">
        <v>73.777000000000001</v>
      </c>
      <c r="D54" s="354">
        <v>10.946999999999999</v>
      </c>
      <c r="E54" s="354">
        <v>24.632000000000001</v>
      </c>
      <c r="F54" s="354">
        <v>1.095</v>
      </c>
      <c r="G54" s="354">
        <v>37.039000000000001</v>
      </c>
      <c r="H54" s="354">
        <v>6.4000000000000001E-2</v>
      </c>
      <c r="I54" s="354"/>
      <c r="J54" s="354">
        <v>5.0830000000000002</v>
      </c>
      <c r="K54" s="354"/>
      <c r="L54" s="353">
        <v>78.86</v>
      </c>
      <c r="M54" s="80"/>
      <c r="N54" s="353">
        <v>761.43700000000001</v>
      </c>
      <c r="O54" s="354"/>
      <c r="P54" s="354">
        <v>57.651000000000003</v>
      </c>
      <c r="Q54" s="354"/>
      <c r="R54" s="354">
        <v>49.08</v>
      </c>
      <c r="S54" s="354">
        <v>75.192999999999998</v>
      </c>
      <c r="T54" s="354">
        <v>461.30099999999999</v>
      </c>
      <c r="U54" s="354">
        <v>98.927999999999997</v>
      </c>
      <c r="V54" s="354">
        <v>19.283999999999999</v>
      </c>
      <c r="W54" s="353">
        <v>703.78599999999994</v>
      </c>
      <c r="X54" s="2" t="s">
        <v>64</v>
      </c>
      <c r="Y54" s="31" t="s">
        <v>195</v>
      </c>
      <c r="AW54">
        <f t="shared" si="3"/>
        <v>703.78599999999994</v>
      </c>
      <c r="AX54">
        <f t="shared" si="4"/>
        <v>19.283999999999999</v>
      </c>
      <c r="AY54">
        <f t="shared" si="5"/>
        <v>98.927999999999997</v>
      </c>
      <c r="AZ54">
        <f t="shared" si="6"/>
        <v>461.30099999999999</v>
      </c>
      <c r="BA54">
        <f t="shared" si="7"/>
        <v>75.192999999999998</v>
      </c>
      <c r="BB54">
        <f t="shared" si="8"/>
        <v>49.08</v>
      </c>
      <c r="BC54">
        <f t="shared" si="9"/>
        <v>0</v>
      </c>
      <c r="BD54">
        <f t="shared" si="10"/>
        <v>57.651000000000003</v>
      </c>
      <c r="BE54">
        <f t="shared" si="11"/>
        <v>0</v>
      </c>
      <c r="BF54">
        <f t="shared" si="12"/>
        <v>761.43700000000001</v>
      </c>
      <c r="BG54" s="2" t="str">
        <f t="shared" si="13"/>
        <v>D71</v>
      </c>
      <c r="BH54" s="31" t="str">
        <f t="shared" si="14"/>
        <v xml:space="preserve">  Primes nettes d'assurance dommage</v>
      </c>
    </row>
    <row r="55" spans="1:60" ht="12.75" customHeight="1" outlineLevel="1" x14ac:dyDescent="0.2">
      <c r="A55" s="2" t="s">
        <v>65</v>
      </c>
      <c r="B55" s="2" t="s">
        <v>196</v>
      </c>
      <c r="C55" s="353">
        <v>74.632000000000005</v>
      </c>
      <c r="D55" s="354"/>
      <c r="E55" s="354">
        <v>74.599999999999994</v>
      </c>
      <c r="F55" s="354">
        <v>3.2000000000000001E-2</v>
      </c>
      <c r="G55" s="354"/>
      <c r="H55" s="354"/>
      <c r="I55" s="354"/>
      <c r="J55" s="354">
        <v>1.7490000000000001</v>
      </c>
      <c r="K55" s="354"/>
      <c r="L55" s="353">
        <v>76.381</v>
      </c>
      <c r="M55" s="80"/>
      <c r="N55" s="353">
        <v>78.86</v>
      </c>
      <c r="O55" s="354"/>
      <c r="P55" s="354">
        <v>4.6180000000000003</v>
      </c>
      <c r="Q55" s="354"/>
      <c r="R55" s="354"/>
      <c r="S55" s="354"/>
      <c r="T55" s="354">
        <v>3.2000000000000001E-2</v>
      </c>
      <c r="U55" s="354">
        <v>74.209999999999994</v>
      </c>
      <c r="V55" s="354"/>
      <c r="W55" s="353">
        <v>74.242000000000004</v>
      </c>
      <c r="X55" s="2" t="s">
        <v>65</v>
      </c>
      <c r="Y55" s="31" t="s">
        <v>196</v>
      </c>
      <c r="AW55">
        <f t="shared" si="3"/>
        <v>74.242000000000004</v>
      </c>
      <c r="AX55">
        <f t="shared" si="4"/>
        <v>0</v>
      </c>
      <c r="AY55">
        <f t="shared" si="5"/>
        <v>74.209999999999994</v>
      </c>
      <c r="AZ55">
        <f t="shared" si="6"/>
        <v>3.2000000000000001E-2</v>
      </c>
      <c r="BA55">
        <f t="shared" si="7"/>
        <v>0</v>
      </c>
      <c r="BB55">
        <f t="shared" si="8"/>
        <v>0</v>
      </c>
      <c r="BC55">
        <f t="shared" si="9"/>
        <v>0</v>
      </c>
      <c r="BD55">
        <f t="shared" si="10"/>
        <v>4.6180000000000003</v>
      </c>
      <c r="BE55">
        <f t="shared" si="11"/>
        <v>0</v>
      </c>
      <c r="BF55">
        <f t="shared" si="12"/>
        <v>78.86</v>
      </c>
      <c r="BG55" s="2" t="str">
        <f t="shared" si="13"/>
        <v>D72</v>
      </c>
      <c r="BH55" s="31" t="str">
        <f t="shared" si="14"/>
        <v xml:space="preserve">  Indemnités d'assurance dommage</v>
      </c>
    </row>
    <row r="56" spans="1:60" ht="12.75" customHeight="1" outlineLevel="1" x14ac:dyDescent="0.2">
      <c r="A56" s="2" t="s">
        <v>66</v>
      </c>
      <c r="B56" s="81" t="s">
        <v>197</v>
      </c>
      <c r="C56" s="353">
        <v>442.99900000000002</v>
      </c>
      <c r="D56" s="354"/>
      <c r="E56" s="354"/>
      <c r="F56" s="354">
        <v>442.99900000000002</v>
      </c>
      <c r="G56" s="354"/>
      <c r="H56" s="354"/>
      <c r="I56" s="354"/>
      <c r="J56" s="354"/>
      <c r="K56" s="354"/>
      <c r="L56" s="353">
        <v>442.99900000000002</v>
      </c>
      <c r="M56" s="80"/>
      <c r="N56" s="353">
        <v>442.99900000000002</v>
      </c>
      <c r="O56" s="354"/>
      <c r="P56" s="354"/>
      <c r="Q56" s="354"/>
      <c r="R56" s="354"/>
      <c r="S56" s="354"/>
      <c r="T56" s="354">
        <v>442.99900000000002</v>
      </c>
      <c r="U56" s="354"/>
      <c r="V56" s="354"/>
      <c r="W56" s="353">
        <v>442.99900000000002</v>
      </c>
      <c r="X56" s="2" t="s">
        <v>66</v>
      </c>
      <c r="Y56" s="31" t="s">
        <v>197</v>
      </c>
      <c r="AW56">
        <f t="shared" si="3"/>
        <v>442.99900000000002</v>
      </c>
      <c r="AX56">
        <f t="shared" si="4"/>
        <v>0</v>
      </c>
      <c r="AY56">
        <f t="shared" si="5"/>
        <v>0</v>
      </c>
      <c r="AZ56">
        <f t="shared" si="6"/>
        <v>442.99900000000002</v>
      </c>
      <c r="BA56">
        <f t="shared" si="7"/>
        <v>0</v>
      </c>
      <c r="BB56">
        <f t="shared" si="8"/>
        <v>0</v>
      </c>
      <c r="BC56">
        <f t="shared" si="9"/>
        <v>0</v>
      </c>
      <c r="BD56">
        <f t="shared" si="10"/>
        <v>0</v>
      </c>
      <c r="BE56">
        <f t="shared" si="11"/>
        <v>0</v>
      </c>
      <c r="BF56">
        <f t="shared" si="12"/>
        <v>442.99900000000002</v>
      </c>
      <c r="BG56" s="2" t="str">
        <f t="shared" si="13"/>
        <v>D73</v>
      </c>
      <c r="BH56" s="31" t="str">
        <f t="shared" si="14"/>
        <v xml:space="preserve">  Transferts courants entre administrations publiques</v>
      </c>
    </row>
    <row r="57" spans="1:60" ht="12.75" customHeight="1" outlineLevel="1" x14ac:dyDescent="0.2">
      <c r="A57" s="2" t="s">
        <v>67</v>
      </c>
      <c r="B57" s="2" t="s">
        <v>198</v>
      </c>
      <c r="C57" s="353">
        <v>8.3149999999999995</v>
      </c>
      <c r="D57" s="354"/>
      <c r="E57" s="354"/>
      <c r="F57" s="354">
        <v>8.3149999999999995</v>
      </c>
      <c r="G57" s="354"/>
      <c r="H57" s="354"/>
      <c r="I57" s="354"/>
      <c r="J57" s="354">
        <v>2.2709999999999999</v>
      </c>
      <c r="K57" s="354"/>
      <c r="L57" s="353">
        <v>10.586</v>
      </c>
      <c r="M57" s="80"/>
      <c r="N57" s="353">
        <v>10.586</v>
      </c>
      <c r="O57" s="354"/>
      <c r="P57" s="354">
        <v>8.3149999999999995</v>
      </c>
      <c r="Q57" s="354"/>
      <c r="R57" s="354"/>
      <c r="S57" s="354"/>
      <c r="T57" s="354">
        <v>2.2709999999999999</v>
      </c>
      <c r="U57" s="354"/>
      <c r="V57" s="354"/>
      <c r="W57" s="353">
        <v>2.2709999999999999</v>
      </c>
      <c r="X57" s="2" t="s">
        <v>67</v>
      </c>
      <c r="Y57" s="31" t="s">
        <v>198</v>
      </c>
      <c r="AW57">
        <f t="shared" si="3"/>
        <v>2.2709999999999999</v>
      </c>
      <c r="AX57">
        <f t="shared" si="4"/>
        <v>0</v>
      </c>
      <c r="AY57">
        <f t="shared" si="5"/>
        <v>0</v>
      </c>
      <c r="AZ57">
        <f t="shared" si="6"/>
        <v>2.2709999999999999</v>
      </c>
      <c r="BA57">
        <f t="shared" si="7"/>
        <v>0</v>
      </c>
      <c r="BB57">
        <f t="shared" si="8"/>
        <v>0</v>
      </c>
      <c r="BC57">
        <f t="shared" si="9"/>
        <v>0</v>
      </c>
      <c r="BD57">
        <f t="shared" si="10"/>
        <v>8.3149999999999995</v>
      </c>
      <c r="BE57">
        <f t="shared" si="11"/>
        <v>0</v>
      </c>
      <c r="BF57">
        <f t="shared" si="12"/>
        <v>10.586</v>
      </c>
      <c r="BG57" s="2" t="str">
        <f t="shared" si="13"/>
        <v>D74</v>
      </c>
      <c r="BH57" s="31" t="str">
        <f t="shared" si="14"/>
        <v xml:space="preserve">  Coopération internationale courante</v>
      </c>
    </row>
    <row r="58" spans="1:60" ht="12.75" customHeight="1" outlineLevel="1" x14ac:dyDescent="0.2">
      <c r="A58" s="2" t="s">
        <v>68</v>
      </c>
      <c r="B58" s="2" t="s">
        <v>199</v>
      </c>
      <c r="C58" s="353">
        <v>124.842</v>
      </c>
      <c r="D58" s="354">
        <v>31.521000000000001</v>
      </c>
      <c r="E58" s="354">
        <v>0.48099999999999998</v>
      </c>
      <c r="F58" s="354">
        <v>54.625999999999998</v>
      </c>
      <c r="G58" s="354">
        <v>36.697000000000003</v>
      </c>
      <c r="H58" s="354">
        <v>1.5169999999999999</v>
      </c>
      <c r="I58" s="354"/>
      <c r="J58" s="354">
        <v>6.7430000000000003</v>
      </c>
      <c r="K58" s="354"/>
      <c r="L58" s="353">
        <v>131.58500000000001</v>
      </c>
      <c r="M58" s="80"/>
      <c r="N58" s="353">
        <v>131.58600000000001</v>
      </c>
      <c r="O58" s="354"/>
      <c r="P58" s="354">
        <v>18.687000000000001</v>
      </c>
      <c r="Q58" s="354"/>
      <c r="R58" s="354">
        <v>49.017000000000003</v>
      </c>
      <c r="S58" s="354">
        <v>37.652999999999999</v>
      </c>
      <c r="T58" s="354">
        <v>14.943</v>
      </c>
      <c r="U58" s="354">
        <v>8.5000000000000006E-2</v>
      </c>
      <c r="V58" s="354">
        <v>11.201000000000001</v>
      </c>
      <c r="W58" s="353">
        <v>112.899</v>
      </c>
      <c r="X58" s="32" t="s">
        <v>68</v>
      </c>
      <c r="Y58" s="33" t="s">
        <v>199</v>
      </c>
      <c r="AW58">
        <f t="shared" si="3"/>
        <v>112.899</v>
      </c>
      <c r="AX58">
        <f t="shared" si="4"/>
        <v>11.201000000000001</v>
      </c>
      <c r="AY58">
        <f t="shared" si="5"/>
        <v>8.5000000000000006E-2</v>
      </c>
      <c r="AZ58">
        <f t="shared" si="6"/>
        <v>14.943</v>
      </c>
      <c r="BA58">
        <f t="shared" si="7"/>
        <v>37.652999999999999</v>
      </c>
      <c r="BB58">
        <f t="shared" si="8"/>
        <v>49.017000000000003</v>
      </c>
      <c r="BC58">
        <f t="shared" si="9"/>
        <v>0</v>
      </c>
      <c r="BD58">
        <f t="shared" si="10"/>
        <v>18.687000000000001</v>
      </c>
      <c r="BE58">
        <f t="shared" si="11"/>
        <v>0</v>
      </c>
      <c r="BF58">
        <f t="shared" si="12"/>
        <v>131.58600000000001</v>
      </c>
      <c r="BG58" s="32" t="str">
        <f t="shared" si="13"/>
        <v>D75</v>
      </c>
      <c r="BH58" s="33" t="str">
        <f t="shared" si="14"/>
        <v xml:space="preserve">  Transferts courants divers</v>
      </c>
    </row>
    <row r="59" spans="1:60" ht="12.75" customHeight="1" outlineLevel="1" x14ac:dyDescent="0.2">
      <c r="A59" s="2"/>
      <c r="B59" s="2"/>
      <c r="C59" s="353">
        <v>21.024999999999999</v>
      </c>
      <c r="D59" s="354"/>
      <c r="E59" s="354"/>
      <c r="F59" s="354">
        <v>21.024999999999999</v>
      </c>
      <c r="G59" s="354"/>
      <c r="H59" s="354"/>
      <c r="I59" s="354"/>
      <c r="J59" s="354"/>
      <c r="K59" s="354"/>
      <c r="L59" s="353">
        <v>21.024999999999999</v>
      </c>
      <c r="M59" s="80"/>
      <c r="N59" s="353">
        <v>21.024999999999999</v>
      </c>
      <c r="O59" s="354"/>
      <c r="P59" s="354">
        <v>21.024999999999999</v>
      </c>
      <c r="Q59" s="354"/>
      <c r="R59" s="354"/>
      <c r="S59" s="354"/>
      <c r="T59" s="354"/>
      <c r="U59" s="354"/>
      <c r="V59" s="354"/>
      <c r="W59" s="353"/>
      <c r="X59" s="16" t="s">
        <v>71</v>
      </c>
      <c r="Y59" s="22"/>
      <c r="AW59">
        <f t="shared" si="3"/>
        <v>0</v>
      </c>
      <c r="AX59">
        <f t="shared" si="4"/>
        <v>0</v>
      </c>
      <c r="AY59">
        <f t="shared" si="5"/>
        <v>0</v>
      </c>
      <c r="AZ59">
        <f t="shared" si="6"/>
        <v>0</v>
      </c>
      <c r="BA59">
        <f t="shared" si="7"/>
        <v>0</v>
      </c>
      <c r="BB59">
        <f t="shared" si="8"/>
        <v>0</v>
      </c>
      <c r="BC59">
        <f t="shared" si="9"/>
        <v>0</v>
      </c>
      <c r="BD59">
        <f t="shared" si="10"/>
        <v>21.024999999999999</v>
      </c>
      <c r="BE59">
        <f t="shared" si="11"/>
        <v>0</v>
      </c>
      <c r="BF59">
        <f t="shared" si="12"/>
        <v>21.024999999999999</v>
      </c>
      <c r="BG59" s="16" t="str">
        <f t="shared" si="13"/>
        <v>Compte d'utilisation du revenu</v>
      </c>
      <c r="BH59" s="22">
        <f t="shared" si="14"/>
        <v>0</v>
      </c>
    </row>
    <row r="60" spans="1:60" ht="12.75" customHeight="1" outlineLevel="1" x14ac:dyDescent="0.2">
      <c r="A60" s="59" t="s">
        <v>69</v>
      </c>
      <c r="B60" s="59" t="s">
        <v>70</v>
      </c>
      <c r="C60" s="353">
        <v>2443.8530000000001</v>
      </c>
      <c r="D60" s="353">
        <v>299.62299999999999</v>
      </c>
      <c r="E60" s="353">
        <v>23.373000000000001</v>
      </c>
      <c r="F60" s="353">
        <v>588.86500000000001</v>
      </c>
      <c r="G60" s="353">
        <v>1479.606</v>
      </c>
      <c r="H60" s="353">
        <v>52.386000000000003</v>
      </c>
      <c r="I60" s="353"/>
      <c r="J60" s="353"/>
      <c r="K60" s="353"/>
      <c r="L60" s="353">
        <v>2443.8530000000001</v>
      </c>
      <c r="M60" s="80"/>
      <c r="N60" s="353">
        <v>2443.8530000000001</v>
      </c>
      <c r="O60" s="353"/>
      <c r="P60" s="353"/>
      <c r="Q60" s="353"/>
      <c r="R60" s="353">
        <v>52.386000000000003</v>
      </c>
      <c r="S60" s="353">
        <v>1479.606</v>
      </c>
      <c r="T60" s="353">
        <v>588.86500000000001</v>
      </c>
      <c r="U60" s="353">
        <v>23.373000000000001</v>
      </c>
      <c r="V60" s="353">
        <v>299.62299999999999</v>
      </c>
      <c r="W60" s="353">
        <v>2443.8530000000001</v>
      </c>
      <c r="X60" s="59" t="s">
        <v>69</v>
      </c>
      <c r="Y60" s="61" t="s">
        <v>70</v>
      </c>
      <c r="Z60" s="80">
        <f>S45+SUM(S52:S53)-SUM(G48:G49,G53)</f>
        <v>1404.4129999999996</v>
      </c>
      <c r="AA60" s="90">
        <f>Z60-G60</f>
        <v>-75.193000000000438</v>
      </c>
      <c r="AW60">
        <f t="shared" si="3"/>
        <v>2443.8530000000001</v>
      </c>
      <c r="AX60">
        <f t="shared" si="4"/>
        <v>299.62299999999999</v>
      </c>
      <c r="AY60">
        <f t="shared" si="5"/>
        <v>23.373000000000001</v>
      </c>
      <c r="AZ60">
        <f t="shared" si="6"/>
        <v>588.86500000000001</v>
      </c>
      <c r="BA60">
        <f t="shared" si="7"/>
        <v>1479.606</v>
      </c>
      <c r="BB60">
        <f t="shared" si="8"/>
        <v>52.386000000000003</v>
      </c>
      <c r="BC60">
        <f t="shared" si="9"/>
        <v>0</v>
      </c>
      <c r="BD60">
        <f t="shared" si="10"/>
        <v>0</v>
      </c>
      <c r="BE60">
        <f t="shared" si="11"/>
        <v>0</v>
      </c>
      <c r="BF60">
        <f t="shared" si="12"/>
        <v>2443.8530000000001</v>
      </c>
      <c r="BG60" s="59" t="str">
        <f t="shared" si="13"/>
        <v>B6</v>
      </c>
      <c r="BH60" s="61" t="str">
        <f t="shared" si="14"/>
        <v>Revenu disponible brut</v>
      </c>
    </row>
    <row r="61" spans="1:60" ht="12.75" customHeight="1" outlineLevel="1" x14ac:dyDescent="0.2">
      <c r="A61" s="65" t="s">
        <v>128</v>
      </c>
      <c r="B61" s="65" t="s">
        <v>129</v>
      </c>
      <c r="C61" s="353">
        <v>1993.68</v>
      </c>
      <c r="D61" s="353">
        <v>42.030999999999999</v>
      </c>
      <c r="E61" s="353">
        <v>4.109</v>
      </c>
      <c r="F61" s="353">
        <v>508.75200000000001</v>
      </c>
      <c r="G61" s="353">
        <v>1391.0329999999999</v>
      </c>
      <c r="H61" s="353">
        <v>47.755000000000003</v>
      </c>
      <c r="I61" s="353"/>
      <c r="J61" s="353"/>
      <c r="K61" s="353"/>
      <c r="L61" s="353">
        <v>1993.68</v>
      </c>
      <c r="M61" s="80"/>
      <c r="N61" s="353">
        <v>1993.68</v>
      </c>
      <c r="O61" s="353"/>
      <c r="P61" s="353"/>
      <c r="Q61" s="353"/>
      <c r="R61" s="353">
        <v>47.755000000000003</v>
      </c>
      <c r="S61" s="353">
        <v>1391.0329999999999</v>
      </c>
      <c r="T61" s="353">
        <v>508.75200000000001</v>
      </c>
      <c r="U61" s="353">
        <v>4.109</v>
      </c>
      <c r="V61" s="353">
        <v>42.030999999999999</v>
      </c>
      <c r="W61" s="353">
        <v>1993.68</v>
      </c>
      <c r="X61" s="59" t="s">
        <v>128</v>
      </c>
      <c r="Y61" s="61" t="s">
        <v>129</v>
      </c>
      <c r="Z61" s="80">
        <f>S46+SUM(S52:S53)-SUM(G48:G49,G53)</f>
        <v>1315.8400000000001</v>
      </c>
      <c r="AA61" s="90">
        <f>Z61-G61</f>
        <v>-75.192999999999756</v>
      </c>
      <c r="AW61">
        <f t="shared" si="3"/>
        <v>1993.68</v>
      </c>
      <c r="AX61">
        <f t="shared" si="4"/>
        <v>42.030999999999999</v>
      </c>
      <c r="AY61">
        <f t="shared" si="5"/>
        <v>4.109</v>
      </c>
      <c r="AZ61">
        <f t="shared" si="6"/>
        <v>508.75200000000001</v>
      </c>
      <c r="BA61">
        <f t="shared" si="7"/>
        <v>1391.0329999999999</v>
      </c>
      <c r="BB61">
        <f t="shared" si="8"/>
        <v>47.755000000000003</v>
      </c>
      <c r="BC61">
        <f t="shared" si="9"/>
        <v>0</v>
      </c>
      <c r="BD61">
        <f t="shared" si="10"/>
        <v>0</v>
      </c>
      <c r="BE61">
        <f t="shared" si="11"/>
        <v>0</v>
      </c>
      <c r="BF61">
        <f t="shared" si="12"/>
        <v>1993.68</v>
      </c>
      <c r="BG61" s="59" t="str">
        <f t="shared" si="13"/>
        <v>B6n</v>
      </c>
      <c r="BH61" s="61" t="str">
        <f t="shared" si="14"/>
        <v>Revenu disponible net</v>
      </c>
    </row>
    <row r="62" spans="1:60" ht="12.75" customHeight="1" outlineLevel="1" x14ac:dyDescent="0.2">
      <c r="A62" s="17" t="s">
        <v>71</v>
      </c>
      <c r="B62" s="1"/>
      <c r="C62" s="353"/>
      <c r="D62" s="354"/>
      <c r="E62" s="354"/>
      <c r="F62" s="354"/>
      <c r="G62" s="354"/>
      <c r="H62" s="354"/>
      <c r="I62" s="354"/>
      <c r="J62" s="354"/>
      <c r="K62" s="353"/>
      <c r="L62" s="353"/>
      <c r="M62" s="80"/>
      <c r="N62" s="67"/>
      <c r="O62" s="78"/>
      <c r="P62" s="68"/>
      <c r="Q62" s="68"/>
      <c r="R62" s="68"/>
      <c r="S62" s="68"/>
      <c r="T62" s="68"/>
      <c r="U62" s="68"/>
      <c r="V62" s="68"/>
      <c r="W62" s="67"/>
      <c r="X62" s="2"/>
      <c r="Y62" s="31"/>
      <c r="AW62">
        <f t="shared" si="3"/>
        <v>0</v>
      </c>
      <c r="AX62">
        <f t="shared" si="4"/>
        <v>0</v>
      </c>
      <c r="AY62">
        <f t="shared" si="5"/>
        <v>0</v>
      </c>
      <c r="AZ62">
        <f t="shared" si="6"/>
        <v>0</v>
      </c>
      <c r="BA62">
        <f t="shared" si="7"/>
        <v>0</v>
      </c>
      <c r="BB62">
        <f t="shared" si="8"/>
        <v>0</v>
      </c>
      <c r="BC62">
        <f t="shared" si="9"/>
        <v>0</v>
      </c>
      <c r="BD62">
        <f t="shared" si="10"/>
        <v>0</v>
      </c>
      <c r="BE62">
        <f t="shared" si="11"/>
        <v>0</v>
      </c>
      <c r="BF62">
        <f t="shared" si="12"/>
        <v>0</v>
      </c>
      <c r="BG62" s="2">
        <f t="shared" si="13"/>
        <v>0</v>
      </c>
      <c r="BH62" s="31">
        <f t="shared" si="14"/>
        <v>0</v>
      </c>
    </row>
    <row r="63" spans="1:60" ht="12.75" customHeight="1" outlineLevel="1" x14ac:dyDescent="0.2">
      <c r="A63" s="2" t="s">
        <v>72</v>
      </c>
      <c r="B63" s="2" t="s">
        <v>73</v>
      </c>
      <c r="C63" s="353">
        <v>1867.0509999999999</v>
      </c>
      <c r="D63" s="354"/>
      <c r="E63" s="354"/>
      <c r="F63" s="354">
        <v>560.255</v>
      </c>
      <c r="G63" s="354">
        <v>1256.7239999999999</v>
      </c>
      <c r="H63" s="354">
        <v>50.072000000000003</v>
      </c>
      <c r="I63" s="354"/>
      <c r="J63" s="354"/>
      <c r="K63" s="354"/>
      <c r="L63" s="353">
        <v>1867.0509999999999</v>
      </c>
      <c r="M63" s="80"/>
      <c r="N63" s="353">
        <v>1867.0509999999999</v>
      </c>
      <c r="O63" s="354">
        <v>1867.0509999999999</v>
      </c>
      <c r="P63" s="354"/>
      <c r="Q63" s="354"/>
      <c r="R63" s="354"/>
      <c r="S63" s="354"/>
      <c r="T63" s="354"/>
      <c r="U63" s="354"/>
      <c r="V63" s="354"/>
      <c r="W63" s="353"/>
      <c r="X63" s="2" t="s">
        <v>72</v>
      </c>
      <c r="Y63" s="31" t="s">
        <v>73</v>
      </c>
      <c r="AW63">
        <f t="shared" si="3"/>
        <v>0</v>
      </c>
      <c r="AX63">
        <f t="shared" si="4"/>
        <v>0</v>
      </c>
      <c r="AY63">
        <f t="shared" si="5"/>
        <v>0</v>
      </c>
      <c r="AZ63">
        <f t="shared" si="6"/>
        <v>0</v>
      </c>
      <c r="BA63">
        <f t="shared" si="7"/>
        <v>0</v>
      </c>
      <c r="BB63">
        <f t="shared" si="8"/>
        <v>0</v>
      </c>
      <c r="BC63">
        <f t="shared" si="9"/>
        <v>0</v>
      </c>
      <c r="BD63">
        <f t="shared" si="10"/>
        <v>0</v>
      </c>
      <c r="BE63">
        <f t="shared" si="11"/>
        <v>1867.0509999999999</v>
      </c>
      <c r="BF63">
        <f t="shared" si="12"/>
        <v>1867.0509999999999</v>
      </c>
      <c r="BG63" s="2" t="str">
        <f t="shared" si="13"/>
        <v>P3</v>
      </c>
      <c r="BH63" s="31" t="str">
        <f t="shared" si="14"/>
        <v>Dépense de consommation finale</v>
      </c>
    </row>
    <row r="64" spans="1:60" ht="12.75" customHeight="1" outlineLevel="1" x14ac:dyDescent="0.2">
      <c r="A64" s="2" t="s">
        <v>74</v>
      </c>
      <c r="B64" s="2" t="s">
        <v>200</v>
      </c>
      <c r="C64" s="353">
        <v>1671.646</v>
      </c>
      <c r="D64" s="354"/>
      <c r="E64" s="354"/>
      <c r="F64" s="354">
        <v>364.85</v>
      </c>
      <c r="G64" s="354">
        <v>1256.7239999999999</v>
      </c>
      <c r="H64" s="354">
        <v>50.072000000000003</v>
      </c>
      <c r="I64" s="354"/>
      <c r="J64" s="354"/>
      <c r="K64" s="354"/>
      <c r="L64" s="353">
        <v>1671.646</v>
      </c>
      <c r="M64" s="80"/>
      <c r="N64" s="353">
        <v>1671.646</v>
      </c>
      <c r="O64" s="354">
        <v>1671.646</v>
      </c>
      <c r="P64" s="354"/>
      <c r="Q64" s="354"/>
      <c r="R64" s="354"/>
      <c r="S64" s="354"/>
      <c r="T64" s="354"/>
      <c r="U64" s="354"/>
      <c r="V64" s="354"/>
      <c r="W64" s="353"/>
      <c r="X64" s="2" t="s">
        <v>74</v>
      </c>
      <c r="Y64" s="31" t="s">
        <v>200</v>
      </c>
      <c r="AW64">
        <f t="shared" si="3"/>
        <v>0</v>
      </c>
      <c r="AX64">
        <f t="shared" si="4"/>
        <v>0</v>
      </c>
      <c r="AY64">
        <f t="shared" si="5"/>
        <v>0</v>
      </c>
      <c r="AZ64">
        <f t="shared" si="6"/>
        <v>0</v>
      </c>
      <c r="BA64">
        <f t="shared" si="7"/>
        <v>0</v>
      </c>
      <c r="BB64">
        <f t="shared" si="8"/>
        <v>0</v>
      </c>
      <c r="BC64">
        <f t="shared" si="9"/>
        <v>0</v>
      </c>
      <c r="BD64">
        <f t="shared" si="10"/>
        <v>0</v>
      </c>
      <c r="BE64">
        <f t="shared" si="11"/>
        <v>1671.646</v>
      </c>
      <c r="BF64">
        <f t="shared" si="12"/>
        <v>1671.646</v>
      </c>
      <c r="BG64" s="2" t="str">
        <f t="shared" si="13"/>
        <v>P31</v>
      </c>
      <c r="BH64" s="31" t="str">
        <f t="shared" si="14"/>
        <v xml:space="preserve">  Dépense de consommation finale individuelle</v>
      </c>
    </row>
    <row r="65" spans="1:60" ht="12.75" customHeight="1" outlineLevel="1" x14ac:dyDescent="0.2">
      <c r="A65" s="2" t="s">
        <v>75</v>
      </c>
      <c r="B65" s="2" t="s">
        <v>201</v>
      </c>
      <c r="C65" s="353">
        <v>195.405</v>
      </c>
      <c r="D65" s="354"/>
      <c r="E65" s="354"/>
      <c r="F65" s="354">
        <v>195.405</v>
      </c>
      <c r="G65" s="354"/>
      <c r="H65" s="354"/>
      <c r="I65" s="354"/>
      <c r="J65" s="354"/>
      <c r="K65" s="354"/>
      <c r="L65" s="353">
        <v>195.405</v>
      </c>
      <c r="M65" s="80"/>
      <c r="N65" s="353">
        <v>195.405</v>
      </c>
      <c r="O65" s="354">
        <v>195.405</v>
      </c>
      <c r="P65" s="354"/>
      <c r="Q65" s="354"/>
      <c r="R65" s="354"/>
      <c r="S65" s="354"/>
      <c r="T65" s="354"/>
      <c r="U65" s="354"/>
      <c r="V65" s="354"/>
      <c r="W65" s="353"/>
      <c r="X65" s="2" t="s">
        <v>75</v>
      </c>
      <c r="Y65" s="31" t="s">
        <v>201</v>
      </c>
      <c r="AW65">
        <f t="shared" si="3"/>
        <v>0</v>
      </c>
      <c r="AX65">
        <f t="shared" si="4"/>
        <v>0</v>
      </c>
      <c r="AY65">
        <f t="shared" si="5"/>
        <v>0</v>
      </c>
      <c r="AZ65">
        <f t="shared" si="6"/>
        <v>0</v>
      </c>
      <c r="BA65">
        <f t="shared" si="7"/>
        <v>0</v>
      </c>
      <c r="BB65">
        <f t="shared" si="8"/>
        <v>0</v>
      </c>
      <c r="BC65">
        <f t="shared" si="9"/>
        <v>0</v>
      </c>
      <c r="BD65">
        <f t="shared" si="10"/>
        <v>0</v>
      </c>
      <c r="BE65">
        <f t="shared" si="11"/>
        <v>195.405</v>
      </c>
      <c r="BF65">
        <f t="shared" si="12"/>
        <v>195.405</v>
      </c>
      <c r="BG65" s="2" t="str">
        <f t="shared" si="13"/>
        <v>P32</v>
      </c>
      <c r="BH65" s="31" t="str">
        <f t="shared" si="14"/>
        <v xml:space="preserve">  Dépense de consommation finale collective</v>
      </c>
    </row>
    <row r="66" spans="1:60" ht="12.75" customHeight="1" outlineLevel="1" x14ac:dyDescent="0.2">
      <c r="A66" s="2"/>
      <c r="B66" s="2"/>
      <c r="C66" s="67"/>
      <c r="D66" s="78"/>
      <c r="E66" s="78"/>
      <c r="F66" s="78"/>
      <c r="G66" s="78"/>
      <c r="H66" s="78"/>
      <c r="I66" s="78"/>
      <c r="J66" s="78"/>
      <c r="K66" s="78"/>
      <c r="L66" s="67"/>
      <c r="M66" s="80"/>
      <c r="N66" s="67"/>
      <c r="O66" s="78"/>
      <c r="P66" s="68"/>
      <c r="Q66" s="68"/>
      <c r="R66" s="68"/>
      <c r="S66" s="68"/>
      <c r="T66" s="68"/>
      <c r="U66" s="68"/>
      <c r="V66" s="68"/>
      <c r="W66" s="67"/>
      <c r="X66" s="2"/>
      <c r="Y66" s="31"/>
      <c r="AW66">
        <f t="shared" si="3"/>
        <v>0</v>
      </c>
      <c r="AX66">
        <f t="shared" si="4"/>
        <v>0</v>
      </c>
      <c r="AY66">
        <f t="shared" si="5"/>
        <v>0</v>
      </c>
      <c r="AZ66">
        <f t="shared" si="6"/>
        <v>0</v>
      </c>
      <c r="BA66">
        <f t="shared" si="7"/>
        <v>0</v>
      </c>
      <c r="BB66">
        <f t="shared" si="8"/>
        <v>0</v>
      </c>
      <c r="BC66">
        <f t="shared" si="9"/>
        <v>0</v>
      </c>
      <c r="BD66">
        <f t="shared" si="10"/>
        <v>0</v>
      </c>
      <c r="BE66">
        <f t="shared" si="11"/>
        <v>0</v>
      </c>
      <c r="BF66">
        <f t="shared" si="12"/>
        <v>0</v>
      </c>
      <c r="BG66" s="2">
        <f t="shared" si="13"/>
        <v>0</v>
      </c>
      <c r="BH66" s="31">
        <f t="shared" si="14"/>
        <v>0</v>
      </c>
    </row>
    <row r="67" spans="1:60" ht="12.75" customHeight="1" outlineLevel="1" x14ac:dyDescent="0.2">
      <c r="A67" s="22" t="s">
        <v>76</v>
      </c>
      <c r="B67" s="20"/>
      <c r="C67" s="71"/>
      <c r="D67" s="72"/>
      <c r="E67" s="72"/>
      <c r="F67" s="72"/>
      <c r="G67" s="72"/>
      <c r="H67" s="72"/>
      <c r="I67" s="72"/>
      <c r="J67" s="72"/>
      <c r="K67" s="72"/>
      <c r="L67" s="71"/>
      <c r="M67" s="80"/>
      <c r="N67" s="67"/>
      <c r="O67" s="78"/>
      <c r="P67" s="68"/>
      <c r="Q67" s="68"/>
      <c r="R67" s="68"/>
      <c r="S67" s="68"/>
      <c r="T67" s="68"/>
      <c r="U67" s="68"/>
      <c r="V67" s="68"/>
      <c r="W67" s="67"/>
      <c r="X67" s="36" t="s">
        <v>76</v>
      </c>
      <c r="Y67" s="2"/>
      <c r="AW67">
        <f t="shared" si="3"/>
        <v>0</v>
      </c>
      <c r="AX67">
        <f t="shared" si="4"/>
        <v>0</v>
      </c>
      <c r="AY67">
        <f t="shared" si="5"/>
        <v>0</v>
      </c>
      <c r="AZ67">
        <f t="shared" si="6"/>
        <v>0</v>
      </c>
      <c r="BA67">
        <f t="shared" si="7"/>
        <v>0</v>
      </c>
      <c r="BB67">
        <f t="shared" si="8"/>
        <v>0</v>
      </c>
      <c r="BC67">
        <f t="shared" si="9"/>
        <v>0</v>
      </c>
      <c r="BD67">
        <f t="shared" si="10"/>
        <v>0</v>
      </c>
      <c r="BE67">
        <f t="shared" si="11"/>
        <v>0</v>
      </c>
      <c r="BF67">
        <f t="shared" si="12"/>
        <v>0</v>
      </c>
      <c r="BG67" s="36" t="str">
        <f t="shared" si="13"/>
        <v>Ou : redistribution du revenu en nature</v>
      </c>
      <c r="BH67" s="2">
        <f t="shared" si="14"/>
        <v>0</v>
      </c>
    </row>
    <row r="68" spans="1:60" ht="12.75" customHeight="1" outlineLevel="1" x14ac:dyDescent="0.2">
      <c r="A68" s="22" t="s">
        <v>77</v>
      </c>
      <c r="B68" s="22" t="s">
        <v>78</v>
      </c>
      <c r="C68" s="355">
        <v>271.596</v>
      </c>
      <c r="D68" s="356"/>
      <c r="E68" s="356"/>
      <c r="F68" s="356">
        <v>221.524</v>
      </c>
      <c r="G68" s="356"/>
      <c r="H68" s="356">
        <v>50.072000000000003</v>
      </c>
      <c r="I68" s="356"/>
      <c r="J68" s="356"/>
      <c r="K68" s="356"/>
      <c r="L68" s="355">
        <v>271.596</v>
      </c>
      <c r="M68" s="80"/>
      <c r="N68" s="355">
        <v>271.596</v>
      </c>
      <c r="O68" s="356"/>
      <c r="P68" s="356"/>
      <c r="Q68" s="356"/>
      <c r="R68" s="356"/>
      <c r="S68" s="356">
        <v>271.596</v>
      </c>
      <c r="T68" s="356"/>
      <c r="U68" s="356"/>
      <c r="V68" s="356"/>
      <c r="W68" s="355">
        <v>271.596</v>
      </c>
      <c r="X68" s="22" t="s">
        <v>77</v>
      </c>
      <c r="Y68" s="36" t="s">
        <v>78</v>
      </c>
      <c r="AW68">
        <f t="shared" si="3"/>
        <v>271.596</v>
      </c>
      <c r="AX68">
        <f t="shared" si="4"/>
        <v>0</v>
      </c>
      <c r="AY68">
        <f t="shared" si="5"/>
        <v>0</v>
      </c>
      <c r="AZ68">
        <f t="shared" si="6"/>
        <v>0</v>
      </c>
      <c r="BA68">
        <f t="shared" si="7"/>
        <v>271.596</v>
      </c>
      <c r="BB68">
        <f t="shared" si="8"/>
        <v>0</v>
      </c>
      <c r="BC68">
        <f t="shared" si="9"/>
        <v>0</v>
      </c>
      <c r="BD68">
        <f t="shared" si="10"/>
        <v>0</v>
      </c>
      <c r="BE68">
        <f t="shared" si="11"/>
        <v>0</v>
      </c>
      <c r="BF68">
        <f t="shared" si="12"/>
        <v>271.596</v>
      </c>
      <c r="BG68" s="22" t="str">
        <f t="shared" si="13"/>
        <v>D631</v>
      </c>
      <c r="BH68" s="36" t="str">
        <f t="shared" si="14"/>
        <v>Prestations sociales en nature</v>
      </c>
    </row>
    <row r="69" spans="1:60" ht="12.75" customHeight="1" outlineLevel="1" x14ac:dyDescent="0.2">
      <c r="A69" s="22" t="s">
        <v>79</v>
      </c>
      <c r="B69" s="36" t="s">
        <v>232</v>
      </c>
      <c r="C69" s="355">
        <v>143.32599999999999</v>
      </c>
      <c r="D69" s="356"/>
      <c r="E69" s="356"/>
      <c r="F69" s="356">
        <v>143.32599999999999</v>
      </c>
      <c r="G69" s="356"/>
      <c r="H69" s="356">
        <v>0</v>
      </c>
      <c r="I69" s="356"/>
      <c r="J69" s="356"/>
      <c r="K69" s="356"/>
      <c r="L69" s="355">
        <v>143.32599999999999</v>
      </c>
      <c r="M69" s="80"/>
      <c r="N69" s="355">
        <v>143.32599999999999</v>
      </c>
      <c r="O69" s="356"/>
      <c r="P69" s="356"/>
      <c r="Q69" s="356"/>
      <c r="R69" s="356"/>
      <c r="S69" s="356">
        <v>143.32599999999999</v>
      </c>
      <c r="T69" s="356"/>
      <c r="U69" s="356"/>
      <c r="V69" s="356"/>
      <c r="W69" s="355">
        <v>143.32599999999999</v>
      </c>
      <c r="X69" s="22" t="s">
        <v>79</v>
      </c>
      <c r="Y69" s="36" t="s">
        <v>232</v>
      </c>
      <c r="AW69">
        <f t="shared" si="3"/>
        <v>143.32599999999999</v>
      </c>
      <c r="AX69">
        <f t="shared" si="4"/>
        <v>0</v>
      </c>
      <c r="AY69">
        <f t="shared" si="5"/>
        <v>0</v>
      </c>
      <c r="AZ69">
        <f t="shared" si="6"/>
        <v>0</v>
      </c>
      <c r="BA69">
        <f t="shared" si="7"/>
        <v>143.32599999999999</v>
      </c>
      <c r="BB69">
        <f t="shared" si="8"/>
        <v>0</v>
      </c>
      <c r="BC69">
        <f t="shared" si="9"/>
        <v>0</v>
      </c>
      <c r="BD69">
        <f t="shared" si="10"/>
        <v>0</v>
      </c>
      <c r="BE69">
        <f t="shared" si="11"/>
        <v>0</v>
      </c>
      <c r="BF69">
        <f t="shared" si="12"/>
        <v>143.32599999999999</v>
      </c>
      <c r="BG69" s="22" t="str">
        <f t="shared" si="13"/>
        <v>D632</v>
      </c>
      <c r="BH69" s="36" t="str">
        <f t="shared" si="14"/>
        <v>Transf. de biens et serv. non march. individuels</v>
      </c>
    </row>
    <row r="70" spans="1:60" ht="12.75" customHeight="1" outlineLevel="1" x14ac:dyDescent="0.2">
      <c r="A70" s="60" t="s">
        <v>130</v>
      </c>
      <c r="B70" s="60" t="s">
        <v>132</v>
      </c>
      <c r="C70" s="355">
        <v>2443.8530000000001</v>
      </c>
      <c r="D70" s="355">
        <v>299.62299999999999</v>
      </c>
      <c r="E70" s="355">
        <v>23.373000000000001</v>
      </c>
      <c r="F70" s="355">
        <v>224.01499999999999</v>
      </c>
      <c r="G70" s="355">
        <v>1894.528</v>
      </c>
      <c r="H70" s="355">
        <v>2.3140000000000001</v>
      </c>
      <c r="I70" s="355"/>
      <c r="J70" s="355"/>
      <c r="K70" s="355"/>
      <c r="L70" s="355">
        <v>2443.8530000000001</v>
      </c>
      <c r="M70" s="80"/>
      <c r="N70" s="355">
        <v>2443.8530000000001</v>
      </c>
      <c r="O70" s="355"/>
      <c r="P70" s="355"/>
      <c r="Q70" s="355"/>
      <c r="R70" s="355">
        <v>2.3140000000000001</v>
      </c>
      <c r="S70" s="355">
        <v>1894.528</v>
      </c>
      <c r="T70" s="355">
        <v>224.01499999999999</v>
      </c>
      <c r="U70" s="355">
        <v>23.373000000000001</v>
      </c>
      <c r="V70" s="355">
        <v>299.62299999999999</v>
      </c>
      <c r="W70" s="355">
        <v>2443.8530000000001</v>
      </c>
      <c r="X70" s="60" t="s">
        <v>130</v>
      </c>
      <c r="Y70" s="87" t="s">
        <v>132</v>
      </c>
      <c r="Z70" s="80">
        <f>S60+S$68+S$69</f>
        <v>1894.528</v>
      </c>
      <c r="AA70" s="90">
        <f>Z70-S70</f>
        <v>0</v>
      </c>
      <c r="AW70">
        <f t="shared" si="3"/>
        <v>2443.8530000000001</v>
      </c>
      <c r="AX70">
        <f t="shared" si="4"/>
        <v>299.62299999999999</v>
      </c>
      <c r="AY70">
        <f t="shared" si="5"/>
        <v>23.373000000000001</v>
      </c>
      <c r="AZ70">
        <f t="shared" si="6"/>
        <v>224.01499999999999</v>
      </c>
      <c r="BA70">
        <f t="shared" si="7"/>
        <v>1894.528</v>
      </c>
      <c r="BB70">
        <f t="shared" si="8"/>
        <v>2.3140000000000001</v>
      </c>
      <c r="BC70">
        <f t="shared" si="9"/>
        <v>0</v>
      </c>
      <c r="BD70">
        <f t="shared" si="10"/>
        <v>0</v>
      </c>
      <c r="BE70">
        <f t="shared" si="11"/>
        <v>0</v>
      </c>
      <c r="BF70">
        <f t="shared" si="12"/>
        <v>2443.8530000000001</v>
      </c>
      <c r="BG70" s="60" t="str">
        <f t="shared" si="13"/>
        <v>B7</v>
      </c>
      <c r="BH70" s="87" t="str">
        <f t="shared" si="14"/>
        <v>Revenu disponible ajusté brut</v>
      </c>
    </row>
    <row r="71" spans="1:60" ht="12.75" customHeight="1" outlineLevel="1" x14ac:dyDescent="0.2">
      <c r="A71" s="60" t="s">
        <v>131</v>
      </c>
      <c r="B71" s="60" t="s">
        <v>133</v>
      </c>
      <c r="C71" s="355">
        <v>1993.68</v>
      </c>
      <c r="D71" s="355">
        <v>42.030999999999999</v>
      </c>
      <c r="E71" s="355">
        <v>4.109</v>
      </c>
      <c r="F71" s="355">
        <v>143.90199999999999</v>
      </c>
      <c r="G71" s="355">
        <v>1805.9549999999999</v>
      </c>
      <c r="H71" s="355">
        <v>-2.3170000000000002</v>
      </c>
      <c r="I71" s="355"/>
      <c r="J71" s="355"/>
      <c r="K71" s="355"/>
      <c r="L71" s="355">
        <v>1993.68</v>
      </c>
      <c r="M71" s="80"/>
      <c r="N71" s="355">
        <v>1993.68</v>
      </c>
      <c r="O71" s="355"/>
      <c r="P71" s="355"/>
      <c r="Q71" s="355"/>
      <c r="R71" s="355">
        <v>-2.3170000000000002</v>
      </c>
      <c r="S71" s="355">
        <v>1805.9549999999999</v>
      </c>
      <c r="T71" s="355">
        <v>143.90199999999999</v>
      </c>
      <c r="U71" s="355">
        <v>4.109</v>
      </c>
      <c r="V71" s="355">
        <v>42.030999999999999</v>
      </c>
      <c r="W71" s="355">
        <v>1993.68</v>
      </c>
      <c r="X71" s="60" t="s">
        <v>131</v>
      </c>
      <c r="Y71" s="87" t="s">
        <v>133</v>
      </c>
      <c r="Z71" s="80">
        <f>S61+S$68+S$69</f>
        <v>1805.9549999999999</v>
      </c>
      <c r="AA71" s="90">
        <f>Z71-S71</f>
        <v>0</v>
      </c>
      <c r="AW71">
        <f t="shared" ref="AW71:AW134" si="20">W71</f>
        <v>1993.68</v>
      </c>
      <c r="AX71">
        <f t="shared" ref="AX71:AX134" si="21">V71</f>
        <v>42.030999999999999</v>
      </c>
      <c r="AY71">
        <f t="shared" ref="AY71:AY134" si="22">U71</f>
        <v>4.109</v>
      </c>
      <c r="AZ71">
        <f t="shared" ref="AZ71:AZ134" si="23">T71</f>
        <v>143.90199999999999</v>
      </c>
      <c r="BA71">
        <f t="shared" ref="BA71:BA134" si="24">S71</f>
        <v>1805.9549999999999</v>
      </c>
      <c r="BB71">
        <f t="shared" ref="BB71:BB134" si="25">R71</f>
        <v>-2.3170000000000002</v>
      </c>
      <c r="BC71">
        <f t="shared" ref="BC71:BC134" si="26">Q71</f>
        <v>0</v>
      </c>
      <c r="BD71">
        <f t="shared" ref="BD71:BD134" si="27">P71</f>
        <v>0</v>
      </c>
      <c r="BE71">
        <f t="shared" ref="BE71:BE134" si="28">O71</f>
        <v>0</v>
      </c>
      <c r="BF71">
        <f t="shared" ref="BF71:BF134" si="29">N71</f>
        <v>1993.68</v>
      </c>
      <c r="BG71" s="60" t="str">
        <f t="shared" ref="BG71:BG134" si="30">X71</f>
        <v>B7n</v>
      </c>
      <c r="BH71" s="87" t="str">
        <f t="shared" ref="BH71:BH134" si="31">Y71</f>
        <v>Revenu disponible ajusté net</v>
      </c>
    </row>
    <row r="72" spans="1:60" ht="12.75" customHeight="1" outlineLevel="1" x14ac:dyDescent="0.2">
      <c r="A72" s="22" t="s">
        <v>80</v>
      </c>
      <c r="B72" s="22" t="s">
        <v>81</v>
      </c>
      <c r="C72" s="355">
        <v>1867.0509999999999</v>
      </c>
      <c r="D72" s="356"/>
      <c r="E72" s="356"/>
      <c r="F72" s="356">
        <v>195.405</v>
      </c>
      <c r="G72" s="356">
        <v>1671.646</v>
      </c>
      <c r="H72" s="356"/>
      <c r="I72" s="356"/>
      <c r="J72" s="356"/>
      <c r="K72" s="356"/>
      <c r="L72" s="355">
        <v>1867.0509999999999</v>
      </c>
      <c r="M72" s="80"/>
      <c r="N72" s="355">
        <v>1867.0509999999999</v>
      </c>
      <c r="O72" s="356">
        <v>1867.0509999999999</v>
      </c>
      <c r="P72" s="356"/>
      <c r="Q72" s="356"/>
      <c r="R72" s="356"/>
      <c r="S72" s="356"/>
      <c r="T72" s="356"/>
      <c r="U72" s="356"/>
      <c r="V72" s="356"/>
      <c r="W72" s="355"/>
      <c r="X72" s="37" t="s">
        <v>80</v>
      </c>
      <c r="Y72" s="38" t="s">
        <v>81</v>
      </c>
      <c r="AW72">
        <f t="shared" si="20"/>
        <v>0</v>
      </c>
      <c r="AX72">
        <f t="shared" si="21"/>
        <v>0</v>
      </c>
      <c r="AY72">
        <f t="shared" si="22"/>
        <v>0</v>
      </c>
      <c r="AZ72">
        <f t="shared" si="23"/>
        <v>0</v>
      </c>
      <c r="BA72">
        <f t="shared" si="24"/>
        <v>0</v>
      </c>
      <c r="BB72">
        <f t="shared" si="25"/>
        <v>0</v>
      </c>
      <c r="BC72">
        <f t="shared" si="26"/>
        <v>0</v>
      </c>
      <c r="BD72">
        <f t="shared" si="27"/>
        <v>0</v>
      </c>
      <c r="BE72">
        <f t="shared" si="28"/>
        <v>1867.0509999999999</v>
      </c>
      <c r="BF72">
        <f t="shared" si="29"/>
        <v>1867.0509999999999</v>
      </c>
      <c r="BG72" s="37" t="str">
        <f t="shared" si="30"/>
        <v>P4</v>
      </c>
      <c r="BH72" s="38" t="str">
        <f t="shared" si="31"/>
        <v>Consommation finale effective</v>
      </c>
    </row>
    <row r="73" spans="1:60" ht="12.75" customHeight="1" outlineLevel="1" x14ac:dyDescent="0.2">
      <c r="A73" s="22"/>
      <c r="B73" s="22"/>
      <c r="C73" s="67"/>
      <c r="D73" s="78"/>
      <c r="E73" s="78"/>
      <c r="F73" s="78"/>
      <c r="G73" s="78"/>
      <c r="H73" s="78"/>
      <c r="I73" s="78"/>
      <c r="J73" s="78"/>
      <c r="K73" s="78"/>
      <c r="L73" s="67"/>
      <c r="M73" s="80"/>
      <c r="N73" s="75"/>
      <c r="O73" s="76"/>
      <c r="P73" s="77"/>
      <c r="Q73" s="77"/>
      <c r="R73" s="77"/>
      <c r="S73" s="77"/>
      <c r="T73" s="77"/>
      <c r="U73" s="77"/>
      <c r="V73" s="77"/>
      <c r="W73" s="75"/>
      <c r="X73" s="22"/>
      <c r="Y73" s="36"/>
      <c r="AW73">
        <f t="shared" si="20"/>
        <v>0</v>
      </c>
      <c r="AX73">
        <f t="shared" si="21"/>
        <v>0</v>
      </c>
      <c r="AY73">
        <f t="shared" si="22"/>
        <v>0</v>
      </c>
      <c r="AZ73">
        <f t="shared" si="23"/>
        <v>0</v>
      </c>
      <c r="BA73">
        <f t="shared" si="24"/>
        <v>0</v>
      </c>
      <c r="BB73">
        <f t="shared" si="25"/>
        <v>0</v>
      </c>
      <c r="BC73">
        <f t="shared" si="26"/>
        <v>0</v>
      </c>
      <c r="BD73">
        <f t="shared" si="27"/>
        <v>0</v>
      </c>
      <c r="BE73">
        <f t="shared" si="28"/>
        <v>0</v>
      </c>
      <c r="BF73">
        <f t="shared" si="29"/>
        <v>0</v>
      </c>
      <c r="BG73" s="22">
        <f t="shared" si="30"/>
        <v>0</v>
      </c>
      <c r="BH73" s="36">
        <f t="shared" si="31"/>
        <v>0</v>
      </c>
    </row>
    <row r="74" spans="1:60" ht="12.75" customHeight="1" outlineLevel="1" x14ac:dyDescent="0.2">
      <c r="A74" s="59" t="s">
        <v>82</v>
      </c>
      <c r="B74" s="59" t="s">
        <v>83</v>
      </c>
      <c r="C74" s="353">
        <v>576.80200000000002</v>
      </c>
      <c r="D74" s="353">
        <v>299.62299999999999</v>
      </c>
      <c r="E74" s="353">
        <v>23.373000000000001</v>
      </c>
      <c r="F74" s="353">
        <v>28.61</v>
      </c>
      <c r="G74" s="353">
        <v>222.88200000000001</v>
      </c>
      <c r="H74" s="353">
        <v>2.3140000000000001</v>
      </c>
      <c r="I74" s="353"/>
      <c r="J74" s="353"/>
      <c r="K74" s="353"/>
      <c r="L74" s="353">
        <v>576.80200000000002</v>
      </c>
      <c r="M74" s="80"/>
      <c r="N74" s="353">
        <v>576.80200000000002</v>
      </c>
      <c r="O74" s="353"/>
      <c r="P74" s="353"/>
      <c r="Q74" s="353"/>
      <c r="R74" s="353">
        <v>2.3140000000000001</v>
      </c>
      <c r="S74" s="353">
        <v>222.88200000000001</v>
      </c>
      <c r="T74" s="353">
        <v>28.61</v>
      </c>
      <c r="U74" s="353">
        <v>23.373000000000001</v>
      </c>
      <c r="V74" s="353">
        <v>299.62299999999999</v>
      </c>
      <c r="W74" s="353">
        <v>576.80200000000002</v>
      </c>
      <c r="X74" s="22"/>
      <c r="Y74" s="36"/>
      <c r="Z74" s="80">
        <f>S60-G63</f>
        <v>222.88200000000006</v>
      </c>
      <c r="AW74">
        <f t="shared" si="20"/>
        <v>576.80200000000002</v>
      </c>
      <c r="AX74">
        <f t="shared" si="21"/>
        <v>299.62299999999999</v>
      </c>
      <c r="AY74">
        <f t="shared" si="22"/>
        <v>23.373000000000001</v>
      </c>
      <c r="AZ74">
        <f t="shared" si="23"/>
        <v>28.61</v>
      </c>
      <c r="BA74">
        <f t="shared" si="24"/>
        <v>222.88200000000001</v>
      </c>
      <c r="BB74">
        <f t="shared" si="25"/>
        <v>2.3140000000000001</v>
      </c>
      <c r="BC74">
        <f t="shared" si="26"/>
        <v>0</v>
      </c>
      <c r="BD74">
        <f t="shared" si="27"/>
        <v>0</v>
      </c>
      <c r="BE74">
        <f t="shared" si="28"/>
        <v>0</v>
      </c>
      <c r="BF74">
        <f t="shared" si="29"/>
        <v>576.80200000000002</v>
      </c>
      <c r="BG74" s="22">
        <f t="shared" si="30"/>
        <v>0</v>
      </c>
      <c r="BH74" s="36">
        <f t="shared" si="31"/>
        <v>0</v>
      </c>
    </row>
    <row r="75" spans="1:60" ht="12.75" customHeight="1" outlineLevel="1" x14ac:dyDescent="0.2">
      <c r="A75" s="59" t="s">
        <v>134</v>
      </c>
      <c r="B75" s="59" t="s">
        <v>135</v>
      </c>
      <c r="C75" s="353">
        <v>126.629</v>
      </c>
      <c r="D75" s="353">
        <v>42.030999999999999</v>
      </c>
      <c r="E75" s="353">
        <v>4.109</v>
      </c>
      <c r="F75" s="353">
        <v>-51.503</v>
      </c>
      <c r="G75" s="353">
        <v>134.309</v>
      </c>
      <c r="H75" s="353">
        <v>-2.3170000000000002</v>
      </c>
      <c r="I75" s="353"/>
      <c r="J75" s="353"/>
      <c r="K75" s="353"/>
      <c r="L75" s="353">
        <v>126.629</v>
      </c>
      <c r="M75" s="80"/>
      <c r="N75" s="353">
        <v>126.629</v>
      </c>
      <c r="O75" s="354"/>
      <c r="P75" s="354"/>
      <c r="Q75" s="354"/>
      <c r="R75" s="354">
        <v>-2.3170000000000002</v>
      </c>
      <c r="S75" s="354">
        <v>134.309</v>
      </c>
      <c r="T75" s="354">
        <v>-51.503</v>
      </c>
      <c r="U75" s="354">
        <v>4.109</v>
      </c>
      <c r="V75" s="354">
        <v>42.030999999999999</v>
      </c>
      <c r="W75" s="353">
        <v>126.629</v>
      </c>
      <c r="X75" s="22"/>
      <c r="Y75" s="36"/>
      <c r="AW75">
        <f t="shared" si="20"/>
        <v>126.629</v>
      </c>
      <c r="AX75">
        <f t="shared" si="21"/>
        <v>42.030999999999999</v>
      </c>
      <c r="AY75">
        <f t="shared" si="22"/>
        <v>4.109</v>
      </c>
      <c r="AZ75">
        <f t="shared" si="23"/>
        <v>-51.503</v>
      </c>
      <c r="BA75">
        <f t="shared" si="24"/>
        <v>134.309</v>
      </c>
      <c r="BB75">
        <f t="shared" si="25"/>
        <v>-2.3170000000000002</v>
      </c>
      <c r="BC75">
        <f t="shared" si="26"/>
        <v>0</v>
      </c>
      <c r="BD75">
        <f t="shared" si="27"/>
        <v>0</v>
      </c>
      <c r="BE75">
        <f t="shared" si="28"/>
        <v>0</v>
      </c>
      <c r="BF75">
        <f t="shared" si="29"/>
        <v>126.629</v>
      </c>
      <c r="BG75" s="22">
        <f t="shared" si="30"/>
        <v>0</v>
      </c>
      <c r="BH75" s="36">
        <f t="shared" si="31"/>
        <v>0</v>
      </c>
    </row>
    <row r="76" spans="1:60" ht="12.75" customHeight="1" outlineLevel="1" x14ac:dyDescent="0.2">
      <c r="A76" s="65" t="s">
        <v>84</v>
      </c>
      <c r="B76" s="65" t="s">
        <v>85</v>
      </c>
      <c r="C76" s="353"/>
      <c r="D76" s="353"/>
      <c r="E76" s="353"/>
      <c r="F76" s="353"/>
      <c r="G76" s="353"/>
      <c r="H76" s="353"/>
      <c r="I76" s="353"/>
      <c r="J76" s="353">
        <v>17.119</v>
      </c>
      <c r="K76" s="353"/>
      <c r="L76" s="353">
        <v>17.119</v>
      </c>
      <c r="M76" s="80"/>
      <c r="N76" s="75"/>
      <c r="O76" s="76"/>
      <c r="P76" s="77"/>
      <c r="Q76" s="77"/>
      <c r="R76" s="77"/>
      <c r="S76" s="77"/>
      <c r="T76" s="77"/>
      <c r="U76" s="77"/>
      <c r="V76" s="77"/>
      <c r="W76" s="75"/>
      <c r="X76" s="22"/>
      <c r="Y76" s="36"/>
      <c r="AW76">
        <f t="shared" si="20"/>
        <v>0</v>
      </c>
      <c r="AX76">
        <f t="shared" si="21"/>
        <v>0</v>
      </c>
      <c r="AY76">
        <f t="shared" si="22"/>
        <v>0</v>
      </c>
      <c r="AZ76">
        <f t="shared" si="23"/>
        <v>0</v>
      </c>
      <c r="BA76">
        <f t="shared" si="24"/>
        <v>0</v>
      </c>
      <c r="BB76">
        <f t="shared" si="25"/>
        <v>0</v>
      </c>
      <c r="BC76">
        <f t="shared" si="26"/>
        <v>0</v>
      </c>
      <c r="BD76">
        <f t="shared" si="27"/>
        <v>0</v>
      </c>
      <c r="BE76">
        <f t="shared" si="28"/>
        <v>0</v>
      </c>
      <c r="BF76">
        <f t="shared" si="29"/>
        <v>0</v>
      </c>
      <c r="BG76" s="22">
        <f t="shared" si="30"/>
        <v>0</v>
      </c>
      <c r="BH76" s="36">
        <f t="shared" si="31"/>
        <v>0</v>
      </c>
    </row>
    <row r="77" spans="1:60" ht="12.75" customHeight="1" outlineLevel="1" x14ac:dyDescent="0.25">
      <c r="A77" s="35"/>
      <c r="B77" s="35"/>
      <c r="C77" s="24"/>
      <c r="D77" s="23"/>
      <c r="E77" s="23"/>
      <c r="F77" s="24"/>
      <c r="G77" s="24"/>
      <c r="H77" s="23"/>
      <c r="I77" s="23"/>
      <c r="J77" s="23"/>
      <c r="K77" s="23"/>
      <c r="L77" s="50"/>
      <c r="N77" s="39"/>
      <c r="O77" s="40"/>
      <c r="P77" s="41"/>
      <c r="Q77" s="41"/>
      <c r="R77" s="39"/>
      <c r="S77" s="39"/>
      <c r="T77" s="41"/>
      <c r="U77" s="41"/>
      <c r="V77" s="41"/>
      <c r="W77" s="39"/>
      <c r="X77" s="35"/>
      <c r="Y77" s="50"/>
      <c r="AW77">
        <f t="shared" si="20"/>
        <v>0</v>
      </c>
      <c r="AX77">
        <f t="shared" si="21"/>
        <v>0</v>
      </c>
      <c r="AY77">
        <f t="shared" si="22"/>
        <v>0</v>
      </c>
      <c r="AZ77">
        <f t="shared" si="23"/>
        <v>0</v>
      </c>
      <c r="BA77">
        <f t="shared" si="24"/>
        <v>0</v>
      </c>
      <c r="BB77">
        <f t="shared" si="25"/>
        <v>0</v>
      </c>
      <c r="BC77">
        <f t="shared" si="26"/>
        <v>0</v>
      </c>
      <c r="BD77">
        <f t="shared" si="27"/>
        <v>0</v>
      </c>
      <c r="BE77">
        <f t="shared" si="28"/>
        <v>0</v>
      </c>
      <c r="BF77">
        <f t="shared" si="29"/>
        <v>0</v>
      </c>
      <c r="BG77" s="35">
        <f t="shared" si="30"/>
        <v>0</v>
      </c>
      <c r="BH77" s="50">
        <f t="shared" si="31"/>
        <v>0</v>
      </c>
    </row>
    <row r="78" spans="1:60" ht="12.75" customHeight="1" outlineLevel="1" x14ac:dyDescent="0.2">
      <c r="A78" s="10"/>
      <c r="B78" s="10"/>
      <c r="C78" s="25" t="s">
        <v>203</v>
      </c>
      <c r="D78" s="25" t="s">
        <v>0</v>
      </c>
      <c r="E78" s="25" t="s">
        <v>1</v>
      </c>
      <c r="F78" s="25" t="s">
        <v>2</v>
      </c>
      <c r="G78" s="25" t="s">
        <v>3</v>
      </c>
      <c r="H78" s="25" t="s">
        <v>4</v>
      </c>
      <c r="I78" s="25"/>
      <c r="J78" s="25" t="s">
        <v>5</v>
      </c>
      <c r="K78" s="26"/>
      <c r="L78" s="25"/>
      <c r="N78" s="42"/>
      <c r="O78" s="43"/>
      <c r="P78" s="42" t="s">
        <v>5</v>
      </c>
      <c r="Q78" s="42"/>
      <c r="R78" s="42" t="s">
        <v>4</v>
      </c>
      <c r="S78" s="42" t="s">
        <v>3</v>
      </c>
      <c r="T78" s="42" t="s">
        <v>2</v>
      </c>
      <c r="U78" s="42" t="s">
        <v>1</v>
      </c>
      <c r="V78" s="42" t="s">
        <v>0</v>
      </c>
      <c r="W78" s="42" t="s">
        <v>203</v>
      </c>
      <c r="X78" s="10"/>
      <c r="Y78" s="30"/>
      <c r="AW78" t="str">
        <f t="shared" si="20"/>
        <v>S1</v>
      </c>
      <c r="AX78" t="str">
        <f t="shared" si="21"/>
        <v>S11</v>
      </c>
      <c r="AY78" t="str">
        <f t="shared" si="22"/>
        <v>S12</v>
      </c>
      <c r="AZ78" t="str">
        <f t="shared" si="23"/>
        <v>S13</v>
      </c>
      <c r="BA78" t="str">
        <f t="shared" si="24"/>
        <v>S14</v>
      </c>
      <c r="BB78" t="str">
        <f t="shared" si="25"/>
        <v>S15</v>
      </c>
      <c r="BC78">
        <f t="shared" si="26"/>
        <v>0</v>
      </c>
      <c r="BD78" t="str">
        <f t="shared" si="27"/>
        <v>S2</v>
      </c>
      <c r="BE78">
        <f t="shared" si="28"/>
        <v>0</v>
      </c>
      <c r="BF78">
        <f t="shared" si="29"/>
        <v>0</v>
      </c>
      <c r="BG78" s="10">
        <f t="shared" si="30"/>
        <v>0</v>
      </c>
      <c r="BH78" s="30">
        <f t="shared" si="31"/>
        <v>0</v>
      </c>
    </row>
    <row r="79" spans="1:60" ht="39.950000000000003" customHeight="1" outlineLevel="1" x14ac:dyDescent="0.2">
      <c r="A79" s="13" t="s">
        <v>136</v>
      </c>
      <c r="B79" s="13"/>
      <c r="C79" s="27" t="s">
        <v>7</v>
      </c>
      <c r="D79" s="27" t="s">
        <v>8</v>
      </c>
      <c r="E79" s="27" t="s">
        <v>9</v>
      </c>
      <c r="F79" s="27" t="s">
        <v>10</v>
      </c>
      <c r="G79" s="27" t="s">
        <v>11</v>
      </c>
      <c r="H79" s="27" t="s">
        <v>12</v>
      </c>
      <c r="I79" s="27" t="s">
        <v>119</v>
      </c>
      <c r="J79" s="27" t="s">
        <v>13</v>
      </c>
      <c r="K79" s="27" t="s">
        <v>14</v>
      </c>
      <c r="L79" s="27" t="s">
        <v>15</v>
      </c>
      <c r="N79" s="44" t="s">
        <v>15</v>
      </c>
      <c r="O79" s="44" t="s">
        <v>14</v>
      </c>
      <c r="P79" s="44" t="s">
        <v>13</v>
      </c>
      <c r="Q79" s="44" t="s">
        <v>119</v>
      </c>
      <c r="R79" s="44" t="s">
        <v>12</v>
      </c>
      <c r="S79" s="44" t="s">
        <v>11</v>
      </c>
      <c r="T79" s="44" t="s">
        <v>117</v>
      </c>
      <c r="U79" s="44" t="s">
        <v>9</v>
      </c>
      <c r="V79" s="44" t="s">
        <v>8</v>
      </c>
      <c r="W79" s="44" t="s">
        <v>7</v>
      </c>
      <c r="X79" s="13"/>
      <c r="Y79" s="13" t="s">
        <v>174</v>
      </c>
      <c r="AW79" t="str">
        <f t="shared" si="20"/>
        <v>Économie nationale</v>
      </c>
      <c r="AX79" t="str">
        <f t="shared" si="21"/>
        <v>Sociétés non financières</v>
      </c>
      <c r="AY79" t="str">
        <f t="shared" si="22"/>
        <v>Sociétés financières</v>
      </c>
      <c r="AZ79" t="str">
        <f t="shared" si="23"/>
        <v>Administra- tions publiques</v>
      </c>
      <c r="BA79" t="str">
        <f t="shared" si="24"/>
        <v>Ménages</v>
      </c>
      <c r="BB79" t="str">
        <f t="shared" si="25"/>
        <v>Institutions sans but lucratif</v>
      </c>
      <c r="BC79" t="str">
        <f t="shared" si="26"/>
        <v>Non ventilé</v>
      </c>
      <c r="BD79" t="str">
        <f t="shared" si="27"/>
        <v>Reste du Monde</v>
      </c>
      <c r="BE79" t="str">
        <f t="shared" si="28"/>
        <v>Biens et Services</v>
      </c>
      <c r="BF79" t="str">
        <f t="shared" si="29"/>
        <v>Total</v>
      </c>
      <c r="BG79" s="13">
        <f t="shared" si="30"/>
        <v>0</v>
      </c>
      <c r="BH79" s="13" t="str">
        <f t="shared" si="31"/>
        <v>Variation de passifs / Passifs</v>
      </c>
    </row>
    <row r="80" spans="1:60" ht="39.950000000000003" customHeight="1" outlineLevel="1" x14ac:dyDescent="0.2">
      <c r="A80" s="17" t="s">
        <v>86</v>
      </c>
      <c r="B80" s="1"/>
      <c r="C80" s="56"/>
      <c r="D80" s="56"/>
      <c r="E80" s="56"/>
      <c r="F80" s="56"/>
      <c r="G80" s="56"/>
      <c r="H80" s="56"/>
      <c r="I80" s="56"/>
      <c r="J80" s="56"/>
      <c r="K80" s="56"/>
      <c r="L80" s="58"/>
      <c r="N80" s="58"/>
      <c r="O80" s="56"/>
      <c r="P80" s="57"/>
      <c r="Q80" s="57"/>
      <c r="R80" s="57"/>
      <c r="S80" s="57"/>
      <c r="T80" s="57"/>
      <c r="U80" s="57"/>
      <c r="V80" s="57"/>
      <c r="W80" s="57"/>
      <c r="X80" s="16" t="s">
        <v>86</v>
      </c>
      <c r="Y80" s="1"/>
      <c r="AW80">
        <f t="shared" si="20"/>
        <v>0</v>
      </c>
      <c r="AX80">
        <f t="shared" si="21"/>
        <v>0</v>
      </c>
      <c r="AY80">
        <f t="shared" si="22"/>
        <v>0</v>
      </c>
      <c r="AZ80">
        <f t="shared" si="23"/>
        <v>0</v>
      </c>
      <c r="BA80">
        <f t="shared" si="24"/>
        <v>0</v>
      </c>
      <c r="BB80">
        <f t="shared" si="25"/>
        <v>0</v>
      </c>
      <c r="BC80">
        <f t="shared" si="26"/>
        <v>0</v>
      </c>
      <c r="BD80">
        <f t="shared" si="27"/>
        <v>0</v>
      </c>
      <c r="BE80">
        <f t="shared" si="28"/>
        <v>0</v>
      </c>
      <c r="BF80">
        <f t="shared" si="29"/>
        <v>0</v>
      </c>
      <c r="BG80" s="16" t="str">
        <f t="shared" si="30"/>
        <v>Compte de capital</v>
      </c>
      <c r="BH80" s="1">
        <f t="shared" si="31"/>
        <v>0</v>
      </c>
    </row>
    <row r="81" spans="1:60" ht="12.75" customHeight="1" outlineLevel="1" x14ac:dyDescent="0.2">
      <c r="A81" s="59" t="s">
        <v>82</v>
      </c>
      <c r="B81" s="59" t="s">
        <v>83</v>
      </c>
      <c r="C81" s="67">
        <v>360.30831999999998</v>
      </c>
      <c r="D81" s="67">
        <v>139.01214000000002</v>
      </c>
      <c r="E81" s="67">
        <v>23.568000000000001</v>
      </c>
      <c r="F81" s="67">
        <v>23.251000000000001</v>
      </c>
      <c r="G81" s="67">
        <v>172.78817999999998</v>
      </c>
      <c r="H81" s="67">
        <v>1.6890000000000001</v>
      </c>
      <c r="I81" s="67">
        <v>0</v>
      </c>
      <c r="J81" s="67">
        <v>0</v>
      </c>
      <c r="K81" s="67">
        <v>0</v>
      </c>
      <c r="L81" s="67">
        <v>360.30831999999998</v>
      </c>
      <c r="M81" s="80"/>
      <c r="N81" s="67">
        <v>360.30831999999998</v>
      </c>
      <c r="O81" s="67">
        <v>0</v>
      </c>
      <c r="P81" s="67">
        <v>0</v>
      </c>
      <c r="Q81" s="67">
        <v>0</v>
      </c>
      <c r="R81" s="67">
        <v>1.6890000000000001</v>
      </c>
      <c r="S81" s="67">
        <v>172.78817999999998</v>
      </c>
      <c r="T81" s="67">
        <v>23.251000000000001</v>
      </c>
      <c r="U81" s="67">
        <v>23.568000000000001</v>
      </c>
      <c r="V81" s="67">
        <v>139.01214000000002</v>
      </c>
      <c r="W81" s="67">
        <v>360.30831999999998</v>
      </c>
      <c r="X81" s="59" t="s">
        <v>82</v>
      </c>
      <c r="Y81" s="59" t="s">
        <v>83</v>
      </c>
      <c r="AW81">
        <f t="shared" si="20"/>
        <v>360.30831999999998</v>
      </c>
      <c r="AX81">
        <f t="shared" si="21"/>
        <v>139.01214000000002</v>
      </c>
      <c r="AY81">
        <f t="shared" si="22"/>
        <v>23.568000000000001</v>
      </c>
      <c r="AZ81">
        <f t="shared" si="23"/>
        <v>23.251000000000001</v>
      </c>
      <c r="BA81">
        <f t="shared" si="24"/>
        <v>172.78817999999998</v>
      </c>
      <c r="BB81">
        <f t="shared" si="25"/>
        <v>1.6890000000000001</v>
      </c>
      <c r="BC81">
        <f t="shared" si="26"/>
        <v>0</v>
      </c>
      <c r="BD81">
        <f t="shared" si="27"/>
        <v>0</v>
      </c>
      <c r="BE81">
        <f t="shared" si="28"/>
        <v>0</v>
      </c>
      <c r="BF81">
        <f t="shared" si="29"/>
        <v>360.30831999999998</v>
      </c>
      <c r="BG81" s="59" t="str">
        <f t="shared" si="30"/>
        <v>B8</v>
      </c>
      <c r="BH81" s="59" t="str">
        <f t="shared" si="31"/>
        <v>Epargne brute</v>
      </c>
    </row>
    <row r="82" spans="1:60" ht="12.75" customHeight="1" outlineLevel="1" x14ac:dyDescent="0.2">
      <c r="A82" s="59" t="s">
        <v>84</v>
      </c>
      <c r="B82" s="59" t="s">
        <v>85</v>
      </c>
      <c r="C82" s="67">
        <v>0</v>
      </c>
      <c r="D82" s="67">
        <v>0</v>
      </c>
      <c r="E82" s="67">
        <v>0</v>
      </c>
      <c r="F82" s="67">
        <v>0</v>
      </c>
      <c r="G82" s="67">
        <v>0</v>
      </c>
      <c r="H82" s="67">
        <v>0</v>
      </c>
      <c r="I82" s="67">
        <v>0</v>
      </c>
      <c r="J82" s="67">
        <v>14.83</v>
      </c>
      <c r="K82" s="67">
        <v>0</v>
      </c>
      <c r="L82" s="67">
        <v>14.83</v>
      </c>
      <c r="M82" s="80"/>
      <c r="N82" s="67">
        <v>14.83</v>
      </c>
      <c r="O82" s="67">
        <v>0</v>
      </c>
      <c r="P82" s="67">
        <v>14.83</v>
      </c>
      <c r="Q82" s="67">
        <v>0</v>
      </c>
      <c r="R82" s="67">
        <v>0</v>
      </c>
      <c r="S82" s="67">
        <v>0</v>
      </c>
      <c r="T82" s="67">
        <v>0</v>
      </c>
      <c r="U82" s="67">
        <v>0</v>
      </c>
      <c r="V82" s="67">
        <v>0</v>
      </c>
      <c r="W82" s="67">
        <v>0</v>
      </c>
      <c r="X82" s="59" t="s">
        <v>84</v>
      </c>
      <c r="Y82" s="61" t="s">
        <v>85</v>
      </c>
      <c r="AW82">
        <f t="shared" si="20"/>
        <v>0</v>
      </c>
      <c r="AX82">
        <f t="shared" si="21"/>
        <v>0</v>
      </c>
      <c r="AY82">
        <f t="shared" si="22"/>
        <v>0</v>
      </c>
      <c r="AZ82">
        <f t="shared" si="23"/>
        <v>0</v>
      </c>
      <c r="BA82">
        <f t="shared" si="24"/>
        <v>0</v>
      </c>
      <c r="BB82">
        <f t="shared" si="25"/>
        <v>0</v>
      </c>
      <c r="BC82">
        <f t="shared" si="26"/>
        <v>0</v>
      </c>
      <c r="BD82">
        <f t="shared" si="27"/>
        <v>14.83</v>
      </c>
      <c r="BE82">
        <f t="shared" si="28"/>
        <v>0</v>
      </c>
      <c r="BF82">
        <f t="shared" si="29"/>
        <v>14.83</v>
      </c>
      <c r="BG82" s="59" t="str">
        <f t="shared" si="30"/>
        <v>B12</v>
      </c>
      <c r="BH82" s="61" t="str">
        <f t="shared" si="31"/>
        <v>Solde extérieur courant</v>
      </c>
    </row>
    <row r="83" spans="1:60" ht="12.75" customHeight="1" outlineLevel="1" x14ac:dyDescent="0.2">
      <c r="A83" s="2" t="s">
        <v>87</v>
      </c>
      <c r="B83" s="2" t="s">
        <v>88</v>
      </c>
      <c r="C83" s="67">
        <v>0</v>
      </c>
      <c r="D83" s="78">
        <v>0</v>
      </c>
      <c r="E83" s="78">
        <v>0</v>
      </c>
      <c r="F83" s="78">
        <v>0</v>
      </c>
      <c r="G83" s="78">
        <v>0</v>
      </c>
      <c r="H83" s="78">
        <v>0</v>
      </c>
      <c r="I83" s="78">
        <v>0</v>
      </c>
      <c r="J83" s="78">
        <v>0</v>
      </c>
      <c r="K83" s="78">
        <v>0</v>
      </c>
      <c r="L83" s="67">
        <v>0</v>
      </c>
      <c r="M83" s="80"/>
      <c r="N83" s="67">
        <v>69.707999999999998</v>
      </c>
      <c r="O83" s="78">
        <v>0</v>
      </c>
      <c r="P83" s="78">
        <v>0.88800000000000001</v>
      </c>
      <c r="Q83" s="78">
        <v>0</v>
      </c>
      <c r="R83" s="78">
        <v>1.5329999999999999</v>
      </c>
      <c r="S83" s="78">
        <v>6.3</v>
      </c>
      <c r="T83" s="78">
        <v>43.908999999999999</v>
      </c>
      <c r="U83" s="78">
        <v>3.754</v>
      </c>
      <c r="V83" s="78">
        <v>13.324</v>
      </c>
      <c r="W83" s="67">
        <v>68.819999999999993</v>
      </c>
      <c r="X83" s="2" t="s">
        <v>87</v>
      </c>
      <c r="Y83" s="31" t="s">
        <v>88</v>
      </c>
      <c r="AW83">
        <f t="shared" si="20"/>
        <v>68.819999999999993</v>
      </c>
      <c r="AX83">
        <f t="shared" si="21"/>
        <v>13.324</v>
      </c>
      <c r="AY83">
        <f t="shared" si="22"/>
        <v>3.754</v>
      </c>
      <c r="AZ83">
        <f t="shared" si="23"/>
        <v>43.908999999999999</v>
      </c>
      <c r="BA83">
        <f t="shared" si="24"/>
        <v>6.3</v>
      </c>
      <c r="BB83">
        <f t="shared" si="25"/>
        <v>1.5329999999999999</v>
      </c>
      <c r="BC83">
        <f t="shared" si="26"/>
        <v>0</v>
      </c>
      <c r="BD83">
        <f t="shared" si="27"/>
        <v>0.88800000000000001</v>
      </c>
      <c r="BE83">
        <f t="shared" si="28"/>
        <v>0</v>
      </c>
      <c r="BF83">
        <f t="shared" si="29"/>
        <v>69.707999999999998</v>
      </c>
      <c r="BG83" s="2" t="str">
        <f t="shared" si="30"/>
        <v>D9C</v>
      </c>
      <c r="BH83" s="31" t="str">
        <f t="shared" si="31"/>
        <v>Transferts en capital à recevoir</v>
      </c>
    </row>
    <row r="84" spans="1:60" ht="12.75" customHeight="1" outlineLevel="1" x14ac:dyDescent="0.2">
      <c r="A84" s="2" t="s">
        <v>89</v>
      </c>
      <c r="B84" s="2" t="s">
        <v>90</v>
      </c>
      <c r="C84" s="67">
        <v>0</v>
      </c>
      <c r="D84" s="78">
        <v>0</v>
      </c>
      <c r="E84" s="78">
        <v>0</v>
      </c>
      <c r="F84" s="78">
        <v>0</v>
      </c>
      <c r="G84" s="78">
        <v>0</v>
      </c>
      <c r="H84" s="78">
        <v>0</v>
      </c>
      <c r="I84" s="78">
        <v>0</v>
      </c>
      <c r="J84" s="78">
        <v>0</v>
      </c>
      <c r="K84" s="78">
        <v>0</v>
      </c>
      <c r="L84" s="67">
        <v>0</v>
      </c>
      <c r="M84" s="80"/>
      <c r="N84" s="67">
        <v>-69.707999999999998</v>
      </c>
      <c r="O84" s="78">
        <v>0</v>
      </c>
      <c r="P84" s="78">
        <v>-1.663</v>
      </c>
      <c r="Q84" s="78">
        <v>0</v>
      </c>
      <c r="R84" s="78">
        <v>0</v>
      </c>
      <c r="S84" s="78">
        <v>-10.768000000000001</v>
      </c>
      <c r="T84" s="78">
        <v>-49.781999999999996</v>
      </c>
      <c r="U84" s="78">
        <v>-1.115</v>
      </c>
      <c r="V84" s="78">
        <v>-6.38</v>
      </c>
      <c r="W84" s="67">
        <v>-68.045000000000002</v>
      </c>
      <c r="X84" s="2" t="s">
        <v>89</v>
      </c>
      <c r="Y84" s="31" t="s">
        <v>90</v>
      </c>
      <c r="AW84">
        <f t="shared" si="20"/>
        <v>-68.045000000000002</v>
      </c>
      <c r="AX84">
        <f t="shared" si="21"/>
        <v>-6.38</v>
      </c>
      <c r="AY84">
        <f t="shared" si="22"/>
        <v>-1.115</v>
      </c>
      <c r="AZ84">
        <f t="shared" si="23"/>
        <v>-49.781999999999996</v>
      </c>
      <c r="BA84">
        <f t="shared" si="24"/>
        <v>-10.768000000000001</v>
      </c>
      <c r="BB84">
        <f t="shared" si="25"/>
        <v>0</v>
      </c>
      <c r="BC84">
        <f t="shared" si="26"/>
        <v>0</v>
      </c>
      <c r="BD84">
        <f t="shared" si="27"/>
        <v>-1.663</v>
      </c>
      <c r="BE84">
        <f t="shared" si="28"/>
        <v>0</v>
      </c>
      <c r="BF84">
        <f t="shared" si="29"/>
        <v>-69.707999999999998</v>
      </c>
      <c r="BG84" s="2" t="str">
        <f t="shared" si="30"/>
        <v>D9D</v>
      </c>
      <c r="BH84" s="31" t="str">
        <f t="shared" si="31"/>
        <v>Transferts en capital à payer</v>
      </c>
    </row>
    <row r="85" spans="1:60" ht="12.75" customHeight="1" outlineLevel="1" x14ac:dyDescent="0.2">
      <c r="A85" s="2" t="s">
        <v>91</v>
      </c>
      <c r="B85" s="2" t="s">
        <v>92</v>
      </c>
      <c r="C85" s="67">
        <v>360.37646999999998</v>
      </c>
      <c r="D85" s="78">
        <v>170.28478000000001</v>
      </c>
      <c r="E85" s="78">
        <v>14.917</v>
      </c>
      <c r="F85" s="78">
        <v>57.561</v>
      </c>
      <c r="G85" s="78">
        <v>114.30967999999999</v>
      </c>
      <c r="H85" s="78">
        <v>3.3039999999999998</v>
      </c>
      <c r="I85" s="78">
        <v>0</v>
      </c>
      <c r="J85" s="78">
        <v>0</v>
      </c>
      <c r="K85" s="78">
        <v>0</v>
      </c>
      <c r="L85" s="67">
        <v>360.37646999999998</v>
      </c>
      <c r="M85" s="80"/>
      <c r="N85" s="67">
        <v>360.37646999999998</v>
      </c>
      <c r="O85" s="78">
        <v>360.37646999999998</v>
      </c>
      <c r="P85" s="78">
        <v>0</v>
      </c>
      <c r="Q85" s="78">
        <v>0</v>
      </c>
      <c r="R85" s="78">
        <v>0</v>
      </c>
      <c r="S85" s="78">
        <v>0</v>
      </c>
      <c r="T85" s="78">
        <v>0</v>
      </c>
      <c r="U85" s="78">
        <v>0</v>
      </c>
      <c r="V85" s="78">
        <v>0</v>
      </c>
      <c r="W85" s="67">
        <v>0</v>
      </c>
      <c r="X85" s="2" t="s">
        <v>91</v>
      </c>
      <c r="Y85" s="31" t="s">
        <v>92</v>
      </c>
      <c r="AW85">
        <f t="shared" si="20"/>
        <v>0</v>
      </c>
      <c r="AX85">
        <f t="shared" si="21"/>
        <v>0</v>
      </c>
      <c r="AY85">
        <f t="shared" si="22"/>
        <v>0</v>
      </c>
      <c r="AZ85">
        <f t="shared" si="23"/>
        <v>0</v>
      </c>
      <c r="BA85">
        <f t="shared" si="24"/>
        <v>0</v>
      </c>
      <c r="BB85">
        <f t="shared" si="25"/>
        <v>0</v>
      </c>
      <c r="BC85">
        <f t="shared" si="26"/>
        <v>0</v>
      </c>
      <c r="BD85">
        <f t="shared" si="27"/>
        <v>0</v>
      </c>
      <c r="BE85">
        <f t="shared" si="28"/>
        <v>360.37646999999998</v>
      </c>
      <c r="BF85">
        <f t="shared" si="29"/>
        <v>360.37646999999998</v>
      </c>
      <c r="BG85" s="2" t="str">
        <f t="shared" si="30"/>
        <v>P51</v>
      </c>
      <c r="BH85" s="31" t="str">
        <f t="shared" si="31"/>
        <v>Formation brute de capital fixe</v>
      </c>
    </row>
    <row r="86" spans="1:60" ht="12.75" customHeight="1" outlineLevel="1" x14ac:dyDescent="0.2">
      <c r="A86" s="2" t="s">
        <v>93</v>
      </c>
      <c r="B86" s="2" t="s">
        <v>176</v>
      </c>
      <c r="C86" s="67">
        <v>326.58753000000002</v>
      </c>
      <c r="D86" s="78">
        <v>144.3184</v>
      </c>
      <c r="E86" s="78">
        <v>11.516</v>
      </c>
      <c r="F86" s="78">
        <v>53.606000000000002</v>
      </c>
      <c r="G86" s="78">
        <v>113.84313</v>
      </c>
      <c r="H86" s="78">
        <v>3.3039999999999998</v>
      </c>
      <c r="I86" s="78">
        <v>0</v>
      </c>
      <c r="J86" s="78">
        <v>0</v>
      </c>
      <c r="K86" s="78">
        <v>0</v>
      </c>
      <c r="L86" s="67">
        <v>326.58753000000002</v>
      </c>
      <c r="M86" s="80"/>
      <c r="N86" s="67">
        <v>326.58753000000002</v>
      </c>
      <c r="O86" s="78">
        <v>326.58753000000002</v>
      </c>
      <c r="P86" s="78">
        <v>0</v>
      </c>
      <c r="Q86" s="78">
        <v>0</v>
      </c>
      <c r="R86" s="78">
        <v>0</v>
      </c>
      <c r="S86" s="78">
        <v>0</v>
      </c>
      <c r="T86" s="78">
        <v>0</v>
      </c>
      <c r="U86" s="78">
        <v>0</v>
      </c>
      <c r="V86" s="78">
        <v>0</v>
      </c>
      <c r="W86" s="67">
        <v>0</v>
      </c>
      <c r="X86" s="2" t="s">
        <v>93</v>
      </c>
      <c r="Y86" s="31" t="s">
        <v>137</v>
      </c>
      <c r="AW86">
        <f t="shared" si="20"/>
        <v>0</v>
      </c>
      <c r="AX86">
        <f t="shared" si="21"/>
        <v>0</v>
      </c>
      <c r="AY86">
        <f t="shared" si="22"/>
        <v>0</v>
      </c>
      <c r="AZ86">
        <f t="shared" si="23"/>
        <v>0</v>
      </c>
      <c r="BA86">
        <f t="shared" si="24"/>
        <v>0</v>
      </c>
      <c r="BB86">
        <f t="shared" si="25"/>
        <v>0</v>
      </c>
      <c r="BC86">
        <f t="shared" si="26"/>
        <v>0</v>
      </c>
      <c r="BD86">
        <f t="shared" si="27"/>
        <v>0</v>
      </c>
      <c r="BE86">
        <f t="shared" si="28"/>
        <v>326.58753000000002</v>
      </c>
      <c r="BF86">
        <f t="shared" si="29"/>
        <v>326.58753000000002</v>
      </c>
      <c r="BG86" s="2" t="str">
        <f t="shared" si="30"/>
        <v>P511</v>
      </c>
      <c r="BH86" s="31" t="str">
        <f t="shared" si="31"/>
        <v>Acquisitions nettes d'actifs fixes corporels</v>
      </c>
    </row>
    <row r="87" spans="1:60" ht="12.75" customHeight="1" outlineLevel="1" x14ac:dyDescent="0.2">
      <c r="A87" s="2" t="s">
        <v>94</v>
      </c>
      <c r="B87" s="2" t="s">
        <v>175</v>
      </c>
      <c r="C87" s="67">
        <v>33.788930000000001</v>
      </c>
      <c r="D87" s="78">
        <v>25.966390000000001</v>
      </c>
      <c r="E87" s="78">
        <v>3.4009999999999998</v>
      </c>
      <c r="F87" s="78">
        <v>3.9550000000000001</v>
      </c>
      <c r="G87" s="78">
        <v>0.46655000000000002</v>
      </c>
      <c r="H87" s="78">
        <v>0</v>
      </c>
      <c r="I87" s="78">
        <v>0</v>
      </c>
      <c r="J87" s="78">
        <v>0</v>
      </c>
      <c r="K87" s="78">
        <v>0</v>
      </c>
      <c r="L87" s="67">
        <v>33.788930000000001</v>
      </c>
      <c r="M87" s="80"/>
      <c r="N87" s="67">
        <v>33.788930000000001</v>
      </c>
      <c r="O87" s="78">
        <v>33.788930000000001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67">
        <v>0</v>
      </c>
      <c r="X87" s="2" t="s">
        <v>94</v>
      </c>
      <c r="Y87" s="31" t="s">
        <v>138</v>
      </c>
      <c r="AW87">
        <f t="shared" si="20"/>
        <v>0</v>
      </c>
      <c r="AX87">
        <f t="shared" si="21"/>
        <v>0</v>
      </c>
      <c r="AY87">
        <f t="shared" si="22"/>
        <v>0</v>
      </c>
      <c r="AZ87">
        <f t="shared" si="23"/>
        <v>0</v>
      </c>
      <c r="BA87">
        <f t="shared" si="24"/>
        <v>0</v>
      </c>
      <c r="BB87">
        <f t="shared" si="25"/>
        <v>0</v>
      </c>
      <c r="BC87">
        <f t="shared" si="26"/>
        <v>0</v>
      </c>
      <c r="BD87">
        <f t="shared" si="27"/>
        <v>0</v>
      </c>
      <c r="BE87">
        <f t="shared" si="28"/>
        <v>33.788930000000001</v>
      </c>
      <c r="BF87">
        <f t="shared" si="29"/>
        <v>33.788930000000001</v>
      </c>
      <c r="BG87" s="2" t="str">
        <f t="shared" si="30"/>
        <v>P512</v>
      </c>
      <c r="BH87" s="31" t="str">
        <f t="shared" si="31"/>
        <v>Acquisitions nettes d'actifs fixes incorporels</v>
      </c>
    </row>
    <row r="88" spans="1:60" ht="12.75" customHeight="1" outlineLevel="1" x14ac:dyDescent="0.2">
      <c r="A88" s="2" t="s">
        <v>122</v>
      </c>
      <c r="B88" s="2" t="s">
        <v>123</v>
      </c>
      <c r="C88" s="67">
        <v>-229.76599999999999</v>
      </c>
      <c r="D88" s="78">
        <v>-131.52600000000001</v>
      </c>
      <c r="E88" s="78">
        <v>-9.8689999999999998</v>
      </c>
      <c r="F88" s="78">
        <v>-42.73</v>
      </c>
      <c r="G88" s="78">
        <v>-42.765999999999998</v>
      </c>
      <c r="H88" s="78">
        <v>-2.875</v>
      </c>
      <c r="I88" s="78">
        <v>0</v>
      </c>
      <c r="J88" s="78">
        <v>0</v>
      </c>
      <c r="K88" s="78">
        <v>0</v>
      </c>
      <c r="L88" s="67">
        <v>-229.76599999999999</v>
      </c>
      <c r="M88" s="80"/>
      <c r="N88" s="67">
        <v>-229.76599999999999</v>
      </c>
      <c r="O88" s="78">
        <v>-229.76599999999999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67">
        <v>0</v>
      </c>
      <c r="X88" s="2" t="s">
        <v>122</v>
      </c>
      <c r="Y88" s="31" t="s">
        <v>123</v>
      </c>
      <c r="AW88">
        <f t="shared" si="20"/>
        <v>0</v>
      </c>
      <c r="AX88">
        <f t="shared" si="21"/>
        <v>0</v>
      </c>
      <c r="AY88">
        <f t="shared" si="22"/>
        <v>0</v>
      </c>
      <c r="AZ88">
        <f t="shared" si="23"/>
        <v>0</v>
      </c>
      <c r="BA88">
        <f t="shared" si="24"/>
        <v>0</v>
      </c>
      <c r="BB88">
        <f t="shared" si="25"/>
        <v>0</v>
      </c>
      <c r="BC88">
        <f t="shared" si="26"/>
        <v>0</v>
      </c>
      <c r="BD88">
        <f t="shared" si="27"/>
        <v>0</v>
      </c>
      <c r="BE88">
        <f t="shared" si="28"/>
        <v>-229.76599999999999</v>
      </c>
      <c r="BF88">
        <f t="shared" si="29"/>
        <v>-229.76599999999999</v>
      </c>
      <c r="BG88" s="2" t="str">
        <f t="shared" si="30"/>
        <v>K1</v>
      </c>
      <c r="BH88" s="31" t="str">
        <f t="shared" si="31"/>
        <v>Consommation de capital fixe</v>
      </c>
    </row>
    <row r="89" spans="1:60" ht="12.75" customHeight="1" outlineLevel="1" x14ac:dyDescent="0.2">
      <c r="A89" s="2" t="s">
        <v>95</v>
      </c>
      <c r="B89" s="2" t="s">
        <v>96</v>
      </c>
      <c r="C89" s="67">
        <v>13.733000000000001</v>
      </c>
      <c r="D89" s="78">
        <v>12.988</v>
      </c>
      <c r="E89" s="78">
        <v>0</v>
      </c>
      <c r="F89" s="78">
        <v>0.186</v>
      </c>
      <c r="G89" s="78">
        <v>0.55900000000000005</v>
      </c>
      <c r="H89" s="78">
        <v>0</v>
      </c>
      <c r="I89" s="78">
        <v>0</v>
      </c>
      <c r="J89" s="78">
        <v>0</v>
      </c>
      <c r="K89" s="78">
        <v>0</v>
      </c>
      <c r="L89" s="67">
        <v>13.733000000000001</v>
      </c>
      <c r="M89" s="80"/>
      <c r="N89" s="67">
        <v>13.733000000000001</v>
      </c>
      <c r="O89" s="78">
        <v>13.733000000000001</v>
      </c>
      <c r="P89" s="78">
        <v>0</v>
      </c>
      <c r="Q89" s="78">
        <v>0</v>
      </c>
      <c r="R89" s="78">
        <v>0</v>
      </c>
      <c r="S89" s="78">
        <v>0</v>
      </c>
      <c r="T89" s="78">
        <v>0</v>
      </c>
      <c r="U89" s="78">
        <v>0</v>
      </c>
      <c r="V89" s="78">
        <v>0</v>
      </c>
      <c r="W89" s="67">
        <v>0</v>
      </c>
      <c r="X89" s="2" t="s">
        <v>95</v>
      </c>
      <c r="Y89" s="31" t="s">
        <v>96</v>
      </c>
      <c r="AW89">
        <f t="shared" si="20"/>
        <v>0</v>
      </c>
      <c r="AX89">
        <f t="shared" si="21"/>
        <v>0</v>
      </c>
      <c r="AY89">
        <f t="shared" si="22"/>
        <v>0</v>
      </c>
      <c r="AZ89">
        <f t="shared" si="23"/>
        <v>0</v>
      </c>
      <c r="BA89">
        <f t="shared" si="24"/>
        <v>0</v>
      </c>
      <c r="BB89">
        <f t="shared" si="25"/>
        <v>0</v>
      </c>
      <c r="BC89">
        <f t="shared" si="26"/>
        <v>0</v>
      </c>
      <c r="BD89">
        <f t="shared" si="27"/>
        <v>0</v>
      </c>
      <c r="BE89">
        <f t="shared" si="28"/>
        <v>13.733000000000001</v>
      </c>
      <c r="BF89">
        <f t="shared" si="29"/>
        <v>13.733000000000001</v>
      </c>
      <c r="BG89" s="2" t="str">
        <f t="shared" si="30"/>
        <v>P52</v>
      </c>
      <c r="BH89" s="31" t="str">
        <f t="shared" si="31"/>
        <v>Variations des stocks</v>
      </c>
    </row>
    <row r="90" spans="1:60" ht="12.75" customHeight="1" outlineLevel="1" x14ac:dyDescent="0.2">
      <c r="A90" s="2" t="s">
        <v>97</v>
      </c>
      <c r="B90" s="2" t="s">
        <v>139</v>
      </c>
      <c r="C90" s="67">
        <v>1.02948</v>
      </c>
      <c r="D90" s="78">
        <v>0</v>
      </c>
      <c r="E90" s="78">
        <v>0</v>
      </c>
      <c r="F90" s="78">
        <v>0</v>
      </c>
      <c r="G90" s="78">
        <v>1.02948</v>
      </c>
      <c r="H90" s="78">
        <v>0</v>
      </c>
      <c r="I90" s="78">
        <v>0</v>
      </c>
      <c r="J90" s="78">
        <v>0</v>
      </c>
      <c r="K90" s="78">
        <v>0</v>
      </c>
      <c r="L90" s="67">
        <v>1.02948</v>
      </c>
      <c r="M90" s="80"/>
      <c r="N90" s="67">
        <v>1.02948</v>
      </c>
      <c r="O90" s="78">
        <v>1.02948</v>
      </c>
      <c r="P90" s="78">
        <v>0</v>
      </c>
      <c r="Q90" s="78">
        <v>0</v>
      </c>
      <c r="R90" s="78">
        <v>0</v>
      </c>
      <c r="S90" s="78">
        <v>0</v>
      </c>
      <c r="T90" s="78">
        <v>0</v>
      </c>
      <c r="U90" s="78">
        <v>0</v>
      </c>
      <c r="V90" s="78">
        <v>0</v>
      </c>
      <c r="W90" s="67">
        <v>0</v>
      </c>
      <c r="X90" s="2" t="s">
        <v>97</v>
      </c>
      <c r="Y90" s="31" t="s">
        <v>139</v>
      </c>
      <c r="AW90">
        <f t="shared" si="20"/>
        <v>0</v>
      </c>
      <c r="AX90">
        <f t="shared" si="21"/>
        <v>0</v>
      </c>
      <c r="AY90">
        <f t="shared" si="22"/>
        <v>0</v>
      </c>
      <c r="AZ90">
        <f t="shared" si="23"/>
        <v>0</v>
      </c>
      <c r="BA90">
        <f t="shared" si="24"/>
        <v>0</v>
      </c>
      <c r="BB90">
        <f t="shared" si="25"/>
        <v>0</v>
      </c>
      <c r="BC90">
        <f t="shared" si="26"/>
        <v>0</v>
      </c>
      <c r="BD90">
        <f t="shared" si="27"/>
        <v>0</v>
      </c>
      <c r="BE90">
        <f t="shared" si="28"/>
        <v>1.02948</v>
      </c>
      <c r="BF90">
        <f t="shared" si="29"/>
        <v>1.02948</v>
      </c>
      <c r="BG90" s="2" t="str">
        <f t="shared" si="30"/>
        <v>P53</v>
      </c>
      <c r="BH90" s="31" t="str">
        <f t="shared" si="31"/>
        <v>Acquisitions nettes d'objets de valeur</v>
      </c>
    </row>
    <row r="91" spans="1:60" ht="12.75" customHeight="1" outlineLevel="1" x14ac:dyDescent="0.2">
      <c r="A91" s="2" t="s">
        <v>217</v>
      </c>
      <c r="B91" s="2" t="s">
        <v>140</v>
      </c>
      <c r="C91" s="67">
        <v>0.36499999999999999</v>
      </c>
      <c r="D91" s="78">
        <v>1.6459999999999999</v>
      </c>
      <c r="E91" s="78">
        <v>0.34300000000000003</v>
      </c>
      <c r="F91" s="78">
        <v>2.3570000000000002</v>
      </c>
      <c r="G91" s="78">
        <v>-3.9809999999999999</v>
      </c>
      <c r="H91" s="78">
        <v>0</v>
      </c>
      <c r="I91" s="78">
        <v>0</v>
      </c>
      <c r="J91" s="78">
        <v>-0.36499999999999999</v>
      </c>
      <c r="K91" s="78">
        <v>0</v>
      </c>
      <c r="L91" s="67">
        <v>0</v>
      </c>
      <c r="M91" s="80"/>
      <c r="N91" s="67">
        <v>0</v>
      </c>
      <c r="O91" s="78">
        <v>0</v>
      </c>
      <c r="P91" s="78">
        <v>0</v>
      </c>
      <c r="Q91" s="78">
        <v>0</v>
      </c>
      <c r="R91" s="78">
        <v>0</v>
      </c>
      <c r="S91" s="78">
        <v>0</v>
      </c>
      <c r="T91" s="78">
        <v>0</v>
      </c>
      <c r="U91" s="78">
        <v>0</v>
      </c>
      <c r="V91" s="78">
        <v>0</v>
      </c>
      <c r="W91" s="67">
        <v>0</v>
      </c>
      <c r="X91" s="2" t="s">
        <v>217</v>
      </c>
      <c r="Y91" s="31" t="s">
        <v>140</v>
      </c>
      <c r="AW91">
        <f t="shared" si="20"/>
        <v>0</v>
      </c>
      <c r="AX91">
        <f t="shared" si="21"/>
        <v>0</v>
      </c>
      <c r="AY91">
        <f t="shared" si="22"/>
        <v>0</v>
      </c>
      <c r="AZ91">
        <f t="shared" si="23"/>
        <v>0</v>
      </c>
      <c r="BA91">
        <f t="shared" si="24"/>
        <v>0</v>
      </c>
      <c r="BB91">
        <f t="shared" si="25"/>
        <v>0</v>
      </c>
      <c r="BC91">
        <f t="shared" si="26"/>
        <v>0</v>
      </c>
      <c r="BD91">
        <f t="shared" si="27"/>
        <v>0</v>
      </c>
      <c r="BE91">
        <f t="shared" si="28"/>
        <v>0</v>
      </c>
      <c r="BF91">
        <f t="shared" si="29"/>
        <v>0</v>
      </c>
      <c r="BG91" s="2" t="str">
        <f t="shared" si="30"/>
        <v>K2</v>
      </c>
      <c r="BH91" s="31" t="str">
        <f t="shared" si="31"/>
        <v>Acquisitions nettes d'actifs non produits</v>
      </c>
    </row>
    <row r="92" spans="1:60" ht="12.75" customHeight="1" outlineLevel="1" x14ac:dyDescent="0.2">
      <c r="A92" s="2" t="s">
        <v>218</v>
      </c>
      <c r="B92" s="31" t="s">
        <v>206</v>
      </c>
      <c r="C92" s="67">
        <v>0</v>
      </c>
      <c r="D92" s="78">
        <v>1.284</v>
      </c>
      <c r="E92" s="78">
        <v>0.34300000000000003</v>
      </c>
      <c r="F92" s="78">
        <v>2.3540000000000001</v>
      </c>
      <c r="G92" s="78">
        <v>-3.9809999999999999</v>
      </c>
      <c r="H92" s="78">
        <v>0</v>
      </c>
      <c r="I92" s="78">
        <v>0</v>
      </c>
      <c r="J92" s="78">
        <v>0</v>
      </c>
      <c r="K92" s="78">
        <v>0</v>
      </c>
      <c r="L92" s="67">
        <v>0</v>
      </c>
      <c r="M92" s="80"/>
      <c r="N92" s="67">
        <v>0</v>
      </c>
      <c r="O92" s="78">
        <v>0</v>
      </c>
      <c r="P92" s="78">
        <v>0</v>
      </c>
      <c r="Q92" s="78">
        <v>0</v>
      </c>
      <c r="R92" s="78">
        <v>0</v>
      </c>
      <c r="S92" s="78">
        <v>0</v>
      </c>
      <c r="T92" s="78">
        <v>0</v>
      </c>
      <c r="U92" s="78">
        <v>0</v>
      </c>
      <c r="V92" s="78">
        <v>0</v>
      </c>
      <c r="W92" s="67">
        <v>0</v>
      </c>
      <c r="X92" s="2" t="s">
        <v>218</v>
      </c>
      <c r="Y92" s="31" t="s">
        <v>206</v>
      </c>
      <c r="AW92">
        <f t="shared" si="20"/>
        <v>0</v>
      </c>
      <c r="AX92">
        <f t="shared" si="21"/>
        <v>0</v>
      </c>
      <c r="AY92">
        <f t="shared" si="22"/>
        <v>0</v>
      </c>
      <c r="AZ92">
        <f t="shared" si="23"/>
        <v>0</v>
      </c>
      <c r="BA92">
        <f t="shared" si="24"/>
        <v>0</v>
      </c>
      <c r="BB92">
        <f t="shared" si="25"/>
        <v>0</v>
      </c>
      <c r="BC92">
        <f t="shared" si="26"/>
        <v>0</v>
      </c>
      <c r="BD92">
        <f t="shared" si="27"/>
        <v>0</v>
      </c>
      <c r="BE92">
        <f t="shared" si="28"/>
        <v>0</v>
      </c>
      <c r="BF92">
        <f t="shared" si="29"/>
        <v>0</v>
      </c>
      <c r="BG92" s="2" t="str">
        <f t="shared" si="30"/>
        <v>K21</v>
      </c>
      <c r="BH92" s="31" t="str">
        <f t="shared" si="31"/>
        <v xml:space="preserve">  Acquisitions nettes de terrains et gisements</v>
      </c>
    </row>
    <row r="93" spans="1:60" ht="12.75" customHeight="1" outlineLevel="1" x14ac:dyDescent="0.2">
      <c r="A93" s="2" t="s">
        <v>219</v>
      </c>
      <c r="B93" s="31" t="s">
        <v>205</v>
      </c>
      <c r="C93" s="67">
        <v>0.36499999999999999</v>
      </c>
      <c r="D93" s="78">
        <v>0.36199999999999999</v>
      </c>
      <c r="E93" s="78">
        <v>0</v>
      </c>
      <c r="F93" s="78">
        <v>3.0000000000000001E-3</v>
      </c>
      <c r="G93" s="78">
        <v>0</v>
      </c>
      <c r="H93" s="78">
        <v>0</v>
      </c>
      <c r="I93" s="78">
        <v>0</v>
      </c>
      <c r="J93" s="78">
        <v>-0.36499999999999999</v>
      </c>
      <c r="K93" s="78">
        <v>0</v>
      </c>
      <c r="L93" s="67">
        <v>0</v>
      </c>
      <c r="M93" s="80"/>
      <c r="N93" s="69">
        <v>0</v>
      </c>
      <c r="O93" s="79">
        <v>0</v>
      </c>
      <c r="P93" s="79">
        <v>0</v>
      </c>
      <c r="Q93" s="79">
        <v>0</v>
      </c>
      <c r="R93" s="79">
        <v>0</v>
      </c>
      <c r="S93" s="79">
        <v>0</v>
      </c>
      <c r="T93" s="79">
        <v>0</v>
      </c>
      <c r="U93" s="79">
        <v>0</v>
      </c>
      <c r="V93" s="79">
        <v>0</v>
      </c>
      <c r="W93" s="69">
        <v>0</v>
      </c>
      <c r="X93" s="32" t="s">
        <v>219</v>
      </c>
      <c r="Y93" s="33" t="s">
        <v>205</v>
      </c>
      <c r="AW93">
        <f t="shared" si="20"/>
        <v>0</v>
      </c>
      <c r="AX93">
        <f t="shared" si="21"/>
        <v>0</v>
      </c>
      <c r="AY93">
        <f t="shared" si="22"/>
        <v>0</v>
      </c>
      <c r="AZ93">
        <f t="shared" si="23"/>
        <v>0</v>
      </c>
      <c r="BA93">
        <f t="shared" si="24"/>
        <v>0</v>
      </c>
      <c r="BB93">
        <f t="shared" si="25"/>
        <v>0</v>
      </c>
      <c r="BC93">
        <f t="shared" si="26"/>
        <v>0</v>
      </c>
      <c r="BD93">
        <f t="shared" si="27"/>
        <v>0</v>
      </c>
      <c r="BE93">
        <f t="shared" si="28"/>
        <v>0</v>
      </c>
      <c r="BF93">
        <f t="shared" si="29"/>
        <v>0</v>
      </c>
      <c r="BG93" s="32" t="str">
        <f t="shared" si="30"/>
        <v>K22</v>
      </c>
      <c r="BH93" s="33" t="str">
        <f t="shared" si="31"/>
        <v xml:space="preserve">  Acquisitions nettes d'actifs incorp. non produits</v>
      </c>
    </row>
    <row r="94" spans="1:60" ht="12.75" customHeight="1" outlineLevel="1" x14ac:dyDescent="0.2">
      <c r="A94" s="2"/>
      <c r="B94" s="31"/>
      <c r="C94" s="67"/>
      <c r="D94" s="78"/>
      <c r="E94" s="78"/>
      <c r="F94" s="78"/>
      <c r="G94" s="78"/>
      <c r="H94" s="78"/>
      <c r="I94" s="78"/>
      <c r="J94" s="78"/>
      <c r="K94" s="67"/>
      <c r="L94" s="67"/>
      <c r="M94" s="80"/>
      <c r="N94" s="67"/>
      <c r="O94" s="78"/>
      <c r="P94" s="68"/>
      <c r="Q94" s="68"/>
      <c r="R94" s="68"/>
      <c r="S94" s="68"/>
      <c r="T94" s="68"/>
      <c r="U94" s="68"/>
      <c r="V94" s="68"/>
      <c r="W94" s="68"/>
      <c r="X94" s="2"/>
      <c r="Y94" s="31"/>
      <c r="AW94">
        <f t="shared" si="20"/>
        <v>0</v>
      </c>
      <c r="AX94">
        <f t="shared" si="21"/>
        <v>0</v>
      </c>
      <c r="AY94">
        <f t="shared" si="22"/>
        <v>0</v>
      </c>
      <c r="AZ94">
        <f t="shared" si="23"/>
        <v>0</v>
      </c>
      <c r="BA94">
        <f t="shared" si="24"/>
        <v>0</v>
      </c>
      <c r="BB94">
        <f t="shared" si="25"/>
        <v>0</v>
      </c>
      <c r="BC94">
        <f t="shared" si="26"/>
        <v>0</v>
      </c>
      <c r="BD94">
        <f t="shared" si="27"/>
        <v>0</v>
      </c>
      <c r="BE94">
        <f t="shared" si="28"/>
        <v>0</v>
      </c>
      <c r="BF94">
        <f t="shared" si="29"/>
        <v>0</v>
      </c>
      <c r="BG94" s="2">
        <f t="shared" si="30"/>
        <v>0</v>
      </c>
      <c r="BH94" s="31">
        <f t="shared" si="31"/>
        <v>0</v>
      </c>
    </row>
    <row r="95" spans="1:60" ht="12.75" customHeight="1" outlineLevel="1" x14ac:dyDescent="0.2">
      <c r="A95" s="59" t="s">
        <v>98</v>
      </c>
      <c r="B95" s="59" t="s">
        <v>99</v>
      </c>
      <c r="C95" s="67">
        <v>-14.420629999999999</v>
      </c>
      <c r="D95" s="67">
        <v>-38.962650000000004</v>
      </c>
      <c r="E95" s="67">
        <v>10.946999999999999</v>
      </c>
      <c r="F95" s="67">
        <v>-42.725999999999999</v>
      </c>
      <c r="G95" s="67">
        <v>56.403010000000002</v>
      </c>
      <c r="H95" s="67">
        <v>-8.2000000000000003E-2</v>
      </c>
      <c r="I95" s="67">
        <v>0</v>
      </c>
      <c r="J95" s="67">
        <v>14.42</v>
      </c>
      <c r="K95" s="67">
        <v>0</v>
      </c>
      <c r="L95" s="67"/>
      <c r="M95" s="80"/>
      <c r="N95" s="67"/>
      <c r="O95" s="78"/>
      <c r="P95" s="68"/>
      <c r="Q95" s="68"/>
      <c r="R95" s="68"/>
      <c r="S95" s="68"/>
      <c r="T95" s="68"/>
      <c r="U95" s="68"/>
      <c r="V95" s="68"/>
      <c r="W95" s="68"/>
      <c r="X95" s="2"/>
      <c r="Y95" s="31"/>
      <c r="AW95">
        <f t="shared" si="20"/>
        <v>0</v>
      </c>
      <c r="AX95">
        <f t="shared" si="21"/>
        <v>0</v>
      </c>
      <c r="AY95">
        <f t="shared" si="22"/>
        <v>0</v>
      </c>
      <c r="AZ95">
        <f t="shared" si="23"/>
        <v>0</v>
      </c>
      <c r="BA95">
        <f t="shared" si="24"/>
        <v>0</v>
      </c>
      <c r="BB95">
        <f t="shared" si="25"/>
        <v>0</v>
      </c>
      <c r="BC95">
        <f t="shared" si="26"/>
        <v>0</v>
      </c>
      <c r="BD95">
        <f t="shared" si="27"/>
        <v>0</v>
      </c>
      <c r="BE95">
        <f t="shared" si="28"/>
        <v>0</v>
      </c>
      <c r="BF95">
        <f t="shared" si="29"/>
        <v>0</v>
      </c>
      <c r="BG95" s="2">
        <f t="shared" si="30"/>
        <v>0</v>
      </c>
      <c r="BH95" s="31">
        <f t="shared" si="31"/>
        <v>0</v>
      </c>
    </row>
    <row r="96" spans="1:60" ht="12.75" customHeight="1" outlineLevel="1" x14ac:dyDescent="0.2">
      <c r="A96" s="82" t="s">
        <v>100</v>
      </c>
      <c r="B96" s="84" t="s">
        <v>204</v>
      </c>
      <c r="C96" s="69">
        <v>-0.88137000000013543</v>
      </c>
      <c r="D96" s="69">
        <v>-7.7163500000000269</v>
      </c>
      <c r="E96" s="69">
        <v>8.6270000000000699</v>
      </c>
      <c r="F96" s="69">
        <v>9.9999999999766942E-4</v>
      </c>
      <c r="G96" s="69">
        <v>-5.6450100000000205</v>
      </c>
      <c r="H96" s="69">
        <v>3.8489999999999993</v>
      </c>
      <c r="I96" s="69">
        <v>0</v>
      </c>
      <c r="J96" s="69">
        <v>0.88300000000011103</v>
      </c>
      <c r="K96" s="69">
        <v>0</v>
      </c>
      <c r="L96" s="69"/>
      <c r="M96" s="80"/>
      <c r="N96" s="67"/>
      <c r="O96" s="78"/>
      <c r="P96" s="68"/>
      <c r="Q96" s="68"/>
      <c r="R96" s="68"/>
      <c r="S96" s="68"/>
      <c r="T96" s="68"/>
      <c r="U96" s="68"/>
      <c r="V96" s="68"/>
      <c r="W96" s="68"/>
      <c r="X96" s="1"/>
      <c r="Y96" s="1"/>
      <c r="AW96">
        <f t="shared" si="20"/>
        <v>0</v>
      </c>
      <c r="AX96">
        <f t="shared" si="21"/>
        <v>0</v>
      </c>
      <c r="AY96">
        <f t="shared" si="22"/>
        <v>0</v>
      </c>
      <c r="AZ96">
        <f t="shared" si="23"/>
        <v>0</v>
      </c>
      <c r="BA96">
        <f t="shared" si="24"/>
        <v>0</v>
      </c>
      <c r="BB96">
        <f t="shared" si="25"/>
        <v>0</v>
      </c>
      <c r="BC96">
        <f t="shared" si="26"/>
        <v>0</v>
      </c>
      <c r="BD96">
        <f t="shared" si="27"/>
        <v>0</v>
      </c>
      <c r="BE96">
        <f t="shared" si="28"/>
        <v>0</v>
      </c>
      <c r="BF96">
        <f t="shared" si="29"/>
        <v>0</v>
      </c>
      <c r="BG96" s="1">
        <f t="shared" si="30"/>
        <v>0</v>
      </c>
      <c r="BH96" s="1">
        <f t="shared" si="31"/>
        <v>0</v>
      </c>
    </row>
    <row r="97" spans="1:60" ht="12.75" customHeight="1" outlineLevel="1" x14ac:dyDescent="0.2">
      <c r="A97" s="17" t="s">
        <v>102</v>
      </c>
      <c r="B97" s="1"/>
      <c r="C97" s="67"/>
      <c r="D97" s="78"/>
      <c r="E97" s="78"/>
      <c r="F97" s="78"/>
      <c r="G97" s="78"/>
      <c r="H97" s="78"/>
      <c r="I97" s="78"/>
      <c r="J97" s="78"/>
      <c r="K97" s="67"/>
      <c r="L97" s="67"/>
      <c r="M97" s="80"/>
      <c r="N97" s="67"/>
      <c r="O97" s="78"/>
      <c r="P97" s="68"/>
      <c r="Q97" s="68"/>
      <c r="R97" s="68"/>
      <c r="S97" s="68"/>
      <c r="T97" s="68"/>
      <c r="U97" s="68"/>
      <c r="V97" s="68"/>
      <c r="W97" s="68"/>
      <c r="X97" s="16" t="s">
        <v>102</v>
      </c>
      <c r="Y97" s="1"/>
      <c r="AW97">
        <f t="shared" si="20"/>
        <v>0</v>
      </c>
      <c r="AX97">
        <f t="shared" si="21"/>
        <v>0</v>
      </c>
      <c r="AY97">
        <f t="shared" si="22"/>
        <v>0</v>
      </c>
      <c r="AZ97">
        <f t="shared" si="23"/>
        <v>0</v>
      </c>
      <c r="BA97">
        <f t="shared" si="24"/>
        <v>0</v>
      </c>
      <c r="BB97">
        <f t="shared" si="25"/>
        <v>0</v>
      </c>
      <c r="BC97">
        <f t="shared" si="26"/>
        <v>0</v>
      </c>
      <c r="BD97">
        <f t="shared" si="27"/>
        <v>0</v>
      </c>
      <c r="BE97">
        <f t="shared" si="28"/>
        <v>0</v>
      </c>
      <c r="BF97">
        <f t="shared" si="29"/>
        <v>0</v>
      </c>
      <c r="BG97" s="16" t="str">
        <f t="shared" si="30"/>
        <v>Compte financier</v>
      </c>
      <c r="BH97" s="1">
        <f t="shared" si="31"/>
        <v>0</v>
      </c>
    </row>
    <row r="98" spans="1:60" ht="12.75" customHeight="1" outlineLevel="1" x14ac:dyDescent="0.2">
      <c r="A98" s="17"/>
      <c r="B98" s="1"/>
      <c r="C98" s="67"/>
      <c r="D98" s="78"/>
      <c r="E98" s="78"/>
      <c r="F98" s="78"/>
      <c r="G98" s="78"/>
      <c r="H98" s="78"/>
      <c r="I98" s="78"/>
      <c r="J98" s="78"/>
      <c r="K98" s="67"/>
      <c r="L98" s="67"/>
      <c r="M98" s="80"/>
      <c r="N98" s="67">
        <v>0</v>
      </c>
      <c r="O98" s="67">
        <v>0</v>
      </c>
      <c r="P98" s="67">
        <v>15.303000000000111</v>
      </c>
      <c r="Q98" s="67">
        <v>0</v>
      </c>
      <c r="R98" s="67">
        <v>3.7669999999999995</v>
      </c>
      <c r="S98" s="67">
        <v>50.757999999999981</v>
      </c>
      <c r="T98" s="67">
        <v>-42.725000000000001</v>
      </c>
      <c r="U98" s="67">
        <v>19.574000000000069</v>
      </c>
      <c r="V98" s="67">
        <v>-46.67900000000003</v>
      </c>
      <c r="W98" s="67">
        <v>-15.302000000000135</v>
      </c>
      <c r="X98" s="59" t="s">
        <v>101</v>
      </c>
      <c r="Y98" s="61" t="s">
        <v>237</v>
      </c>
      <c r="AW98">
        <f t="shared" si="20"/>
        <v>-15.302000000000135</v>
      </c>
      <c r="AX98">
        <f t="shared" si="21"/>
        <v>-46.67900000000003</v>
      </c>
      <c r="AY98">
        <f t="shared" si="22"/>
        <v>19.574000000000069</v>
      </c>
      <c r="AZ98">
        <f t="shared" si="23"/>
        <v>-42.725000000000001</v>
      </c>
      <c r="BA98">
        <f t="shared" si="24"/>
        <v>50.757999999999981</v>
      </c>
      <c r="BB98">
        <f t="shared" si="25"/>
        <v>3.7669999999999995</v>
      </c>
      <c r="BC98">
        <f t="shared" si="26"/>
        <v>0</v>
      </c>
      <c r="BD98">
        <f t="shared" si="27"/>
        <v>15.303000000000111</v>
      </c>
      <c r="BE98">
        <f t="shared" si="28"/>
        <v>0</v>
      </c>
      <c r="BF98">
        <f t="shared" si="29"/>
        <v>0</v>
      </c>
      <c r="BG98" s="59" t="str">
        <f t="shared" si="30"/>
        <v>B9B</v>
      </c>
      <c r="BH98" s="61" t="str">
        <f t="shared" si="31"/>
        <v>Solde des flux nets d'act. et pas. financiers</v>
      </c>
    </row>
    <row r="99" spans="1:60" ht="12.75" customHeight="1" outlineLevel="1" x14ac:dyDescent="0.2">
      <c r="A99" s="59" t="s">
        <v>116</v>
      </c>
      <c r="B99" s="62" t="s">
        <v>235</v>
      </c>
      <c r="C99" s="67">
        <v>2182.2489999999998</v>
      </c>
      <c r="D99" s="67">
        <v>221.392</v>
      </c>
      <c r="E99" s="67">
        <v>1822.626</v>
      </c>
      <c r="F99" s="67">
        <v>-12.500999999999999</v>
      </c>
      <c r="G99" s="67">
        <v>146.15799999999999</v>
      </c>
      <c r="H99" s="67">
        <v>4.5709999999999997</v>
      </c>
      <c r="I99" s="67">
        <v>0</v>
      </c>
      <c r="J99" s="67">
        <v>1100.9670000000001</v>
      </c>
      <c r="K99" s="67">
        <v>0</v>
      </c>
      <c r="L99" s="67">
        <v>3283.2139999999999</v>
      </c>
      <c r="M99" s="80"/>
      <c r="N99" s="67">
        <v>3283.2139999999999</v>
      </c>
      <c r="O99" s="67">
        <v>0</v>
      </c>
      <c r="P99" s="67">
        <v>1085.664</v>
      </c>
      <c r="Q99" s="67">
        <v>0</v>
      </c>
      <c r="R99" s="67">
        <v>0.80400000000000005</v>
      </c>
      <c r="S99" s="67">
        <v>95.4</v>
      </c>
      <c r="T99" s="67">
        <v>30.224</v>
      </c>
      <c r="U99" s="67">
        <v>1803.0519999999999</v>
      </c>
      <c r="V99" s="67">
        <v>268.07100000000003</v>
      </c>
      <c r="W99" s="67">
        <v>2197.5509999999999</v>
      </c>
      <c r="X99" s="59" t="s">
        <v>116</v>
      </c>
      <c r="Y99" s="62" t="s">
        <v>236</v>
      </c>
      <c r="AW99">
        <f t="shared" si="20"/>
        <v>2197.5509999999999</v>
      </c>
      <c r="AX99">
        <f t="shared" si="21"/>
        <v>268.07100000000003</v>
      </c>
      <c r="AY99">
        <f t="shared" si="22"/>
        <v>1803.0519999999999</v>
      </c>
      <c r="AZ99">
        <f t="shared" si="23"/>
        <v>30.224</v>
      </c>
      <c r="BA99">
        <f t="shared" si="24"/>
        <v>95.4</v>
      </c>
      <c r="BB99">
        <f t="shared" si="25"/>
        <v>0.80400000000000005</v>
      </c>
      <c r="BC99">
        <f t="shared" si="26"/>
        <v>0</v>
      </c>
      <c r="BD99">
        <f t="shared" si="27"/>
        <v>1085.664</v>
      </c>
      <c r="BE99">
        <f t="shared" si="28"/>
        <v>0</v>
      </c>
      <c r="BF99">
        <f t="shared" si="29"/>
        <v>3283.2139999999999</v>
      </c>
      <c r="BG99" s="59" t="str">
        <f t="shared" si="30"/>
        <v>F</v>
      </c>
      <c r="BH99" s="62" t="str">
        <f t="shared" si="31"/>
        <v>Total des flux nets de passifs financiers</v>
      </c>
    </row>
    <row r="100" spans="1:60" ht="12.75" customHeight="1" outlineLevel="1" x14ac:dyDescent="0.2">
      <c r="A100" s="2" t="s">
        <v>103</v>
      </c>
      <c r="B100" s="2" t="s">
        <v>104</v>
      </c>
      <c r="C100" s="67">
        <v>-1.726</v>
      </c>
      <c r="D100" s="78">
        <v>0</v>
      </c>
      <c r="E100" s="78">
        <v>-1.726</v>
      </c>
      <c r="F100" s="78">
        <v>0</v>
      </c>
      <c r="G100" s="78">
        <v>0</v>
      </c>
      <c r="H100" s="78">
        <v>0</v>
      </c>
      <c r="I100" s="78">
        <v>0</v>
      </c>
      <c r="J100" s="78">
        <v>0</v>
      </c>
      <c r="K100" s="78">
        <v>0</v>
      </c>
      <c r="L100" s="67">
        <v>-1.726</v>
      </c>
      <c r="M100" s="80"/>
      <c r="N100" s="67">
        <v>-1.726</v>
      </c>
      <c r="O100" s="78">
        <v>0</v>
      </c>
      <c r="P100" s="78">
        <v>-1.726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67">
        <v>0</v>
      </c>
      <c r="X100" s="2" t="s">
        <v>103</v>
      </c>
      <c r="Y100" s="31" t="s">
        <v>104</v>
      </c>
      <c r="AW100">
        <f t="shared" si="20"/>
        <v>0</v>
      </c>
      <c r="AX100">
        <f t="shared" si="21"/>
        <v>0</v>
      </c>
      <c r="AY100">
        <f t="shared" si="22"/>
        <v>0</v>
      </c>
      <c r="AZ100">
        <f t="shared" si="23"/>
        <v>0</v>
      </c>
      <c r="BA100">
        <f t="shared" si="24"/>
        <v>0</v>
      </c>
      <c r="BB100">
        <f t="shared" si="25"/>
        <v>0</v>
      </c>
      <c r="BC100">
        <f t="shared" si="26"/>
        <v>0</v>
      </c>
      <c r="BD100">
        <f t="shared" si="27"/>
        <v>-1.726</v>
      </c>
      <c r="BE100">
        <f t="shared" si="28"/>
        <v>0</v>
      </c>
      <c r="BF100">
        <f t="shared" si="29"/>
        <v>-1.726</v>
      </c>
      <c r="BG100" s="2" t="str">
        <f t="shared" si="30"/>
        <v>F1</v>
      </c>
      <c r="BH100" s="31" t="str">
        <f t="shared" si="31"/>
        <v>Or monétaire et droits de tirage spéciaux</v>
      </c>
    </row>
    <row r="101" spans="1:60" ht="12.75" customHeight="1" outlineLevel="1" x14ac:dyDescent="0.2">
      <c r="A101" s="2" t="s">
        <v>105</v>
      </c>
      <c r="B101" s="2" t="s">
        <v>106</v>
      </c>
      <c r="C101" s="67">
        <v>183.452</v>
      </c>
      <c r="D101" s="78">
        <v>18.216999999999999</v>
      </c>
      <c r="E101" s="78">
        <v>172.25200000000001</v>
      </c>
      <c r="F101" s="78">
        <v>-30.363</v>
      </c>
      <c r="G101" s="78">
        <v>20.3</v>
      </c>
      <c r="H101" s="78">
        <v>3.0459999999999998</v>
      </c>
      <c r="I101" s="78">
        <v>0</v>
      </c>
      <c r="J101" s="78">
        <v>270.21499999999997</v>
      </c>
      <c r="K101" s="78">
        <v>0</v>
      </c>
      <c r="L101" s="67">
        <v>453.666</v>
      </c>
      <c r="M101" s="80"/>
      <c r="N101" s="67">
        <v>453.666</v>
      </c>
      <c r="O101" s="78">
        <v>0</v>
      </c>
      <c r="P101" s="78">
        <v>115.218</v>
      </c>
      <c r="Q101" s="78">
        <v>0</v>
      </c>
      <c r="R101" s="78">
        <v>0</v>
      </c>
      <c r="S101" s="78">
        <v>0</v>
      </c>
      <c r="T101" s="78">
        <v>5.22</v>
      </c>
      <c r="U101" s="78">
        <v>333.22899999999998</v>
      </c>
      <c r="V101" s="78">
        <v>0</v>
      </c>
      <c r="W101" s="67">
        <v>338.44900000000001</v>
      </c>
      <c r="X101" s="2" t="s">
        <v>105</v>
      </c>
      <c r="Y101" s="31" t="s">
        <v>106</v>
      </c>
      <c r="AW101">
        <f t="shared" si="20"/>
        <v>338.44900000000001</v>
      </c>
      <c r="AX101">
        <f t="shared" si="21"/>
        <v>0</v>
      </c>
      <c r="AY101">
        <f t="shared" si="22"/>
        <v>333.22899999999998</v>
      </c>
      <c r="AZ101">
        <f t="shared" si="23"/>
        <v>5.22</v>
      </c>
      <c r="BA101">
        <f t="shared" si="24"/>
        <v>0</v>
      </c>
      <c r="BB101">
        <f t="shared" si="25"/>
        <v>0</v>
      </c>
      <c r="BC101">
        <f t="shared" si="26"/>
        <v>0</v>
      </c>
      <c r="BD101">
        <f t="shared" si="27"/>
        <v>115.218</v>
      </c>
      <c r="BE101">
        <f t="shared" si="28"/>
        <v>0</v>
      </c>
      <c r="BF101">
        <f t="shared" si="29"/>
        <v>453.666</v>
      </c>
      <c r="BG101" s="2" t="str">
        <f t="shared" si="30"/>
        <v>F2</v>
      </c>
      <c r="BH101" s="31" t="str">
        <f t="shared" si="31"/>
        <v>Numéraire et dépôts</v>
      </c>
    </row>
    <row r="102" spans="1:60" ht="12.75" customHeight="1" outlineLevel="1" x14ac:dyDescent="0.2">
      <c r="A102" s="2" t="s">
        <v>107</v>
      </c>
      <c r="B102" s="2" t="s">
        <v>108</v>
      </c>
      <c r="C102" s="67">
        <v>1194.2529999999999</v>
      </c>
      <c r="D102" s="78">
        <v>-23.896999999999998</v>
      </c>
      <c r="E102" s="78">
        <v>1200.271</v>
      </c>
      <c r="F102" s="78">
        <v>15.734999999999999</v>
      </c>
      <c r="G102" s="78">
        <v>2.0369999999999999</v>
      </c>
      <c r="H102" s="78">
        <v>0.106</v>
      </c>
      <c r="I102" s="78">
        <v>0</v>
      </c>
      <c r="J102" s="78">
        <v>652.64700000000005</v>
      </c>
      <c r="K102" s="78">
        <v>0</v>
      </c>
      <c r="L102" s="67">
        <v>1846.9</v>
      </c>
      <c r="M102" s="80"/>
      <c r="N102" s="67">
        <v>1846.9</v>
      </c>
      <c r="O102" s="78">
        <v>0</v>
      </c>
      <c r="P102" s="78">
        <v>780.72500000000002</v>
      </c>
      <c r="Q102" s="78">
        <v>0</v>
      </c>
      <c r="R102" s="78">
        <v>7.0000000000000001E-3</v>
      </c>
      <c r="S102" s="78">
        <v>0</v>
      </c>
      <c r="T102" s="78">
        <v>4.4240000000000004</v>
      </c>
      <c r="U102" s="78">
        <v>1086.078</v>
      </c>
      <c r="V102" s="78">
        <v>-24.335000000000001</v>
      </c>
      <c r="W102" s="67">
        <v>1066.175</v>
      </c>
      <c r="X102" s="2" t="s">
        <v>107</v>
      </c>
      <c r="Y102" s="31" t="s">
        <v>108</v>
      </c>
      <c r="AW102">
        <f t="shared" si="20"/>
        <v>1066.175</v>
      </c>
      <c r="AX102">
        <f t="shared" si="21"/>
        <v>-24.335000000000001</v>
      </c>
      <c r="AY102">
        <f t="shared" si="22"/>
        <v>1086.078</v>
      </c>
      <c r="AZ102">
        <f t="shared" si="23"/>
        <v>4.4240000000000004</v>
      </c>
      <c r="BA102">
        <f t="shared" si="24"/>
        <v>0</v>
      </c>
      <c r="BB102">
        <f t="shared" si="25"/>
        <v>7.0000000000000001E-3</v>
      </c>
      <c r="BC102">
        <f t="shared" si="26"/>
        <v>0</v>
      </c>
      <c r="BD102">
        <f t="shared" si="27"/>
        <v>780.72500000000002</v>
      </c>
      <c r="BE102">
        <f t="shared" si="28"/>
        <v>0</v>
      </c>
      <c r="BF102">
        <f t="shared" si="29"/>
        <v>1846.9</v>
      </c>
      <c r="BG102" s="2" t="str">
        <f t="shared" si="30"/>
        <v>F3</v>
      </c>
      <c r="BH102" s="31" t="str">
        <f t="shared" si="31"/>
        <v>Titres autres qu'actions</v>
      </c>
    </row>
    <row r="103" spans="1:60" ht="12.75" customHeight="1" outlineLevel="1" x14ac:dyDescent="0.2">
      <c r="A103" s="2" t="s">
        <v>109</v>
      </c>
      <c r="B103" s="2" t="s">
        <v>110</v>
      </c>
      <c r="C103" s="67">
        <v>249.64599999999999</v>
      </c>
      <c r="D103" s="78">
        <v>50.180999999999997</v>
      </c>
      <c r="E103" s="78">
        <v>197.428</v>
      </c>
      <c r="F103" s="78">
        <v>-0.27</v>
      </c>
      <c r="G103" s="78">
        <v>2.3069999999999999</v>
      </c>
      <c r="H103" s="78">
        <v>0</v>
      </c>
      <c r="I103" s="78">
        <v>0</v>
      </c>
      <c r="J103" s="78">
        <v>37.988</v>
      </c>
      <c r="K103" s="78">
        <v>0</v>
      </c>
      <c r="L103" s="67">
        <v>287.63400000000001</v>
      </c>
      <c r="M103" s="80"/>
      <c r="N103" s="67">
        <v>287.63400000000001</v>
      </c>
      <c r="O103" s="78">
        <v>0</v>
      </c>
      <c r="P103" s="78">
        <v>26.503</v>
      </c>
      <c r="Q103" s="78">
        <v>0</v>
      </c>
      <c r="R103" s="78">
        <v>0.71699999999999997</v>
      </c>
      <c r="S103" s="78">
        <v>80.759</v>
      </c>
      <c r="T103" s="78">
        <v>6.6029999999999998</v>
      </c>
      <c r="U103" s="78">
        <v>37.107999999999997</v>
      </c>
      <c r="V103" s="78">
        <v>135.94499999999999</v>
      </c>
      <c r="W103" s="67">
        <v>261.13099999999997</v>
      </c>
      <c r="X103" s="2" t="s">
        <v>109</v>
      </c>
      <c r="Y103" s="31" t="s">
        <v>110</v>
      </c>
      <c r="AW103">
        <f t="shared" si="20"/>
        <v>261.13099999999997</v>
      </c>
      <c r="AX103">
        <f t="shared" si="21"/>
        <v>135.94499999999999</v>
      </c>
      <c r="AY103">
        <f t="shared" si="22"/>
        <v>37.107999999999997</v>
      </c>
      <c r="AZ103">
        <f t="shared" si="23"/>
        <v>6.6029999999999998</v>
      </c>
      <c r="BA103">
        <f t="shared" si="24"/>
        <v>80.759</v>
      </c>
      <c r="BB103">
        <f t="shared" si="25"/>
        <v>0.71699999999999997</v>
      </c>
      <c r="BC103">
        <f t="shared" si="26"/>
        <v>0</v>
      </c>
      <c r="BD103">
        <f t="shared" si="27"/>
        <v>26.503</v>
      </c>
      <c r="BE103">
        <f t="shared" si="28"/>
        <v>0</v>
      </c>
      <c r="BF103">
        <f t="shared" si="29"/>
        <v>287.63400000000001</v>
      </c>
      <c r="BG103" s="2" t="str">
        <f t="shared" si="30"/>
        <v>F4</v>
      </c>
      <c r="BH103" s="31" t="str">
        <f t="shared" si="31"/>
        <v>Crédits</v>
      </c>
    </row>
    <row r="104" spans="1:60" ht="12.75" customHeight="1" outlineLevel="1" x14ac:dyDescent="0.2">
      <c r="A104" s="2" t="s">
        <v>111</v>
      </c>
      <c r="B104" s="2" t="s">
        <v>112</v>
      </c>
      <c r="C104" s="67">
        <v>290.61200000000002</v>
      </c>
      <c r="D104" s="78">
        <v>99.908000000000001</v>
      </c>
      <c r="E104" s="78">
        <v>180.452</v>
      </c>
      <c r="F104" s="78">
        <v>-11.407999999999999</v>
      </c>
      <c r="G104" s="78">
        <v>20.242999999999999</v>
      </c>
      <c r="H104" s="78">
        <v>1.4159999999999999</v>
      </c>
      <c r="I104" s="78">
        <v>0</v>
      </c>
      <c r="J104" s="78">
        <v>106.002</v>
      </c>
      <c r="K104" s="78">
        <v>0</v>
      </c>
      <c r="L104" s="67">
        <v>396.61399999999998</v>
      </c>
      <c r="M104" s="80"/>
      <c r="N104" s="67">
        <v>396.61399999999998</v>
      </c>
      <c r="O104" s="78">
        <v>0</v>
      </c>
      <c r="P104" s="78">
        <v>140.733</v>
      </c>
      <c r="Q104" s="78">
        <v>0</v>
      </c>
      <c r="R104" s="78">
        <v>0.08</v>
      </c>
      <c r="S104" s="78">
        <v>0</v>
      </c>
      <c r="T104" s="78">
        <v>0</v>
      </c>
      <c r="U104" s="78">
        <v>171.39699999999999</v>
      </c>
      <c r="V104" s="78">
        <v>84.403999999999996</v>
      </c>
      <c r="W104" s="67">
        <v>255.881</v>
      </c>
      <c r="X104" s="2" t="s">
        <v>111</v>
      </c>
      <c r="Y104" s="31" t="s">
        <v>112</v>
      </c>
      <c r="AW104">
        <f t="shared" si="20"/>
        <v>255.881</v>
      </c>
      <c r="AX104">
        <f t="shared" si="21"/>
        <v>84.403999999999996</v>
      </c>
      <c r="AY104">
        <f t="shared" si="22"/>
        <v>171.39699999999999</v>
      </c>
      <c r="AZ104">
        <f t="shared" si="23"/>
        <v>0</v>
      </c>
      <c r="BA104">
        <f t="shared" si="24"/>
        <v>0</v>
      </c>
      <c r="BB104">
        <f t="shared" si="25"/>
        <v>0.08</v>
      </c>
      <c r="BC104">
        <f t="shared" si="26"/>
        <v>0</v>
      </c>
      <c r="BD104">
        <f t="shared" si="27"/>
        <v>140.733</v>
      </c>
      <c r="BE104">
        <f t="shared" si="28"/>
        <v>0</v>
      </c>
      <c r="BF104">
        <f t="shared" si="29"/>
        <v>396.61399999999998</v>
      </c>
      <c r="BG104" s="2" t="str">
        <f t="shared" si="30"/>
        <v>F5</v>
      </c>
      <c r="BH104" s="31" t="str">
        <f t="shared" si="31"/>
        <v>Actions et participations</v>
      </c>
    </row>
    <row r="105" spans="1:60" ht="12.75" customHeight="1" outlineLevel="1" x14ac:dyDescent="0.2">
      <c r="A105" s="2" t="s">
        <v>113</v>
      </c>
      <c r="B105" s="2" t="s">
        <v>114</v>
      </c>
      <c r="C105" s="67">
        <v>102.976</v>
      </c>
      <c r="D105" s="78">
        <v>-2.5999999999999999E-2</v>
      </c>
      <c r="E105" s="78">
        <v>10.695</v>
      </c>
      <c r="F105" s="78">
        <v>0.03</v>
      </c>
      <c r="G105" s="78">
        <v>92.272999999999996</v>
      </c>
      <c r="H105" s="78">
        <v>3.0000000000000001E-3</v>
      </c>
      <c r="I105" s="78">
        <v>0</v>
      </c>
      <c r="J105" s="78">
        <v>-0.92700000000000005</v>
      </c>
      <c r="K105" s="78">
        <v>0</v>
      </c>
      <c r="L105" s="67">
        <v>102.04900000000001</v>
      </c>
      <c r="M105" s="80"/>
      <c r="N105" s="67">
        <v>102.04900000000001</v>
      </c>
      <c r="O105" s="78">
        <v>0</v>
      </c>
      <c r="P105" s="78">
        <v>0</v>
      </c>
      <c r="Q105" s="78">
        <v>0</v>
      </c>
      <c r="R105" s="78">
        <v>0</v>
      </c>
      <c r="S105" s="78">
        <v>0</v>
      </c>
      <c r="T105" s="78">
        <v>0</v>
      </c>
      <c r="U105" s="78">
        <v>102.04900000000001</v>
      </c>
      <c r="V105" s="78">
        <v>0</v>
      </c>
      <c r="W105" s="67">
        <v>102.04900000000001</v>
      </c>
      <c r="X105" s="2" t="s">
        <v>113</v>
      </c>
      <c r="Y105" s="31" t="s">
        <v>114</v>
      </c>
      <c r="AW105">
        <f t="shared" si="20"/>
        <v>102.04900000000001</v>
      </c>
      <c r="AX105">
        <f t="shared" si="21"/>
        <v>0</v>
      </c>
      <c r="AY105">
        <f t="shared" si="22"/>
        <v>102.04900000000001</v>
      </c>
      <c r="AZ105">
        <f t="shared" si="23"/>
        <v>0</v>
      </c>
      <c r="BA105">
        <f t="shared" si="24"/>
        <v>0</v>
      </c>
      <c r="BB105">
        <f t="shared" si="25"/>
        <v>0</v>
      </c>
      <c r="BC105">
        <f t="shared" si="26"/>
        <v>0</v>
      </c>
      <c r="BD105">
        <f t="shared" si="27"/>
        <v>0</v>
      </c>
      <c r="BE105">
        <f t="shared" si="28"/>
        <v>0</v>
      </c>
      <c r="BF105">
        <f t="shared" si="29"/>
        <v>102.04900000000001</v>
      </c>
      <c r="BG105" s="2" t="str">
        <f t="shared" si="30"/>
        <v>F6</v>
      </c>
      <c r="BH105" s="31" t="str">
        <f t="shared" si="31"/>
        <v>Provisions techniques d'assurance</v>
      </c>
    </row>
    <row r="106" spans="1:60" ht="12.75" customHeight="1" outlineLevel="1" x14ac:dyDescent="0.2">
      <c r="A106" s="49" t="s">
        <v>115</v>
      </c>
      <c r="B106" s="49" t="s">
        <v>173</v>
      </c>
      <c r="C106" s="69">
        <v>163.036</v>
      </c>
      <c r="D106" s="79">
        <v>77.009</v>
      </c>
      <c r="E106" s="79">
        <v>63.253999999999998</v>
      </c>
      <c r="F106" s="79">
        <v>13.775</v>
      </c>
      <c r="G106" s="79">
        <v>8.9979999999999993</v>
      </c>
      <c r="H106" s="79">
        <v>0</v>
      </c>
      <c r="I106" s="79">
        <v>0</v>
      </c>
      <c r="J106" s="79">
        <v>35.042000000000002</v>
      </c>
      <c r="K106" s="79">
        <v>0</v>
      </c>
      <c r="L106" s="69">
        <v>198.077</v>
      </c>
      <c r="M106" s="80"/>
      <c r="N106" s="69">
        <v>198.077</v>
      </c>
      <c r="O106" s="79">
        <v>0</v>
      </c>
      <c r="P106" s="79">
        <v>24.210999999999999</v>
      </c>
      <c r="Q106" s="79">
        <v>0</v>
      </c>
      <c r="R106" s="79">
        <v>0</v>
      </c>
      <c r="S106" s="79">
        <v>14.641</v>
      </c>
      <c r="T106" s="79">
        <v>13.977</v>
      </c>
      <c r="U106" s="79">
        <v>73.191000000000003</v>
      </c>
      <c r="V106" s="79">
        <v>72.057000000000002</v>
      </c>
      <c r="W106" s="69">
        <v>173.86600000000001</v>
      </c>
      <c r="X106" s="33" t="s">
        <v>115</v>
      </c>
      <c r="Y106" s="33" t="s">
        <v>172</v>
      </c>
      <c r="AW106">
        <f t="shared" si="20"/>
        <v>173.86600000000001</v>
      </c>
      <c r="AX106">
        <f t="shared" si="21"/>
        <v>72.057000000000002</v>
      </c>
      <c r="AY106">
        <f t="shared" si="22"/>
        <v>73.191000000000003</v>
      </c>
      <c r="AZ106">
        <f t="shared" si="23"/>
        <v>13.977</v>
      </c>
      <c r="BA106">
        <f t="shared" si="24"/>
        <v>14.641</v>
      </c>
      <c r="BB106">
        <f t="shared" si="25"/>
        <v>0</v>
      </c>
      <c r="BC106">
        <f t="shared" si="26"/>
        <v>0</v>
      </c>
      <c r="BD106">
        <f t="shared" si="27"/>
        <v>24.210999999999999</v>
      </c>
      <c r="BE106">
        <f t="shared" si="28"/>
        <v>0</v>
      </c>
      <c r="BF106">
        <f t="shared" si="29"/>
        <v>198.077</v>
      </c>
      <c r="BG106" s="33" t="str">
        <f t="shared" si="30"/>
        <v>F7</v>
      </c>
      <c r="BH106" s="33" t="str">
        <f t="shared" si="31"/>
        <v xml:space="preserve">Autres comptes à recevoir </v>
      </c>
    </row>
    <row r="107" spans="1:60" ht="12.75" customHeight="1" outlineLevel="1" x14ac:dyDescent="0.2">
      <c r="A107" s="48" t="s">
        <v>141</v>
      </c>
      <c r="B107" s="1"/>
      <c r="C107" s="67"/>
      <c r="D107" s="78"/>
      <c r="E107" s="78"/>
      <c r="F107" s="78"/>
      <c r="G107" s="78"/>
      <c r="H107" s="78"/>
      <c r="I107" s="78"/>
      <c r="J107" s="78"/>
      <c r="K107" s="67"/>
      <c r="L107" s="67"/>
      <c r="M107" s="80"/>
      <c r="N107" s="67"/>
      <c r="O107" s="78"/>
      <c r="P107" s="68"/>
      <c r="Q107" s="68"/>
      <c r="R107" s="68"/>
      <c r="S107" s="68"/>
      <c r="T107" s="68"/>
      <c r="U107" s="68"/>
      <c r="V107" s="68"/>
      <c r="W107" s="68"/>
      <c r="X107" s="47" t="s">
        <v>141</v>
      </c>
      <c r="Y107" s="6"/>
      <c r="AW107">
        <f t="shared" si="20"/>
        <v>0</v>
      </c>
      <c r="AX107">
        <f t="shared" si="21"/>
        <v>0</v>
      </c>
      <c r="AY107">
        <f t="shared" si="22"/>
        <v>0</v>
      </c>
      <c r="AZ107">
        <f t="shared" si="23"/>
        <v>0</v>
      </c>
      <c r="BA107">
        <f t="shared" si="24"/>
        <v>0</v>
      </c>
      <c r="BB107">
        <f t="shared" si="25"/>
        <v>0</v>
      </c>
      <c r="BC107">
        <f t="shared" si="26"/>
        <v>0</v>
      </c>
      <c r="BD107">
        <f t="shared" si="27"/>
        <v>0</v>
      </c>
      <c r="BE107">
        <f t="shared" si="28"/>
        <v>0</v>
      </c>
      <c r="BF107">
        <f t="shared" si="29"/>
        <v>0</v>
      </c>
      <c r="BG107" s="47" t="str">
        <f t="shared" si="30"/>
        <v>Autres changements de volume et ajustements</v>
      </c>
      <c r="BH107" s="6">
        <f t="shared" si="31"/>
        <v>0</v>
      </c>
    </row>
    <row r="108" spans="1:60" ht="12.75" customHeight="1" outlineLevel="1" x14ac:dyDescent="0.2">
      <c r="A108" s="2" t="s">
        <v>142</v>
      </c>
      <c r="B108" s="62" t="s">
        <v>143</v>
      </c>
      <c r="C108" s="67">
        <v>64.016000000000005</v>
      </c>
      <c r="D108" s="67">
        <v>44.570999999999998</v>
      </c>
      <c r="E108" s="67">
        <v>4.7290000000000001</v>
      </c>
      <c r="F108" s="67">
        <v>6.5730000000000004</v>
      </c>
      <c r="G108" s="67">
        <v>7.3920000000000003</v>
      </c>
      <c r="H108" s="67">
        <v>0.75</v>
      </c>
      <c r="I108" s="67">
        <v>0</v>
      </c>
      <c r="J108" s="67">
        <v>0</v>
      </c>
      <c r="K108" s="67">
        <v>0</v>
      </c>
      <c r="L108" s="67">
        <v>64.016000000000005</v>
      </c>
      <c r="M108" s="80"/>
      <c r="N108" s="67"/>
      <c r="O108" s="78"/>
      <c r="P108" s="68"/>
      <c r="Q108" s="68"/>
      <c r="R108" s="68"/>
      <c r="S108" s="68"/>
      <c r="T108" s="68"/>
      <c r="U108" s="68"/>
      <c r="V108" s="68"/>
      <c r="W108" s="68"/>
      <c r="X108" s="6"/>
      <c r="Y108" s="47"/>
      <c r="AW108">
        <f t="shared" si="20"/>
        <v>0</v>
      </c>
      <c r="AX108">
        <f t="shared" si="21"/>
        <v>0</v>
      </c>
      <c r="AY108">
        <f t="shared" si="22"/>
        <v>0</v>
      </c>
      <c r="AZ108">
        <f t="shared" si="23"/>
        <v>0</v>
      </c>
      <c r="BA108">
        <f t="shared" si="24"/>
        <v>0</v>
      </c>
      <c r="BB108">
        <f t="shared" si="25"/>
        <v>0</v>
      </c>
      <c r="BC108">
        <f t="shared" si="26"/>
        <v>0</v>
      </c>
      <c r="BD108">
        <f t="shared" si="27"/>
        <v>0</v>
      </c>
      <c r="BE108">
        <f t="shared" si="28"/>
        <v>0</v>
      </c>
      <c r="BF108">
        <f t="shared" si="29"/>
        <v>0</v>
      </c>
      <c r="BG108" s="6">
        <f t="shared" si="30"/>
        <v>0</v>
      </c>
      <c r="BH108" s="47">
        <f t="shared" si="31"/>
        <v>0</v>
      </c>
    </row>
    <row r="109" spans="1:60" ht="12.75" customHeight="1" outlineLevel="1" x14ac:dyDescent="0.2">
      <c r="A109" s="2" t="s">
        <v>144</v>
      </c>
      <c r="B109" s="3" t="s">
        <v>145</v>
      </c>
      <c r="C109" s="67">
        <v>-0.60699999999999998</v>
      </c>
      <c r="D109" s="78">
        <v>0.77700000000000002</v>
      </c>
      <c r="E109" s="78">
        <v>0</v>
      </c>
      <c r="F109" s="78">
        <v>0.113</v>
      </c>
      <c r="G109" s="78">
        <v>-1.4970000000000001</v>
      </c>
      <c r="H109" s="78">
        <v>0</v>
      </c>
      <c r="I109" s="78">
        <v>0</v>
      </c>
      <c r="J109" s="78">
        <v>0</v>
      </c>
      <c r="K109" s="78">
        <v>0</v>
      </c>
      <c r="L109" s="67">
        <v>-0.60699999999999998</v>
      </c>
      <c r="M109" s="80"/>
      <c r="N109" s="67"/>
      <c r="O109" s="78"/>
      <c r="P109" s="68"/>
      <c r="Q109" s="68"/>
      <c r="R109" s="68"/>
      <c r="S109" s="68"/>
      <c r="T109" s="68"/>
      <c r="U109" s="68"/>
      <c r="V109" s="68"/>
      <c r="W109" s="68"/>
      <c r="X109" s="6"/>
      <c r="Y109" s="47"/>
      <c r="AW109">
        <f t="shared" si="20"/>
        <v>0</v>
      </c>
      <c r="AX109">
        <f t="shared" si="21"/>
        <v>0</v>
      </c>
      <c r="AY109">
        <f t="shared" si="22"/>
        <v>0</v>
      </c>
      <c r="AZ109">
        <f t="shared" si="23"/>
        <v>0</v>
      </c>
      <c r="BA109">
        <f t="shared" si="24"/>
        <v>0</v>
      </c>
      <c r="BB109">
        <f t="shared" si="25"/>
        <v>0</v>
      </c>
      <c r="BC109">
        <f t="shared" si="26"/>
        <v>0</v>
      </c>
      <c r="BD109">
        <f t="shared" si="27"/>
        <v>0</v>
      </c>
      <c r="BE109">
        <f t="shared" si="28"/>
        <v>0</v>
      </c>
      <c r="BF109">
        <f t="shared" si="29"/>
        <v>0</v>
      </c>
      <c r="BG109" s="6">
        <f t="shared" si="30"/>
        <v>0</v>
      </c>
      <c r="BH109" s="47">
        <f t="shared" si="31"/>
        <v>0</v>
      </c>
    </row>
    <row r="110" spans="1:60" ht="12.75" customHeight="1" outlineLevel="1" x14ac:dyDescent="0.2">
      <c r="A110" s="2" t="s">
        <v>146</v>
      </c>
      <c r="B110" s="3" t="s">
        <v>147</v>
      </c>
      <c r="C110" s="67">
        <v>-0.54700000000000004</v>
      </c>
      <c r="D110" s="78">
        <v>0.89200000000000002</v>
      </c>
      <c r="E110" s="78">
        <v>0</v>
      </c>
      <c r="F110" s="78">
        <v>0</v>
      </c>
      <c r="G110" s="78">
        <v>-1.4390000000000001</v>
      </c>
      <c r="H110" s="78">
        <v>0</v>
      </c>
      <c r="I110" s="78">
        <v>0</v>
      </c>
      <c r="J110" s="78">
        <v>0</v>
      </c>
      <c r="K110" s="78">
        <v>0</v>
      </c>
      <c r="L110" s="67">
        <v>-0.54700000000000004</v>
      </c>
      <c r="M110" s="80"/>
      <c r="N110" s="67"/>
      <c r="O110" s="78"/>
      <c r="P110" s="68"/>
      <c r="Q110" s="68"/>
      <c r="R110" s="68"/>
      <c r="S110" s="68"/>
      <c r="T110" s="68"/>
      <c r="U110" s="68"/>
      <c r="V110" s="68"/>
      <c r="W110" s="68"/>
      <c r="X110" s="6"/>
      <c r="Y110" s="47"/>
      <c r="AW110">
        <f t="shared" si="20"/>
        <v>0</v>
      </c>
      <c r="AX110">
        <f t="shared" si="21"/>
        <v>0</v>
      </c>
      <c r="AY110">
        <f t="shared" si="22"/>
        <v>0</v>
      </c>
      <c r="AZ110">
        <f t="shared" si="23"/>
        <v>0</v>
      </c>
      <c r="BA110">
        <f t="shared" si="24"/>
        <v>0</v>
      </c>
      <c r="BB110">
        <f t="shared" si="25"/>
        <v>0</v>
      </c>
      <c r="BC110">
        <f t="shared" si="26"/>
        <v>0</v>
      </c>
      <c r="BD110">
        <f t="shared" si="27"/>
        <v>0</v>
      </c>
      <c r="BE110">
        <f t="shared" si="28"/>
        <v>0</v>
      </c>
      <c r="BF110">
        <f t="shared" si="29"/>
        <v>0</v>
      </c>
      <c r="BG110" s="6">
        <f t="shared" si="30"/>
        <v>0</v>
      </c>
      <c r="BH110" s="47">
        <f t="shared" si="31"/>
        <v>0</v>
      </c>
    </row>
    <row r="111" spans="1:60" ht="12.75" customHeight="1" outlineLevel="1" x14ac:dyDescent="0.2">
      <c r="A111" s="2" t="s">
        <v>148</v>
      </c>
      <c r="B111" s="3" t="s">
        <v>177</v>
      </c>
      <c r="C111" s="67">
        <v>-0.54700000000000004</v>
      </c>
      <c r="D111" s="78">
        <v>0.89200000000000002</v>
      </c>
      <c r="E111" s="78">
        <v>0</v>
      </c>
      <c r="F111" s="78">
        <v>0</v>
      </c>
      <c r="G111" s="78">
        <v>-1.4390000000000001</v>
      </c>
      <c r="H111" s="78">
        <v>0</v>
      </c>
      <c r="I111" s="78">
        <v>0</v>
      </c>
      <c r="J111" s="78">
        <v>0</v>
      </c>
      <c r="K111" s="78">
        <v>0</v>
      </c>
      <c r="L111" s="67">
        <v>-0.54700000000000004</v>
      </c>
      <c r="M111" s="80"/>
      <c r="N111" s="67"/>
      <c r="O111" s="78"/>
      <c r="P111" s="68"/>
      <c r="Q111" s="68"/>
      <c r="R111" s="68"/>
      <c r="S111" s="68"/>
      <c r="T111" s="68"/>
      <c r="U111" s="68"/>
      <c r="V111" s="68"/>
      <c r="W111" s="68"/>
      <c r="X111" s="6"/>
      <c r="Y111" s="47"/>
      <c r="AW111">
        <f t="shared" si="20"/>
        <v>0</v>
      </c>
      <c r="AX111">
        <f t="shared" si="21"/>
        <v>0</v>
      </c>
      <c r="AY111">
        <f t="shared" si="22"/>
        <v>0</v>
      </c>
      <c r="AZ111">
        <f t="shared" si="23"/>
        <v>0</v>
      </c>
      <c r="BA111">
        <f t="shared" si="24"/>
        <v>0</v>
      </c>
      <c r="BB111">
        <f t="shared" si="25"/>
        <v>0</v>
      </c>
      <c r="BC111">
        <f t="shared" si="26"/>
        <v>0</v>
      </c>
      <c r="BD111">
        <f t="shared" si="27"/>
        <v>0</v>
      </c>
      <c r="BE111">
        <f t="shared" si="28"/>
        <v>0</v>
      </c>
      <c r="BF111">
        <f t="shared" si="29"/>
        <v>0</v>
      </c>
      <c r="BG111" s="6">
        <f t="shared" si="30"/>
        <v>0</v>
      </c>
      <c r="BH111" s="47">
        <f t="shared" si="31"/>
        <v>0</v>
      </c>
    </row>
    <row r="112" spans="1:60" ht="12.75" customHeight="1" outlineLevel="1" x14ac:dyDescent="0.2">
      <c r="A112" s="2" t="s">
        <v>149</v>
      </c>
      <c r="B112" s="3" t="s">
        <v>178</v>
      </c>
      <c r="C112" s="67">
        <v>0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78">
        <v>0</v>
      </c>
      <c r="L112" s="67">
        <v>0</v>
      </c>
      <c r="M112" s="80"/>
      <c r="N112" s="67"/>
      <c r="O112" s="78"/>
      <c r="P112" s="68"/>
      <c r="Q112" s="68"/>
      <c r="R112" s="68"/>
      <c r="S112" s="68"/>
      <c r="T112" s="68"/>
      <c r="U112" s="68"/>
      <c r="V112" s="68"/>
      <c r="W112" s="68"/>
      <c r="X112" s="3"/>
      <c r="Y112" s="7"/>
      <c r="AW112">
        <f t="shared" si="20"/>
        <v>0</v>
      </c>
      <c r="AX112">
        <f t="shared" si="21"/>
        <v>0</v>
      </c>
      <c r="AY112">
        <f t="shared" si="22"/>
        <v>0</v>
      </c>
      <c r="AZ112">
        <f t="shared" si="23"/>
        <v>0</v>
      </c>
      <c r="BA112">
        <f t="shared" si="24"/>
        <v>0</v>
      </c>
      <c r="BB112">
        <f t="shared" si="25"/>
        <v>0</v>
      </c>
      <c r="BC112">
        <f t="shared" si="26"/>
        <v>0</v>
      </c>
      <c r="BD112">
        <f t="shared" si="27"/>
        <v>0</v>
      </c>
      <c r="BE112">
        <f t="shared" si="28"/>
        <v>0</v>
      </c>
      <c r="BF112">
        <f t="shared" si="29"/>
        <v>0</v>
      </c>
      <c r="BG112" s="3">
        <f t="shared" si="30"/>
        <v>0</v>
      </c>
      <c r="BH112" s="7">
        <f t="shared" si="31"/>
        <v>0</v>
      </c>
    </row>
    <row r="113" spans="1:60" ht="12.75" customHeight="1" outlineLevel="1" x14ac:dyDescent="0.2">
      <c r="A113" s="2" t="s">
        <v>150</v>
      </c>
      <c r="B113" s="3" t="s">
        <v>151</v>
      </c>
      <c r="C113" s="67">
        <v>-2E-3</v>
      </c>
      <c r="D113" s="78">
        <v>-0.115</v>
      </c>
      <c r="E113" s="78">
        <v>0</v>
      </c>
      <c r="F113" s="78">
        <v>0.113</v>
      </c>
      <c r="G113" s="78">
        <v>0</v>
      </c>
      <c r="H113" s="78">
        <v>0</v>
      </c>
      <c r="I113" s="78">
        <v>0</v>
      </c>
      <c r="J113" s="78">
        <v>0</v>
      </c>
      <c r="K113" s="78">
        <v>0</v>
      </c>
      <c r="L113" s="67">
        <v>-2E-3</v>
      </c>
      <c r="M113" s="80"/>
      <c r="N113" s="67"/>
      <c r="O113" s="78"/>
      <c r="P113" s="68"/>
      <c r="Q113" s="68"/>
      <c r="R113" s="68"/>
      <c r="S113" s="68"/>
      <c r="T113" s="68"/>
      <c r="U113" s="68"/>
      <c r="V113" s="68"/>
      <c r="W113" s="68"/>
      <c r="X113" s="3"/>
      <c r="Y113" s="7"/>
      <c r="AW113">
        <f t="shared" si="20"/>
        <v>0</v>
      </c>
      <c r="AX113">
        <f t="shared" si="21"/>
        <v>0</v>
      </c>
      <c r="AY113">
        <f t="shared" si="22"/>
        <v>0</v>
      </c>
      <c r="AZ113">
        <f t="shared" si="23"/>
        <v>0</v>
      </c>
      <c r="BA113">
        <f t="shared" si="24"/>
        <v>0</v>
      </c>
      <c r="BB113">
        <f t="shared" si="25"/>
        <v>0</v>
      </c>
      <c r="BC113">
        <f t="shared" si="26"/>
        <v>0</v>
      </c>
      <c r="BD113">
        <f t="shared" si="27"/>
        <v>0</v>
      </c>
      <c r="BE113">
        <f t="shared" si="28"/>
        <v>0</v>
      </c>
      <c r="BF113">
        <f t="shared" si="29"/>
        <v>0</v>
      </c>
      <c r="BG113" s="3">
        <f t="shared" si="30"/>
        <v>0</v>
      </c>
      <c r="BH113" s="7">
        <f t="shared" si="31"/>
        <v>0</v>
      </c>
    </row>
    <row r="114" spans="1:60" ht="12.75" customHeight="1" outlineLevel="1" x14ac:dyDescent="0.2">
      <c r="A114" s="2" t="s">
        <v>152</v>
      </c>
      <c r="B114" s="3" t="s">
        <v>153</v>
      </c>
      <c r="C114" s="67">
        <v>-5.8000000000000003E-2</v>
      </c>
      <c r="D114" s="78">
        <v>0</v>
      </c>
      <c r="E114" s="78">
        <v>0</v>
      </c>
      <c r="F114" s="78">
        <v>0</v>
      </c>
      <c r="G114" s="78">
        <v>-5.8000000000000003E-2</v>
      </c>
      <c r="H114" s="78">
        <v>0</v>
      </c>
      <c r="I114" s="78">
        <v>0</v>
      </c>
      <c r="J114" s="78">
        <v>0</v>
      </c>
      <c r="K114" s="78">
        <v>0</v>
      </c>
      <c r="L114" s="67">
        <v>-5.8000000000000003E-2</v>
      </c>
      <c r="M114" s="80"/>
      <c r="N114" s="67"/>
      <c r="O114" s="78"/>
      <c r="P114" s="68"/>
      <c r="Q114" s="68"/>
      <c r="R114" s="68"/>
      <c r="S114" s="68"/>
      <c r="T114" s="68"/>
      <c r="U114" s="68"/>
      <c r="V114" s="68"/>
      <c r="W114" s="68"/>
      <c r="X114" s="3"/>
      <c r="Y114" s="7"/>
      <c r="AW114">
        <f t="shared" si="20"/>
        <v>0</v>
      </c>
      <c r="AX114">
        <f t="shared" si="21"/>
        <v>0</v>
      </c>
      <c r="AY114">
        <f t="shared" si="22"/>
        <v>0</v>
      </c>
      <c r="AZ114">
        <f t="shared" si="23"/>
        <v>0</v>
      </c>
      <c r="BA114">
        <f t="shared" si="24"/>
        <v>0</v>
      </c>
      <c r="BB114">
        <f t="shared" si="25"/>
        <v>0</v>
      </c>
      <c r="BC114">
        <f t="shared" si="26"/>
        <v>0</v>
      </c>
      <c r="BD114">
        <f t="shared" si="27"/>
        <v>0</v>
      </c>
      <c r="BE114">
        <f t="shared" si="28"/>
        <v>0</v>
      </c>
      <c r="BF114">
        <f t="shared" si="29"/>
        <v>0</v>
      </c>
      <c r="BG114" s="3">
        <f t="shared" si="30"/>
        <v>0</v>
      </c>
      <c r="BH114" s="7">
        <f t="shared" si="31"/>
        <v>0</v>
      </c>
    </row>
    <row r="115" spans="1:60" ht="12.75" customHeight="1" outlineLevel="1" x14ac:dyDescent="0.2">
      <c r="A115" s="2" t="s">
        <v>222</v>
      </c>
      <c r="B115" s="3" t="s">
        <v>154</v>
      </c>
      <c r="C115" s="67">
        <v>64.623000000000005</v>
      </c>
      <c r="D115" s="78">
        <v>43.795000000000002</v>
      </c>
      <c r="E115" s="78">
        <v>4.7290000000000001</v>
      </c>
      <c r="F115" s="78">
        <v>6.46</v>
      </c>
      <c r="G115" s="78">
        <v>8.8889999999999993</v>
      </c>
      <c r="H115" s="78">
        <v>0.75</v>
      </c>
      <c r="I115" s="78">
        <v>0</v>
      </c>
      <c r="J115" s="78">
        <v>0</v>
      </c>
      <c r="K115" s="78">
        <v>0</v>
      </c>
      <c r="L115" s="67">
        <v>64.623000000000005</v>
      </c>
      <c r="M115" s="80"/>
      <c r="N115" s="67"/>
      <c r="O115" s="78"/>
      <c r="P115" s="68"/>
      <c r="Q115" s="68"/>
      <c r="R115" s="68"/>
      <c r="S115" s="68"/>
      <c r="T115" s="68"/>
      <c r="U115" s="68"/>
      <c r="V115" s="68"/>
      <c r="W115" s="68"/>
      <c r="X115" s="3"/>
      <c r="Y115" s="7"/>
      <c r="AW115">
        <f t="shared" si="20"/>
        <v>0</v>
      </c>
      <c r="AX115">
        <f t="shared" si="21"/>
        <v>0</v>
      </c>
      <c r="AY115">
        <f t="shared" si="22"/>
        <v>0</v>
      </c>
      <c r="AZ115">
        <f t="shared" si="23"/>
        <v>0</v>
      </c>
      <c r="BA115">
        <f t="shared" si="24"/>
        <v>0</v>
      </c>
      <c r="BB115">
        <f t="shared" si="25"/>
        <v>0</v>
      </c>
      <c r="BC115">
        <f t="shared" si="26"/>
        <v>0</v>
      </c>
      <c r="BD115">
        <f t="shared" si="27"/>
        <v>0</v>
      </c>
      <c r="BE115">
        <f t="shared" si="28"/>
        <v>0</v>
      </c>
      <c r="BF115">
        <f t="shared" si="29"/>
        <v>0</v>
      </c>
      <c r="BG115" s="3">
        <f t="shared" si="30"/>
        <v>0</v>
      </c>
      <c r="BH115" s="7">
        <f t="shared" si="31"/>
        <v>0</v>
      </c>
    </row>
    <row r="116" spans="1:60" ht="12.75" customHeight="1" outlineLevel="1" x14ac:dyDescent="0.2">
      <c r="A116" s="2" t="s">
        <v>220</v>
      </c>
      <c r="B116" s="31" t="s">
        <v>207</v>
      </c>
      <c r="C116" s="67">
        <v>37.712000000000003</v>
      </c>
      <c r="D116" s="78">
        <v>17.687999999999999</v>
      </c>
      <c r="E116" s="78">
        <v>3.67</v>
      </c>
      <c r="F116" s="78">
        <v>6.46</v>
      </c>
      <c r="G116" s="78">
        <v>9.1430000000000007</v>
      </c>
      <c r="H116" s="78">
        <v>0.75</v>
      </c>
      <c r="I116" s="78">
        <v>0</v>
      </c>
      <c r="J116" s="78">
        <v>0</v>
      </c>
      <c r="K116" s="78">
        <v>0</v>
      </c>
      <c r="L116" s="67">
        <v>37.712000000000003</v>
      </c>
      <c r="M116" s="80"/>
      <c r="N116" s="67"/>
      <c r="O116" s="78"/>
      <c r="P116" s="68"/>
      <c r="Q116" s="68"/>
      <c r="R116" s="68"/>
      <c r="S116" s="68"/>
      <c r="T116" s="68"/>
      <c r="U116" s="68"/>
      <c r="V116" s="68"/>
      <c r="W116" s="68"/>
      <c r="X116" s="3"/>
      <c r="Y116" s="7"/>
      <c r="AW116">
        <f t="shared" si="20"/>
        <v>0</v>
      </c>
      <c r="AX116">
        <f t="shared" si="21"/>
        <v>0</v>
      </c>
      <c r="AY116">
        <f t="shared" si="22"/>
        <v>0</v>
      </c>
      <c r="AZ116">
        <f t="shared" si="23"/>
        <v>0</v>
      </c>
      <c r="BA116">
        <f t="shared" si="24"/>
        <v>0</v>
      </c>
      <c r="BB116">
        <f t="shared" si="25"/>
        <v>0</v>
      </c>
      <c r="BC116">
        <f t="shared" si="26"/>
        <v>0</v>
      </c>
      <c r="BD116">
        <f t="shared" si="27"/>
        <v>0</v>
      </c>
      <c r="BE116">
        <f t="shared" si="28"/>
        <v>0</v>
      </c>
      <c r="BF116">
        <f t="shared" si="29"/>
        <v>0</v>
      </c>
      <c r="BG116" s="3">
        <f t="shared" si="30"/>
        <v>0</v>
      </c>
      <c r="BH116" s="7">
        <f t="shared" si="31"/>
        <v>0</v>
      </c>
    </row>
    <row r="117" spans="1:60" ht="12.75" customHeight="1" outlineLevel="1" x14ac:dyDescent="0.2">
      <c r="A117" s="2" t="s">
        <v>221</v>
      </c>
      <c r="B117" s="31" t="s">
        <v>202</v>
      </c>
      <c r="C117" s="67">
        <v>26.911000000000001</v>
      </c>
      <c r="D117" s="78">
        <v>26.106999999999999</v>
      </c>
      <c r="E117" s="78">
        <v>1.0589999999999999</v>
      </c>
      <c r="F117" s="78">
        <v>0</v>
      </c>
      <c r="G117" s="78">
        <v>-0.255</v>
      </c>
      <c r="H117" s="78">
        <v>0</v>
      </c>
      <c r="I117" s="78">
        <v>0</v>
      </c>
      <c r="J117" s="78">
        <v>0</v>
      </c>
      <c r="K117" s="78">
        <v>0</v>
      </c>
      <c r="L117" s="67">
        <v>26.911000000000001</v>
      </c>
      <c r="M117" s="80"/>
      <c r="N117" s="67"/>
      <c r="O117" s="78"/>
      <c r="P117" s="68"/>
      <c r="Q117" s="68"/>
      <c r="R117" s="68"/>
      <c r="S117" s="68"/>
      <c r="T117" s="68"/>
      <c r="U117" s="68"/>
      <c r="V117" s="68"/>
      <c r="W117" s="68"/>
      <c r="X117" s="3"/>
      <c r="Y117" s="7"/>
      <c r="AW117">
        <f t="shared" si="20"/>
        <v>0</v>
      </c>
      <c r="AX117">
        <f t="shared" si="21"/>
        <v>0</v>
      </c>
      <c r="AY117">
        <f t="shared" si="22"/>
        <v>0</v>
      </c>
      <c r="AZ117">
        <f t="shared" si="23"/>
        <v>0</v>
      </c>
      <c r="BA117">
        <f t="shared" si="24"/>
        <v>0</v>
      </c>
      <c r="BB117">
        <f t="shared" si="25"/>
        <v>0</v>
      </c>
      <c r="BC117">
        <f t="shared" si="26"/>
        <v>0</v>
      </c>
      <c r="BD117">
        <f t="shared" si="27"/>
        <v>0</v>
      </c>
      <c r="BE117">
        <f t="shared" si="28"/>
        <v>0</v>
      </c>
      <c r="BF117">
        <f t="shared" si="29"/>
        <v>0</v>
      </c>
      <c r="BG117" s="3">
        <f t="shared" si="30"/>
        <v>0</v>
      </c>
      <c r="BH117" s="7">
        <f t="shared" si="31"/>
        <v>0</v>
      </c>
    </row>
    <row r="118" spans="1:60" ht="12.75" customHeight="1" outlineLevel="1" x14ac:dyDescent="0.2">
      <c r="A118" s="2" t="s">
        <v>155</v>
      </c>
      <c r="B118" s="62" t="s">
        <v>156</v>
      </c>
      <c r="C118" s="67">
        <v>-46.924999999999997</v>
      </c>
      <c r="D118" s="67">
        <v>-13.627000000000001</v>
      </c>
      <c r="E118" s="67">
        <v>-38.131</v>
      </c>
      <c r="F118" s="67">
        <v>5.6349999999999998</v>
      </c>
      <c r="G118" s="67">
        <v>-0.79800000000000004</v>
      </c>
      <c r="H118" s="67">
        <v>1E-3</v>
      </c>
      <c r="I118" s="67">
        <v>0</v>
      </c>
      <c r="J118" s="67">
        <v>75.777000000000001</v>
      </c>
      <c r="K118" s="67">
        <v>0</v>
      </c>
      <c r="L118" s="67">
        <v>28.853999999999999</v>
      </c>
      <c r="M118" s="80"/>
      <c r="N118" s="67">
        <v>28.853999999999999</v>
      </c>
      <c r="O118" s="78">
        <v>0</v>
      </c>
      <c r="P118" s="67">
        <v>-1.625</v>
      </c>
      <c r="Q118" s="67">
        <v>0</v>
      </c>
      <c r="R118" s="67">
        <v>-0.04</v>
      </c>
      <c r="S118" s="67">
        <v>-1.8640000000000001</v>
      </c>
      <c r="T118" s="67">
        <v>-0.79700000000000004</v>
      </c>
      <c r="U118" s="67">
        <v>50.951000000000001</v>
      </c>
      <c r="V118" s="67">
        <v>-17.766999999999999</v>
      </c>
      <c r="W118" s="67">
        <v>30.478999999999999</v>
      </c>
      <c r="X118" s="62" t="s">
        <v>208</v>
      </c>
      <c r="Y118" s="4" t="s">
        <v>168</v>
      </c>
      <c r="AW118">
        <f t="shared" si="20"/>
        <v>30.478999999999999</v>
      </c>
      <c r="AX118">
        <f t="shared" si="21"/>
        <v>-17.766999999999999</v>
      </c>
      <c r="AY118">
        <f t="shared" si="22"/>
        <v>50.951000000000001</v>
      </c>
      <c r="AZ118">
        <f t="shared" si="23"/>
        <v>-0.79700000000000004</v>
      </c>
      <c r="BA118">
        <f t="shared" si="24"/>
        <v>-1.8640000000000001</v>
      </c>
      <c r="BB118">
        <f t="shared" si="25"/>
        <v>-0.04</v>
      </c>
      <c r="BC118">
        <f t="shared" si="26"/>
        <v>0</v>
      </c>
      <c r="BD118">
        <f t="shared" si="27"/>
        <v>-1.625</v>
      </c>
      <c r="BE118">
        <f t="shared" si="28"/>
        <v>0</v>
      </c>
      <c r="BF118">
        <f t="shared" si="29"/>
        <v>28.853999999999999</v>
      </c>
      <c r="BG118" s="62" t="str">
        <f t="shared" si="30"/>
        <v>PF</v>
      </c>
      <c r="BH118" s="4" t="str">
        <f t="shared" si="31"/>
        <v>Passifs financiers</v>
      </c>
    </row>
    <row r="119" spans="1:60" ht="12.75" customHeight="1" outlineLevel="1" x14ac:dyDescent="0.2">
      <c r="A119" s="2" t="s">
        <v>157</v>
      </c>
      <c r="B119" s="3" t="s">
        <v>104</v>
      </c>
      <c r="C119" s="67">
        <v>0</v>
      </c>
      <c r="D119" s="78">
        <v>0</v>
      </c>
      <c r="E119" s="78">
        <v>0</v>
      </c>
      <c r="F119" s="78">
        <v>0</v>
      </c>
      <c r="G119" s="78">
        <v>0</v>
      </c>
      <c r="H119" s="78">
        <v>0</v>
      </c>
      <c r="I119" s="78">
        <v>0</v>
      </c>
      <c r="J119" s="78">
        <v>0</v>
      </c>
      <c r="K119" s="78">
        <v>0</v>
      </c>
      <c r="L119" s="67">
        <v>0</v>
      </c>
      <c r="M119" s="80"/>
      <c r="N119" s="67">
        <v>0</v>
      </c>
      <c r="O119" s="78">
        <v>0</v>
      </c>
      <c r="P119" s="78">
        <v>0</v>
      </c>
      <c r="Q119" s="78">
        <v>0</v>
      </c>
      <c r="R119" s="78">
        <v>0</v>
      </c>
      <c r="S119" s="78">
        <v>0</v>
      </c>
      <c r="T119" s="78">
        <v>0</v>
      </c>
      <c r="U119" s="78">
        <v>0</v>
      </c>
      <c r="V119" s="78">
        <v>0</v>
      </c>
      <c r="W119" s="67">
        <v>0</v>
      </c>
      <c r="X119" s="3" t="s">
        <v>209</v>
      </c>
      <c r="Y119" s="7" t="s">
        <v>104</v>
      </c>
      <c r="AW119">
        <f t="shared" si="20"/>
        <v>0</v>
      </c>
      <c r="AX119">
        <f t="shared" si="21"/>
        <v>0</v>
      </c>
      <c r="AY119">
        <f t="shared" si="22"/>
        <v>0</v>
      </c>
      <c r="AZ119">
        <f t="shared" si="23"/>
        <v>0</v>
      </c>
      <c r="BA119">
        <f t="shared" si="24"/>
        <v>0</v>
      </c>
      <c r="BB119">
        <f t="shared" si="25"/>
        <v>0</v>
      </c>
      <c r="BC119">
        <f t="shared" si="26"/>
        <v>0</v>
      </c>
      <c r="BD119">
        <f t="shared" si="27"/>
        <v>0</v>
      </c>
      <c r="BE119">
        <f t="shared" si="28"/>
        <v>0</v>
      </c>
      <c r="BF119">
        <f t="shared" si="29"/>
        <v>0</v>
      </c>
      <c r="BG119" s="3" t="str">
        <f t="shared" si="30"/>
        <v>PF1</v>
      </c>
      <c r="BH119" s="7" t="str">
        <f t="shared" si="31"/>
        <v>Or monétaire et droits de tirage spéciaux</v>
      </c>
    </row>
    <row r="120" spans="1:60" ht="12.75" customHeight="1" outlineLevel="1" x14ac:dyDescent="0.2">
      <c r="A120" s="2" t="s">
        <v>158</v>
      </c>
      <c r="B120" s="3" t="s">
        <v>106</v>
      </c>
      <c r="C120" s="67">
        <v>-2.476</v>
      </c>
      <c r="D120" s="78">
        <v>-0.432</v>
      </c>
      <c r="E120" s="78">
        <v>-1.885</v>
      </c>
      <c r="F120" s="78">
        <v>-0.22800000000000001</v>
      </c>
      <c r="G120" s="78">
        <v>6.9000000000000006E-2</v>
      </c>
      <c r="H120" s="78">
        <v>0</v>
      </c>
      <c r="I120" s="78">
        <v>0</v>
      </c>
      <c r="J120" s="78">
        <v>-1E-3</v>
      </c>
      <c r="K120" s="78">
        <v>0</v>
      </c>
      <c r="L120" s="67">
        <v>-2.476</v>
      </c>
      <c r="M120" s="80"/>
      <c r="N120" s="67">
        <v>-2.476</v>
      </c>
      <c r="O120" s="78">
        <v>0</v>
      </c>
      <c r="P120" s="78">
        <v>0.876</v>
      </c>
      <c r="Q120" s="78">
        <v>0</v>
      </c>
      <c r="R120" s="78">
        <v>0</v>
      </c>
      <c r="S120" s="78">
        <v>0</v>
      </c>
      <c r="T120" s="78">
        <v>0.44700000000000001</v>
      </c>
      <c r="U120" s="78">
        <v>-3.7989999999999999</v>
      </c>
      <c r="V120" s="78">
        <v>0</v>
      </c>
      <c r="W120" s="67">
        <v>-3.3530000000000002</v>
      </c>
      <c r="X120" s="3" t="s">
        <v>210</v>
      </c>
      <c r="Y120" s="7" t="s">
        <v>106</v>
      </c>
      <c r="AW120">
        <f t="shared" si="20"/>
        <v>-3.3530000000000002</v>
      </c>
      <c r="AX120">
        <f t="shared" si="21"/>
        <v>0</v>
      </c>
      <c r="AY120">
        <f t="shared" si="22"/>
        <v>-3.7989999999999999</v>
      </c>
      <c r="AZ120">
        <f t="shared" si="23"/>
        <v>0.44700000000000001</v>
      </c>
      <c r="BA120">
        <f t="shared" si="24"/>
        <v>0</v>
      </c>
      <c r="BB120">
        <f t="shared" si="25"/>
        <v>0</v>
      </c>
      <c r="BC120">
        <f t="shared" si="26"/>
        <v>0</v>
      </c>
      <c r="BD120">
        <f t="shared" si="27"/>
        <v>0.876</v>
      </c>
      <c r="BE120">
        <f t="shared" si="28"/>
        <v>0</v>
      </c>
      <c r="BF120">
        <f t="shared" si="29"/>
        <v>-2.476</v>
      </c>
      <c r="BG120" s="3" t="str">
        <f t="shared" si="30"/>
        <v>PF2</v>
      </c>
      <c r="BH120" s="7" t="str">
        <f t="shared" si="31"/>
        <v>Numéraire et dépôts</v>
      </c>
    </row>
    <row r="121" spans="1:60" ht="12.75" customHeight="1" outlineLevel="1" x14ac:dyDescent="0.2">
      <c r="A121" s="2" t="s">
        <v>159</v>
      </c>
      <c r="B121" s="3" t="s">
        <v>108</v>
      </c>
      <c r="C121" s="67">
        <v>-64.346000000000004</v>
      </c>
      <c r="D121" s="78">
        <v>8.0009999999999994</v>
      </c>
      <c r="E121" s="78">
        <v>-72.344999999999999</v>
      </c>
      <c r="F121" s="78">
        <v>0</v>
      </c>
      <c r="G121" s="78">
        <v>0</v>
      </c>
      <c r="H121" s="78">
        <v>1E-3</v>
      </c>
      <c r="I121" s="78">
        <v>0</v>
      </c>
      <c r="J121" s="78">
        <v>74</v>
      </c>
      <c r="K121" s="78">
        <v>0</v>
      </c>
      <c r="L121" s="67">
        <v>9.6539999999999999</v>
      </c>
      <c r="M121" s="80"/>
      <c r="N121" s="67">
        <v>9.6539999999999999</v>
      </c>
      <c r="O121" s="78">
        <v>0</v>
      </c>
      <c r="P121" s="78">
        <v>9.6549999999999994</v>
      </c>
      <c r="Q121" s="78">
        <v>0</v>
      </c>
      <c r="R121" s="78">
        <v>0</v>
      </c>
      <c r="S121" s="78">
        <v>0</v>
      </c>
      <c r="T121" s="78">
        <v>1E-3</v>
      </c>
      <c r="U121" s="78">
        <v>1E-3</v>
      </c>
      <c r="V121" s="78">
        <v>0</v>
      </c>
      <c r="W121" s="67">
        <v>0</v>
      </c>
      <c r="X121" s="3" t="s">
        <v>211</v>
      </c>
      <c r="Y121" s="7" t="s">
        <v>108</v>
      </c>
      <c r="AW121">
        <f t="shared" si="20"/>
        <v>0</v>
      </c>
      <c r="AX121">
        <f t="shared" si="21"/>
        <v>0</v>
      </c>
      <c r="AY121">
        <f t="shared" si="22"/>
        <v>1E-3</v>
      </c>
      <c r="AZ121">
        <f t="shared" si="23"/>
        <v>1E-3</v>
      </c>
      <c r="BA121">
        <f t="shared" si="24"/>
        <v>0</v>
      </c>
      <c r="BB121">
        <f t="shared" si="25"/>
        <v>0</v>
      </c>
      <c r="BC121">
        <f t="shared" si="26"/>
        <v>0</v>
      </c>
      <c r="BD121">
        <f t="shared" si="27"/>
        <v>9.6549999999999994</v>
      </c>
      <c r="BE121">
        <f t="shared" si="28"/>
        <v>0</v>
      </c>
      <c r="BF121">
        <f t="shared" si="29"/>
        <v>9.6539999999999999</v>
      </c>
      <c r="BG121" s="3" t="str">
        <f t="shared" si="30"/>
        <v>PF3</v>
      </c>
      <c r="BH121" s="7" t="str">
        <f t="shared" si="31"/>
        <v>Titres autres qu'actions</v>
      </c>
    </row>
    <row r="122" spans="1:60" ht="12.75" customHeight="1" outlineLevel="1" x14ac:dyDescent="0.2">
      <c r="A122" s="2" t="s">
        <v>160</v>
      </c>
      <c r="B122" s="3" t="s">
        <v>110</v>
      </c>
      <c r="C122" s="67">
        <v>-17.876999999999999</v>
      </c>
      <c r="D122" s="78">
        <v>-9.2929999999999993</v>
      </c>
      <c r="E122" s="78">
        <v>-8.5850000000000009</v>
      </c>
      <c r="F122" s="78">
        <v>2E-3</v>
      </c>
      <c r="G122" s="78">
        <v>0</v>
      </c>
      <c r="H122" s="78">
        <v>0</v>
      </c>
      <c r="I122" s="78">
        <v>0</v>
      </c>
      <c r="J122" s="78">
        <v>-5.891</v>
      </c>
      <c r="K122" s="78">
        <v>0</v>
      </c>
      <c r="L122" s="67">
        <v>-23.768000000000001</v>
      </c>
      <c r="M122" s="80"/>
      <c r="N122" s="67">
        <v>-23.768000000000001</v>
      </c>
      <c r="O122" s="78">
        <v>0</v>
      </c>
      <c r="P122" s="78">
        <v>-9.6140000000000008</v>
      </c>
      <c r="Q122" s="78">
        <v>0</v>
      </c>
      <c r="R122" s="78">
        <v>-0.04</v>
      </c>
      <c r="S122" s="78">
        <v>-1.865</v>
      </c>
      <c r="T122" s="78">
        <v>-1.2749999999999999</v>
      </c>
      <c r="U122" s="78">
        <v>2.629</v>
      </c>
      <c r="V122" s="78">
        <v>-13.603999999999999</v>
      </c>
      <c r="W122" s="67">
        <v>-14.154999999999999</v>
      </c>
      <c r="X122" s="3" t="s">
        <v>212</v>
      </c>
      <c r="Y122" s="7" t="s">
        <v>110</v>
      </c>
      <c r="AW122">
        <f t="shared" si="20"/>
        <v>-14.154999999999999</v>
      </c>
      <c r="AX122">
        <f t="shared" si="21"/>
        <v>-13.603999999999999</v>
      </c>
      <c r="AY122">
        <f t="shared" si="22"/>
        <v>2.629</v>
      </c>
      <c r="AZ122">
        <f t="shared" si="23"/>
        <v>-1.2749999999999999</v>
      </c>
      <c r="BA122">
        <f t="shared" si="24"/>
        <v>-1.865</v>
      </c>
      <c r="BB122">
        <f t="shared" si="25"/>
        <v>-0.04</v>
      </c>
      <c r="BC122">
        <f t="shared" si="26"/>
        <v>0</v>
      </c>
      <c r="BD122">
        <f t="shared" si="27"/>
        <v>-9.6140000000000008</v>
      </c>
      <c r="BE122">
        <f t="shared" si="28"/>
        <v>0</v>
      </c>
      <c r="BF122">
        <f t="shared" si="29"/>
        <v>-23.768000000000001</v>
      </c>
      <c r="BG122" s="3" t="str">
        <f t="shared" si="30"/>
        <v>PF4</v>
      </c>
      <c r="BH122" s="7" t="str">
        <f t="shared" si="31"/>
        <v>Crédits</v>
      </c>
    </row>
    <row r="123" spans="1:60" ht="12.75" customHeight="1" outlineLevel="1" x14ac:dyDescent="0.2">
      <c r="A123" s="2" t="s">
        <v>161</v>
      </c>
      <c r="B123" s="3" t="s">
        <v>162</v>
      </c>
      <c r="C123" s="67">
        <v>-10.145</v>
      </c>
      <c r="D123" s="78">
        <v>-10.478999999999999</v>
      </c>
      <c r="E123" s="78">
        <v>-4.6440000000000001</v>
      </c>
      <c r="F123" s="78">
        <v>6.6909999999999998</v>
      </c>
      <c r="G123" s="78">
        <v>-1.712</v>
      </c>
      <c r="H123" s="78">
        <v>0</v>
      </c>
      <c r="I123" s="78">
        <v>0</v>
      </c>
      <c r="J123" s="78">
        <v>6.3959999999999999</v>
      </c>
      <c r="K123" s="78">
        <v>0</v>
      </c>
      <c r="L123" s="67">
        <v>-3.7490000000000001</v>
      </c>
      <c r="M123" s="80"/>
      <c r="N123" s="67">
        <v>-3.7490000000000001</v>
      </c>
      <c r="O123" s="78">
        <v>0</v>
      </c>
      <c r="P123" s="78">
        <v>0.21099999999999999</v>
      </c>
      <c r="Q123" s="78">
        <v>0</v>
      </c>
      <c r="R123" s="78">
        <v>0</v>
      </c>
      <c r="S123" s="78">
        <v>0</v>
      </c>
      <c r="T123" s="78">
        <v>0</v>
      </c>
      <c r="U123" s="78">
        <v>-3.96</v>
      </c>
      <c r="V123" s="78">
        <v>0</v>
      </c>
      <c r="W123" s="67">
        <v>-3.96</v>
      </c>
      <c r="X123" s="3" t="s">
        <v>213</v>
      </c>
      <c r="Y123" s="7" t="s">
        <v>162</v>
      </c>
      <c r="AW123">
        <f t="shared" si="20"/>
        <v>-3.96</v>
      </c>
      <c r="AX123">
        <f t="shared" si="21"/>
        <v>0</v>
      </c>
      <c r="AY123">
        <f t="shared" si="22"/>
        <v>-3.96</v>
      </c>
      <c r="AZ123">
        <f t="shared" si="23"/>
        <v>0</v>
      </c>
      <c r="BA123">
        <f t="shared" si="24"/>
        <v>0</v>
      </c>
      <c r="BB123">
        <f t="shared" si="25"/>
        <v>0</v>
      </c>
      <c r="BC123">
        <f t="shared" si="26"/>
        <v>0</v>
      </c>
      <c r="BD123">
        <f t="shared" si="27"/>
        <v>0.21099999999999999</v>
      </c>
      <c r="BE123">
        <f t="shared" si="28"/>
        <v>0</v>
      </c>
      <c r="BF123">
        <f t="shared" si="29"/>
        <v>-3.7490000000000001</v>
      </c>
      <c r="BG123" s="3" t="str">
        <f t="shared" si="30"/>
        <v>PF5</v>
      </c>
      <c r="BH123" s="7" t="str">
        <f t="shared" si="31"/>
        <v>Actions et autres participations</v>
      </c>
    </row>
    <row r="124" spans="1:60" ht="12.75" customHeight="1" outlineLevel="1" x14ac:dyDescent="0.2">
      <c r="A124" s="2" t="s">
        <v>163</v>
      </c>
      <c r="B124" s="3" t="s">
        <v>114</v>
      </c>
      <c r="C124" s="67">
        <v>51.451999999999998</v>
      </c>
      <c r="D124" s="78">
        <v>1.2789999999999999</v>
      </c>
      <c r="E124" s="78">
        <v>49.328000000000003</v>
      </c>
      <c r="F124" s="78">
        <v>0</v>
      </c>
      <c r="G124" s="78">
        <v>0.84599999999999997</v>
      </c>
      <c r="H124" s="78">
        <v>0</v>
      </c>
      <c r="I124" s="78">
        <v>0</v>
      </c>
      <c r="J124" s="78">
        <v>4.6280000000000001</v>
      </c>
      <c r="K124" s="78">
        <v>0</v>
      </c>
      <c r="L124" s="67">
        <v>56.08</v>
      </c>
      <c r="M124" s="80"/>
      <c r="N124" s="67">
        <v>56.08</v>
      </c>
      <c r="O124" s="78">
        <v>0</v>
      </c>
      <c r="P124" s="78">
        <v>0</v>
      </c>
      <c r="Q124" s="78">
        <v>0</v>
      </c>
      <c r="R124" s="78">
        <v>0</v>
      </c>
      <c r="S124" s="78">
        <v>0</v>
      </c>
      <c r="T124" s="78">
        <v>0</v>
      </c>
      <c r="U124" s="78">
        <v>56.08</v>
      </c>
      <c r="V124" s="78">
        <v>0</v>
      </c>
      <c r="W124" s="67">
        <v>56.08</v>
      </c>
      <c r="X124" s="3" t="s">
        <v>214</v>
      </c>
      <c r="Y124" s="7" t="s">
        <v>114</v>
      </c>
      <c r="AW124">
        <f t="shared" si="20"/>
        <v>56.08</v>
      </c>
      <c r="AX124">
        <f t="shared" si="21"/>
        <v>0</v>
      </c>
      <c r="AY124">
        <f t="shared" si="22"/>
        <v>56.08</v>
      </c>
      <c r="AZ124">
        <f t="shared" si="23"/>
        <v>0</v>
      </c>
      <c r="BA124">
        <f t="shared" si="24"/>
        <v>0</v>
      </c>
      <c r="BB124">
        <f t="shared" si="25"/>
        <v>0</v>
      </c>
      <c r="BC124">
        <f t="shared" si="26"/>
        <v>0</v>
      </c>
      <c r="BD124">
        <f t="shared" si="27"/>
        <v>0</v>
      </c>
      <c r="BE124">
        <f t="shared" si="28"/>
        <v>0</v>
      </c>
      <c r="BF124">
        <f t="shared" si="29"/>
        <v>56.08</v>
      </c>
      <c r="BG124" s="3" t="str">
        <f t="shared" si="30"/>
        <v>PF6</v>
      </c>
      <c r="BH124" s="7" t="str">
        <f t="shared" si="31"/>
        <v>Provisions techniques d'assurance</v>
      </c>
    </row>
    <row r="125" spans="1:60" ht="12.75" customHeight="1" outlineLevel="1" x14ac:dyDescent="0.2">
      <c r="A125" s="49" t="s">
        <v>164</v>
      </c>
      <c r="B125" s="49" t="s">
        <v>173</v>
      </c>
      <c r="C125" s="69">
        <v>-3.5329999999999999</v>
      </c>
      <c r="D125" s="79">
        <v>-2.7029999999999998</v>
      </c>
      <c r="E125" s="79">
        <v>0</v>
      </c>
      <c r="F125" s="79">
        <v>-0.83</v>
      </c>
      <c r="G125" s="79">
        <v>-1E-3</v>
      </c>
      <c r="H125" s="79">
        <v>0</v>
      </c>
      <c r="I125" s="79">
        <v>0</v>
      </c>
      <c r="J125" s="79">
        <v>-3.355</v>
      </c>
      <c r="K125" s="79">
        <v>0</v>
      </c>
      <c r="L125" s="69">
        <v>-6.8869999999999996</v>
      </c>
      <c r="M125" s="80"/>
      <c r="N125" s="69">
        <v>-6.8869999999999996</v>
      </c>
      <c r="O125" s="79">
        <v>0</v>
      </c>
      <c r="P125" s="79">
        <v>-2.7530000000000001</v>
      </c>
      <c r="Q125" s="79">
        <v>0</v>
      </c>
      <c r="R125" s="79">
        <v>0</v>
      </c>
      <c r="S125" s="79">
        <v>1E-3</v>
      </c>
      <c r="T125" s="79">
        <v>0.03</v>
      </c>
      <c r="U125" s="79">
        <v>0</v>
      </c>
      <c r="V125" s="79">
        <v>-4.1630000000000003</v>
      </c>
      <c r="W125" s="69">
        <v>-4.133</v>
      </c>
      <c r="X125" s="33" t="s">
        <v>215</v>
      </c>
      <c r="Y125" s="33" t="s">
        <v>172</v>
      </c>
      <c r="AW125">
        <f t="shared" si="20"/>
        <v>-4.133</v>
      </c>
      <c r="AX125">
        <f t="shared" si="21"/>
        <v>-4.1630000000000003</v>
      </c>
      <c r="AY125">
        <f t="shared" si="22"/>
        <v>0</v>
      </c>
      <c r="AZ125">
        <f t="shared" si="23"/>
        <v>0.03</v>
      </c>
      <c r="BA125">
        <f t="shared" si="24"/>
        <v>1E-3</v>
      </c>
      <c r="BB125">
        <f t="shared" si="25"/>
        <v>0</v>
      </c>
      <c r="BC125">
        <f t="shared" si="26"/>
        <v>0</v>
      </c>
      <c r="BD125">
        <f t="shared" si="27"/>
        <v>-2.7530000000000001</v>
      </c>
      <c r="BE125">
        <f t="shared" si="28"/>
        <v>0</v>
      </c>
      <c r="BF125">
        <f t="shared" si="29"/>
        <v>-6.8869999999999996</v>
      </c>
      <c r="BG125" s="33" t="str">
        <f t="shared" si="30"/>
        <v>PF7</v>
      </c>
      <c r="BH125" s="33" t="str">
        <f t="shared" si="31"/>
        <v xml:space="preserve">Autres comptes à recevoir </v>
      </c>
    </row>
    <row r="126" spans="1:60" ht="12.75" customHeight="1" outlineLevel="1" x14ac:dyDescent="0.2">
      <c r="A126" s="48" t="s">
        <v>165</v>
      </c>
      <c r="B126" s="1"/>
      <c r="C126" s="67"/>
      <c r="D126" s="78"/>
      <c r="E126" s="78"/>
      <c r="F126" s="78"/>
      <c r="G126" s="78"/>
      <c r="H126" s="78"/>
      <c r="I126" s="78"/>
      <c r="J126" s="78"/>
      <c r="K126" s="67"/>
      <c r="L126" s="67"/>
      <c r="M126" s="80"/>
      <c r="N126" s="67"/>
      <c r="O126" s="78"/>
      <c r="P126" s="68"/>
      <c r="Q126" s="68"/>
      <c r="R126" s="68"/>
      <c r="S126" s="68"/>
      <c r="T126" s="68"/>
      <c r="U126" s="68"/>
      <c r="V126" s="68"/>
      <c r="W126" s="68"/>
      <c r="X126" s="47" t="s">
        <v>165</v>
      </c>
      <c r="Y126" s="6"/>
      <c r="AW126">
        <f t="shared" si="20"/>
        <v>0</v>
      </c>
      <c r="AX126">
        <f t="shared" si="21"/>
        <v>0</v>
      </c>
      <c r="AY126">
        <f t="shared" si="22"/>
        <v>0</v>
      </c>
      <c r="AZ126">
        <f t="shared" si="23"/>
        <v>0</v>
      </c>
      <c r="BA126">
        <f t="shared" si="24"/>
        <v>0</v>
      </c>
      <c r="BB126">
        <f t="shared" si="25"/>
        <v>0</v>
      </c>
      <c r="BC126">
        <f t="shared" si="26"/>
        <v>0</v>
      </c>
      <c r="BD126">
        <f t="shared" si="27"/>
        <v>0</v>
      </c>
      <c r="BE126">
        <f t="shared" si="28"/>
        <v>0</v>
      </c>
      <c r="BF126">
        <f t="shared" si="29"/>
        <v>0</v>
      </c>
      <c r="BG126" s="47" t="str">
        <f t="shared" si="30"/>
        <v>Réévaluations</v>
      </c>
      <c r="BH126" s="6">
        <f t="shared" si="31"/>
        <v>0</v>
      </c>
    </row>
    <row r="127" spans="1:60" ht="12.75" customHeight="1" outlineLevel="1" x14ac:dyDescent="0.2">
      <c r="A127" s="2" t="s">
        <v>142</v>
      </c>
      <c r="B127" s="62" t="s">
        <v>143</v>
      </c>
      <c r="C127" s="67">
        <v>883.10699999999997</v>
      </c>
      <c r="D127" s="67">
        <v>198.065</v>
      </c>
      <c r="E127" s="67">
        <v>15.938000000000001</v>
      </c>
      <c r="F127" s="67">
        <v>109.578</v>
      </c>
      <c r="G127" s="67">
        <v>556.43799999999999</v>
      </c>
      <c r="H127" s="67">
        <v>3.0859999999999999</v>
      </c>
      <c r="I127" s="67">
        <v>0</v>
      </c>
      <c r="J127" s="67">
        <v>0</v>
      </c>
      <c r="K127" s="67">
        <v>0</v>
      </c>
      <c r="L127" s="67">
        <v>883.10699999999997</v>
      </c>
      <c r="M127" s="80"/>
      <c r="N127" s="67"/>
      <c r="O127" s="78"/>
      <c r="P127" s="68"/>
      <c r="Q127" s="68"/>
      <c r="R127" s="68"/>
      <c r="S127" s="68"/>
      <c r="T127" s="68"/>
      <c r="U127" s="68"/>
      <c r="V127" s="68"/>
      <c r="W127" s="68"/>
      <c r="X127" s="6"/>
      <c r="Y127" s="47"/>
      <c r="AW127">
        <f t="shared" si="20"/>
        <v>0</v>
      </c>
      <c r="AX127">
        <f t="shared" si="21"/>
        <v>0</v>
      </c>
      <c r="AY127">
        <f t="shared" si="22"/>
        <v>0</v>
      </c>
      <c r="AZ127">
        <f t="shared" si="23"/>
        <v>0</v>
      </c>
      <c r="BA127">
        <f t="shared" si="24"/>
        <v>0</v>
      </c>
      <c r="BB127">
        <f t="shared" si="25"/>
        <v>0</v>
      </c>
      <c r="BC127">
        <f t="shared" si="26"/>
        <v>0</v>
      </c>
      <c r="BD127">
        <f t="shared" si="27"/>
        <v>0</v>
      </c>
      <c r="BE127">
        <f t="shared" si="28"/>
        <v>0</v>
      </c>
      <c r="BF127">
        <f t="shared" si="29"/>
        <v>0</v>
      </c>
      <c r="BG127" s="6">
        <f t="shared" si="30"/>
        <v>0</v>
      </c>
      <c r="BH127" s="47">
        <f t="shared" si="31"/>
        <v>0</v>
      </c>
    </row>
    <row r="128" spans="1:60" ht="12.75" customHeight="1" outlineLevel="1" x14ac:dyDescent="0.2">
      <c r="A128" s="2" t="s">
        <v>144</v>
      </c>
      <c r="B128" s="3" t="s">
        <v>145</v>
      </c>
      <c r="C128" s="67">
        <v>209.745</v>
      </c>
      <c r="D128" s="78">
        <v>60.098999999999997</v>
      </c>
      <c r="E128" s="78">
        <v>3.613</v>
      </c>
      <c r="F128" s="78">
        <v>35.851999999999997</v>
      </c>
      <c r="G128" s="78">
        <v>109.214</v>
      </c>
      <c r="H128" s="78">
        <v>0.96599999999999997</v>
      </c>
      <c r="I128" s="78">
        <v>0</v>
      </c>
      <c r="J128" s="78">
        <v>0</v>
      </c>
      <c r="K128" s="78">
        <v>0</v>
      </c>
      <c r="L128" s="67">
        <v>209.745</v>
      </c>
      <c r="M128" s="80"/>
      <c r="N128" s="67"/>
      <c r="O128" s="78"/>
      <c r="P128" s="68"/>
      <c r="Q128" s="68"/>
      <c r="R128" s="68"/>
      <c r="S128" s="68"/>
      <c r="T128" s="68"/>
      <c r="U128" s="68"/>
      <c r="V128" s="68"/>
      <c r="W128" s="68"/>
      <c r="X128" s="6"/>
      <c r="Y128" s="47"/>
      <c r="AW128">
        <f t="shared" si="20"/>
        <v>0</v>
      </c>
      <c r="AX128">
        <f t="shared" si="21"/>
        <v>0</v>
      </c>
      <c r="AY128">
        <f t="shared" si="22"/>
        <v>0</v>
      </c>
      <c r="AZ128">
        <f t="shared" si="23"/>
        <v>0</v>
      </c>
      <c r="BA128">
        <f t="shared" si="24"/>
        <v>0</v>
      </c>
      <c r="BB128">
        <f t="shared" si="25"/>
        <v>0</v>
      </c>
      <c r="BC128">
        <f t="shared" si="26"/>
        <v>0</v>
      </c>
      <c r="BD128">
        <f t="shared" si="27"/>
        <v>0</v>
      </c>
      <c r="BE128">
        <f t="shared" si="28"/>
        <v>0</v>
      </c>
      <c r="BF128">
        <f t="shared" si="29"/>
        <v>0</v>
      </c>
      <c r="BG128" s="6">
        <f t="shared" si="30"/>
        <v>0</v>
      </c>
      <c r="BH128" s="47">
        <f t="shared" si="31"/>
        <v>0</v>
      </c>
    </row>
    <row r="129" spans="1:60" ht="12.75" customHeight="1" outlineLevel="1" x14ac:dyDescent="0.2">
      <c r="A129" s="2" t="s">
        <v>146</v>
      </c>
      <c r="B129" s="3" t="s">
        <v>147</v>
      </c>
      <c r="C129" s="67">
        <v>193.565</v>
      </c>
      <c r="D129" s="78">
        <v>53.915999999999997</v>
      </c>
      <c r="E129" s="78">
        <v>3.613</v>
      </c>
      <c r="F129" s="78">
        <v>35.07</v>
      </c>
      <c r="G129" s="78">
        <v>100</v>
      </c>
      <c r="H129" s="78">
        <v>0.96599999999999997</v>
      </c>
      <c r="I129" s="78">
        <v>0</v>
      </c>
      <c r="J129" s="78">
        <v>0</v>
      </c>
      <c r="K129" s="78">
        <v>0</v>
      </c>
      <c r="L129" s="67">
        <v>193.565</v>
      </c>
      <c r="M129" s="80"/>
      <c r="N129" s="67"/>
      <c r="O129" s="78"/>
      <c r="P129" s="68"/>
      <c r="Q129" s="68"/>
      <c r="R129" s="68"/>
      <c r="S129" s="68"/>
      <c r="T129" s="68"/>
      <c r="U129" s="68"/>
      <c r="V129" s="68"/>
      <c r="W129" s="68"/>
      <c r="X129" s="6"/>
      <c r="Y129" s="47"/>
      <c r="AW129">
        <f t="shared" si="20"/>
        <v>0</v>
      </c>
      <c r="AX129">
        <f t="shared" si="21"/>
        <v>0</v>
      </c>
      <c r="AY129">
        <f t="shared" si="22"/>
        <v>0</v>
      </c>
      <c r="AZ129">
        <f t="shared" si="23"/>
        <v>0</v>
      </c>
      <c r="BA129">
        <f t="shared" si="24"/>
        <v>0</v>
      </c>
      <c r="BB129">
        <f t="shared" si="25"/>
        <v>0</v>
      </c>
      <c r="BC129">
        <f t="shared" si="26"/>
        <v>0</v>
      </c>
      <c r="BD129">
        <f t="shared" si="27"/>
        <v>0</v>
      </c>
      <c r="BE129">
        <f t="shared" si="28"/>
        <v>0</v>
      </c>
      <c r="BF129">
        <f t="shared" si="29"/>
        <v>0</v>
      </c>
      <c r="BG129" s="6">
        <f t="shared" si="30"/>
        <v>0</v>
      </c>
      <c r="BH129" s="47">
        <f t="shared" si="31"/>
        <v>0</v>
      </c>
    </row>
    <row r="130" spans="1:60" ht="12.75" customHeight="1" outlineLevel="1" x14ac:dyDescent="0.2">
      <c r="A130" s="2" t="s">
        <v>148</v>
      </c>
      <c r="B130" s="3" t="s">
        <v>177</v>
      </c>
      <c r="C130" s="67">
        <v>192.7</v>
      </c>
      <c r="D130" s="78">
        <v>53.226999999999997</v>
      </c>
      <c r="E130" s="78">
        <v>3.5289999999999999</v>
      </c>
      <c r="F130" s="78">
        <v>34.988999999999997</v>
      </c>
      <c r="G130" s="78">
        <v>99.986999999999995</v>
      </c>
      <c r="H130" s="78">
        <v>0.96599999999999997</v>
      </c>
      <c r="I130" s="78">
        <v>0</v>
      </c>
      <c r="J130" s="78">
        <v>0</v>
      </c>
      <c r="K130" s="78">
        <v>0</v>
      </c>
      <c r="L130" s="67">
        <v>192.7</v>
      </c>
      <c r="M130" s="80"/>
      <c r="N130" s="67"/>
      <c r="O130" s="78"/>
      <c r="P130" s="68"/>
      <c r="Q130" s="68"/>
      <c r="R130" s="68"/>
      <c r="S130" s="68"/>
      <c r="T130" s="68"/>
      <c r="U130" s="68"/>
      <c r="V130" s="68"/>
      <c r="W130" s="68"/>
      <c r="X130" s="6"/>
      <c r="Y130" s="47"/>
      <c r="AW130">
        <f t="shared" si="20"/>
        <v>0</v>
      </c>
      <c r="AX130">
        <f t="shared" si="21"/>
        <v>0</v>
      </c>
      <c r="AY130">
        <f t="shared" si="22"/>
        <v>0</v>
      </c>
      <c r="AZ130">
        <f t="shared" si="23"/>
        <v>0</v>
      </c>
      <c r="BA130">
        <f t="shared" si="24"/>
        <v>0</v>
      </c>
      <c r="BB130">
        <f t="shared" si="25"/>
        <v>0</v>
      </c>
      <c r="BC130">
        <f t="shared" si="26"/>
        <v>0</v>
      </c>
      <c r="BD130">
        <f t="shared" si="27"/>
        <v>0</v>
      </c>
      <c r="BE130">
        <f t="shared" si="28"/>
        <v>0</v>
      </c>
      <c r="BF130">
        <f t="shared" si="29"/>
        <v>0</v>
      </c>
      <c r="BG130" s="6">
        <f t="shared" si="30"/>
        <v>0</v>
      </c>
      <c r="BH130" s="47">
        <f t="shared" si="31"/>
        <v>0</v>
      </c>
    </row>
    <row r="131" spans="1:60" ht="12.75" customHeight="1" outlineLevel="1" x14ac:dyDescent="0.2">
      <c r="A131" s="2" t="s">
        <v>149</v>
      </c>
      <c r="B131" s="3" t="s">
        <v>178</v>
      </c>
      <c r="C131" s="67">
        <v>0.86599999999999999</v>
      </c>
      <c r="D131" s="78">
        <v>0.68799999999999994</v>
      </c>
      <c r="E131" s="78">
        <v>8.4000000000000005E-2</v>
      </c>
      <c r="F131" s="78">
        <v>8.1000000000000003E-2</v>
      </c>
      <c r="G131" s="78">
        <v>1.2999999999999999E-2</v>
      </c>
      <c r="H131" s="78">
        <v>0</v>
      </c>
      <c r="I131" s="78">
        <v>0</v>
      </c>
      <c r="J131" s="78">
        <v>0</v>
      </c>
      <c r="K131" s="78">
        <v>0</v>
      </c>
      <c r="L131" s="67">
        <v>0.86599999999999999</v>
      </c>
      <c r="M131" s="80"/>
      <c r="N131" s="67"/>
      <c r="O131" s="78"/>
      <c r="P131" s="68"/>
      <c r="Q131" s="68"/>
      <c r="R131" s="68"/>
      <c r="S131" s="68"/>
      <c r="T131" s="68"/>
      <c r="U131" s="68"/>
      <c r="V131" s="68"/>
      <c r="W131" s="68"/>
      <c r="X131" s="3"/>
      <c r="Y131" s="7"/>
      <c r="AW131">
        <f t="shared" si="20"/>
        <v>0</v>
      </c>
      <c r="AX131">
        <f t="shared" si="21"/>
        <v>0</v>
      </c>
      <c r="AY131">
        <f t="shared" si="22"/>
        <v>0</v>
      </c>
      <c r="AZ131">
        <f t="shared" si="23"/>
        <v>0</v>
      </c>
      <c r="BA131">
        <f t="shared" si="24"/>
        <v>0</v>
      </c>
      <c r="BB131">
        <f t="shared" si="25"/>
        <v>0</v>
      </c>
      <c r="BC131">
        <f t="shared" si="26"/>
        <v>0</v>
      </c>
      <c r="BD131">
        <f t="shared" si="27"/>
        <v>0</v>
      </c>
      <c r="BE131">
        <f t="shared" si="28"/>
        <v>0</v>
      </c>
      <c r="BF131">
        <f t="shared" si="29"/>
        <v>0</v>
      </c>
      <c r="BG131" s="3">
        <f t="shared" si="30"/>
        <v>0</v>
      </c>
      <c r="BH131" s="7">
        <f t="shared" si="31"/>
        <v>0</v>
      </c>
    </row>
    <row r="132" spans="1:60" ht="12.75" customHeight="1" outlineLevel="1" x14ac:dyDescent="0.2">
      <c r="A132" s="2" t="s">
        <v>150</v>
      </c>
      <c r="B132" s="3" t="s">
        <v>151</v>
      </c>
      <c r="C132" s="67">
        <v>7.9660000000000002</v>
      </c>
      <c r="D132" s="78">
        <v>6.1829999999999998</v>
      </c>
      <c r="E132" s="78">
        <v>0</v>
      </c>
      <c r="F132" s="78">
        <v>0.78200000000000003</v>
      </c>
      <c r="G132" s="78">
        <v>1.0009999999999999</v>
      </c>
      <c r="H132" s="78">
        <v>0</v>
      </c>
      <c r="I132" s="78">
        <v>0</v>
      </c>
      <c r="J132" s="78">
        <v>0</v>
      </c>
      <c r="K132" s="78">
        <v>0</v>
      </c>
      <c r="L132" s="67">
        <v>7.9660000000000002</v>
      </c>
      <c r="M132" s="80"/>
      <c r="N132" s="67"/>
      <c r="O132" s="78"/>
      <c r="P132" s="68"/>
      <c r="Q132" s="68"/>
      <c r="R132" s="68"/>
      <c r="S132" s="68"/>
      <c r="T132" s="68"/>
      <c r="U132" s="68"/>
      <c r="V132" s="68"/>
      <c r="W132" s="68"/>
      <c r="X132" s="3"/>
      <c r="Y132" s="7"/>
      <c r="AW132">
        <f t="shared" si="20"/>
        <v>0</v>
      </c>
      <c r="AX132">
        <f t="shared" si="21"/>
        <v>0</v>
      </c>
      <c r="AY132">
        <f t="shared" si="22"/>
        <v>0</v>
      </c>
      <c r="AZ132">
        <f t="shared" si="23"/>
        <v>0</v>
      </c>
      <c r="BA132">
        <f t="shared" si="24"/>
        <v>0</v>
      </c>
      <c r="BB132">
        <f t="shared" si="25"/>
        <v>0</v>
      </c>
      <c r="BC132">
        <f t="shared" si="26"/>
        <v>0</v>
      </c>
      <c r="BD132">
        <f t="shared" si="27"/>
        <v>0</v>
      </c>
      <c r="BE132">
        <f t="shared" si="28"/>
        <v>0</v>
      </c>
      <c r="BF132">
        <f t="shared" si="29"/>
        <v>0</v>
      </c>
      <c r="BG132" s="3">
        <f t="shared" si="30"/>
        <v>0</v>
      </c>
      <c r="BH132" s="7">
        <f t="shared" si="31"/>
        <v>0</v>
      </c>
    </row>
    <row r="133" spans="1:60" ht="12.75" customHeight="1" outlineLevel="1" x14ac:dyDescent="0.2">
      <c r="A133" s="2" t="s">
        <v>152</v>
      </c>
      <c r="B133" s="3" t="s">
        <v>153</v>
      </c>
      <c r="C133" s="67">
        <v>8.2140000000000004</v>
      </c>
      <c r="D133" s="78">
        <v>0</v>
      </c>
      <c r="E133" s="78">
        <v>0</v>
      </c>
      <c r="F133" s="78">
        <v>0</v>
      </c>
      <c r="G133" s="78">
        <v>8.2140000000000004</v>
      </c>
      <c r="H133" s="78">
        <v>0</v>
      </c>
      <c r="I133" s="78">
        <v>0</v>
      </c>
      <c r="J133" s="78">
        <v>0</v>
      </c>
      <c r="K133" s="78">
        <v>0</v>
      </c>
      <c r="L133" s="67">
        <v>8.2140000000000004</v>
      </c>
      <c r="M133" s="80"/>
      <c r="N133" s="67"/>
      <c r="O133" s="78"/>
      <c r="P133" s="68"/>
      <c r="Q133" s="68"/>
      <c r="R133" s="68"/>
      <c r="S133" s="68"/>
      <c r="T133" s="68"/>
      <c r="U133" s="68"/>
      <c r="V133" s="68"/>
      <c r="W133" s="68"/>
      <c r="X133" s="3"/>
      <c r="Y133" s="7"/>
      <c r="AW133">
        <f t="shared" si="20"/>
        <v>0</v>
      </c>
      <c r="AX133">
        <f t="shared" si="21"/>
        <v>0</v>
      </c>
      <c r="AY133">
        <f t="shared" si="22"/>
        <v>0</v>
      </c>
      <c r="AZ133">
        <f t="shared" si="23"/>
        <v>0</v>
      </c>
      <c r="BA133">
        <f t="shared" si="24"/>
        <v>0</v>
      </c>
      <c r="BB133">
        <f t="shared" si="25"/>
        <v>0</v>
      </c>
      <c r="BC133">
        <f t="shared" si="26"/>
        <v>0</v>
      </c>
      <c r="BD133">
        <f t="shared" si="27"/>
        <v>0</v>
      </c>
      <c r="BE133">
        <f t="shared" si="28"/>
        <v>0</v>
      </c>
      <c r="BF133">
        <f t="shared" si="29"/>
        <v>0</v>
      </c>
      <c r="BG133" s="3">
        <f t="shared" si="30"/>
        <v>0</v>
      </c>
      <c r="BH133" s="7">
        <f t="shared" si="31"/>
        <v>0</v>
      </c>
    </row>
    <row r="134" spans="1:60" ht="12.75" customHeight="1" outlineLevel="1" x14ac:dyDescent="0.2">
      <c r="A134" s="2" t="s">
        <v>222</v>
      </c>
      <c r="B134" s="3" t="s">
        <v>154</v>
      </c>
      <c r="C134" s="67">
        <v>673.36099999999999</v>
      </c>
      <c r="D134" s="78">
        <v>137.96600000000001</v>
      </c>
      <c r="E134" s="78">
        <v>12.324999999999999</v>
      </c>
      <c r="F134" s="78">
        <v>73.724999999999994</v>
      </c>
      <c r="G134" s="78">
        <v>447.22399999999999</v>
      </c>
      <c r="H134" s="78">
        <v>2.12</v>
      </c>
      <c r="I134" s="78">
        <v>0</v>
      </c>
      <c r="J134" s="78">
        <v>0</v>
      </c>
      <c r="K134" s="78">
        <v>0</v>
      </c>
      <c r="L134" s="67">
        <v>673.36099999999999</v>
      </c>
      <c r="M134" s="80"/>
      <c r="N134" s="67"/>
      <c r="O134" s="78"/>
      <c r="P134" s="68"/>
      <c r="Q134" s="68"/>
      <c r="R134" s="68"/>
      <c r="S134" s="68"/>
      <c r="T134" s="68"/>
      <c r="U134" s="68"/>
      <c r="V134" s="68"/>
      <c r="W134" s="68"/>
      <c r="X134" s="3"/>
      <c r="Y134" s="7"/>
      <c r="AW134">
        <f t="shared" si="20"/>
        <v>0</v>
      </c>
      <c r="AX134">
        <f t="shared" si="21"/>
        <v>0</v>
      </c>
      <c r="AY134">
        <f t="shared" si="22"/>
        <v>0</v>
      </c>
      <c r="AZ134">
        <f t="shared" si="23"/>
        <v>0</v>
      </c>
      <c r="BA134">
        <f t="shared" si="24"/>
        <v>0</v>
      </c>
      <c r="BB134">
        <f t="shared" si="25"/>
        <v>0</v>
      </c>
      <c r="BC134">
        <f t="shared" si="26"/>
        <v>0</v>
      </c>
      <c r="BD134">
        <f t="shared" si="27"/>
        <v>0</v>
      </c>
      <c r="BE134">
        <f t="shared" si="28"/>
        <v>0</v>
      </c>
      <c r="BF134">
        <f t="shared" si="29"/>
        <v>0</v>
      </c>
      <c r="BG134" s="3">
        <f t="shared" si="30"/>
        <v>0</v>
      </c>
      <c r="BH134" s="7">
        <f t="shared" si="31"/>
        <v>0</v>
      </c>
    </row>
    <row r="135" spans="1:60" ht="12.75" customHeight="1" outlineLevel="1" x14ac:dyDescent="0.2">
      <c r="A135" s="2" t="s">
        <v>220</v>
      </c>
      <c r="B135" s="31" t="s">
        <v>207</v>
      </c>
      <c r="C135" s="67">
        <v>672.95399999999995</v>
      </c>
      <c r="D135" s="78">
        <v>137.64400000000001</v>
      </c>
      <c r="E135" s="78">
        <v>12.314</v>
      </c>
      <c r="F135" s="78">
        <v>73.724999999999994</v>
      </c>
      <c r="G135" s="78">
        <v>447.15</v>
      </c>
      <c r="H135" s="78">
        <v>2.12</v>
      </c>
      <c r="I135" s="78">
        <v>0</v>
      </c>
      <c r="J135" s="78">
        <v>0</v>
      </c>
      <c r="K135" s="78">
        <v>0</v>
      </c>
      <c r="L135" s="67">
        <v>672.95399999999995</v>
      </c>
      <c r="M135" s="80"/>
      <c r="N135" s="67"/>
      <c r="O135" s="78"/>
      <c r="P135" s="68"/>
      <c r="Q135" s="68"/>
      <c r="R135" s="68"/>
      <c r="S135" s="68"/>
      <c r="T135" s="68"/>
      <c r="U135" s="68"/>
      <c r="V135" s="68"/>
      <c r="W135" s="68"/>
      <c r="X135" s="3"/>
      <c r="Y135" s="7"/>
      <c r="AW135">
        <f t="shared" ref="AW135:AW166" si="32">W135</f>
        <v>0</v>
      </c>
      <c r="AX135">
        <f t="shared" ref="AX135:AX166" si="33">V135</f>
        <v>0</v>
      </c>
      <c r="AY135">
        <f t="shared" ref="AY135:AY166" si="34">U135</f>
        <v>0</v>
      </c>
      <c r="AZ135">
        <f t="shared" ref="AZ135:AZ166" si="35">T135</f>
        <v>0</v>
      </c>
      <c r="BA135">
        <f t="shared" ref="BA135:BA166" si="36">S135</f>
        <v>0</v>
      </c>
      <c r="BB135">
        <f t="shared" ref="BB135:BB166" si="37">R135</f>
        <v>0</v>
      </c>
      <c r="BC135">
        <f t="shared" ref="BC135:BC166" si="38">Q135</f>
        <v>0</v>
      </c>
      <c r="BD135">
        <f t="shared" ref="BD135:BD166" si="39">P135</f>
        <v>0</v>
      </c>
      <c r="BE135">
        <f t="shared" ref="BE135:BE166" si="40">O135</f>
        <v>0</v>
      </c>
      <c r="BF135">
        <f t="shared" ref="BF135:BF166" si="41">N135</f>
        <v>0</v>
      </c>
      <c r="BG135" s="3">
        <f t="shared" ref="BG135:BG166" si="42">X135</f>
        <v>0</v>
      </c>
      <c r="BH135" s="7">
        <f t="shared" ref="BH135:BH166" si="43">Y135</f>
        <v>0</v>
      </c>
    </row>
    <row r="136" spans="1:60" ht="12.75" customHeight="1" outlineLevel="1" x14ac:dyDescent="0.2">
      <c r="A136" s="2" t="s">
        <v>221</v>
      </c>
      <c r="B136" s="31" t="s">
        <v>202</v>
      </c>
      <c r="C136" s="67">
        <v>0.40799999999999997</v>
      </c>
      <c r="D136" s="78">
        <v>0.32200000000000001</v>
      </c>
      <c r="E136" s="78">
        <v>1.2E-2</v>
      </c>
      <c r="F136" s="78">
        <v>0</v>
      </c>
      <c r="G136" s="78">
        <v>7.3999999999999996E-2</v>
      </c>
      <c r="H136" s="78">
        <v>0</v>
      </c>
      <c r="I136" s="78">
        <v>0</v>
      </c>
      <c r="J136" s="78">
        <v>0</v>
      </c>
      <c r="K136" s="78">
        <v>0</v>
      </c>
      <c r="L136" s="67">
        <v>0.40799999999999997</v>
      </c>
      <c r="M136" s="80"/>
      <c r="N136" s="67"/>
      <c r="O136" s="78"/>
      <c r="P136" s="68"/>
      <c r="Q136" s="68"/>
      <c r="R136" s="68"/>
      <c r="S136" s="68"/>
      <c r="T136" s="68"/>
      <c r="U136" s="68"/>
      <c r="V136" s="68"/>
      <c r="W136" s="68"/>
      <c r="X136" s="3"/>
      <c r="Y136" s="7"/>
      <c r="AW136">
        <f t="shared" si="32"/>
        <v>0</v>
      </c>
      <c r="AX136">
        <f t="shared" si="33"/>
        <v>0</v>
      </c>
      <c r="AY136">
        <f t="shared" si="34"/>
        <v>0</v>
      </c>
      <c r="AZ136">
        <f t="shared" si="35"/>
        <v>0</v>
      </c>
      <c r="BA136">
        <f t="shared" si="36"/>
        <v>0</v>
      </c>
      <c r="BB136">
        <f t="shared" si="37"/>
        <v>0</v>
      </c>
      <c r="BC136">
        <f t="shared" si="38"/>
        <v>0</v>
      </c>
      <c r="BD136">
        <f t="shared" si="39"/>
        <v>0</v>
      </c>
      <c r="BE136">
        <f t="shared" si="40"/>
        <v>0</v>
      </c>
      <c r="BF136">
        <f t="shared" si="41"/>
        <v>0</v>
      </c>
      <c r="BG136" s="3">
        <f t="shared" si="42"/>
        <v>0</v>
      </c>
      <c r="BH136" s="7">
        <f t="shared" si="43"/>
        <v>0</v>
      </c>
    </row>
    <row r="137" spans="1:60" ht="12.75" customHeight="1" outlineLevel="1" x14ac:dyDescent="0.2">
      <c r="A137" s="2" t="s">
        <v>155</v>
      </c>
      <c r="B137" s="62" t="s">
        <v>156</v>
      </c>
      <c r="C137" s="67">
        <v>146.86600000000001</v>
      </c>
      <c r="D137" s="67">
        <v>441.51299999999998</v>
      </c>
      <c r="E137" s="67">
        <v>-536.89599999999996</v>
      </c>
      <c r="F137" s="67">
        <v>70.950999999999993</v>
      </c>
      <c r="G137" s="67">
        <v>167.33600000000001</v>
      </c>
      <c r="H137" s="67">
        <v>3.9620000000000002</v>
      </c>
      <c r="I137" s="67">
        <v>0</v>
      </c>
      <c r="J137" s="67">
        <v>-455.88900000000001</v>
      </c>
      <c r="K137" s="67">
        <v>0</v>
      </c>
      <c r="L137" s="67">
        <v>-309.02300000000002</v>
      </c>
      <c r="M137" s="80"/>
      <c r="N137" s="67">
        <v>-309.02300000000002</v>
      </c>
      <c r="O137" s="78">
        <v>0</v>
      </c>
      <c r="P137" s="67">
        <v>-405.43</v>
      </c>
      <c r="Q137" s="67">
        <v>0</v>
      </c>
      <c r="R137" s="67">
        <v>0.31</v>
      </c>
      <c r="S137" s="67">
        <v>-0.54200000000000004</v>
      </c>
      <c r="T137" s="67">
        <v>-38.281999999999996</v>
      </c>
      <c r="U137" s="67">
        <v>-642.55799999999999</v>
      </c>
      <c r="V137" s="67">
        <v>777.47799999999995</v>
      </c>
      <c r="W137" s="67">
        <v>96.406999999999996</v>
      </c>
      <c r="X137" s="62" t="s">
        <v>208</v>
      </c>
      <c r="Y137" s="4" t="s">
        <v>168</v>
      </c>
      <c r="AW137">
        <f t="shared" si="32"/>
        <v>96.406999999999996</v>
      </c>
      <c r="AX137">
        <f t="shared" si="33"/>
        <v>777.47799999999995</v>
      </c>
      <c r="AY137">
        <f t="shared" si="34"/>
        <v>-642.55799999999999</v>
      </c>
      <c r="AZ137">
        <f t="shared" si="35"/>
        <v>-38.281999999999996</v>
      </c>
      <c r="BA137">
        <f t="shared" si="36"/>
        <v>-0.54200000000000004</v>
      </c>
      <c r="BB137">
        <f t="shared" si="37"/>
        <v>0.31</v>
      </c>
      <c r="BC137">
        <f t="shared" si="38"/>
        <v>0</v>
      </c>
      <c r="BD137">
        <f t="shared" si="39"/>
        <v>-405.43</v>
      </c>
      <c r="BE137">
        <f t="shared" si="40"/>
        <v>0</v>
      </c>
      <c r="BF137">
        <f t="shared" si="41"/>
        <v>-309.02300000000002</v>
      </c>
      <c r="BG137" s="62" t="str">
        <f t="shared" si="42"/>
        <v>PF</v>
      </c>
      <c r="BH137" s="4" t="str">
        <f t="shared" si="43"/>
        <v>Passifs financiers</v>
      </c>
    </row>
    <row r="138" spans="1:60" ht="12.75" customHeight="1" outlineLevel="1" x14ac:dyDescent="0.2">
      <c r="A138" s="2" t="s">
        <v>157</v>
      </c>
      <c r="B138" s="3" t="s">
        <v>104</v>
      </c>
      <c r="C138" s="67">
        <v>4.4000000000000004</v>
      </c>
      <c r="D138" s="78">
        <v>0</v>
      </c>
      <c r="E138" s="78">
        <v>4.4000000000000004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67">
        <v>4.4000000000000004</v>
      </c>
      <c r="M138" s="80"/>
      <c r="N138" s="67">
        <v>4.4000000000000004</v>
      </c>
      <c r="O138" s="78">
        <v>0</v>
      </c>
      <c r="P138" s="78">
        <v>4.4000000000000004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67">
        <v>0</v>
      </c>
      <c r="X138" s="3" t="s">
        <v>209</v>
      </c>
      <c r="Y138" s="7" t="s">
        <v>104</v>
      </c>
      <c r="AW138">
        <f t="shared" si="32"/>
        <v>0</v>
      </c>
      <c r="AX138">
        <f t="shared" si="33"/>
        <v>0</v>
      </c>
      <c r="AY138">
        <f t="shared" si="34"/>
        <v>0</v>
      </c>
      <c r="AZ138">
        <f t="shared" si="35"/>
        <v>0</v>
      </c>
      <c r="BA138">
        <f t="shared" si="36"/>
        <v>0</v>
      </c>
      <c r="BB138">
        <f t="shared" si="37"/>
        <v>0</v>
      </c>
      <c r="BC138">
        <f t="shared" si="38"/>
        <v>0</v>
      </c>
      <c r="BD138">
        <f t="shared" si="39"/>
        <v>4.4000000000000004</v>
      </c>
      <c r="BE138">
        <f t="shared" si="40"/>
        <v>0</v>
      </c>
      <c r="BF138">
        <f t="shared" si="41"/>
        <v>4.4000000000000004</v>
      </c>
      <c r="BG138" s="3" t="str">
        <f t="shared" si="42"/>
        <v>PF1</v>
      </c>
      <c r="BH138" s="7" t="str">
        <f t="shared" si="43"/>
        <v>Or monétaire et droits de tirage spéciaux</v>
      </c>
    </row>
    <row r="139" spans="1:60" ht="12.75" customHeight="1" outlineLevel="1" x14ac:dyDescent="0.2">
      <c r="A139" s="2" t="s">
        <v>158</v>
      </c>
      <c r="B139" s="3" t="s">
        <v>106</v>
      </c>
      <c r="C139" s="67">
        <v>-29.356999999999999</v>
      </c>
      <c r="D139" s="78">
        <v>-1.0289999999999999</v>
      </c>
      <c r="E139" s="78">
        <v>-27.763999999999999</v>
      </c>
      <c r="F139" s="78">
        <v>0</v>
      </c>
      <c r="G139" s="78">
        <v>-0.56499999999999995</v>
      </c>
      <c r="H139" s="78">
        <v>1E-3</v>
      </c>
      <c r="I139" s="78">
        <v>0</v>
      </c>
      <c r="J139" s="78">
        <v>-13.391</v>
      </c>
      <c r="K139" s="78">
        <v>0</v>
      </c>
      <c r="L139" s="67">
        <v>-42.747999999999998</v>
      </c>
      <c r="M139" s="80"/>
      <c r="N139" s="67">
        <v>-42.747999999999998</v>
      </c>
      <c r="O139" s="78">
        <v>0</v>
      </c>
      <c r="P139" s="78">
        <v>-28.111000000000001</v>
      </c>
      <c r="Q139" s="78">
        <v>0</v>
      </c>
      <c r="R139" s="78">
        <v>0</v>
      </c>
      <c r="S139" s="78">
        <v>0</v>
      </c>
      <c r="T139" s="78">
        <v>0</v>
      </c>
      <c r="U139" s="78">
        <v>-14.637</v>
      </c>
      <c r="V139" s="78">
        <v>0</v>
      </c>
      <c r="W139" s="67">
        <v>-14.637</v>
      </c>
      <c r="X139" s="3" t="s">
        <v>210</v>
      </c>
      <c r="Y139" s="7" t="s">
        <v>106</v>
      </c>
      <c r="AW139">
        <f t="shared" si="32"/>
        <v>-14.637</v>
      </c>
      <c r="AX139">
        <f t="shared" si="33"/>
        <v>0</v>
      </c>
      <c r="AY139">
        <f t="shared" si="34"/>
        <v>-14.637</v>
      </c>
      <c r="AZ139">
        <f t="shared" si="35"/>
        <v>0</v>
      </c>
      <c r="BA139">
        <f t="shared" si="36"/>
        <v>0</v>
      </c>
      <c r="BB139">
        <f t="shared" si="37"/>
        <v>0</v>
      </c>
      <c r="BC139">
        <f t="shared" si="38"/>
        <v>0</v>
      </c>
      <c r="BD139">
        <f t="shared" si="39"/>
        <v>-28.111000000000001</v>
      </c>
      <c r="BE139">
        <f t="shared" si="40"/>
        <v>0</v>
      </c>
      <c r="BF139">
        <f t="shared" si="41"/>
        <v>-42.747999999999998</v>
      </c>
      <c r="BG139" s="3" t="str">
        <f t="shared" si="42"/>
        <v>PF2</v>
      </c>
      <c r="BH139" s="7" t="str">
        <f t="shared" si="43"/>
        <v>Numéraire et dépôts</v>
      </c>
    </row>
    <row r="140" spans="1:60" ht="12.75" customHeight="1" outlineLevel="1" x14ac:dyDescent="0.2">
      <c r="A140" s="2" t="s">
        <v>159</v>
      </c>
      <c r="B140" s="3" t="s">
        <v>108</v>
      </c>
      <c r="C140" s="67">
        <v>-790.79899999999998</v>
      </c>
      <c r="D140" s="78">
        <v>20.295000000000002</v>
      </c>
      <c r="E140" s="78">
        <v>-807.76099999999997</v>
      </c>
      <c r="F140" s="78">
        <v>0.39800000000000002</v>
      </c>
      <c r="G140" s="78">
        <v>-6.7830000000000004</v>
      </c>
      <c r="H140" s="78">
        <v>3.0510000000000002</v>
      </c>
      <c r="I140" s="78">
        <v>0</v>
      </c>
      <c r="J140" s="78">
        <v>-566.47299999999996</v>
      </c>
      <c r="K140" s="78">
        <v>0</v>
      </c>
      <c r="L140" s="67">
        <v>-1357.2719999999999</v>
      </c>
      <c r="M140" s="80"/>
      <c r="N140" s="67">
        <v>-1357.2719999999999</v>
      </c>
      <c r="O140" s="78">
        <v>0</v>
      </c>
      <c r="P140" s="78">
        <v>-518.94799999999998</v>
      </c>
      <c r="Q140" s="78">
        <v>0</v>
      </c>
      <c r="R140" s="78">
        <v>-2E-3</v>
      </c>
      <c r="S140" s="78">
        <v>0</v>
      </c>
      <c r="T140" s="78">
        <v>-38.281999999999996</v>
      </c>
      <c r="U140" s="78">
        <v>-817.97900000000004</v>
      </c>
      <c r="V140" s="78">
        <v>17.937999999999999</v>
      </c>
      <c r="W140" s="67">
        <v>-838.32500000000005</v>
      </c>
      <c r="X140" s="3" t="s">
        <v>211</v>
      </c>
      <c r="Y140" s="7" t="s">
        <v>108</v>
      </c>
      <c r="AW140">
        <f t="shared" si="32"/>
        <v>-838.32500000000005</v>
      </c>
      <c r="AX140">
        <f t="shared" si="33"/>
        <v>17.937999999999999</v>
      </c>
      <c r="AY140">
        <f t="shared" si="34"/>
        <v>-817.97900000000004</v>
      </c>
      <c r="AZ140">
        <f t="shared" si="35"/>
        <v>-38.281999999999996</v>
      </c>
      <c r="BA140">
        <f t="shared" si="36"/>
        <v>0</v>
      </c>
      <c r="BB140">
        <f t="shared" si="37"/>
        <v>-2E-3</v>
      </c>
      <c r="BC140">
        <f t="shared" si="38"/>
        <v>0</v>
      </c>
      <c r="BD140">
        <f t="shared" si="39"/>
        <v>-518.94799999999998</v>
      </c>
      <c r="BE140">
        <f t="shared" si="40"/>
        <v>0</v>
      </c>
      <c r="BF140">
        <f t="shared" si="41"/>
        <v>-1357.2719999999999</v>
      </c>
      <c r="BG140" s="3" t="str">
        <f t="shared" si="42"/>
        <v>PF3</v>
      </c>
      <c r="BH140" s="7" t="str">
        <f t="shared" si="43"/>
        <v>Titres autres qu'actions</v>
      </c>
    </row>
    <row r="141" spans="1:60" ht="12.75" customHeight="1" outlineLevel="1" x14ac:dyDescent="0.2">
      <c r="A141" s="2" t="s">
        <v>160</v>
      </c>
      <c r="B141" s="3" t="s">
        <v>110</v>
      </c>
      <c r="C141" s="67">
        <v>-0.69799999999999995</v>
      </c>
      <c r="D141" s="78">
        <v>1.8959999999999999</v>
      </c>
      <c r="E141" s="78">
        <v>-2.5939999999999999</v>
      </c>
      <c r="F141" s="78">
        <v>0</v>
      </c>
      <c r="G141" s="78">
        <v>0</v>
      </c>
      <c r="H141" s="78">
        <v>0</v>
      </c>
      <c r="I141" s="78">
        <v>0</v>
      </c>
      <c r="J141" s="78">
        <v>3.7269999999999999</v>
      </c>
      <c r="K141" s="78">
        <v>0</v>
      </c>
      <c r="L141" s="67">
        <v>3.0289999999999999</v>
      </c>
      <c r="M141" s="80"/>
      <c r="N141" s="67">
        <v>3.0289999999999999</v>
      </c>
      <c r="O141" s="78">
        <v>0</v>
      </c>
      <c r="P141" s="78">
        <v>0.63400000000000001</v>
      </c>
      <c r="Q141" s="78">
        <v>0</v>
      </c>
      <c r="R141" s="78">
        <v>-3.0000000000000001E-3</v>
      </c>
      <c r="S141" s="78">
        <v>-0.54200000000000004</v>
      </c>
      <c r="T141" s="78">
        <v>0</v>
      </c>
      <c r="U141" s="78">
        <v>-1.2290000000000001</v>
      </c>
      <c r="V141" s="78">
        <v>4.1689999999999996</v>
      </c>
      <c r="W141" s="67">
        <v>2.3959999999999999</v>
      </c>
      <c r="X141" s="3" t="s">
        <v>212</v>
      </c>
      <c r="Y141" s="7" t="s">
        <v>110</v>
      </c>
      <c r="AW141">
        <f t="shared" si="32"/>
        <v>2.3959999999999999</v>
      </c>
      <c r="AX141">
        <f t="shared" si="33"/>
        <v>4.1689999999999996</v>
      </c>
      <c r="AY141">
        <f t="shared" si="34"/>
        <v>-1.2290000000000001</v>
      </c>
      <c r="AZ141">
        <f t="shared" si="35"/>
        <v>0</v>
      </c>
      <c r="BA141">
        <f t="shared" si="36"/>
        <v>-0.54200000000000004</v>
      </c>
      <c r="BB141">
        <f t="shared" si="37"/>
        <v>-3.0000000000000001E-3</v>
      </c>
      <c r="BC141">
        <f t="shared" si="38"/>
        <v>0</v>
      </c>
      <c r="BD141">
        <f t="shared" si="39"/>
        <v>0.63400000000000001</v>
      </c>
      <c r="BE141">
        <f t="shared" si="40"/>
        <v>0</v>
      </c>
      <c r="BF141">
        <f t="shared" si="41"/>
        <v>3.0289999999999999</v>
      </c>
      <c r="BG141" s="3" t="str">
        <f t="shared" si="42"/>
        <v>PF4</v>
      </c>
      <c r="BH141" s="7" t="str">
        <f t="shared" si="43"/>
        <v>Crédits</v>
      </c>
    </row>
    <row r="142" spans="1:60" ht="12.75" customHeight="1" outlineLevel="1" x14ac:dyDescent="0.2">
      <c r="A142" s="2" t="s">
        <v>161</v>
      </c>
      <c r="B142" s="3" t="s">
        <v>162</v>
      </c>
      <c r="C142" s="67">
        <v>940.26099999999997</v>
      </c>
      <c r="D142" s="78">
        <v>419.572</v>
      </c>
      <c r="E142" s="78">
        <v>296.82299999999998</v>
      </c>
      <c r="F142" s="78">
        <v>70.552999999999997</v>
      </c>
      <c r="G142" s="78">
        <v>152.404</v>
      </c>
      <c r="H142" s="78">
        <v>0.91</v>
      </c>
      <c r="I142" s="78">
        <v>0</v>
      </c>
      <c r="J142" s="78">
        <v>118.93300000000001</v>
      </c>
      <c r="K142" s="78">
        <v>0</v>
      </c>
      <c r="L142" s="67">
        <v>1059.194</v>
      </c>
      <c r="M142" s="80"/>
      <c r="N142" s="67">
        <v>1059.194</v>
      </c>
      <c r="O142" s="78">
        <v>0</v>
      </c>
      <c r="P142" s="78">
        <v>135.816</v>
      </c>
      <c r="Q142" s="78">
        <v>0</v>
      </c>
      <c r="R142" s="78">
        <v>0.315</v>
      </c>
      <c r="S142" s="78">
        <v>0</v>
      </c>
      <c r="T142" s="78">
        <v>0</v>
      </c>
      <c r="U142" s="78">
        <v>167.91900000000001</v>
      </c>
      <c r="V142" s="78">
        <v>755.14400000000001</v>
      </c>
      <c r="W142" s="67">
        <v>923.37800000000004</v>
      </c>
      <c r="X142" s="3" t="s">
        <v>213</v>
      </c>
      <c r="Y142" s="7" t="s">
        <v>162</v>
      </c>
      <c r="AW142">
        <f t="shared" si="32"/>
        <v>923.37800000000004</v>
      </c>
      <c r="AX142">
        <f t="shared" si="33"/>
        <v>755.14400000000001</v>
      </c>
      <c r="AY142">
        <f t="shared" si="34"/>
        <v>167.91900000000001</v>
      </c>
      <c r="AZ142">
        <f t="shared" si="35"/>
        <v>0</v>
      </c>
      <c r="BA142">
        <f t="shared" si="36"/>
        <v>0</v>
      </c>
      <c r="BB142">
        <f t="shared" si="37"/>
        <v>0.315</v>
      </c>
      <c r="BC142">
        <f t="shared" si="38"/>
        <v>0</v>
      </c>
      <c r="BD142">
        <f t="shared" si="39"/>
        <v>135.816</v>
      </c>
      <c r="BE142">
        <f t="shared" si="40"/>
        <v>0</v>
      </c>
      <c r="BF142">
        <f t="shared" si="41"/>
        <v>1059.194</v>
      </c>
      <c r="BG142" s="3" t="str">
        <f t="shared" si="42"/>
        <v>PF5</v>
      </c>
      <c r="BH142" s="7" t="str">
        <f t="shared" si="43"/>
        <v>Actions et autres participations</v>
      </c>
    </row>
    <row r="143" spans="1:60" ht="12.75" customHeight="1" outlineLevel="1" x14ac:dyDescent="0.2">
      <c r="A143" s="2" t="s">
        <v>163</v>
      </c>
      <c r="B143" s="3" t="s">
        <v>114</v>
      </c>
      <c r="C143" s="67">
        <v>22.28</v>
      </c>
      <c r="D143" s="78">
        <v>0</v>
      </c>
      <c r="E143" s="78">
        <v>0</v>
      </c>
      <c r="F143" s="78">
        <v>0</v>
      </c>
      <c r="G143" s="78">
        <v>22.28</v>
      </c>
      <c r="H143" s="78">
        <v>0</v>
      </c>
      <c r="I143" s="78">
        <v>0</v>
      </c>
      <c r="J143" s="78">
        <v>1.0880000000000001</v>
      </c>
      <c r="K143" s="78">
        <v>0</v>
      </c>
      <c r="L143" s="67">
        <v>23.367999999999999</v>
      </c>
      <c r="M143" s="80"/>
      <c r="N143" s="67">
        <v>23.367999999999999</v>
      </c>
      <c r="O143" s="78">
        <v>0</v>
      </c>
      <c r="P143" s="78">
        <v>0</v>
      </c>
      <c r="Q143" s="78">
        <v>0</v>
      </c>
      <c r="R143" s="78">
        <v>0</v>
      </c>
      <c r="S143" s="78">
        <v>0</v>
      </c>
      <c r="T143" s="78">
        <v>0</v>
      </c>
      <c r="U143" s="78">
        <v>23.367999999999999</v>
      </c>
      <c r="V143" s="78">
        <v>0</v>
      </c>
      <c r="W143" s="67">
        <v>23.367999999999999</v>
      </c>
      <c r="X143" s="3" t="s">
        <v>214</v>
      </c>
      <c r="Y143" s="7" t="s">
        <v>114</v>
      </c>
      <c r="AW143">
        <f t="shared" si="32"/>
        <v>23.367999999999999</v>
      </c>
      <c r="AX143">
        <f t="shared" si="33"/>
        <v>0</v>
      </c>
      <c r="AY143">
        <f t="shared" si="34"/>
        <v>23.367999999999999</v>
      </c>
      <c r="AZ143">
        <f t="shared" si="35"/>
        <v>0</v>
      </c>
      <c r="BA143">
        <f t="shared" si="36"/>
        <v>0</v>
      </c>
      <c r="BB143">
        <f t="shared" si="37"/>
        <v>0</v>
      </c>
      <c r="BC143">
        <f t="shared" si="38"/>
        <v>0</v>
      </c>
      <c r="BD143">
        <f t="shared" si="39"/>
        <v>0</v>
      </c>
      <c r="BE143">
        <f t="shared" si="40"/>
        <v>0</v>
      </c>
      <c r="BF143">
        <f t="shared" si="41"/>
        <v>23.367999999999999</v>
      </c>
      <c r="BG143" s="3" t="str">
        <f t="shared" si="42"/>
        <v>PF6</v>
      </c>
      <c r="BH143" s="7" t="str">
        <f t="shared" si="43"/>
        <v>Provisions techniques d'assurance</v>
      </c>
    </row>
    <row r="144" spans="1:60" ht="12.75" customHeight="1" outlineLevel="1" x14ac:dyDescent="0.2">
      <c r="A144" s="49" t="s">
        <v>164</v>
      </c>
      <c r="B144" s="49" t="s">
        <v>173</v>
      </c>
      <c r="C144" s="69">
        <v>0.77900000000000003</v>
      </c>
      <c r="D144" s="79">
        <v>0.77900000000000003</v>
      </c>
      <c r="E144" s="79">
        <v>0</v>
      </c>
      <c r="F144" s="79">
        <v>0</v>
      </c>
      <c r="G144" s="79">
        <v>0</v>
      </c>
      <c r="H144" s="79">
        <v>0</v>
      </c>
      <c r="I144" s="79">
        <v>0</v>
      </c>
      <c r="J144" s="79">
        <v>0.22700000000000001</v>
      </c>
      <c r="K144" s="79">
        <v>0</v>
      </c>
      <c r="L144" s="69">
        <v>1.006</v>
      </c>
      <c r="M144" s="80"/>
      <c r="N144" s="69">
        <v>1.006</v>
      </c>
      <c r="O144" s="79">
        <v>0</v>
      </c>
      <c r="P144" s="79">
        <v>0.77900000000000003</v>
      </c>
      <c r="Q144" s="79">
        <v>0</v>
      </c>
      <c r="R144" s="79">
        <v>0</v>
      </c>
      <c r="S144" s="79">
        <v>0</v>
      </c>
      <c r="T144" s="79">
        <v>0</v>
      </c>
      <c r="U144" s="79">
        <v>0</v>
      </c>
      <c r="V144" s="79">
        <v>0.22700000000000001</v>
      </c>
      <c r="W144" s="69">
        <v>0.22700000000000001</v>
      </c>
      <c r="X144" s="33" t="s">
        <v>215</v>
      </c>
      <c r="Y144" s="33" t="s">
        <v>172</v>
      </c>
      <c r="AW144">
        <f t="shared" si="32"/>
        <v>0.22700000000000001</v>
      </c>
      <c r="AX144">
        <f t="shared" si="33"/>
        <v>0.22700000000000001</v>
      </c>
      <c r="AY144">
        <f t="shared" si="34"/>
        <v>0</v>
      </c>
      <c r="AZ144">
        <f t="shared" si="35"/>
        <v>0</v>
      </c>
      <c r="BA144">
        <f t="shared" si="36"/>
        <v>0</v>
      </c>
      <c r="BB144">
        <f t="shared" si="37"/>
        <v>0</v>
      </c>
      <c r="BC144">
        <f t="shared" si="38"/>
        <v>0</v>
      </c>
      <c r="BD144">
        <f t="shared" si="39"/>
        <v>0.77900000000000003</v>
      </c>
      <c r="BE144">
        <f t="shared" si="40"/>
        <v>0</v>
      </c>
      <c r="BF144">
        <f t="shared" si="41"/>
        <v>1.006</v>
      </c>
      <c r="BG144" s="33" t="str">
        <f t="shared" si="42"/>
        <v>PF7</v>
      </c>
      <c r="BH144" s="33" t="str">
        <f t="shared" si="43"/>
        <v xml:space="preserve">Autres comptes à recevoir </v>
      </c>
    </row>
    <row r="145" spans="1:60" ht="12.75" customHeight="1" x14ac:dyDescent="0.2">
      <c r="A145" s="48" t="s">
        <v>166</v>
      </c>
      <c r="B145" s="1"/>
      <c r="C145" s="67"/>
      <c r="D145" s="78"/>
      <c r="E145" s="78"/>
      <c r="F145" s="78"/>
      <c r="G145" s="78"/>
      <c r="H145" s="78"/>
      <c r="I145" s="78"/>
      <c r="J145" s="78"/>
      <c r="K145" s="67"/>
      <c r="L145" s="67"/>
      <c r="M145" s="80"/>
      <c r="N145" s="67"/>
      <c r="O145" s="78"/>
      <c r="P145" s="68"/>
      <c r="Q145" s="68"/>
      <c r="R145" s="68"/>
      <c r="S145" s="68"/>
      <c r="T145" s="68"/>
      <c r="U145" s="68"/>
      <c r="V145" s="68"/>
      <c r="W145" s="68"/>
      <c r="X145" s="47" t="s">
        <v>166</v>
      </c>
      <c r="Y145" s="6"/>
      <c r="AW145">
        <f t="shared" si="32"/>
        <v>0</v>
      </c>
      <c r="AX145">
        <f t="shared" si="33"/>
        <v>0</v>
      </c>
      <c r="AY145">
        <f t="shared" si="34"/>
        <v>0</v>
      </c>
      <c r="AZ145">
        <f t="shared" si="35"/>
        <v>0</v>
      </c>
      <c r="BA145">
        <f t="shared" si="36"/>
        <v>0</v>
      </c>
      <c r="BB145">
        <f t="shared" si="37"/>
        <v>0</v>
      </c>
      <c r="BC145">
        <f t="shared" si="38"/>
        <v>0</v>
      </c>
      <c r="BD145">
        <f t="shared" si="39"/>
        <v>0</v>
      </c>
      <c r="BE145">
        <f t="shared" si="40"/>
        <v>0</v>
      </c>
      <c r="BF145">
        <f t="shared" si="41"/>
        <v>0</v>
      </c>
      <c r="BG145" s="47" t="str">
        <f t="shared" si="42"/>
        <v>Patrimoine de clôture</v>
      </c>
      <c r="BH145" s="6">
        <f t="shared" si="43"/>
        <v>0</v>
      </c>
    </row>
    <row r="146" spans="1:60" ht="12.75" customHeight="1" x14ac:dyDescent="0.2">
      <c r="A146" s="2" t="s">
        <v>142</v>
      </c>
      <c r="B146" s="62" t="s">
        <v>143</v>
      </c>
      <c r="C146" s="67">
        <v>11363.29</v>
      </c>
      <c r="D146" s="67">
        <v>3260.3110000000001</v>
      </c>
      <c r="E146" s="67">
        <v>215.745</v>
      </c>
      <c r="F146" s="67">
        <v>1408.087</v>
      </c>
      <c r="G146" s="67">
        <v>6434.0370000000003</v>
      </c>
      <c r="H146" s="67">
        <v>45.11</v>
      </c>
      <c r="I146" s="67">
        <v>0</v>
      </c>
      <c r="J146" s="67">
        <v>0</v>
      </c>
      <c r="K146" s="67">
        <v>0</v>
      </c>
      <c r="L146" s="67">
        <v>11363.29</v>
      </c>
      <c r="M146" s="80"/>
      <c r="N146" s="67"/>
      <c r="O146" s="78"/>
      <c r="P146" s="68"/>
      <c r="Q146" s="68"/>
      <c r="R146" s="68"/>
      <c r="S146" s="68"/>
      <c r="T146" s="68"/>
      <c r="U146" s="68"/>
      <c r="V146" s="68"/>
      <c r="W146" s="68"/>
      <c r="X146" s="6"/>
      <c r="Y146" s="47"/>
      <c r="AW146">
        <f t="shared" si="32"/>
        <v>0</v>
      </c>
      <c r="AX146">
        <f t="shared" si="33"/>
        <v>0</v>
      </c>
      <c r="AY146">
        <f t="shared" si="34"/>
        <v>0</v>
      </c>
      <c r="AZ146">
        <f t="shared" si="35"/>
        <v>0</v>
      </c>
      <c r="BA146">
        <f t="shared" si="36"/>
        <v>0</v>
      </c>
      <c r="BB146">
        <f t="shared" si="37"/>
        <v>0</v>
      </c>
      <c r="BC146">
        <f t="shared" si="38"/>
        <v>0</v>
      </c>
      <c r="BD146">
        <f t="shared" si="39"/>
        <v>0</v>
      </c>
      <c r="BE146">
        <f t="shared" si="40"/>
        <v>0</v>
      </c>
      <c r="BF146">
        <f t="shared" si="41"/>
        <v>0</v>
      </c>
      <c r="BG146" s="6">
        <f t="shared" si="42"/>
        <v>0</v>
      </c>
      <c r="BH146" s="47">
        <f t="shared" si="43"/>
        <v>0</v>
      </c>
    </row>
    <row r="147" spans="1:60" ht="12.75" customHeight="1" x14ac:dyDescent="0.2">
      <c r="A147" s="2" t="s">
        <v>144</v>
      </c>
      <c r="B147" s="3" t="s">
        <v>145</v>
      </c>
      <c r="C147" s="67">
        <v>5940.7340000000004</v>
      </c>
      <c r="D147" s="78">
        <v>1955.884</v>
      </c>
      <c r="E147" s="78">
        <v>114.133</v>
      </c>
      <c r="F147" s="78">
        <v>833.17899999999997</v>
      </c>
      <c r="G147" s="78">
        <v>3008.3789999999999</v>
      </c>
      <c r="H147" s="78">
        <v>29.16</v>
      </c>
      <c r="I147" s="78">
        <v>0</v>
      </c>
      <c r="J147" s="78">
        <v>0</v>
      </c>
      <c r="K147" s="78">
        <v>0</v>
      </c>
      <c r="L147" s="67">
        <v>5940.7340000000004</v>
      </c>
      <c r="M147" s="80"/>
      <c r="N147" s="67"/>
      <c r="O147" s="78"/>
      <c r="P147" s="68"/>
      <c r="Q147" s="68"/>
      <c r="R147" s="68"/>
      <c r="S147" s="68"/>
      <c r="T147" s="68"/>
      <c r="U147" s="68"/>
      <c r="V147" s="68"/>
      <c r="W147" s="68"/>
      <c r="X147" s="6"/>
      <c r="Y147" s="47"/>
      <c r="AW147">
        <f t="shared" si="32"/>
        <v>0</v>
      </c>
      <c r="AX147">
        <f t="shared" si="33"/>
        <v>0</v>
      </c>
      <c r="AY147">
        <f t="shared" si="34"/>
        <v>0</v>
      </c>
      <c r="AZ147">
        <f t="shared" si="35"/>
        <v>0</v>
      </c>
      <c r="BA147">
        <f t="shared" si="36"/>
        <v>0</v>
      </c>
      <c r="BB147">
        <f t="shared" si="37"/>
        <v>0</v>
      </c>
      <c r="BC147">
        <f t="shared" si="38"/>
        <v>0</v>
      </c>
      <c r="BD147">
        <f t="shared" si="39"/>
        <v>0</v>
      </c>
      <c r="BE147">
        <f t="shared" si="40"/>
        <v>0</v>
      </c>
      <c r="BF147">
        <f t="shared" si="41"/>
        <v>0</v>
      </c>
      <c r="BG147" s="6">
        <f t="shared" si="42"/>
        <v>0</v>
      </c>
      <c r="BH147" s="47">
        <f t="shared" si="43"/>
        <v>0</v>
      </c>
    </row>
    <row r="148" spans="1:60" ht="12.75" customHeight="1" x14ac:dyDescent="0.2">
      <c r="A148" s="2" t="s">
        <v>146</v>
      </c>
      <c r="B148" s="3" t="s">
        <v>147</v>
      </c>
      <c r="C148" s="67">
        <v>5464.799</v>
      </c>
      <c r="D148" s="78">
        <v>1629.182</v>
      </c>
      <c r="E148" s="78">
        <v>114.133</v>
      </c>
      <c r="F148" s="78">
        <v>818.101</v>
      </c>
      <c r="G148" s="78">
        <v>2874.223</v>
      </c>
      <c r="H148" s="78">
        <v>29.16</v>
      </c>
      <c r="I148" s="78">
        <v>0</v>
      </c>
      <c r="J148" s="78">
        <v>0</v>
      </c>
      <c r="K148" s="78">
        <v>0</v>
      </c>
      <c r="L148" s="67">
        <v>5464.799</v>
      </c>
      <c r="M148" s="80"/>
      <c r="N148" s="67"/>
      <c r="O148" s="78"/>
      <c r="P148" s="68"/>
      <c r="Q148" s="68"/>
      <c r="R148" s="68"/>
      <c r="S148" s="68"/>
      <c r="T148" s="68"/>
      <c r="U148" s="68"/>
      <c r="V148" s="68"/>
      <c r="W148" s="68"/>
      <c r="X148" s="6"/>
      <c r="Y148" s="47"/>
      <c r="AW148">
        <f t="shared" si="32"/>
        <v>0</v>
      </c>
      <c r="AX148">
        <f t="shared" si="33"/>
        <v>0</v>
      </c>
      <c r="AY148">
        <f t="shared" si="34"/>
        <v>0</v>
      </c>
      <c r="AZ148">
        <f t="shared" si="35"/>
        <v>0</v>
      </c>
      <c r="BA148">
        <f t="shared" si="36"/>
        <v>0</v>
      </c>
      <c r="BB148">
        <f t="shared" si="37"/>
        <v>0</v>
      </c>
      <c r="BC148">
        <f t="shared" si="38"/>
        <v>0</v>
      </c>
      <c r="BD148">
        <f t="shared" si="39"/>
        <v>0</v>
      </c>
      <c r="BE148">
        <f t="shared" si="40"/>
        <v>0</v>
      </c>
      <c r="BF148">
        <f t="shared" si="41"/>
        <v>0</v>
      </c>
      <c r="BG148" s="6">
        <f t="shared" si="42"/>
        <v>0</v>
      </c>
      <c r="BH148" s="47">
        <f t="shared" si="43"/>
        <v>0</v>
      </c>
    </row>
    <row r="149" spans="1:60" ht="12.75" customHeight="1" x14ac:dyDescent="0.2">
      <c r="A149" s="2" t="s">
        <v>148</v>
      </c>
      <c r="B149" s="3" t="s">
        <v>177</v>
      </c>
      <c r="C149" s="67">
        <v>5383.4949999999999</v>
      </c>
      <c r="D149" s="78">
        <v>1564.7809999999999</v>
      </c>
      <c r="E149" s="78">
        <v>106.37</v>
      </c>
      <c r="F149" s="78">
        <v>810.27</v>
      </c>
      <c r="G149" s="78">
        <v>2872.915</v>
      </c>
      <c r="H149" s="78">
        <v>29.16</v>
      </c>
      <c r="I149" s="78">
        <v>0</v>
      </c>
      <c r="J149" s="78">
        <v>0</v>
      </c>
      <c r="K149" s="78">
        <v>0</v>
      </c>
      <c r="L149" s="67">
        <v>5383.4949999999999</v>
      </c>
      <c r="M149" s="80"/>
      <c r="N149" s="67"/>
      <c r="O149" s="78"/>
      <c r="P149" s="68"/>
      <c r="Q149" s="68"/>
      <c r="R149" s="68"/>
      <c r="S149" s="68"/>
      <c r="T149" s="68"/>
      <c r="U149" s="68"/>
      <c r="V149" s="68"/>
      <c r="W149" s="68"/>
      <c r="X149" s="6"/>
      <c r="Y149" s="47"/>
      <c r="AW149">
        <f t="shared" si="32"/>
        <v>0</v>
      </c>
      <c r="AX149">
        <f t="shared" si="33"/>
        <v>0</v>
      </c>
      <c r="AY149">
        <f t="shared" si="34"/>
        <v>0</v>
      </c>
      <c r="AZ149">
        <f t="shared" si="35"/>
        <v>0</v>
      </c>
      <c r="BA149">
        <f t="shared" si="36"/>
        <v>0</v>
      </c>
      <c r="BB149">
        <f t="shared" si="37"/>
        <v>0</v>
      </c>
      <c r="BC149">
        <f t="shared" si="38"/>
        <v>0</v>
      </c>
      <c r="BD149">
        <f t="shared" si="39"/>
        <v>0</v>
      </c>
      <c r="BE149">
        <f t="shared" si="40"/>
        <v>0</v>
      </c>
      <c r="BF149">
        <f t="shared" si="41"/>
        <v>0</v>
      </c>
      <c r="BG149" s="6">
        <f t="shared" si="42"/>
        <v>0</v>
      </c>
      <c r="BH149" s="47">
        <f t="shared" si="43"/>
        <v>0</v>
      </c>
    </row>
    <row r="150" spans="1:60" ht="12.75" customHeight="1" x14ac:dyDescent="0.2">
      <c r="A150" s="2" t="s">
        <v>149</v>
      </c>
      <c r="B150" s="3" t="s">
        <v>178</v>
      </c>
      <c r="C150" s="67">
        <v>81.302999999999997</v>
      </c>
      <c r="D150" s="78">
        <v>64.400999999999996</v>
      </c>
      <c r="E150" s="78">
        <v>7.7629999999999999</v>
      </c>
      <c r="F150" s="78">
        <v>7.8310000000000004</v>
      </c>
      <c r="G150" s="78">
        <v>1.3080000000000001</v>
      </c>
      <c r="H150" s="78">
        <v>0</v>
      </c>
      <c r="I150" s="78">
        <v>0</v>
      </c>
      <c r="J150" s="78">
        <v>0</v>
      </c>
      <c r="K150" s="78">
        <v>0</v>
      </c>
      <c r="L150" s="67">
        <v>81.302999999999997</v>
      </c>
      <c r="M150" s="80"/>
      <c r="N150" s="67"/>
      <c r="O150" s="78"/>
      <c r="P150" s="68"/>
      <c r="Q150" s="68"/>
      <c r="R150" s="68"/>
      <c r="S150" s="68"/>
      <c r="T150" s="68"/>
      <c r="U150" s="68"/>
      <c r="V150" s="68"/>
      <c r="W150" s="68"/>
      <c r="X150" s="3"/>
      <c r="Y150" s="7"/>
      <c r="AW150">
        <f t="shared" si="32"/>
        <v>0</v>
      </c>
      <c r="AX150">
        <f t="shared" si="33"/>
        <v>0</v>
      </c>
      <c r="AY150">
        <f t="shared" si="34"/>
        <v>0</v>
      </c>
      <c r="AZ150">
        <f t="shared" si="35"/>
        <v>0</v>
      </c>
      <c r="BA150">
        <f t="shared" si="36"/>
        <v>0</v>
      </c>
      <c r="BB150">
        <f t="shared" si="37"/>
        <v>0</v>
      </c>
      <c r="BC150">
        <f t="shared" si="38"/>
        <v>0</v>
      </c>
      <c r="BD150">
        <f t="shared" si="39"/>
        <v>0</v>
      </c>
      <c r="BE150">
        <f t="shared" si="40"/>
        <v>0</v>
      </c>
      <c r="BF150">
        <f t="shared" si="41"/>
        <v>0</v>
      </c>
      <c r="BG150" s="3">
        <f t="shared" si="42"/>
        <v>0</v>
      </c>
      <c r="BH150" s="7">
        <f t="shared" si="43"/>
        <v>0</v>
      </c>
    </row>
    <row r="151" spans="1:60" ht="12.75" customHeight="1" x14ac:dyDescent="0.2">
      <c r="A151" s="2" t="s">
        <v>150</v>
      </c>
      <c r="B151" s="3" t="s">
        <v>151</v>
      </c>
      <c r="C151" s="67">
        <v>370.774</v>
      </c>
      <c r="D151" s="78">
        <v>326.702</v>
      </c>
      <c r="E151" s="78">
        <v>0</v>
      </c>
      <c r="F151" s="78">
        <v>15.077999999999999</v>
      </c>
      <c r="G151" s="78">
        <v>28.992999999999999</v>
      </c>
      <c r="H151" s="78">
        <v>0</v>
      </c>
      <c r="I151" s="78">
        <v>0</v>
      </c>
      <c r="J151" s="78">
        <v>0</v>
      </c>
      <c r="K151" s="78">
        <v>0</v>
      </c>
      <c r="L151" s="67">
        <v>370.774</v>
      </c>
      <c r="M151" s="80"/>
      <c r="N151" s="67"/>
      <c r="O151" s="78"/>
      <c r="P151" s="68"/>
      <c r="Q151" s="68"/>
      <c r="R151" s="68"/>
      <c r="S151" s="68"/>
      <c r="T151" s="68"/>
      <c r="U151" s="68"/>
      <c r="V151" s="68"/>
      <c r="W151" s="68"/>
      <c r="X151" s="3"/>
      <c r="Y151" s="7"/>
      <c r="AW151">
        <f t="shared" si="32"/>
        <v>0</v>
      </c>
      <c r="AX151">
        <f t="shared" si="33"/>
        <v>0</v>
      </c>
      <c r="AY151">
        <f t="shared" si="34"/>
        <v>0</v>
      </c>
      <c r="AZ151">
        <f t="shared" si="35"/>
        <v>0</v>
      </c>
      <c r="BA151">
        <f t="shared" si="36"/>
        <v>0</v>
      </c>
      <c r="BB151">
        <f t="shared" si="37"/>
        <v>0</v>
      </c>
      <c r="BC151">
        <f t="shared" si="38"/>
        <v>0</v>
      </c>
      <c r="BD151">
        <f t="shared" si="39"/>
        <v>0</v>
      </c>
      <c r="BE151">
        <f t="shared" si="40"/>
        <v>0</v>
      </c>
      <c r="BF151">
        <f t="shared" si="41"/>
        <v>0</v>
      </c>
      <c r="BG151" s="3">
        <f t="shared" si="42"/>
        <v>0</v>
      </c>
      <c r="BH151" s="7">
        <f t="shared" si="43"/>
        <v>0</v>
      </c>
    </row>
    <row r="152" spans="1:60" ht="12.75" customHeight="1" x14ac:dyDescent="0.2">
      <c r="A152" s="2" t="s">
        <v>152</v>
      </c>
      <c r="B152" s="3" t="s">
        <v>153</v>
      </c>
      <c r="C152" s="67">
        <v>105.16200000000001</v>
      </c>
      <c r="D152" s="78">
        <v>0</v>
      </c>
      <c r="E152" s="78">
        <v>0</v>
      </c>
      <c r="F152" s="78">
        <v>0</v>
      </c>
      <c r="G152" s="78">
        <v>105.16200000000001</v>
      </c>
      <c r="H152" s="78">
        <v>0</v>
      </c>
      <c r="I152" s="78">
        <v>0</v>
      </c>
      <c r="J152" s="78">
        <v>0</v>
      </c>
      <c r="K152" s="78">
        <v>0</v>
      </c>
      <c r="L152" s="67">
        <v>105.16200000000001</v>
      </c>
      <c r="M152" s="80"/>
      <c r="N152" s="67"/>
      <c r="O152" s="78"/>
      <c r="P152" s="68"/>
      <c r="Q152" s="68"/>
      <c r="R152" s="68"/>
      <c r="S152" s="68"/>
      <c r="T152" s="68"/>
      <c r="U152" s="68"/>
      <c r="V152" s="68"/>
      <c r="W152" s="68"/>
      <c r="X152" s="3"/>
      <c r="Y152" s="7"/>
      <c r="AW152">
        <f t="shared" si="32"/>
        <v>0</v>
      </c>
      <c r="AX152">
        <f t="shared" si="33"/>
        <v>0</v>
      </c>
      <c r="AY152">
        <f t="shared" si="34"/>
        <v>0</v>
      </c>
      <c r="AZ152">
        <f t="shared" si="35"/>
        <v>0</v>
      </c>
      <c r="BA152">
        <f t="shared" si="36"/>
        <v>0</v>
      </c>
      <c r="BB152">
        <f t="shared" si="37"/>
        <v>0</v>
      </c>
      <c r="BC152">
        <f t="shared" si="38"/>
        <v>0</v>
      </c>
      <c r="BD152">
        <f t="shared" si="39"/>
        <v>0</v>
      </c>
      <c r="BE152">
        <f t="shared" si="40"/>
        <v>0</v>
      </c>
      <c r="BF152">
        <f t="shared" si="41"/>
        <v>0</v>
      </c>
      <c r="BG152" s="3">
        <f t="shared" si="42"/>
        <v>0</v>
      </c>
      <c r="BH152" s="7">
        <f t="shared" si="43"/>
        <v>0</v>
      </c>
    </row>
    <row r="153" spans="1:60" ht="12.75" customHeight="1" x14ac:dyDescent="0.2">
      <c r="A153" s="2" t="s">
        <v>222</v>
      </c>
      <c r="B153" s="3" t="s">
        <v>154</v>
      </c>
      <c r="C153" s="67">
        <v>5422.5559999999996</v>
      </c>
      <c r="D153" s="78">
        <v>1304.4269999999999</v>
      </c>
      <c r="E153" s="78">
        <v>101.61199999999999</v>
      </c>
      <c r="F153" s="78">
        <v>574.90800000000002</v>
      </c>
      <c r="G153" s="78">
        <v>3425.6590000000001</v>
      </c>
      <c r="H153" s="78">
        <v>15.95</v>
      </c>
      <c r="I153" s="78">
        <v>0</v>
      </c>
      <c r="J153" s="78">
        <v>0</v>
      </c>
      <c r="K153" s="78">
        <v>0</v>
      </c>
      <c r="L153" s="67">
        <v>5422.5559999999996</v>
      </c>
      <c r="M153" s="80"/>
      <c r="N153" s="67"/>
      <c r="O153" s="78"/>
      <c r="P153" s="68"/>
      <c r="Q153" s="68"/>
      <c r="R153" s="68"/>
      <c r="S153" s="68"/>
      <c r="T153" s="68"/>
      <c r="U153" s="68"/>
      <c r="V153" s="68"/>
      <c r="W153" s="68"/>
      <c r="X153" s="3"/>
      <c r="Y153" s="7"/>
      <c r="AW153">
        <f t="shared" si="32"/>
        <v>0</v>
      </c>
      <c r="AX153">
        <f t="shared" si="33"/>
        <v>0</v>
      </c>
      <c r="AY153">
        <f t="shared" si="34"/>
        <v>0</v>
      </c>
      <c r="AZ153">
        <f t="shared" si="35"/>
        <v>0</v>
      </c>
      <c r="BA153">
        <f t="shared" si="36"/>
        <v>0</v>
      </c>
      <c r="BB153">
        <f t="shared" si="37"/>
        <v>0</v>
      </c>
      <c r="BC153">
        <f t="shared" si="38"/>
        <v>0</v>
      </c>
      <c r="BD153">
        <f t="shared" si="39"/>
        <v>0</v>
      </c>
      <c r="BE153">
        <f t="shared" si="40"/>
        <v>0</v>
      </c>
      <c r="BF153">
        <f t="shared" si="41"/>
        <v>0</v>
      </c>
      <c r="BG153" s="3">
        <f t="shared" si="42"/>
        <v>0</v>
      </c>
      <c r="BH153" s="7">
        <f t="shared" si="43"/>
        <v>0</v>
      </c>
    </row>
    <row r="154" spans="1:60" ht="12.75" customHeight="1" x14ac:dyDescent="0.2">
      <c r="A154" s="2" t="s">
        <v>220</v>
      </c>
      <c r="B154" s="31" t="s">
        <v>207</v>
      </c>
      <c r="C154" s="67">
        <v>5157.2290000000003</v>
      </c>
      <c r="D154" s="78">
        <v>1093.2090000000001</v>
      </c>
      <c r="E154" s="78">
        <v>93.162999999999997</v>
      </c>
      <c r="F154" s="78">
        <v>574.25400000000002</v>
      </c>
      <c r="G154" s="78">
        <v>3380.6529999999998</v>
      </c>
      <c r="H154" s="78">
        <v>15.95</v>
      </c>
      <c r="I154" s="78">
        <v>0</v>
      </c>
      <c r="J154" s="78">
        <v>0</v>
      </c>
      <c r="K154" s="78">
        <v>0</v>
      </c>
      <c r="L154" s="67">
        <v>5157.2290000000003</v>
      </c>
      <c r="M154" s="80"/>
      <c r="N154" s="67"/>
      <c r="O154" s="78"/>
      <c r="P154" s="68"/>
      <c r="Q154" s="68"/>
      <c r="R154" s="68"/>
      <c r="S154" s="68"/>
      <c r="T154" s="68"/>
      <c r="U154" s="68"/>
      <c r="V154" s="68"/>
      <c r="W154" s="68"/>
      <c r="X154" s="3"/>
      <c r="Y154" s="7"/>
      <c r="AW154">
        <f t="shared" si="32"/>
        <v>0</v>
      </c>
      <c r="AX154">
        <f t="shared" si="33"/>
        <v>0</v>
      </c>
      <c r="AY154">
        <f t="shared" si="34"/>
        <v>0</v>
      </c>
      <c r="AZ154">
        <f t="shared" si="35"/>
        <v>0</v>
      </c>
      <c r="BA154">
        <f t="shared" si="36"/>
        <v>0</v>
      </c>
      <c r="BB154">
        <f t="shared" si="37"/>
        <v>0</v>
      </c>
      <c r="BC154">
        <f t="shared" si="38"/>
        <v>0</v>
      </c>
      <c r="BD154">
        <f t="shared" si="39"/>
        <v>0</v>
      </c>
      <c r="BE154">
        <f t="shared" si="40"/>
        <v>0</v>
      </c>
      <c r="BF154">
        <f t="shared" si="41"/>
        <v>0</v>
      </c>
      <c r="BG154" s="3">
        <f t="shared" si="42"/>
        <v>0</v>
      </c>
      <c r="BH154" s="7">
        <f t="shared" si="43"/>
        <v>0</v>
      </c>
    </row>
    <row r="155" spans="1:60" ht="12.75" customHeight="1" x14ac:dyDescent="0.2">
      <c r="A155" s="2" t="s">
        <v>221</v>
      </c>
      <c r="B155" s="31" t="s">
        <v>202</v>
      </c>
      <c r="C155" s="67">
        <v>265.327</v>
      </c>
      <c r="D155" s="78">
        <v>211.21899999999999</v>
      </c>
      <c r="E155" s="78">
        <v>8.4489999999999998</v>
      </c>
      <c r="F155" s="78">
        <v>0.65400000000000003</v>
      </c>
      <c r="G155" s="78">
        <v>45.006</v>
      </c>
      <c r="H155" s="78">
        <v>0</v>
      </c>
      <c r="I155" s="78">
        <v>0</v>
      </c>
      <c r="J155" s="78">
        <v>0</v>
      </c>
      <c r="K155" s="78">
        <v>0</v>
      </c>
      <c r="L155" s="67">
        <v>265.327</v>
      </c>
      <c r="M155" s="80"/>
      <c r="N155" s="67"/>
      <c r="O155" s="78"/>
      <c r="P155" s="68"/>
      <c r="Q155" s="68"/>
      <c r="R155" s="68"/>
      <c r="S155" s="68"/>
      <c r="T155" s="68"/>
      <c r="U155" s="68"/>
      <c r="V155" s="68"/>
      <c r="W155" s="68"/>
      <c r="X155" s="3"/>
      <c r="Y155" s="7"/>
      <c r="AW155">
        <f t="shared" si="32"/>
        <v>0</v>
      </c>
      <c r="AX155">
        <f t="shared" si="33"/>
        <v>0</v>
      </c>
      <c r="AY155">
        <f t="shared" si="34"/>
        <v>0</v>
      </c>
      <c r="AZ155">
        <f t="shared" si="35"/>
        <v>0</v>
      </c>
      <c r="BA155">
        <f t="shared" si="36"/>
        <v>0</v>
      </c>
      <c r="BB155">
        <f t="shared" si="37"/>
        <v>0</v>
      </c>
      <c r="BC155">
        <f t="shared" si="38"/>
        <v>0</v>
      </c>
      <c r="BD155">
        <f t="shared" si="39"/>
        <v>0</v>
      </c>
      <c r="BE155">
        <f t="shared" si="40"/>
        <v>0</v>
      </c>
      <c r="BF155">
        <f t="shared" si="41"/>
        <v>0</v>
      </c>
      <c r="BG155" s="3">
        <f t="shared" si="42"/>
        <v>0</v>
      </c>
      <c r="BH155" s="7">
        <f t="shared" si="43"/>
        <v>0</v>
      </c>
    </row>
    <row r="156" spans="1:60" ht="12.75" customHeight="1" x14ac:dyDescent="0.2">
      <c r="A156" s="2" t="s">
        <v>155</v>
      </c>
      <c r="B156" s="62" t="s">
        <v>156</v>
      </c>
      <c r="C156" s="67">
        <v>18481.188999999998</v>
      </c>
      <c r="D156" s="67">
        <v>4753.2470000000003</v>
      </c>
      <c r="E156" s="67">
        <v>9467.6550000000007</v>
      </c>
      <c r="F156" s="67">
        <v>767.47900000000004</v>
      </c>
      <c r="G156" s="67">
        <v>3435.61</v>
      </c>
      <c r="H156" s="67">
        <v>57.198999999999998</v>
      </c>
      <c r="I156" s="67">
        <v>0</v>
      </c>
      <c r="J156" s="67">
        <v>4752.3999999999996</v>
      </c>
      <c r="K156" s="67">
        <v>0</v>
      </c>
      <c r="L156" s="67">
        <v>23233.588</v>
      </c>
      <c r="M156" s="80"/>
      <c r="N156" s="67">
        <v>23233.588</v>
      </c>
      <c r="O156" s="67">
        <v>0</v>
      </c>
      <c r="P156" s="67">
        <v>4699.0010000000002</v>
      </c>
      <c r="Q156" s="67">
        <v>0</v>
      </c>
      <c r="R156" s="67">
        <v>17.03</v>
      </c>
      <c r="S156" s="67">
        <v>979.00099999999998</v>
      </c>
      <c r="T156" s="67">
        <v>1474.0340000000001</v>
      </c>
      <c r="U156" s="67">
        <v>9301.0650000000005</v>
      </c>
      <c r="V156" s="67">
        <v>6763.4589999999998</v>
      </c>
      <c r="W156" s="67">
        <v>18534.588</v>
      </c>
      <c r="X156" s="62" t="s">
        <v>208</v>
      </c>
      <c r="Y156" s="4" t="s">
        <v>168</v>
      </c>
      <c r="AW156">
        <f t="shared" si="32"/>
        <v>18534.588</v>
      </c>
      <c r="AX156">
        <f t="shared" si="33"/>
        <v>6763.4589999999998</v>
      </c>
      <c r="AY156">
        <f t="shared" si="34"/>
        <v>9301.0650000000005</v>
      </c>
      <c r="AZ156">
        <f t="shared" si="35"/>
        <v>1474.0340000000001</v>
      </c>
      <c r="BA156">
        <f t="shared" si="36"/>
        <v>979.00099999999998</v>
      </c>
      <c r="BB156">
        <f t="shared" si="37"/>
        <v>17.03</v>
      </c>
      <c r="BC156">
        <f t="shared" si="38"/>
        <v>0</v>
      </c>
      <c r="BD156">
        <f t="shared" si="39"/>
        <v>4699.0010000000002</v>
      </c>
      <c r="BE156">
        <f t="shared" si="40"/>
        <v>0</v>
      </c>
      <c r="BF156">
        <f t="shared" si="41"/>
        <v>23233.588</v>
      </c>
      <c r="BG156" s="62" t="str">
        <f t="shared" si="42"/>
        <v>PF</v>
      </c>
      <c r="BH156" s="4" t="str">
        <f t="shared" si="43"/>
        <v>Passifs financiers</v>
      </c>
    </row>
    <row r="157" spans="1:60" ht="12.75" customHeight="1" x14ac:dyDescent="0.2">
      <c r="A157" s="2" t="s">
        <v>157</v>
      </c>
      <c r="B157" s="3" t="s">
        <v>104</v>
      </c>
      <c r="C157" s="67">
        <v>42.908000000000001</v>
      </c>
      <c r="D157" s="78">
        <v>0</v>
      </c>
      <c r="E157" s="78">
        <v>42.908000000000001</v>
      </c>
      <c r="F157" s="78">
        <v>0</v>
      </c>
      <c r="G157" s="78">
        <v>0</v>
      </c>
      <c r="H157" s="78">
        <v>0</v>
      </c>
      <c r="I157" s="78">
        <v>0</v>
      </c>
      <c r="J157" s="78">
        <v>0</v>
      </c>
      <c r="K157" s="78">
        <v>0</v>
      </c>
      <c r="L157" s="67">
        <v>42.908000000000001</v>
      </c>
      <c r="M157" s="80"/>
      <c r="N157" s="67">
        <v>42.908000000000001</v>
      </c>
      <c r="O157" s="78">
        <v>0</v>
      </c>
      <c r="P157" s="78">
        <v>42.908000000000001</v>
      </c>
      <c r="Q157" s="78">
        <v>0</v>
      </c>
      <c r="R157" s="78">
        <v>0</v>
      </c>
      <c r="S157" s="78">
        <v>0</v>
      </c>
      <c r="T157" s="78">
        <v>0</v>
      </c>
      <c r="U157" s="78">
        <v>0</v>
      </c>
      <c r="V157" s="78">
        <v>0</v>
      </c>
      <c r="W157" s="67">
        <v>0</v>
      </c>
      <c r="X157" s="3" t="s">
        <v>209</v>
      </c>
      <c r="Y157" s="7" t="s">
        <v>104</v>
      </c>
      <c r="AW157">
        <f t="shared" si="32"/>
        <v>0</v>
      </c>
      <c r="AX157">
        <f t="shared" si="33"/>
        <v>0</v>
      </c>
      <c r="AY157">
        <f t="shared" si="34"/>
        <v>0</v>
      </c>
      <c r="AZ157">
        <f t="shared" si="35"/>
        <v>0</v>
      </c>
      <c r="BA157">
        <f t="shared" si="36"/>
        <v>0</v>
      </c>
      <c r="BB157">
        <f t="shared" si="37"/>
        <v>0</v>
      </c>
      <c r="BC157">
        <f t="shared" si="38"/>
        <v>0</v>
      </c>
      <c r="BD157">
        <f t="shared" si="39"/>
        <v>42.908000000000001</v>
      </c>
      <c r="BE157">
        <f t="shared" si="40"/>
        <v>0</v>
      </c>
      <c r="BF157">
        <f t="shared" si="41"/>
        <v>42.908000000000001</v>
      </c>
      <c r="BG157" s="3" t="str">
        <f t="shared" si="42"/>
        <v>PF1</v>
      </c>
      <c r="BH157" s="7" t="str">
        <f t="shared" si="43"/>
        <v>Or monétaire et droits de tirage spéciaux</v>
      </c>
    </row>
    <row r="158" spans="1:60" ht="12.75" customHeight="1" x14ac:dyDescent="0.2">
      <c r="A158" s="2" t="s">
        <v>158</v>
      </c>
      <c r="B158" s="3" t="s">
        <v>106</v>
      </c>
      <c r="C158" s="67">
        <v>3340.2689999999998</v>
      </c>
      <c r="D158" s="78">
        <v>244.02</v>
      </c>
      <c r="E158" s="78">
        <v>2013.31</v>
      </c>
      <c r="F158" s="78">
        <v>71.694999999999993</v>
      </c>
      <c r="G158" s="78">
        <v>986.90499999999997</v>
      </c>
      <c r="H158" s="78">
        <v>24.338999999999999</v>
      </c>
      <c r="I158" s="78">
        <v>0</v>
      </c>
      <c r="J158" s="78">
        <v>1361.578</v>
      </c>
      <c r="K158" s="78">
        <v>0</v>
      </c>
      <c r="L158" s="67">
        <v>4701.8469999999998</v>
      </c>
      <c r="M158" s="80"/>
      <c r="N158" s="67">
        <v>4701.8469999999998</v>
      </c>
      <c r="O158" s="78">
        <v>0</v>
      </c>
      <c r="P158" s="78">
        <v>934.03599999999994</v>
      </c>
      <c r="Q158" s="78">
        <v>0</v>
      </c>
      <c r="R158" s="78">
        <v>0</v>
      </c>
      <c r="S158" s="78">
        <v>0</v>
      </c>
      <c r="T158" s="78">
        <v>69.042000000000002</v>
      </c>
      <c r="U158" s="78">
        <v>3698.7689999999998</v>
      </c>
      <c r="V158" s="78">
        <v>0</v>
      </c>
      <c r="W158" s="67">
        <v>3767.8110000000001</v>
      </c>
      <c r="X158" s="3" t="s">
        <v>210</v>
      </c>
      <c r="Y158" s="7" t="s">
        <v>106</v>
      </c>
      <c r="AW158">
        <f t="shared" si="32"/>
        <v>3767.8110000000001</v>
      </c>
      <c r="AX158">
        <f t="shared" si="33"/>
        <v>0</v>
      </c>
      <c r="AY158">
        <f t="shared" si="34"/>
        <v>3698.7689999999998</v>
      </c>
      <c r="AZ158">
        <f t="shared" si="35"/>
        <v>69.042000000000002</v>
      </c>
      <c r="BA158">
        <f t="shared" si="36"/>
        <v>0</v>
      </c>
      <c r="BB158">
        <f t="shared" si="37"/>
        <v>0</v>
      </c>
      <c r="BC158">
        <f t="shared" si="38"/>
        <v>0</v>
      </c>
      <c r="BD158">
        <f t="shared" si="39"/>
        <v>934.03599999999994</v>
      </c>
      <c r="BE158">
        <f t="shared" si="40"/>
        <v>0</v>
      </c>
      <c r="BF158">
        <f t="shared" si="41"/>
        <v>4701.8469999999998</v>
      </c>
      <c r="BG158" s="3" t="str">
        <f t="shared" si="42"/>
        <v>PF2</v>
      </c>
      <c r="BH158" s="7" t="str">
        <f t="shared" si="43"/>
        <v>Numéraire et dépôts</v>
      </c>
    </row>
    <row r="159" spans="1:60" ht="12.75" customHeight="1" x14ac:dyDescent="0.2">
      <c r="A159" s="2" t="s">
        <v>159</v>
      </c>
      <c r="B159" s="3" t="s">
        <v>108</v>
      </c>
      <c r="C159" s="67">
        <v>2867.0839999999998</v>
      </c>
      <c r="D159" s="78">
        <v>68.034000000000006</v>
      </c>
      <c r="E159" s="78">
        <v>2696.3960000000002</v>
      </c>
      <c r="F159" s="78">
        <v>48.555</v>
      </c>
      <c r="G159" s="78">
        <v>49.603999999999999</v>
      </c>
      <c r="H159" s="78">
        <v>4.4950000000000001</v>
      </c>
      <c r="I159" s="78">
        <v>0</v>
      </c>
      <c r="J159" s="78">
        <v>1510.191</v>
      </c>
      <c r="K159" s="78">
        <v>0</v>
      </c>
      <c r="L159" s="67">
        <v>4377.2749999999996</v>
      </c>
      <c r="M159" s="80"/>
      <c r="N159" s="67">
        <v>4377.2749999999996</v>
      </c>
      <c r="O159" s="78">
        <v>0</v>
      </c>
      <c r="P159" s="78">
        <v>1601.201</v>
      </c>
      <c r="Q159" s="78">
        <v>0</v>
      </c>
      <c r="R159" s="78">
        <v>4.1000000000000002E-2</v>
      </c>
      <c r="S159" s="78">
        <v>0</v>
      </c>
      <c r="T159" s="78">
        <v>1027.655</v>
      </c>
      <c r="U159" s="78">
        <v>1448.461</v>
      </c>
      <c r="V159" s="78">
        <v>299.91800000000001</v>
      </c>
      <c r="W159" s="67">
        <v>2776.0740000000001</v>
      </c>
      <c r="X159" s="3" t="s">
        <v>211</v>
      </c>
      <c r="Y159" s="7" t="s">
        <v>108</v>
      </c>
      <c r="AW159">
        <f t="shared" si="32"/>
        <v>2776.0740000000001</v>
      </c>
      <c r="AX159">
        <f t="shared" si="33"/>
        <v>299.91800000000001</v>
      </c>
      <c r="AY159">
        <f t="shared" si="34"/>
        <v>1448.461</v>
      </c>
      <c r="AZ159">
        <f t="shared" si="35"/>
        <v>1027.655</v>
      </c>
      <c r="BA159">
        <f t="shared" si="36"/>
        <v>0</v>
      </c>
      <c r="BB159">
        <f t="shared" si="37"/>
        <v>4.1000000000000002E-2</v>
      </c>
      <c r="BC159">
        <f t="shared" si="38"/>
        <v>0</v>
      </c>
      <c r="BD159">
        <f t="shared" si="39"/>
        <v>1601.201</v>
      </c>
      <c r="BE159">
        <f t="shared" si="40"/>
        <v>0</v>
      </c>
      <c r="BF159">
        <f t="shared" si="41"/>
        <v>4377.2749999999996</v>
      </c>
      <c r="BG159" s="3" t="str">
        <f t="shared" si="42"/>
        <v>PF3</v>
      </c>
      <c r="BH159" s="7" t="str">
        <f t="shared" si="43"/>
        <v>Titres autres qu'actions</v>
      </c>
    </row>
    <row r="160" spans="1:60" ht="12.75" customHeight="1" x14ac:dyDescent="0.2">
      <c r="A160" s="2" t="s">
        <v>160</v>
      </c>
      <c r="B160" s="3" t="s">
        <v>110</v>
      </c>
      <c r="C160" s="67">
        <v>2657.5140000000001</v>
      </c>
      <c r="D160" s="78">
        <v>632.81700000000001</v>
      </c>
      <c r="E160" s="78">
        <v>1957.7919999999999</v>
      </c>
      <c r="F160" s="78">
        <v>44.988</v>
      </c>
      <c r="G160" s="78">
        <v>21.917000000000002</v>
      </c>
      <c r="H160" s="78">
        <v>0</v>
      </c>
      <c r="I160" s="78">
        <v>0</v>
      </c>
      <c r="J160" s="78">
        <v>338.46499999999997</v>
      </c>
      <c r="K160" s="78">
        <v>0</v>
      </c>
      <c r="L160" s="67">
        <v>2995.9780000000001</v>
      </c>
      <c r="M160" s="80"/>
      <c r="N160" s="67">
        <v>2995.9780000000001</v>
      </c>
      <c r="O160" s="78">
        <v>0</v>
      </c>
      <c r="P160" s="78">
        <v>395.31599999999997</v>
      </c>
      <c r="Q160" s="78">
        <v>0</v>
      </c>
      <c r="R160" s="78">
        <v>11.831</v>
      </c>
      <c r="S160" s="78">
        <v>807.91399999999999</v>
      </c>
      <c r="T160" s="78">
        <v>187.953</v>
      </c>
      <c r="U160" s="78">
        <v>253.28200000000001</v>
      </c>
      <c r="V160" s="78">
        <v>1339.682</v>
      </c>
      <c r="W160" s="67">
        <v>2600.6619999999998</v>
      </c>
      <c r="X160" s="3" t="s">
        <v>212</v>
      </c>
      <c r="Y160" s="7" t="s">
        <v>110</v>
      </c>
      <c r="AW160">
        <f t="shared" si="32"/>
        <v>2600.6619999999998</v>
      </c>
      <c r="AX160">
        <f t="shared" si="33"/>
        <v>1339.682</v>
      </c>
      <c r="AY160">
        <f t="shared" si="34"/>
        <v>253.28200000000001</v>
      </c>
      <c r="AZ160">
        <f t="shared" si="35"/>
        <v>187.953</v>
      </c>
      <c r="BA160">
        <f t="shared" si="36"/>
        <v>807.91399999999999</v>
      </c>
      <c r="BB160">
        <f t="shared" si="37"/>
        <v>11.831</v>
      </c>
      <c r="BC160">
        <f t="shared" si="38"/>
        <v>0</v>
      </c>
      <c r="BD160">
        <f t="shared" si="39"/>
        <v>395.31599999999997</v>
      </c>
      <c r="BE160">
        <f t="shared" si="40"/>
        <v>0</v>
      </c>
      <c r="BF160">
        <f t="shared" si="41"/>
        <v>2995.9780000000001</v>
      </c>
      <c r="BG160" s="3" t="str">
        <f t="shared" si="42"/>
        <v>PF4</v>
      </c>
      <c r="BH160" s="7" t="str">
        <f t="shared" si="43"/>
        <v>Crédits</v>
      </c>
    </row>
    <row r="161" spans="1:60" ht="12.75" customHeight="1" x14ac:dyDescent="0.2">
      <c r="A161" s="2" t="s">
        <v>161</v>
      </c>
      <c r="B161" s="3" t="s">
        <v>162</v>
      </c>
      <c r="C161" s="67">
        <v>6740.2619999999997</v>
      </c>
      <c r="D161" s="78">
        <v>2881.6350000000002</v>
      </c>
      <c r="E161" s="78">
        <v>2398.11</v>
      </c>
      <c r="F161" s="78">
        <v>397.02699999999999</v>
      </c>
      <c r="G161" s="78">
        <v>1035.21</v>
      </c>
      <c r="H161" s="78">
        <v>28.280999999999999</v>
      </c>
      <c r="I161" s="78">
        <v>0</v>
      </c>
      <c r="J161" s="78">
        <v>1362.771</v>
      </c>
      <c r="K161" s="78">
        <v>0</v>
      </c>
      <c r="L161" s="67">
        <v>8103.0330000000004</v>
      </c>
      <c r="M161" s="80"/>
      <c r="N161" s="67">
        <v>8103.0330000000004</v>
      </c>
      <c r="O161" s="78">
        <v>0</v>
      </c>
      <c r="P161" s="78">
        <v>1536.9680000000001</v>
      </c>
      <c r="Q161" s="78">
        <v>0</v>
      </c>
      <c r="R161" s="78">
        <v>5.1580000000000004</v>
      </c>
      <c r="S161" s="78">
        <v>0</v>
      </c>
      <c r="T161" s="78">
        <v>0</v>
      </c>
      <c r="U161" s="78">
        <v>2250.0140000000001</v>
      </c>
      <c r="V161" s="78">
        <v>4310.893</v>
      </c>
      <c r="W161" s="67">
        <v>6566.0649999999996</v>
      </c>
      <c r="X161" s="3" t="s">
        <v>213</v>
      </c>
      <c r="Y161" s="7" t="s">
        <v>162</v>
      </c>
      <c r="AW161">
        <f t="shared" si="32"/>
        <v>6566.0649999999996</v>
      </c>
      <c r="AX161">
        <f t="shared" si="33"/>
        <v>4310.893</v>
      </c>
      <c r="AY161">
        <f t="shared" si="34"/>
        <v>2250.0140000000001</v>
      </c>
      <c r="AZ161">
        <f t="shared" si="35"/>
        <v>0</v>
      </c>
      <c r="BA161">
        <f t="shared" si="36"/>
        <v>0</v>
      </c>
      <c r="BB161">
        <f t="shared" si="37"/>
        <v>5.1580000000000004</v>
      </c>
      <c r="BC161">
        <f t="shared" si="38"/>
        <v>0</v>
      </c>
      <c r="BD161">
        <f t="shared" si="39"/>
        <v>1536.9680000000001</v>
      </c>
      <c r="BE161">
        <f t="shared" si="40"/>
        <v>0</v>
      </c>
      <c r="BF161">
        <f t="shared" si="41"/>
        <v>8103.0330000000004</v>
      </c>
      <c r="BG161" s="3" t="str">
        <f t="shared" si="42"/>
        <v>PF5</v>
      </c>
      <c r="BH161" s="7" t="str">
        <f t="shared" si="43"/>
        <v>Actions et autres participations</v>
      </c>
    </row>
    <row r="162" spans="1:60" ht="12.75" customHeight="1" x14ac:dyDescent="0.2">
      <c r="A162" s="2" t="s">
        <v>163</v>
      </c>
      <c r="B162" s="3" t="s">
        <v>114</v>
      </c>
      <c r="C162" s="67">
        <v>1289.42</v>
      </c>
      <c r="D162" s="78">
        <v>43.655999999999999</v>
      </c>
      <c r="E162" s="78">
        <v>61.359000000000002</v>
      </c>
      <c r="F162" s="78">
        <v>1.06</v>
      </c>
      <c r="G162" s="78">
        <v>1183.261</v>
      </c>
      <c r="H162" s="78">
        <v>8.4000000000000005E-2</v>
      </c>
      <c r="I162" s="78">
        <v>0</v>
      </c>
      <c r="J162" s="78">
        <v>9.1470000000000002</v>
      </c>
      <c r="K162" s="78">
        <v>0</v>
      </c>
      <c r="L162" s="67">
        <v>1298.567</v>
      </c>
      <c r="M162" s="80"/>
      <c r="N162" s="67">
        <v>1298.567</v>
      </c>
      <c r="O162" s="78">
        <v>0</v>
      </c>
      <c r="P162" s="78">
        <v>0</v>
      </c>
      <c r="Q162" s="78">
        <v>0</v>
      </c>
      <c r="R162" s="78">
        <v>0</v>
      </c>
      <c r="S162" s="78">
        <v>0</v>
      </c>
      <c r="T162" s="78">
        <v>0</v>
      </c>
      <c r="U162" s="78">
        <v>1298.567</v>
      </c>
      <c r="V162" s="78">
        <v>0</v>
      </c>
      <c r="W162" s="67">
        <v>1298.567</v>
      </c>
      <c r="X162" s="3" t="s">
        <v>214</v>
      </c>
      <c r="Y162" s="7" t="s">
        <v>114</v>
      </c>
      <c r="AW162">
        <f t="shared" si="32"/>
        <v>1298.567</v>
      </c>
      <c r="AX162">
        <f t="shared" si="33"/>
        <v>0</v>
      </c>
      <c r="AY162">
        <f t="shared" si="34"/>
        <v>1298.567</v>
      </c>
      <c r="AZ162">
        <f t="shared" si="35"/>
        <v>0</v>
      </c>
      <c r="BA162">
        <f t="shared" si="36"/>
        <v>0</v>
      </c>
      <c r="BB162">
        <f t="shared" si="37"/>
        <v>0</v>
      </c>
      <c r="BC162">
        <f t="shared" si="38"/>
        <v>0</v>
      </c>
      <c r="BD162">
        <f t="shared" si="39"/>
        <v>0</v>
      </c>
      <c r="BE162">
        <f t="shared" si="40"/>
        <v>0</v>
      </c>
      <c r="BF162">
        <f t="shared" si="41"/>
        <v>1298.567</v>
      </c>
      <c r="BG162" s="3" t="str">
        <f t="shared" si="42"/>
        <v>PF6</v>
      </c>
      <c r="BH162" s="7" t="str">
        <f t="shared" si="43"/>
        <v>Provisions techniques d'assurance</v>
      </c>
    </row>
    <row r="163" spans="1:60" ht="12.75" customHeight="1" x14ac:dyDescent="0.2">
      <c r="A163" s="2" t="s">
        <v>164</v>
      </c>
      <c r="B163" s="3" t="s">
        <v>173</v>
      </c>
      <c r="C163" s="67">
        <v>1543.732</v>
      </c>
      <c r="D163" s="78">
        <v>883.08500000000004</v>
      </c>
      <c r="E163" s="78">
        <v>297.77999999999997</v>
      </c>
      <c r="F163" s="78">
        <v>204.154</v>
      </c>
      <c r="G163" s="78">
        <v>158.71299999999999</v>
      </c>
      <c r="H163" s="78">
        <v>0</v>
      </c>
      <c r="I163" s="78">
        <v>0</v>
      </c>
      <c r="J163" s="78">
        <v>170.24799999999999</v>
      </c>
      <c r="K163" s="78">
        <v>0</v>
      </c>
      <c r="L163" s="67">
        <v>1713.98</v>
      </c>
      <c r="M163" s="80"/>
      <c r="N163" s="67">
        <v>1713.98</v>
      </c>
      <c r="O163" s="78">
        <v>0</v>
      </c>
      <c r="P163" s="78">
        <v>188.572</v>
      </c>
      <c r="Q163" s="78">
        <v>0</v>
      </c>
      <c r="R163" s="78">
        <v>0</v>
      </c>
      <c r="S163" s="78">
        <v>171.08699999999999</v>
      </c>
      <c r="T163" s="78">
        <v>189.38399999999999</v>
      </c>
      <c r="U163" s="78">
        <v>351.97199999999998</v>
      </c>
      <c r="V163" s="78">
        <v>812.96600000000001</v>
      </c>
      <c r="W163" s="67">
        <v>1525.4090000000001</v>
      </c>
      <c r="X163" s="3" t="s">
        <v>215</v>
      </c>
      <c r="Y163" s="7" t="s">
        <v>172</v>
      </c>
      <c r="AW163">
        <f t="shared" si="32"/>
        <v>1525.4090000000001</v>
      </c>
      <c r="AX163">
        <f t="shared" si="33"/>
        <v>812.96600000000001</v>
      </c>
      <c r="AY163">
        <f t="shared" si="34"/>
        <v>351.97199999999998</v>
      </c>
      <c r="AZ163">
        <f t="shared" si="35"/>
        <v>189.38399999999999</v>
      </c>
      <c r="BA163">
        <f t="shared" si="36"/>
        <v>171.08699999999999</v>
      </c>
      <c r="BB163">
        <f t="shared" si="37"/>
        <v>0</v>
      </c>
      <c r="BC163">
        <f t="shared" si="38"/>
        <v>0</v>
      </c>
      <c r="BD163">
        <f t="shared" si="39"/>
        <v>188.572</v>
      </c>
      <c r="BE163">
        <f t="shared" si="40"/>
        <v>0</v>
      </c>
      <c r="BF163">
        <f t="shared" si="41"/>
        <v>1713.98</v>
      </c>
      <c r="BG163" s="3" t="str">
        <f t="shared" si="42"/>
        <v>PF7</v>
      </c>
      <c r="BH163" s="7" t="str">
        <f t="shared" si="43"/>
        <v xml:space="preserve">Autres comptes à recevoir </v>
      </c>
    </row>
    <row r="164" spans="1:60" ht="12.75" customHeight="1" x14ac:dyDescent="0.2">
      <c r="A164" s="2"/>
      <c r="B164" s="1"/>
      <c r="C164" s="67"/>
      <c r="D164" s="78"/>
      <c r="E164" s="78"/>
      <c r="F164" s="78"/>
      <c r="G164" s="78"/>
      <c r="H164" s="78"/>
      <c r="I164" s="78"/>
      <c r="J164" s="78"/>
      <c r="K164" s="78"/>
      <c r="L164" s="67"/>
      <c r="M164" s="80"/>
      <c r="N164" s="67">
        <v>11363.29</v>
      </c>
      <c r="O164" s="67">
        <v>0</v>
      </c>
      <c r="P164" s="67">
        <v>53.398999999999432</v>
      </c>
      <c r="Q164" s="67">
        <v>0</v>
      </c>
      <c r="R164" s="67">
        <v>85.278999999999996</v>
      </c>
      <c r="S164" s="67">
        <v>8890.6460000000006</v>
      </c>
      <c r="T164" s="67">
        <v>701.5319999999997</v>
      </c>
      <c r="U164" s="67">
        <v>382.33500000000095</v>
      </c>
      <c r="V164" s="67">
        <v>1250.0990000000011</v>
      </c>
      <c r="W164" s="67">
        <v>11309.891</v>
      </c>
      <c r="X164" s="4" t="s">
        <v>169</v>
      </c>
      <c r="Y164" s="4" t="s">
        <v>170</v>
      </c>
      <c r="AW164">
        <f t="shared" si="32"/>
        <v>11309.891</v>
      </c>
      <c r="AX164">
        <f t="shared" si="33"/>
        <v>1250.0990000000011</v>
      </c>
      <c r="AY164">
        <f t="shared" si="34"/>
        <v>382.33500000000095</v>
      </c>
      <c r="AZ164">
        <f t="shared" si="35"/>
        <v>701.5319999999997</v>
      </c>
      <c r="BA164">
        <f t="shared" si="36"/>
        <v>8890.6460000000006</v>
      </c>
      <c r="BB164">
        <f t="shared" si="37"/>
        <v>85.278999999999996</v>
      </c>
      <c r="BC164">
        <f t="shared" si="38"/>
        <v>0</v>
      </c>
      <c r="BD164">
        <f t="shared" si="39"/>
        <v>53.398999999999432</v>
      </c>
      <c r="BE164">
        <f t="shared" si="40"/>
        <v>0</v>
      </c>
      <c r="BF164">
        <f t="shared" si="41"/>
        <v>11363.29</v>
      </c>
      <c r="BG164" s="4" t="str">
        <f t="shared" si="42"/>
        <v>B90</v>
      </c>
      <c r="BH164" s="4" t="str">
        <f t="shared" si="43"/>
        <v>Valeur nette / Patrimoine</v>
      </c>
    </row>
    <row r="165" spans="1:60" ht="12.75" customHeight="1" x14ac:dyDescent="0.2">
      <c r="A165" s="2"/>
      <c r="B165" s="1"/>
      <c r="C165" s="67"/>
      <c r="D165" s="78"/>
      <c r="E165" s="78"/>
      <c r="F165" s="78"/>
      <c r="G165" s="78"/>
      <c r="H165" s="78"/>
      <c r="I165" s="78"/>
      <c r="J165" s="78"/>
      <c r="K165" s="78"/>
      <c r="L165" s="67"/>
      <c r="M165" s="80"/>
      <c r="N165" s="67">
        <v>19466.322999999997</v>
      </c>
      <c r="O165" s="67">
        <v>0</v>
      </c>
      <c r="P165" s="67">
        <v>1590.3669999999995</v>
      </c>
      <c r="Q165" s="67">
        <v>0</v>
      </c>
      <c r="R165" s="67">
        <v>90.436999999999998</v>
      </c>
      <c r="S165" s="67">
        <v>8890.6460000000006</v>
      </c>
      <c r="T165" s="67">
        <v>701.5319999999997</v>
      </c>
      <c r="U165" s="67">
        <v>2632.3490000000011</v>
      </c>
      <c r="V165" s="67">
        <v>5560.9920000000011</v>
      </c>
      <c r="W165" s="67">
        <v>17875.955999999998</v>
      </c>
      <c r="X165" s="4" t="s">
        <v>230</v>
      </c>
      <c r="Y165" s="4" t="s">
        <v>231</v>
      </c>
      <c r="AW165">
        <f t="shared" si="32"/>
        <v>17875.955999999998</v>
      </c>
      <c r="AX165">
        <f t="shared" si="33"/>
        <v>5560.9920000000011</v>
      </c>
      <c r="AY165">
        <f t="shared" si="34"/>
        <v>2632.3490000000011</v>
      </c>
      <c r="AZ165">
        <f t="shared" si="35"/>
        <v>701.5319999999997</v>
      </c>
      <c r="BA165">
        <f t="shared" si="36"/>
        <v>8890.6460000000006</v>
      </c>
      <c r="BB165">
        <f t="shared" si="37"/>
        <v>90.436999999999998</v>
      </c>
      <c r="BC165">
        <f t="shared" si="38"/>
        <v>0</v>
      </c>
      <c r="BD165">
        <f t="shared" si="39"/>
        <v>1590.3669999999995</v>
      </c>
      <c r="BE165">
        <f t="shared" si="40"/>
        <v>0</v>
      </c>
      <c r="BF165">
        <f t="shared" si="41"/>
        <v>19466.322999999997</v>
      </c>
      <c r="BG165" s="4" t="str">
        <f t="shared" si="42"/>
        <v>B90 + PF5</v>
      </c>
      <c r="BH165" s="4" t="str">
        <f t="shared" si="43"/>
        <v>Fonds propres</v>
      </c>
    </row>
    <row r="166" spans="1:60" ht="12.75" customHeight="1" x14ac:dyDescent="0.2">
      <c r="A166" s="85"/>
      <c r="B166" s="63" t="s">
        <v>167</v>
      </c>
      <c r="C166" s="69">
        <v>29844.478999999999</v>
      </c>
      <c r="D166" s="69">
        <v>8013.5580000000009</v>
      </c>
      <c r="E166" s="69">
        <v>9683.4</v>
      </c>
      <c r="F166" s="69">
        <v>2175.5659999999998</v>
      </c>
      <c r="G166" s="69">
        <v>9869.6470000000008</v>
      </c>
      <c r="H166" s="69">
        <v>102.309</v>
      </c>
      <c r="I166" s="69">
        <v>0</v>
      </c>
      <c r="J166" s="69">
        <v>4752.3999999999996</v>
      </c>
      <c r="K166" s="69">
        <v>0</v>
      </c>
      <c r="L166" s="69">
        <v>34596.877999999997</v>
      </c>
      <c r="M166" s="80"/>
      <c r="N166" s="69">
        <v>34596.877999999997</v>
      </c>
      <c r="O166" s="69">
        <v>0</v>
      </c>
      <c r="P166" s="69">
        <v>4752.3999999999996</v>
      </c>
      <c r="Q166" s="69">
        <v>0</v>
      </c>
      <c r="R166" s="69">
        <v>102.309</v>
      </c>
      <c r="S166" s="69">
        <v>9869.6470000000008</v>
      </c>
      <c r="T166" s="69">
        <v>2175.5659999999998</v>
      </c>
      <c r="U166" s="69">
        <v>9683.4</v>
      </c>
      <c r="V166" s="69">
        <v>8013.5580000000009</v>
      </c>
      <c r="W166" s="69">
        <v>29844.478999999999</v>
      </c>
      <c r="X166" s="63"/>
      <c r="Y166" s="64" t="s">
        <v>171</v>
      </c>
      <c r="AW166">
        <f t="shared" si="32"/>
        <v>29844.478999999999</v>
      </c>
      <c r="AX166">
        <f t="shared" si="33"/>
        <v>8013.5580000000009</v>
      </c>
      <c r="AY166">
        <f t="shared" si="34"/>
        <v>9683.4</v>
      </c>
      <c r="AZ166">
        <f t="shared" si="35"/>
        <v>2175.5659999999998</v>
      </c>
      <c r="BA166">
        <f t="shared" si="36"/>
        <v>9869.6470000000008</v>
      </c>
      <c r="BB166">
        <f t="shared" si="37"/>
        <v>102.309</v>
      </c>
      <c r="BC166">
        <f t="shared" si="38"/>
        <v>0</v>
      </c>
      <c r="BD166">
        <f t="shared" si="39"/>
        <v>4752.3999999999996</v>
      </c>
      <c r="BE166">
        <f t="shared" si="40"/>
        <v>0</v>
      </c>
      <c r="BF166">
        <f t="shared" si="41"/>
        <v>34596.877999999997</v>
      </c>
      <c r="BG166" s="63">
        <f t="shared" si="42"/>
        <v>0</v>
      </c>
      <c r="BH166" s="64" t="str">
        <f t="shared" si="43"/>
        <v>Total des passifs et valeur nette</v>
      </c>
    </row>
    <row r="167" spans="1:60" ht="12.75" customHeight="1" x14ac:dyDescent="0.2"/>
    <row r="168" spans="1:60" ht="12.75" customHeight="1" x14ac:dyDescent="0.2">
      <c r="B168" s="2" t="s">
        <v>244</v>
      </c>
    </row>
    <row r="169" spans="1:60" ht="12.75" customHeight="1" x14ac:dyDescent="0.2">
      <c r="B169" s="2"/>
    </row>
    <row r="170" spans="1:60" ht="12.75" customHeight="1" x14ac:dyDescent="0.2">
      <c r="B170" s="17" t="s">
        <v>521</v>
      </c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97">
        <f>SUM(P10,P24,P38,P26,P49,P52:P53)</f>
        <v>944.94</v>
      </c>
      <c r="Q170" s="17"/>
      <c r="R170" s="17"/>
      <c r="S170" s="97">
        <f>SUM(S24,S35:S36,S38,S52:S53)</f>
        <v>1802.0959999999998</v>
      </c>
      <c r="T170" s="97">
        <f>SUM(T11,T26,T38,T48:T49,U49:V49,T53,S49)</f>
        <v>1706.289</v>
      </c>
      <c r="U170" s="97">
        <f>SUM(U11,U38,U53)</f>
        <v>483.59899999999999</v>
      </c>
      <c r="V170" s="97">
        <f>SUM(V11,V38)</f>
        <v>3283.45</v>
      </c>
      <c r="W170" s="97"/>
      <c r="X170" s="17"/>
      <c r="Y170" s="17" t="s">
        <v>520</v>
      </c>
    </row>
    <row r="171" spans="1:60" ht="12.75" customHeight="1" x14ac:dyDescent="0.2">
      <c r="B171" s="91"/>
      <c r="V171" s="80"/>
    </row>
    <row r="172" spans="1:60" ht="12.75" customHeight="1" x14ac:dyDescent="0.2">
      <c r="B172" s="91" t="s">
        <v>518</v>
      </c>
      <c r="C172">
        <f>-C88/C148</f>
        <v>4.2044730281937177E-2</v>
      </c>
      <c r="D172">
        <f t="shared" ref="D172:L172" si="44">-D88/D148</f>
        <v>8.0731311787142268E-2</v>
      </c>
      <c r="E172">
        <f t="shared" si="44"/>
        <v>8.6469294594902435E-2</v>
      </c>
      <c r="F172">
        <f t="shared" si="44"/>
        <v>5.2230714789494204E-2</v>
      </c>
      <c r="G172">
        <f t="shared" si="44"/>
        <v>1.4879151687255999E-2</v>
      </c>
      <c r="H172">
        <f t="shared" si="44"/>
        <v>9.8593964334705075E-2</v>
      </c>
      <c r="I172" t="e">
        <f t="shared" si="44"/>
        <v>#DIV/0!</v>
      </c>
      <c r="J172" t="e">
        <f t="shared" si="44"/>
        <v>#DIV/0!</v>
      </c>
      <c r="K172" t="e">
        <f t="shared" si="44"/>
        <v>#DIV/0!</v>
      </c>
      <c r="L172">
        <f t="shared" si="44"/>
        <v>4.2044730281937177E-2</v>
      </c>
    </row>
    <row r="173" spans="1:60" ht="12.75" customHeight="1" x14ac:dyDescent="0.2">
      <c r="B173" s="91" t="s">
        <v>519</v>
      </c>
      <c r="C173">
        <f>C48/C45</f>
        <v>0.12573711822767922</v>
      </c>
      <c r="D173">
        <f t="shared" ref="D173:L173" si="45">D48/D45</f>
        <v>0.12847733269239597</v>
      </c>
      <c r="E173">
        <f t="shared" si="45"/>
        <v>0.40541471818853064</v>
      </c>
      <c r="F173">
        <f t="shared" si="45"/>
        <v>2.0373430065716736E-4</v>
      </c>
      <c r="G173">
        <f>G48/G45</f>
        <v>0.14896279116523539</v>
      </c>
      <c r="H173">
        <f t="shared" si="45"/>
        <v>0</v>
      </c>
      <c r="I173" t="e">
        <f t="shared" si="45"/>
        <v>#DIV/0!</v>
      </c>
      <c r="J173" t="e">
        <f t="shared" si="45"/>
        <v>#DIV/0!</v>
      </c>
      <c r="K173" t="e">
        <f t="shared" si="45"/>
        <v>#DIV/0!</v>
      </c>
      <c r="L173">
        <f t="shared" si="45"/>
        <v>0.12792231758846523</v>
      </c>
    </row>
    <row r="174" spans="1:60" ht="12.75" customHeight="1" x14ac:dyDescent="0.2"/>
    <row r="175" spans="1:60" ht="12.75" customHeight="1" x14ac:dyDescent="0.2">
      <c r="A175" s="2" t="str">
        <f>A$39</f>
        <v>D41</v>
      </c>
      <c r="B175" s="245" t="str">
        <f t="shared" ref="B175:Y175" si="46">B$39</f>
        <v xml:space="preserve">  Intérêts</v>
      </c>
      <c r="C175" s="67">
        <f t="shared" si="46"/>
        <v>228.934</v>
      </c>
      <c r="D175" s="78">
        <f t="shared" si="46"/>
        <v>62.944000000000003</v>
      </c>
      <c r="E175" s="78">
        <f t="shared" si="46"/>
        <v>115.279</v>
      </c>
      <c r="F175" s="78">
        <f t="shared" si="46"/>
        <v>35.985999999999997</v>
      </c>
      <c r="G175" s="78">
        <f t="shared" si="46"/>
        <v>14.598000000000001</v>
      </c>
      <c r="H175" s="78">
        <f t="shared" si="46"/>
        <v>0.127</v>
      </c>
      <c r="I175" s="78">
        <f t="shared" si="46"/>
        <v>0</v>
      </c>
      <c r="J175" s="78">
        <f t="shared" si="46"/>
        <v>65.082999999999998</v>
      </c>
      <c r="K175" s="78">
        <f t="shared" si="46"/>
        <v>0</v>
      </c>
      <c r="L175" s="67">
        <f t="shared" si="46"/>
        <v>294.017</v>
      </c>
      <c r="M175" s="80">
        <f t="shared" si="46"/>
        <v>0</v>
      </c>
      <c r="N175" s="67">
        <f t="shared" si="46"/>
        <v>294.017</v>
      </c>
      <c r="O175" s="78">
        <f t="shared" si="46"/>
        <v>0</v>
      </c>
      <c r="P175" s="68">
        <f t="shared" si="46"/>
        <v>73.554000000000002</v>
      </c>
      <c r="Q175" s="68">
        <f t="shared" si="46"/>
        <v>0</v>
      </c>
      <c r="R175" s="68">
        <f t="shared" si="46"/>
        <v>0.74199999999999999</v>
      </c>
      <c r="S175" s="68">
        <f t="shared" si="46"/>
        <v>14.336</v>
      </c>
      <c r="T175" s="68">
        <f t="shared" si="46"/>
        <v>2.8919999999999999</v>
      </c>
      <c r="U175" s="68">
        <f t="shared" si="46"/>
        <v>153.08099999999999</v>
      </c>
      <c r="V175" s="68">
        <f t="shared" si="46"/>
        <v>49.411999999999999</v>
      </c>
      <c r="W175" s="67">
        <f t="shared" si="46"/>
        <v>220.46299999999999</v>
      </c>
      <c r="X175" s="2" t="str">
        <f t="shared" si="46"/>
        <v>D41</v>
      </c>
      <c r="Y175" s="31" t="str">
        <f t="shared" si="46"/>
        <v xml:space="preserve">  Intérêts</v>
      </c>
    </row>
    <row r="176" spans="1:60" ht="12.75" customHeight="1" x14ac:dyDescent="0.2">
      <c r="A176" s="2"/>
      <c r="B176" s="2"/>
      <c r="C176" s="67"/>
      <c r="D176" s="78"/>
      <c r="E176" s="78"/>
      <c r="F176" s="78"/>
      <c r="G176" s="78"/>
      <c r="H176" s="78"/>
      <c r="I176" s="78"/>
      <c r="J176" s="78"/>
      <c r="K176" s="78"/>
      <c r="L176" s="67"/>
      <c r="M176" s="80"/>
      <c r="N176" s="67"/>
      <c r="O176" s="78"/>
      <c r="P176" s="68"/>
      <c r="Q176" s="68"/>
      <c r="R176" s="68"/>
      <c r="S176" s="68"/>
      <c r="T176" s="68"/>
      <c r="U176" s="68"/>
      <c r="V176" s="68"/>
      <c r="W176" s="67"/>
      <c r="X176" s="2"/>
      <c r="Y176" s="31"/>
    </row>
    <row r="177" spans="1:24" ht="12.75" customHeight="1" x14ac:dyDescent="0.2">
      <c r="K177" s="17" t="s">
        <v>508</v>
      </c>
      <c r="L177" s="91" t="s">
        <v>509</v>
      </c>
      <c r="M177" s="91" t="s">
        <v>510</v>
      </c>
      <c r="N177" s="91" t="s">
        <v>511</v>
      </c>
      <c r="P177" s="17" t="s">
        <v>513</v>
      </c>
    </row>
    <row r="178" spans="1:24" ht="12.75" customHeight="1" x14ac:dyDescent="0.2">
      <c r="B178" s="2"/>
      <c r="C178" s="17" t="s">
        <v>481</v>
      </c>
      <c r="D178" s="17" t="s">
        <v>482</v>
      </c>
      <c r="E178" s="17" t="s">
        <v>483</v>
      </c>
      <c r="F178" s="17" t="s">
        <v>484</v>
      </c>
      <c r="G178" s="17" t="s">
        <v>485</v>
      </c>
      <c r="H178" s="17" t="s">
        <v>487</v>
      </c>
      <c r="I178" s="219" t="s">
        <v>507</v>
      </c>
      <c r="J178" s="219" t="s">
        <v>490</v>
      </c>
      <c r="K178" s="17"/>
      <c r="L178" t="s">
        <v>158</v>
      </c>
      <c r="M178" t="s">
        <v>159</v>
      </c>
      <c r="N178" t="s">
        <v>160</v>
      </c>
      <c r="P178" s="17"/>
      <c r="Q178" s="219" t="s">
        <v>489</v>
      </c>
      <c r="R178" s="219"/>
      <c r="T178" s="91" t="s">
        <v>522</v>
      </c>
      <c r="U178" s="219"/>
      <c r="V178" s="219"/>
      <c r="X178" s="91" t="s">
        <v>488</v>
      </c>
    </row>
    <row r="179" spans="1:24" ht="12.75" customHeight="1" x14ac:dyDescent="0.2">
      <c r="A179" t="s">
        <v>481</v>
      </c>
      <c r="B179" s="17" t="s">
        <v>8</v>
      </c>
      <c r="C179" s="267">
        <f t="shared" ref="C179:F183" si="47">C201+C224+C253</f>
        <v>10.863193700181066</v>
      </c>
      <c r="D179" s="267">
        <f t="shared" si="47"/>
        <v>3.0834203330530694</v>
      </c>
      <c r="E179" s="267">
        <f t="shared" si="47"/>
        <v>1.1753947706646004</v>
      </c>
      <c r="F179" s="267">
        <f t="shared" si="47"/>
        <v>3.3653216319818351</v>
      </c>
      <c r="G179" s="90">
        <f>I179</f>
        <v>49.411999999999999</v>
      </c>
      <c r="H179" s="253">
        <f>SUM(C179:G179)</f>
        <v>67.899330435880572</v>
      </c>
      <c r="I179" s="93">
        <f>V175</f>
        <v>49.411999999999999</v>
      </c>
      <c r="J179" s="276">
        <f t="shared" ref="J179:J184" si="48">H179-I179</f>
        <v>18.487330435880573</v>
      </c>
      <c r="K179" s="253">
        <f t="shared" ref="K179:K185" si="49">SUM(L179:N179)</f>
        <v>944.87100000000009</v>
      </c>
      <c r="L179" s="254">
        <f>$D158</f>
        <v>244.02</v>
      </c>
      <c r="M179" s="254">
        <f>$D159</f>
        <v>68.034000000000006</v>
      </c>
      <c r="N179" s="254">
        <f>$D160</f>
        <v>632.81700000000001</v>
      </c>
      <c r="P179" s="257">
        <f t="shared" ref="P179:P184" si="50">I179/K179</f>
        <v>5.2294969366188604E-2</v>
      </c>
      <c r="Q179" s="263">
        <f t="shared" ref="Q179:Q184" si="51">H179/K179</f>
        <v>7.1860952908789202E-2</v>
      </c>
      <c r="R179" s="259">
        <f t="shared" ref="R179:R184" si="52">P179-Q179</f>
        <v>-1.9565983542600598E-2</v>
      </c>
      <c r="T179" s="252">
        <f t="shared" ref="T179:T184" si="53">I179</f>
        <v>49.411999999999999</v>
      </c>
      <c r="U179" s="278"/>
      <c r="V179" s="219"/>
      <c r="X179">
        <f t="array" ref="X179:X183">H179:H183-TRANSPOSE(C184:G184)</f>
        <v>4.9553304358805548</v>
      </c>
    </row>
    <row r="180" spans="1:24" ht="12.75" customHeight="1" x14ac:dyDescent="0.2">
      <c r="A180" t="s">
        <v>482</v>
      </c>
      <c r="B180" s="17" t="s">
        <v>11</v>
      </c>
      <c r="C180" s="267">
        <f t="shared" si="47"/>
        <v>1.3283812146983409</v>
      </c>
      <c r="D180" s="267">
        <f t="shared" si="47"/>
        <v>0.10679125788264873</v>
      </c>
      <c r="E180" s="267">
        <f t="shared" si="47"/>
        <v>0.5933716234879941</v>
      </c>
      <c r="F180" s="267">
        <f t="shared" si="47"/>
        <v>0.1743878176001831</v>
      </c>
      <c r="G180" s="90">
        <f>I180</f>
        <v>14.336</v>
      </c>
      <c r="H180" s="253">
        <f>SUM(C180:G180)</f>
        <v>16.538931913669167</v>
      </c>
      <c r="I180" s="93">
        <f>S175</f>
        <v>14.336</v>
      </c>
      <c r="J180" s="276">
        <f t="shared" si="48"/>
        <v>2.2029319136691665</v>
      </c>
      <c r="K180" s="253">
        <f t="shared" si="49"/>
        <v>1058.4259999999999</v>
      </c>
      <c r="L180" s="254">
        <f>$G158</f>
        <v>986.90499999999997</v>
      </c>
      <c r="M180" s="254">
        <f>$G159</f>
        <v>49.603999999999999</v>
      </c>
      <c r="N180" s="254">
        <f>$G160</f>
        <v>21.917000000000002</v>
      </c>
      <c r="P180" s="257">
        <f t="shared" si="50"/>
        <v>1.3544640815701807E-2</v>
      </c>
      <c r="Q180" s="263">
        <f t="shared" si="51"/>
        <v>1.5625969046177218E-2</v>
      </c>
      <c r="R180" s="259">
        <f t="shared" si="52"/>
        <v>-2.0813282304754117E-3</v>
      </c>
      <c r="T180" s="252">
        <f t="shared" si="53"/>
        <v>14.336</v>
      </c>
      <c r="U180" s="278"/>
      <c r="V180" s="219"/>
      <c r="X180">
        <v>1.9409319136691661</v>
      </c>
    </row>
    <row r="181" spans="1:24" ht="12.75" customHeight="1" x14ac:dyDescent="0.2">
      <c r="A181" t="s">
        <v>483</v>
      </c>
      <c r="B181" s="17" t="s">
        <v>480</v>
      </c>
      <c r="C181" s="267">
        <f t="shared" si="47"/>
        <v>2.8088638893797486</v>
      </c>
      <c r="D181" s="267">
        <f t="shared" si="47"/>
        <v>0.21920541632634943</v>
      </c>
      <c r="E181" s="267">
        <f t="shared" si="47"/>
        <v>8.3560744958904448E-2</v>
      </c>
      <c r="F181" s="267">
        <f t="shared" si="47"/>
        <v>0.13183183502767565</v>
      </c>
      <c r="G181" s="90">
        <f>I181</f>
        <v>3.6339999999999999</v>
      </c>
      <c r="H181" s="253">
        <f>SUM(C181:G181)</f>
        <v>6.8774618856926786</v>
      </c>
      <c r="I181" s="93">
        <f>R175+T175</f>
        <v>3.6339999999999999</v>
      </c>
      <c r="J181" s="276">
        <f t="shared" si="48"/>
        <v>3.2434618856926787</v>
      </c>
      <c r="K181" s="253">
        <f t="shared" si="49"/>
        <v>194.072</v>
      </c>
      <c r="L181" s="254">
        <f>$F158+$H158</f>
        <v>96.033999999999992</v>
      </c>
      <c r="M181" s="254">
        <f>$F159+$H159</f>
        <v>53.05</v>
      </c>
      <c r="N181" s="254">
        <f>$F160+$H160</f>
        <v>44.988</v>
      </c>
      <c r="P181" s="257">
        <f t="shared" si="50"/>
        <v>1.8725009274908281E-2</v>
      </c>
      <c r="Q181" s="263">
        <f t="shared" si="51"/>
        <v>3.5437682332807814E-2</v>
      </c>
      <c r="R181" s="259">
        <f t="shared" si="52"/>
        <v>-1.6712673057899533E-2</v>
      </c>
      <c r="T181" s="252">
        <f t="shared" si="53"/>
        <v>3.6339999999999999</v>
      </c>
      <c r="U181" s="278"/>
      <c r="V181" s="219"/>
      <c r="X181">
        <v>-29.235538114307321</v>
      </c>
    </row>
    <row r="182" spans="1:24" ht="12.75" customHeight="1" x14ac:dyDescent="0.2">
      <c r="A182" s="91" t="s">
        <v>484</v>
      </c>
      <c r="B182" s="17" t="s">
        <v>13</v>
      </c>
      <c r="C182" s="267">
        <f t="shared" si="47"/>
        <v>14.335308382265735</v>
      </c>
      <c r="D182" s="267">
        <f t="shared" si="47"/>
        <v>1.6491811424579412</v>
      </c>
      <c r="E182" s="267">
        <f t="shared" si="47"/>
        <v>28.701189905226627</v>
      </c>
      <c r="F182" s="267">
        <f t="shared" si="47"/>
        <v>0.99183031125282817</v>
      </c>
      <c r="G182" s="90">
        <f>I182</f>
        <v>73.554000000000002</v>
      </c>
      <c r="H182" s="253">
        <f>SUM(C182:G182)</f>
        <v>119.23150974120313</v>
      </c>
      <c r="I182" s="93">
        <f>P175</f>
        <v>73.554000000000002</v>
      </c>
      <c r="J182" s="276">
        <f t="shared" si="48"/>
        <v>45.677509741203124</v>
      </c>
      <c r="K182" s="253">
        <f t="shared" si="49"/>
        <v>3210.2340000000004</v>
      </c>
      <c r="L182" s="254">
        <f>$J158</f>
        <v>1361.578</v>
      </c>
      <c r="M182" s="254">
        <f>$J159</f>
        <v>1510.191</v>
      </c>
      <c r="N182" s="254">
        <f>$J160</f>
        <v>338.46499999999997</v>
      </c>
      <c r="P182" s="257">
        <f t="shared" si="50"/>
        <v>2.2912348445627326E-2</v>
      </c>
      <c r="Q182" s="263">
        <f t="shared" si="51"/>
        <v>3.714106502554116E-2</v>
      </c>
      <c r="R182" s="259">
        <f t="shared" si="52"/>
        <v>-1.4228716579913835E-2</v>
      </c>
      <c r="T182" s="252">
        <f t="shared" si="53"/>
        <v>73.554000000000002</v>
      </c>
      <c r="U182" s="278"/>
      <c r="V182" s="219"/>
      <c r="X182">
        <v>54.148509741203128</v>
      </c>
    </row>
    <row r="183" spans="1:24" ht="12.75" customHeight="1" x14ac:dyDescent="0.2">
      <c r="A183" s="91" t="s">
        <v>485</v>
      </c>
      <c r="B183" s="17" t="s">
        <v>9</v>
      </c>
      <c r="C183" s="267">
        <f t="shared" si="47"/>
        <v>33.608252813475126</v>
      </c>
      <c r="D183" s="267">
        <f t="shared" si="47"/>
        <v>9.539401850279992</v>
      </c>
      <c r="E183" s="267">
        <f t="shared" si="47"/>
        <v>5.559482955661875</v>
      </c>
      <c r="F183" s="267">
        <f t="shared" si="47"/>
        <v>60.419628404137477</v>
      </c>
      <c r="G183" s="90">
        <f>G185-SUM(G179:G182)</f>
        <v>-25.656999999999982</v>
      </c>
      <c r="H183" s="253">
        <f>SUM(C183:G183)</f>
        <v>83.469766023554484</v>
      </c>
      <c r="I183" s="93">
        <f>U175</f>
        <v>153.08099999999999</v>
      </c>
      <c r="J183" s="276">
        <f t="shared" si="48"/>
        <v>-69.611233976445504</v>
      </c>
      <c r="K183" s="253">
        <f t="shared" si="49"/>
        <v>6667.4979999999996</v>
      </c>
      <c r="L183" s="254">
        <f>$E158</f>
        <v>2013.31</v>
      </c>
      <c r="M183" s="254">
        <f>$E159</f>
        <v>2696.3960000000002</v>
      </c>
      <c r="N183" s="254">
        <f>$E160</f>
        <v>1957.7919999999999</v>
      </c>
      <c r="P183" s="257">
        <f t="shared" si="50"/>
        <v>2.2959286976913979E-2</v>
      </c>
      <c r="Q183" s="263">
        <f t="shared" si="51"/>
        <v>1.2518903796229783E-2</v>
      </c>
      <c r="R183" s="259">
        <f t="shared" si="52"/>
        <v>1.0440383180684196E-2</v>
      </c>
      <c r="T183" s="252">
        <f t="shared" si="53"/>
        <v>153.08099999999999</v>
      </c>
      <c r="U183" s="278"/>
      <c r="V183" s="219"/>
      <c r="X183">
        <v>-31.809233976445512</v>
      </c>
    </row>
    <row r="184" spans="1:24" ht="12.75" customHeight="1" x14ac:dyDescent="0.2">
      <c r="B184" s="17" t="s">
        <v>486</v>
      </c>
      <c r="C184" s="253">
        <f t="shared" ref="C184:H184" si="54">SUM(C179:C183)</f>
        <v>62.944000000000017</v>
      </c>
      <c r="D184" s="253">
        <f t="shared" si="54"/>
        <v>14.598000000000001</v>
      </c>
      <c r="E184" s="253">
        <f t="shared" si="54"/>
        <v>36.113</v>
      </c>
      <c r="F184" s="253">
        <f t="shared" si="54"/>
        <v>65.082999999999998</v>
      </c>
      <c r="G184" s="253">
        <f t="shared" si="54"/>
        <v>115.279</v>
      </c>
      <c r="H184" s="253">
        <f t="shared" si="54"/>
        <v>294.01700000000005</v>
      </c>
      <c r="I184" s="93">
        <f>N175</f>
        <v>294.017</v>
      </c>
      <c r="J184" s="93">
        <f t="shared" si="48"/>
        <v>0</v>
      </c>
      <c r="K184" s="253">
        <f t="shared" si="49"/>
        <v>12075.100999999999</v>
      </c>
      <c r="L184" s="252">
        <f>SUM(L179:L183)</f>
        <v>4701.8469999999998</v>
      </c>
      <c r="M184" s="252">
        <f>SUM(M179:M183)</f>
        <v>4377.2749999999996</v>
      </c>
      <c r="N184" s="252">
        <f>SUM(N179:N183)</f>
        <v>2995.9789999999998</v>
      </c>
      <c r="P184" s="257">
        <f t="shared" si="50"/>
        <v>2.4349030289684534E-2</v>
      </c>
      <c r="Q184" s="263">
        <f t="shared" si="51"/>
        <v>2.4349030289684541E-2</v>
      </c>
      <c r="R184" s="259">
        <f t="shared" si="52"/>
        <v>0</v>
      </c>
      <c r="T184" s="252">
        <f t="shared" si="53"/>
        <v>294.017</v>
      </c>
      <c r="U184" s="278"/>
      <c r="V184" s="219"/>
      <c r="X184" s="93">
        <f>SUM(X179:X183)</f>
        <v>0</v>
      </c>
    </row>
    <row r="185" spans="1:24" ht="12.75" customHeight="1" x14ac:dyDescent="0.2">
      <c r="B185" s="219" t="s">
        <v>506</v>
      </c>
      <c r="C185" s="93">
        <f>D175</f>
        <v>62.944000000000003</v>
      </c>
      <c r="D185" s="93">
        <f>G175</f>
        <v>14.598000000000001</v>
      </c>
      <c r="E185" s="93">
        <f>F175+H175</f>
        <v>36.113</v>
      </c>
      <c r="F185" s="93">
        <f>J175</f>
        <v>65.082999999999998</v>
      </c>
      <c r="G185" s="93">
        <f>E175</f>
        <v>115.279</v>
      </c>
      <c r="H185" s="93">
        <f>L175</f>
        <v>294.017</v>
      </c>
      <c r="I185" s="218"/>
      <c r="J185" s="218"/>
      <c r="K185" s="256">
        <f t="shared" si="49"/>
        <v>12075.099999999999</v>
      </c>
      <c r="L185" s="255">
        <f>$L158</f>
        <v>4701.8469999999998</v>
      </c>
      <c r="M185" s="255">
        <f>$L159</f>
        <v>4377.2749999999996</v>
      </c>
      <c r="N185" s="255">
        <f>$L160</f>
        <v>2995.9780000000001</v>
      </c>
    </row>
    <row r="186" spans="1:24" ht="12.75" customHeight="1" x14ac:dyDescent="0.2">
      <c r="B186" s="219" t="s">
        <v>490</v>
      </c>
      <c r="C186" s="277">
        <f>C184-C185</f>
        <v>0</v>
      </c>
      <c r="D186" s="277">
        <f>D184-D185</f>
        <v>0</v>
      </c>
      <c r="E186" s="277">
        <f>E184-E185</f>
        <v>0</v>
      </c>
      <c r="F186" s="277">
        <f>F184-F185</f>
        <v>0</v>
      </c>
      <c r="G186" s="277">
        <f>G184-G185</f>
        <v>0</v>
      </c>
      <c r="H186" s="277">
        <f>H185-H184</f>
        <v>0</v>
      </c>
      <c r="I186" s="218"/>
      <c r="J186" s="218"/>
      <c r="K186" s="93">
        <f>K185-K184</f>
        <v>-1.0000000002037268E-3</v>
      </c>
      <c r="L186" s="93">
        <f>L185-L184</f>
        <v>0</v>
      </c>
      <c r="M186" s="93">
        <f>M185-M184</f>
        <v>0</v>
      </c>
      <c r="N186" s="93">
        <f>N185-N184</f>
        <v>-9.9999999974897946E-4</v>
      </c>
    </row>
    <row r="187" spans="1:24" ht="12.75" customHeight="1" x14ac:dyDescent="0.2">
      <c r="B187" s="91"/>
      <c r="C187" s="17" t="s">
        <v>481</v>
      </c>
      <c r="D187" s="17" t="s">
        <v>482</v>
      </c>
      <c r="E187" s="17" t="s">
        <v>483</v>
      </c>
      <c r="F187" s="17" t="s">
        <v>484</v>
      </c>
      <c r="G187" s="17" t="s">
        <v>485</v>
      </c>
      <c r="H187" s="17" t="s">
        <v>523</v>
      </c>
      <c r="I187" s="90"/>
      <c r="J187" s="90"/>
    </row>
    <row r="188" spans="1:24" ht="12.75" customHeight="1" x14ac:dyDescent="0.2">
      <c r="B188" s="17" t="s">
        <v>505</v>
      </c>
      <c r="C188" s="217">
        <f>SUM(C189:C191)</f>
        <v>1639.6</v>
      </c>
      <c r="D188" s="217">
        <f>SUM(D189:D191)</f>
        <v>807.91399999999999</v>
      </c>
      <c r="E188" s="217">
        <f>SUM(E189:E191)</f>
        <v>1296.5219999999999</v>
      </c>
      <c r="F188" s="217">
        <f>SUM(F189:F191)</f>
        <v>2930.5529999999999</v>
      </c>
      <c r="G188" s="217">
        <f>SUM(G189:G191)</f>
        <v>5400.5119999999997</v>
      </c>
      <c r="H188" s="217">
        <f>SUM(C188:G188)</f>
        <v>12075.100999999999</v>
      </c>
      <c r="I188" s="93">
        <f>SUM(I189:I191)</f>
        <v>12075.099999999999</v>
      </c>
      <c r="J188" s="93">
        <f>H188-I188</f>
        <v>1.0000000002037268E-3</v>
      </c>
      <c r="K188" s="91"/>
      <c r="L188" s="258"/>
    </row>
    <row r="189" spans="1:24" x14ac:dyDescent="0.2">
      <c r="A189" t="str">
        <f t="shared" ref="A189:B191" si="55">A158</f>
        <v>AF2</v>
      </c>
      <c r="B189" s="98" t="str">
        <f t="shared" si="55"/>
        <v>Numéraire et dépôts</v>
      </c>
      <c r="C189" s="218">
        <f>V158</f>
        <v>0</v>
      </c>
      <c r="D189" s="218">
        <f>S158</f>
        <v>0</v>
      </c>
      <c r="E189" s="218">
        <f>T158+R158</f>
        <v>69.042000000000002</v>
      </c>
      <c r="F189" s="218">
        <f>P158</f>
        <v>934.03599999999994</v>
      </c>
      <c r="G189" s="218">
        <f>U158</f>
        <v>3698.7689999999998</v>
      </c>
      <c r="H189">
        <f>SUM(C189:G189)</f>
        <v>4701.8469999999998</v>
      </c>
      <c r="I189" s="93">
        <f>N158</f>
        <v>4701.8469999999998</v>
      </c>
      <c r="J189" s="93">
        <f>H189-I189</f>
        <v>0</v>
      </c>
      <c r="K189" s="94"/>
      <c r="L189" s="219"/>
    </row>
    <row r="190" spans="1:24" x14ac:dyDescent="0.2">
      <c r="A190" t="str">
        <f t="shared" si="55"/>
        <v>AF3</v>
      </c>
      <c r="B190" s="98" t="str">
        <f t="shared" si="55"/>
        <v>Titres autres qu'actions</v>
      </c>
      <c r="C190" s="218">
        <f>V159</f>
        <v>299.91800000000001</v>
      </c>
      <c r="D190" s="218">
        <f>S159</f>
        <v>0</v>
      </c>
      <c r="E190" s="218">
        <f>T159+R159</f>
        <v>1027.6959999999999</v>
      </c>
      <c r="F190" s="218">
        <f>P159</f>
        <v>1601.201</v>
      </c>
      <c r="G190" s="218">
        <f>U159</f>
        <v>1448.461</v>
      </c>
      <c r="H190">
        <f>SUM(C190:G190)</f>
        <v>4377.2759999999998</v>
      </c>
      <c r="I190" s="93">
        <f>N159</f>
        <v>4377.2749999999996</v>
      </c>
      <c r="J190" s="93">
        <f>H190-I190</f>
        <v>1.0000000002037268E-3</v>
      </c>
      <c r="K190" s="94"/>
      <c r="L190" s="219"/>
    </row>
    <row r="191" spans="1:24" x14ac:dyDescent="0.2">
      <c r="A191" t="str">
        <f t="shared" si="55"/>
        <v>AF4</v>
      </c>
      <c r="B191" s="98" t="str">
        <f t="shared" si="55"/>
        <v>Crédits</v>
      </c>
      <c r="C191" s="218">
        <f>V160</f>
        <v>1339.682</v>
      </c>
      <c r="D191" s="218">
        <f>S160</f>
        <v>807.91399999999999</v>
      </c>
      <c r="E191" s="218">
        <f>T160+R160</f>
        <v>199.78399999999999</v>
      </c>
      <c r="F191" s="218">
        <f>P160</f>
        <v>395.31599999999997</v>
      </c>
      <c r="G191" s="218">
        <f>U160</f>
        <v>253.28200000000001</v>
      </c>
      <c r="H191">
        <f>SUM(C191:G191)</f>
        <v>2995.9780000000001</v>
      </c>
      <c r="I191" s="93">
        <f>N160</f>
        <v>2995.9780000000001</v>
      </c>
      <c r="J191" s="93">
        <f>H191-I191</f>
        <v>0</v>
      </c>
      <c r="K191" s="94"/>
      <c r="L191" s="219"/>
    </row>
    <row r="192" spans="1:24" x14ac:dyDescent="0.2">
      <c r="B192" s="98"/>
      <c r="C192" s="218"/>
      <c r="D192" s="218"/>
      <c r="E192" s="218"/>
      <c r="F192" s="218"/>
      <c r="G192" s="218"/>
      <c r="I192" s="93"/>
      <c r="J192" s="93"/>
      <c r="K192" s="94"/>
      <c r="L192" s="219"/>
    </row>
    <row r="193" spans="1:46" x14ac:dyDescent="0.2">
      <c r="B193" s="17" t="s">
        <v>512</v>
      </c>
      <c r="C193" s="257">
        <f t="shared" ref="C193:H193" si="56">C185/C188</f>
        <v>3.8389851183215425E-2</v>
      </c>
      <c r="D193" s="257">
        <f t="shared" si="56"/>
        <v>1.8068754842718408E-2</v>
      </c>
      <c r="E193" s="257">
        <f t="shared" si="56"/>
        <v>2.7853750264168291E-2</v>
      </c>
      <c r="F193" s="257">
        <f t="shared" si="56"/>
        <v>2.2208436428209966E-2</v>
      </c>
      <c r="G193" s="257">
        <f t="shared" si="56"/>
        <v>2.1345939051704729E-2</v>
      </c>
      <c r="H193" s="257">
        <f t="shared" si="56"/>
        <v>2.4349030289684534E-2</v>
      </c>
      <c r="I193" s="93"/>
      <c r="J193" s="93"/>
      <c r="K193" s="94"/>
      <c r="L193" s="219"/>
    </row>
    <row r="194" spans="1:46" x14ac:dyDescent="0.2">
      <c r="B194" s="274" t="s">
        <v>489</v>
      </c>
      <c r="C194" s="266">
        <f t="shared" ref="C194:H194" si="57">C184/C188</f>
        <v>3.8389851183215432E-2</v>
      </c>
      <c r="D194" s="266">
        <f t="shared" si="57"/>
        <v>1.8068754842718408E-2</v>
      </c>
      <c r="E194" s="266">
        <f t="shared" si="57"/>
        <v>2.7853750264168291E-2</v>
      </c>
      <c r="F194" s="266">
        <f t="shared" si="57"/>
        <v>2.2208436428209966E-2</v>
      </c>
      <c r="G194" s="266">
        <f t="shared" si="57"/>
        <v>2.1345939051704729E-2</v>
      </c>
      <c r="H194" s="266">
        <f t="shared" si="57"/>
        <v>2.4349030289684541E-2</v>
      </c>
      <c r="I194" s="93"/>
      <c r="J194" s="93"/>
      <c r="K194" s="94"/>
      <c r="L194" s="219"/>
    </row>
    <row r="195" spans="1:46" x14ac:dyDescent="0.2">
      <c r="B195" s="274"/>
      <c r="C195" s="266">
        <f t="shared" ref="C195:H195" si="58">C193-C194</f>
        <v>0</v>
      </c>
      <c r="D195" s="266">
        <f>D193-D194</f>
        <v>0</v>
      </c>
      <c r="E195" s="266">
        <f t="shared" si="58"/>
        <v>0</v>
      </c>
      <c r="F195" s="266">
        <f t="shared" si="58"/>
        <v>0</v>
      </c>
      <c r="G195" s="266">
        <f t="shared" si="58"/>
        <v>0</v>
      </c>
      <c r="H195" s="266">
        <f t="shared" si="58"/>
        <v>0</v>
      </c>
      <c r="I195" s="93"/>
      <c r="J195" s="93"/>
      <c r="K195" s="94"/>
      <c r="L195" s="219"/>
    </row>
    <row r="196" spans="1:46" x14ac:dyDescent="0.2">
      <c r="B196" s="98"/>
      <c r="C196" s="218"/>
      <c r="D196" s="218"/>
      <c r="E196" s="218"/>
      <c r="F196" s="218"/>
      <c r="G196" s="218"/>
      <c r="I196" s="93"/>
      <c r="J196" s="93"/>
      <c r="K196" s="94"/>
      <c r="L196" s="219"/>
    </row>
    <row r="197" spans="1:46" x14ac:dyDescent="0.2">
      <c r="B197" s="98"/>
      <c r="C197" s="218"/>
      <c r="D197" s="218"/>
      <c r="E197" s="218"/>
      <c r="F197" s="218"/>
      <c r="G197" s="218"/>
      <c r="I197" s="93"/>
      <c r="J197" s="93"/>
      <c r="K197" s="94"/>
      <c r="L197" s="219"/>
    </row>
    <row r="198" spans="1:46" ht="12.75" customHeight="1" x14ac:dyDescent="0.2">
      <c r="A198" s="2" t="str">
        <f>A189</f>
        <v>AF2</v>
      </c>
      <c r="B198" s="245" t="str">
        <f>B189</f>
        <v>Numéraire et dépôts</v>
      </c>
      <c r="C198" s="67"/>
      <c r="D198" s="78"/>
      <c r="E198" s="78"/>
      <c r="F198" s="78"/>
      <c r="G198" s="78"/>
      <c r="H198" s="78"/>
      <c r="I198" s="78"/>
      <c r="J198" s="78"/>
      <c r="K198" s="78"/>
      <c r="L198" s="67"/>
      <c r="M198" s="80"/>
      <c r="N198" s="67"/>
      <c r="O198" s="78"/>
      <c r="P198" s="68"/>
      <c r="Q198" s="68"/>
      <c r="R198" s="68"/>
      <c r="S198" s="68"/>
      <c r="T198" s="68"/>
      <c r="U198" s="68"/>
      <c r="V198" s="68"/>
      <c r="W198" s="67"/>
      <c r="X198" s="2"/>
      <c r="Y198" s="31"/>
      <c r="AT198"/>
    </row>
    <row r="199" spans="1:46" ht="12.75" customHeight="1" x14ac:dyDescent="0.2">
      <c r="AT199"/>
    </row>
    <row r="200" spans="1:46" ht="12.75" customHeight="1" x14ac:dyDescent="0.2">
      <c r="B200" s="17" t="s">
        <v>531</v>
      </c>
      <c r="C200" t="str">
        <f>C209</f>
        <v>SNF</v>
      </c>
      <c r="D200" t="str">
        <f>D209</f>
        <v>HSH</v>
      </c>
      <c r="E200" t="str">
        <f>E209</f>
        <v>GOV</v>
      </c>
      <c r="F200" t="str">
        <f>F209</f>
        <v>ROW</v>
      </c>
      <c r="G200" t="str">
        <f>G209</f>
        <v>BANK</v>
      </c>
      <c r="H200" s="17" t="s">
        <v>487</v>
      </c>
      <c r="AT200"/>
    </row>
    <row r="201" spans="1:46" ht="12.75" customHeight="1" x14ac:dyDescent="0.2">
      <c r="A201" t="str">
        <f t="shared" ref="A201:B205" si="59">A210</f>
        <v>SNF</v>
      </c>
      <c r="B201" t="str">
        <f t="shared" si="59"/>
        <v>Sociétés non financières</v>
      </c>
      <c r="C201" s="267">
        <f t="shared" ref="C201:G205" si="60">C210*L210</f>
        <v>0</v>
      </c>
      <c r="D201" s="267">
        <f t="shared" si="60"/>
        <v>0</v>
      </c>
      <c r="E201" s="267">
        <f t="shared" si="60"/>
        <v>0</v>
      </c>
      <c r="F201" s="267">
        <f t="shared" si="60"/>
        <v>0</v>
      </c>
      <c r="G201" s="267">
        <f t="shared" si="60"/>
        <v>5.2088360473969884</v>
      </c>
      <c r="H201" s="268">
        <f>SUM(C201:G201)</f>
        <v>5.2088360473969884</v>
      </c>
      <c r="AT201"/>
    </row>
    <row r="202" spans="1:46" ht="12.75" customHeight="1" x14ac:dyDescent="0.2">
      <c r="A202" t="str">
        <f t="shared" si="59"/>
        <v>HSH</v>
      </c>
      <c r="B202" t="str">
        <f t="shared" si="59"/>
        <v>Ménages</v>
      </c>
      <c r="C202" s="267">
        <f t="shared" si="60"/>
        <v>0</v>
      </c>
      <c r="D202" s="267">
        <f t="shared" si="60"/>
        <v>0</v>
      </c>
      <c r="E202" s="267">
        <f t="shared" si="60"/>
        <v>0</v>
      </c>
      <c r="F202" s="267">
        <f t="shared" si="60"/>
        <v>0</v>
      </c>
      <c r="G202" s="267">
        <f t="shared" si="60"/>
        <v>21.066413979822656</v>
      </c>
      <c r="H202" s="268">
        <f>SUM(C202:G202)</f>
        <v>21.066413979822656</v>
      </c>
      <c r="AT202"/>
    </row>
    <row r="203" spans="1:46" ht="12.75" customHeight="1" x14ac:dyDescent="0.2">
      <c r="A203" t="str">
        <f t="shared" si="59"/>
        <v>GOV</v>
      </c>
      <c r="B203" t="str">
        <f t="shared" si="59"/>
        <v>APU+ISBL</v>
      </c>
      <c r="C203" s="267">
        <f t="shared" si="60"/>
        <v>0</v>
      </c>
      <c r="D203" s="267">
        <f t="shared" si="60"/>
        <v>0</v>
      </c>
      <c r="E203" s="267">
        <f t="shared" si="60"/>
        <v>0</v>
      </c>
      <c r="F203" s="267">
        <f t="shared" si="60"/>
        <v>0</v>
      </c>
      <c r="G203" s="267">
        <f t="shared" si="60"/>
        <v>2.0499359108914117</v>
      </c>
      <c r="H203" s="268">
        <f>SUM(C203:G203)</f>
        <v>2.0499359108914117</v>
      </c>
      <c r="AT203"/>
    </row>
    <row r="204" spans="1:46" ht="12.75" customHeight="1" x14ac:dyDescent="0.2">
      <c r="A204" t="str">
        <f t="shared" si="59"/>
        <v>ROW</v>
      </c>
      <c r="B204" t="str">
        <f t="shared" si="59"/>
        <v>Reste du Monde</v>
      </c>
      <c r="C204" s="267">
        <f t="shared" si="60"/>
        <v>0</v>
      </c>
      <c r="D204" s="267">
        <f t="shared" si="60"/>
        <v>0</v>
      </c>
      <c r="E204" s="267">
        <f t="shared" si="60"/>
        <v>0</v>
      </c>
      <c r="F204" s="267">
        <f t="shared" si="60"/>
        <v>0</v>
      </c>
      <c r="G204" s="267">
        <f t="shared" si="60"/>
        <v>29.064161002142022</v>
      </c>
      <c r="H204" s="268">
        <f>SUM(C204:G204)</f>
        <v>29.064161002142022</v>
      </c>
      <c r="AT204"/>
    </row>
    <row r="205" spans="1:46" ht="12.75" customHeight="1" x14ac:dyDescent="0.2">
      <c r="A205" t="str">
        <f t="shared" si="59"/>
        <v>BANK</v>
      </c>
      <c r="B205" t="str">
        <f t="shared" si="59"/>
        <v>Sociétés financières</v>
      </c>
      <c r="C205" s="267">
        <f t="shared" si="60"/>
        <v>0</v>
      </c>
      <c r="D205" s="267">
        <f t="shared" si="60"/>
        <v>0</v>
      </c>
      <c r="E205" s="267">
        <f t="shared" si="60"/>
        <v>1.9230786257387071</v>
      </c>
      <c r="F205" s="267">
        <f t="shared" si="60"/>
        <v>20.743479127659523</v>
      </c>
      <c r="G205" s="267">
        <f t="shared" si="60"/>
        <v>21.564350700081771</v>
      </c>
      <c r="H205" s="268">
        <f>SUM(C205:G205)</f>
        <v>44.230908453479998</v>
      </c>
      <c r="AT205"/>
    </row>
    <row r="206" spans="1:46" ht="12.75" customHeight="1" x14ac:dyDescent="0.2">
      <c r="B206" s="17" t="s">
        <v>486</v>
      </c>
      <c r="C206" s="268">
        <f>SUM(C201:C205)</f>
        <v>0</v>
      </c>
      <c r="D206" s="268">
        <f>SUM(D201:D205)</f>
        <v>0</v>
      </c>
      <c r="E206" s="268">
        <f>SUM(E201:E205)</f>
        <v>1.9230786257387071</v>
      </c>
      <c r="F206" s="268">
        <f>SUM(F201:F205)</f>
        <v>20.743479127659523</v>
      </c>
      <c r="G206" s="268">
        <f>SUM(G201:G205)</f>
        <v>78.953697640334852</v>
      </c>
      <c r="H206" s="267"/>
      <c r="AT206"/>
    </row>
    <row r="207" spans="1:46" ht="12.75" customHeight="1" x14ac:dyDescent="0.2">
      <c r="B207" s="219"/>
      <c r="C207" s="93"/>
      <c r="D207" s="93"/>
      <c r="E207" s="93"/>
      <c r="F207" s="93"/>
      <c r="G207" s="93"/>
      <c r="H207" s="209"/>
      <c r="AT207"/>
    </row>
    <row r="208" spans="1:46" ht="12.75" customHeight="1" x14ac:dyDescent="0.2">
      <c r="C208" s="91" t="s">
        <v>525</v>
      </c>
      <c r="L208" s="91" t="s">
        <v>524</v>
      </c>
      <c r="AT208"/>
    </row>
    <row r="209" spans="1:46" ht="12.75" customHeight="1" x14ac:dyDescent="0.2">
      <c r="B209" s="17" t="s">
        <v>532</v>
      </c>
      <c r="C209" s="91" t="s">
        <v>481</v>
      </c>
      <c r="D209" s="91" t="s">
        <v>482</v>
      </c>
      <c r="E209" s="91" t="s">
        <v>483</v>
      </c>
      <c r="F209" t="s">
        <v>484</v>
      </c>
      <c r="G209" t="s">
        <v>485</v>
      </c>
      <c r="H209" s="17" t="s">
        <v>527</v>
      </c>
      <c r="I209" s="219" t="s">
        <v>489</v>
      </c>
      <c r="J209" s="219" t="s">
        <v>489</v>
      </c>
      <c r="L209" s="91" t="s">
        <v>481</v>
      </c>
      <c r="M209" s="91" t="s">
        <v>482</v>
      </c>
      <c r="N209" s="91" t="s">
        <v>483</v>
      </c>
      <c r="O209" t="s">
        <v>484</v>
      </c>
      <c r="P209" t="s">
        <v>485</v>
      </c>
      <c r="Q209" s="17" t="s">
        <v>528</v>
      </c>
      <c r="R209" s="219" t="s">
        <v>489</v>
      </c>
      <c r="S209" s="219" t="s">
        <v>489</v>
      </c>
      <c r="U209" s="260" t="s">
        <v>529</v>
      </c>
      <c r="AT209"/>
    </row>
    <row r="210" spans="1:46" ht="12.75" customHeight="1" x14ac:dyDescent="0.2">
      <c r="A210" t="s">
        <v>481</v>
      </c>
      <c r="B210" t="s">
        <v>8</v>
      </c>
      <c r="C210" s="271">
        <v>0</v>
      </c>
      <c r="D210" s="271">
        <v>0</v>
      </c>
      <c r="E210" s="271">
        <v>0</v>
      </c>
      <c r="F210" s="271">
        <v>0</v>
      </c>
      <c r="G210" s="271">
        <f>I210</f>
        <v>244.02</v>
      </c>
      <c r="H210" s="268">
        <f t="shared" ref="H210:H215" si="61">SUM(C210:G210)</f>
        <v>244.02</v>
      </c>
      <c r="I210" s="269">
        <f t="shared" ref="I210:I215" si="62">L179</f>
        <v>244.02</v>
      </c>
      <c r="J210" s="219">
        <f>H210-I210</f>
        <v>0</v>
      </c>
      <c r="L210" s="94">
        <f t="shared" ref="L210:P214" si="63">L$216*L$219*$U210</f>
        <v>3.8389851183215425E-2</v>
      </c>
      <c r="M210" s="94">
        <f t="shared" si="63"/>
        <v>1.8068754842718408E-2</v>
      </c>
      <c r="N210" s="94">
        <f t="shared" si="63"/>
        <v>2.7853750264168291E-2</v>
      </c>
      <c r="O210" s="94">
        <f t="shared" si="63"/>
        <v>2.2208436428209966E-2</v>
      </c>
      <c r="P210" s="94">
        <f t="shared" si="63"/>
        <v>2.1345939051704729E-2</v>
      </c>
      <c r="Q210" s="94">
        <f t="array" ref="Q210">MMULT(C210:G210,TRANSPOSE(L210:P210))/H210</f>
        <v>2.1345939051704729E-2</v>
      </c>
      <c r="R210" s="266">
        <f>P$179</f>
        <v>5.2294969366188604E-2</v>
      </c>
      <c r="S210" s="263">
        <f>Q210-R210</f>
        <v>-3.0949030314483875E-2</v>
      </c>
      <c r="U210" s="260">
        <v>1</v>
      </c>
      <c r="AT210"/>
    </row>
    <row r="211" spans="1:46" ht="12.75" customHeight="1" x14ac:dyDescent="0.2">
      <c r="A211" t="s">
        <v>482</v>
      </c>
      <c r="B211" t="s">
        <v>11</v>
      </c>
      <c r="C211" s="271">
        <v>0</v>
      </c>
      <c r="D211" s="271">
        <v>0</v>
      </c>
      <c r="E211" s="271">
        <v>0</v>
      </c>
      <c r="F211" s="271">
        <v>0</v>
      </c>
      <c r="G211" s="271">
        <f>I211</f>
        <v>986.90499999999997</v>
      </c>
      <c r="H211" s="268">
        <f t="shared" si="61"/>
        <v>986.90499999999997</v>
      </c>
      <c r="I211" s="269">
        <f t="shared" si="62"/>
        <v>986.90499999999997</v>
      </c>
      <c r="J211" s="219">
        <f t="shared" ref="J211:J216" si="64">H211-I211</f>
        <v>0</v>
      </c>
      <c r="L211" s="94">
        <f t="shared" si="63"/>
        <v>3.8389851183215425E-2</v>
      </c>
      <c r="M211" s="94">
        <f t="shared" si="63"/>
        <v>1.8068754842718408E-2</v>
      </c>
      <c r="N211" s="94">
        <f t="shared" si="63"/>
        <v>2.7853750264168291E-2</v>
      </c>
      <c r="O211" s="94">
        <f t="shared" si="63"/>
        <v>2.2208436428209966E-2</v>
      </c>
      <c r="P211" s="94">
        <f t="shared" si="63"/>
        <v>2.1345939051704729E-2</v>
      </c>
      <c r="Q211" s="94">
        <f t="array" ref="Q211">MMULT(C211:G211,TRANSPOSE(L211:P211))/H211</f>
        <v>2.1345939051704729E-2</v>
      </c>
      <c r="R211" s="266">
        <f>P$180</f>
        <v>1.3544640815701807E-2</v>
      </c>
      <c r="S211" s="263">
        <f>Q211-R211</f>
        <v>7.801298236002922E-3</v>
      </c>
      <c r="U211" s="260">
        <v>1</v>
      </c>
      <c r="AT211"/>
    </row>
    <row r="212" spans="1:46" ht="12.75" customHeight="1" x14ac:dyDescent="0.2">
      <c r="A212" t="s">
        <v>483</v>
      </c>
      <c r="B212" s="91" t="s">
        <v>480</v>
      </c>
      <c r="C212" s="271">
        <v>0</v>
      </c>
      <c r="D212" s="271">
        <v>0</v>
      </c>
      <c r="E212" s="271">
        <v>0</v>
      </c>
      <c r="F212" s="271">
        <v>0</v>
      </c>
      <c r="G212" s="271">
        <f>I212</f>
        <v>96.033999999999992</v>
      </c>
      <c r="H212" s="268">
        <f t="shared" si="61"/>
        <v>96.033999999999992</v>
      </c>
      <c r="I212" s="269">
        <f t="shared" si="62"/>
        <v>96.033999999999992</v>
      </c>
      <c r="J212" s="219">
        <f t="shared" si="64"/>
        <v>0</v>
      </c>
      <c r="L212" s="94">
        <f t="shared" si="63"/>
        <v>3.8389851183215425E-2</v>
      </c>
      <c r="M212" s="94">
        <f t="shared" si="63"/>
        <v>1.8068754842718408E-2</v>
      </c>
      <c r="N212" s="94">
        <f t="shared" si="63"/>
        <v>2.7853750264168291E-2</v>
      </c>
      <c r="O212" s="94">
        <f t="shared" si="63"/>
        <v>2.2208436428209966E-2</v>
      </c>
      <c r="P212" s="94">
        <f t="shared" si="63"/>
        <v>2.1345939051704729E-2</v>
      </c>
      <c r="Q212" s="94">
        <f t="array" ref="Q212">MMULT(C212:G212,TRANSPOSE(L212:P212))/H212</f>
        <v>2.1345939051704729E-2</v>
      </c>
      <c r="R212" s="266">
        <f>P$181</f>
        <v>1.8725009274908281E-2</v>
      </c>
      <c r="S212" s="263">
        <f>Q212-R212</f>
        <v>2.6209297767964476E-3</v>
      </c>
      <c r="U212" s="260">
        <v>1</v>
      </c>
      <c r="AT212"/>
    </row>
    <row r="213" spans="1:46" ht="12.75" customHeight="1" x14ac:dyDescent="0.2">
      <c r="A213" s="91" t="s">
        <v>484</v>
      </c>
      <c r="B213" t="s">
        <v>13</v>
      </c>
      <c r="C213" s="271">
        <v>0</v>
      </c>
      <c r="D213" s="271">
        <v>0</v>
      </c>
      <c r="E213" s="271">
        <v>0</v>
      </c>
      <c r="F213" s="271">
        <v>0</v>
      </c>
      <c r="G213" s="271">
        <f>I213</f>
        <v>1361.578</v>
      </c>
      <c r="H213" s="268">
        <f t="shared" si="61"/>
        <v>1361.578</v>
      </c>
      <c r="I213" s="269">
        <f t="shared" si="62"/>
        <v>1361.578</v>
      </c>
      <c r="J213" s="219">
        <f t="shared" si="64"/>
        <v>0</v>
      </c>
      <c r="L213" s="94">
        <f t="shared" si="63"/>
        <v>3.8389851183215425E-2</v>
      </c>
      <c r="M213" s="94">
        <f t="shared" si="63"/>
        <v>1.8068754842718408E-2</v>
      </c>
      <c r="N213" s="94">
        <f t="shared" si="63"/>
        <v>2.7853750264168291E-2</v>
      </c>
      <c r="O213" s="94">
        <f t="shared" si="63"/>
        <v>2.2208436428209966E-2</v>
      </c>
      <c r="P213" s="94">
        <f t="shared" si="63"/>
        <v>2.1345939051704729E-2</v>
      </c>
      <c r="Q213" s="94">
        <f t="array" ref="Q213">MMULT(C213:G213,TRANSPOSE(L213:P213))/H213</f>
        <v>2.1345939051704729E-2</v>
      </c>
      <c r="R213" s="266">
        <f>P$182</f>
        <v>2.2912348445627326E-2</v>
      </c>
      <c r="S213" s="263">
        <f>Q213-R213</f>
        <v>-1.5664093939225972E-3</v>
      </c>
      <c r="U213" s="260">
        <v>1</v>
      </c>
      <c r="AT213"/>
    </row>
    <row r="214" spans="1:46" ht="12.75" customHeight="1" x14ac:dyDescent="0.2">
      <c r="A214" s="91" t="s">
        <v>485</v>
      </c>
      <c r="B214" t="s">
        <v>9</v>
      </c>
      <c r="C214" s="271">
        <v>0</v>
      </c>
      <c r="D214" s="271">
        <v>0</v>
      </c>
      <c r="E214" s="272">
        <f>E216</f>
        <v>69.042000000000002</v>
      </c>
      <c r="F214" s="272">
        <f>F216</f>
        <v>934.03599999999994</v>
      </c>
      <c r="G214" s="272">
        <f>I214-SUM(C214:F214)</f>
        <v>1010.232</v>
      </c>
      <c r="H214" s="268">
        <f t="shared" si="61"/>
        <v>2013.31</v>
      </c>
      <c r="I214" s="269">
        <f t="shared" si="62"/>
        <v>2013.31</v>
      </c>
      <c r="J214" s="219">
        <f t="shared" si="64"/>
        <v>0</v>
      </c>
      <c r="L214" s="94">
        <f t="shared" si="63"/>
        <v>3.8389851183215425E-2</v>
      </c>
      <c r="M214" s="94">
        <f t="shared" si="63"/>
        <v>1.8068754842718408E-2</v>
      </c>
      <c r="N214" s="94">
        <f t="shared" si="63"/>
        <v>2.7853750264168291E-2</v>
      </c>
      <c r="O214" s="94">
        <f t="shared" si="63"/>
        <v>2.2208436428209966E-2</v>
      </c>
      <c r="P214" s="94">
        <f t="shared" si="63"/>
        <v>2.1345939051704729E-2</v>
      </c>
      <c r="Q214" s="94">
        <f t="array" ref="Q214">MMULT(C214:G214,TRANSPOSE(L214:P214))/H214</f>
        <v>2.1969248875473722E-2</v>
      </c>
      <c r="R214" s="266">
        <f>P$183</f>
        <v>2.2959286976913979E-2</v>
      </c>
      <c r="S214" s="263">
        <f>Q214-R214</f>
        <v>-9.9003810144025761E-4</v>
      </c>
      <c r="U214" s="260">
        <v>1</v>
      </c>
      <c r="AT214"/>
    </row>
    <row r="215" spans="1:46" ht="12.75" customHeight="1" x14ac:dyDescent="0.2">
      <c r="B215" s="17" t="s">
        <v>526</v>
      </c>
      <c r="C215" s="268">
        <f>SUM(C210:C214)</f>
        <v>0</v>
      </c>
      <c r="D215" s="268">
        <f>SUM(D210:D214)</f>
        <v>0</v>
      </c>
      <c r="E215" s="268">
        <f>SUM(E210:E214)</f>
        <v>69.042000000000002</v>
      </c>
      <c r="F215" s="268">
        <f>SUM(F210:F214)</f>
        <v>934.03599999999994</v>
      </c>
      <c r="G215" s="268">
        <f>SUM(G210:G214)</f>
        <v>3698.7689999999998</v>
      </c>
      <c r="H215" s="268">
        <f t="shared" si="61"/>
        <v>4701.8469999999998</v>
      </c>
      <c r="I215" s="269">
        <f t="shared" si="62"/>
        <v>4701.8469999999998</v>
      </c>
      <c r="J215" s="219">
        <f t="shared" si="64"/>
        <v>0</v>
      </c>
      <c r="K215" s="17" t="s">
        <v>528</v>
      </c>
      <c r="L215" s="94">
        <f t="array" ref="L215">IF(C215=0,0,MMULT(TRANSPOSE(C210:C214),L210:L214)/C215)</f>
        <v>0</v>
      </c>
      <c r="M215" s="94">
        <f t="array" ref="M215">IF(D215=0,0,MMULT(TRANSPOSE(D210:D214),M210:M214)/D215)</f>
        <v>0</v>
      </c>
      <c r="N215" s="94">
        <f t="array" ref="N215">IF(E215=0,0,MMULT(TRANSPOSE(E210:E214),N210:N214)/E215)</f>
        <v>2.7853750264168291E-2</v>
      </c>
      <c r="O215" s="94">
        <f t="array" ref="O215">IF(F215=0,0,MMULT(TRANSPOSE(F210:F214),O210:O214)/F215)</f>
        <v>2.2208436428209966E-2</v>
      </c>
      <c r="P215" s="94">
        <f t="array" ref="P215">IF(G215=0,0,MMULT(TRANSPOSE(G210:G214),P210:P214)/G215)</f>
        <v>2.1345939051704732E-2</v>
      </c>
      <c r="Q215" s="94"/>
      <c r="R215" s="96"/>
      <c r="AT215"/>
    </row>
    <row r="216" spans="1:46" ht="12.75" customHeight="1" x14ac:dyDescent="0.2">
      <c r="B216" s="219" t="s">
        <v>489</v>
      </c>
      <c r="C216" s="269">
        <f t="shared" ref="C216:H216" si="65">C189</f>
        <v>0</v>
      </c>
      <c r="D216" s="269">
        <f t="shared" si="65"/>
        <v>0</v>
      </c>
      <c r="E216" s="269">
        <f t="shared" si="65"/>
        <v>69.042000000000002</v>
      </c>
      <c r="F216" s="269">
        <f t="shared" si="65"/>
        <v>934.03599999999994</v>
      </c>
      <c r="G216" s="269">
        <f t="shared" si="65"/>
        <v>3698.7689999999998</v>
      </c>
      <c r="H216" s="269">
        <f t="shared" si="65"/>
        <v>4701.8469999999998</v>
      </c>
      <c r="I216" s="270">
        <f>SUM(H210:H214)</f>
        <v>4701.8469999999998</v>
      </c>
      <c r="J216" s="219">
        <f t="shared" si="64"/>
        <v>0</v>
      </c>
      <c r="K216" s="219" t="s">
        <v>489</v>
      </c>
      <c r="L216" s="262">
        <f>C$193</f>
        <v>3.8389851183215425E-2</v>
      </c>
      <c r="M216" s="262">
        <f>D$193</f>
        <v>1.8068754842718408E-2</v>
      </c>
      <c r="N216" s="262">
        <f>E$193</f>
        <v>2.7853750264168291E-2</v>
      </c>
      <c r="O216" s="262">
        <f>F$193</f>
        <v>2.2208436428209966E-2</v>
      </c>
      <c r="P216" s="262">
        <f>G$193</f>
        <v>2.1345939051704729E-2</v>
      </c>
      <c r="S216" s="91" t="s">
        <v>530</v>
      </c>
      <c r="AT216"/>
    </row>
    <row r="217" spans="1:46" ht="12.75" customHeight="1" x14ac:dyDescent="0.2">
      <c r="B217" s="219" t="s">
        <v>489</v>
      </c>
      <c r="C217" s="264">
        <f t="shared" ref="C217:H217" si="66">C215-C216</f>
        <v>0</v>
      </c>
      <c r="D217" s="264">
        <f t="shared" si="66"/>
        <v>0</v>
      </c>
      <c r="E217" s="264">
        <f t="shared" si="66"/>
        <v>0</v>
      </c>
      <c r="F217" s="264">
        <f t="shared" si="66"/>
        <v>0</v>
      </c>
      <c r="G217" s="264">
        <f t="shared" si="66"/>
        <v>0</v>
      </c>
      <c r="H217" s="264">
        <f t="shared" si="66"/>
        <v>0</v>
      </c>
      <c r="K217" s="219" t="s">
        <v>489</v>
      </c>
      <c r="L217" s="266">
        <f>L215-L216</f>
        <v>-3.8389851183215425E-2</v>
      </c>
      <c r="M217" s="266">
        <f>M215-M216</f>
        <v>-1.8068754842718408E-2</v>
      </c>
      <c r="N217" s="266">
        <f>N215-N216</f>
        <v>0</v>
      </c>
      <c r="O217" s="266">
        <f>O215-O216</f>
        <v>0</v>
      </c>
      <c r="P217" s="266">
        <f>P215-P216</f>
        <v>0</v>
      </c>
      <c r="S217" s="260">
        <f>STDEVPA(S210:S214)</f>
        <v>1.3582625181178325E-2</v>
      </c>
      <c r="AT217"/>
    </row>
    <row r="218" spans="1:46" ht="12.75" customHeight="1" x14ac:dyDescent="0.2">
      <c r="B218" s="17"/>
      <c r="C218" s="217"/>
      <c r="D218" s="217"/>
      <c r="E218" s="217"/>
      <c r="F218" s="217"/>
      <c r="G218" s="217"/>
      <c r="J218" s="94"/>
      <c r="K218" s="94"/>
      <c r="L218" s="94"/>
      <c r="M218" s="94"/>
      <c r="N218" s="94"/>
      <c r="AT218"/>
    </row>
    <row r="219" spans="1:46" ht="12.75" customHeight="1" x14ac:dyDescent="0.2">
      <c r="B219" s="17"/>
      <c r="C219" s="217"/>
      <c r="D219" s="217"/>
      <c r="E219" s="217"/>
      <c r="F219" s="217"/>
      <c r="G219" s="217"/>
      <c r="J219" s="94"/>
      <c r="K219" s="261" t="s">
        <v>529</v>
      </c>
      <c r="L219" s="260">
        <v>1</v>
      </c>
      <c r="M219" s="260">
        <v>1</v>
      </c>
      <c r="N219" s="260">
        <v>1</v>
      </c>
      <c r="O219" s="260">
        <v>1</v>
      </c>
      <c r="P219" s="260">
        <v>1</v>
      </c>
      <c r="AT219"/>
    </row>
    <row r="220" spans="1:46" ht="12.75" customHeight="1" x14ac:dyDescent="0.2">
      <c r="B220" s="17"/>
      <c r="C220" s="217"/>
      <c r="D220" s="217"/>
      <c r="E220" s="217"/>
      <c r="F220" s="217"/>
      <c r="G220" s="217"/>
      <c r="J220" s="94"/>
      <c r="K220" s="94"/>
      <c r="L220" s="94"/>
      <c r="M220" s="94"/>
      <c r="N220" s="94"/>
      <c r="AT220"/>
    </row>
    <row r="221" spans="1:46" ht="12.75" customHeight="1" x14ac:dyDescent="0.2">
      <c r="A221" s="2" t="str">
        <f>A$190</f>
        <v>AF3</v>
      </c>
      <c r="B221" s="245" t="str">
        <f>B$190</f>
        <v>Titres autres qu'actions</v>
      </c>
      <c r="C221" s="67"/>
      <c r="D221" s="78"/>
      <c r="E221" s="78"/>
      <c r="F221" s="78"/>
      <c r="G221" s="78"/>
      <c r="H221" s="78"/>
      <c r="I221" s="78"/>
      <c r="J221" s="78"/>
      <c r="K221" s="78"/>
      <c r="L221" s="67"/>
      <c r="M221" s="80"/>
      <c r="N221" s="67"/>
      <c r="O221" s="78"/>
      <c r="P221" s="68"/>
      <c r="Q221" s="68"/>
      <c r="R221" s="68"/>
      <c r="S221" s="68"/>
      <c r="T221" s="68"/>
      <c r="U221" s="68"/>
      <c r="V221" s="68"/>
      <c r="W221" s="67"/>
      <c r="X221" s="2"/>
      <c r="Y221" s="31"/>
      <c r="AT221"/>
    </row>
    <row r="222" spans="1:46" ht="12.75" customHeight="1" x14ac:dyDescent="0.2">
      <c r="AT222"/>
    </row>
    <row r="223" spans="1:46" ht="12.75" customHeight="1" x14ac:dyDescent="0.2">
      <c r="B223" s="17" t="s">
        <v>531</v>
      </c>
      <c r="C223" t="str">
        <f>C232</f>
        <v>SNF</v>
      </c>
      <c r="D223" t="str">
        <f>D232</f>
        <v>HSH</v>
      </c>
      <c r="E223" t="str">
        <f>E232</f>
        <v>GOV</v>
      </c>
      <c r="F223" t="str">
        <f>F232</f>
        <v>ROW</v>
      </c>
      <c r="G223" t="str">
        <f>G232</f>
        <v>BANK</v>
      </c>
      <c r="H223" s="17" t="s">
        <v>487</v>
      </c>
      <c r="AT223"/>
    </row>
    <row r="224" spans="1:46" ht="12.75" customHeight="1" x14ac:dyDescent="0.2">
      <c r="A224" t="str">
        <f t="shared" ref="A224:B228" si="67">A233</f>
        <v>SNF</v>
      </c>
      <c r="B224" t="str">
        <f t="shared" si="67"/>
        <v>Sociétés non financières</v>
      </c>
      <c r="C224" s="267">
        <f t="shared" ref="C224:G228" si="68">C233*L233</f>
        <v>0</v>
      </c>
      <c r="D224" s="267">
        <f t="shared" si="68"/>
        <v>0</v>
      </c>
      <c r="E224" s="267">
        <f t="shared" si="68"/>
        <v>0</v>
      </c>
      <c r="F224" s="267">
        <f t="shared" si="68"/>
        <v>1.510928763956837</v>
      </c>
      <c r="G224" s="267">
        <f t="shared" si="68"/>
        <v>0</v>
      </c>
      <c r="H224" s="268">
        <f>SUM(C224:G224)</f>
        <v>1.510928763956837</v>
      </c>
      <c r="AT224"/>
    </row>
    <row r="225" spans="1:46" ht="12.75" customHeight="1" x14ac:dyDescent="0.2">
      <c r="A225" t="str">
        <f t="shared" si="67"/>
        <v>HSH</v>
      </c>
      <c r="B225" t="str">
        <f t="shared" si="67"/>
        <v>Ménages</v>
      </c>
      <c r="C225" s="267">
        <f t="shared" si="68"/>
        <v>0.95214508904610895</v>
      </c>
      <c r="D225" s="267">
        <f t="shared" si="68"/>
        <v>0</v>
      </c>
      <c r="E225" s="267">
        <f t="shared" si="68"/>
        <v>0.55266297124152153</v>
      </c>
      <c r="F225" s="267">
        <f t="shared" si="68"/>
        <v>0.11016272805849271</v>
      </c>
      <c r="G225" s="267">
        <f t="shared" si="68"/>
        <v>0</v>
      </c>
      <c r="H225" s="268">
        <f>SUM(C225:G225)</f>
        <v>1.6149707883461233</v>
      </c>
      <c r="AT225"/>
    </row>
    <row r="226" spans="1:46" ht="12.75" customHeight="1" x14ac:dyDescent="0.2">
      <c r="A226" t="str">
        <f t="shared" si="67"/>
        <v>GOV</v>
      </c>
      <c r="B226" t="str">
        <f t="shared" si="67"/>
        <v>APU+ISBL</v>
      </c>
      <c r="C226" s="267">
        <f t="shared" si="68"/>
        <v>2.036581605269578</v>
      </c>
      <c r="D226" s="267">
        <f t="shared" si="68"/>
        <v>0</v>
      </c>
      <c r="E226" s="267">
        <f t="shared" si="68"/>
        <v>0</v>
      </c>
      <c r="F226" s="267">
        <f t="shared" si="68"/>
        <v>0</v>
      </c>
      <c r="G226" s="267">
        <f t="shared" si="68"/>
        <v>0</v>
      </c>
      <c r="H226" s="268">
        <f>SUM(C226:G226)</f>
        <v>2.036581605269578</v>
      </c>
      <c r="AT226"/>
    </row>
    <row r="227" spans="1:46" ht="12.75" customHeight="1" x14ac:dyDescent="0.2">
      <c r="A227" t="str">
        <f t="shared" si="67"/>
        <v>ROW</v>
      </c>
      <c r="B227" t="str">
        <f t="shared" si="67"/>
        <v>Reste du Monde</v>
      </c>
      <c r="C227" s="267">
        <f t="shared" si="68"/>
        <v>8.5250806928519172</v>
      </c>
      <c r="D227" s="267">
        <f t="shared" si="68"/>
        <v>0</v>
      </c>
      <c r="E227" s="267">
        <f t="shared" si="68"/>
        <v>28.072524760243173</v>
      </c>
      <c r="F227" s="267">
        <f t="shared" si="68"/>
        <v>0</v>
      </c>
      <c r="G227" s="267">
        <f t="shared" si="68"/>
        <v>5.9826391455847165</v>
      </c>
      <c r="H227" s="268">
        <f>SUM(C227:G227)</f>
        <v>42.580244598679812</v>
      </c>
      <c r="AT227"/>
    </row>
    <row r="228" spans="1:46" ht="12.75" customHeight="1" x14ac:dyDescent="0.2">
      <c r="A228" t="str">
        <f t="shared" si="67"/>
        <v>BANK</v>
      </c>
      <c r="B228" t="str">
        <f t="shared" si="67"/>
        <v>Sociétés financières</v>
      </c>
      <c r="C228" s="267">
        <f t="shared" si="68"/>
        <v>0</v>
      </c>
      <c r="D228" s="267">
        <f t="shared" si="68"/>
        <v>0</v>
      </c>
      <c r="E228" s="267">
        <f t="shared" si="68"/>
        <v>0</v>
      </c>
      <c r="F228" s="267">
        <f t="shared" si="68"/>
        <v>33.939079125270894</v>
      </c>
      <c r="G228" s="267">
        <f t="shared" si="68"/>
        <v>24.936121079186567</v>
      </c>
      <c r="H228" s="268">
        <f>SUM(C228:G228)</f>
        <v>58.875200204457457</v>
      </c>
      <c r="AT228"/>
    </row>
    <row r="229" spans="1:46" ht="12.75" customHeight="1" x14ac:dyDescent="0.2">
      <c r="B229" s="17" t="s">
        <v>486</v>
      </c>
      <c r="C229" s="268">
        <f>SUM(C224:C228)</f>
        <v>11.513807387167605</v>
      </c>
      <c r="D229" s="268">
        <f>SUM(D224:D228)</f>
        <v>0</v>
      </c>
      <c r="E229" s="268">
        <f>SUM(E224:E228)</f>
        <v>28.625187731484694</v>
      </c>
      <c r="F229" s="268">
        <f>SUM(F224:F228)</f>
        <v>35.560170617286225</v>
      </c>
      <c r="G229" s="268">
        <f>SUM(G224:G228)</f>
        <v>30.918760224771283</v>
      </c>
      <c r="H229" s="267"/>
      <c r="AT229"/>
    </row>
    <row r="230" spans="1:46" ht="12.75" customHeight="1" x14ac:dyDescent="0.2">
      <c r="B230" s="219"/>
      <c r="C230" s="93"/>
      <c r="D230" s="93"/>
      <c r="E230" s="93"/>
      <c r="F230" s="93"/>
      <c r="G230" s="93"/>
      <c r="H230" s="209"/>
      <c r="AT230"/>
    </row>
    <row r="231" spans="1:46" ht="12.75" customHeight="1" x14ac:dyDescent="0.2">
      <c r="C231" s="91" t="s">
        <v>525</v>
      </c>
      <c r="L231" s="91" t="s">
        <v>524</v>
      </c>
      <c r="AT231"/>
    </row>
    <row r="232" spans="1:46" ht="12.75" customHeight="1" x14ac:dyDescent="0.2">
      <c r="B232" s="17" t="s">
        <v>532</v>
      </c>
      <c r="C232" s="91" t="s">
        <v>481</v>
      </c>
      <c r="D232" s="91" t="s">
        <v>482</v>
      </c>
      <c r="E232" s="91" t="s">
        <v>483</v>
      </c>
      <c r="F232" t="s">
        <v>484</v>
      </c>
      <c r="G232" t="s">
        <v>485</v>
      </c>
      <c r="H232" s="17" t="s">
        <v>527</v>
      </c>
      <c r="I232" s="219" t="s">
        <v>489</v>
      </c>
      <c r="J232" s="219" t="s">
        <v>489</v>
      </c>
      <c r="L232" s="91" t="s">
        <v>481</v>
      </c>
      <c r="M232" s="91" t="s">
        <v>482</v>
      </c>
      <c r="N232" s="91" t="s">
        <v>483</v>
      </c>
      <c r="O232" t="s">
        <v>484</v>
      </c>
      <c r="P232" t="s">
        <v>485</v>
      </c>
      <c r="Q232" s="17" t="s">
        <v>528</v>
      </c>
      <c r="R232" s="219" t="s">
        <v>489</v>
      </c>
      <c r="S232" s="219" t="s">
        <v>489</v>
      </c>
      <c r="U232" s="260" t="s">
        <v>529</v>
      </c>
      <c r="AT232"/>
    </row>
    <row r="233" spans="1:46" ht="12.75" customHeight="1" x14ac:dyDescent="0.2">
      <c r="A233" t="s">
        <v>481</v>
      </c>
      <c r="B233" t="s">
        <v>8</v>
      </c>
      <c r="C233" s="271">
        <v>0</v>
      </c>
      <c r="D233" s="271">
        <v>0</v>
      </c>
      <c r="E233" s="271">
        <v>0</v>
      </c>
      <c r="F233" s="271">
        <f>I233</f>
        <v>68.034000000000006</v>
      </c>
      <c r="G233" s="271">
        <v>0</v>
      </c>
      <c r="H233" s="268">
        <f t="shared" ref="H233:H238" si="69">SUM(C233:G233)</f>
        <v>68.034000000000006</v>
      </c>
      <c r="I233" s="269">
        <f>M$179</f>
        <v>68.034000000000006</v>
      </c>
      <c r="J233" s="219">
        <f>H233-I233</f>
        <v>0</v>
      </c>
      <c r="L233" s="94">
        <f t="shared" ref="L233:P237" si="70">L$216*L$219*$U233</f>
        <v>3.8389851183215425E-2</v>
      </c>
      <c r="M233" s="94">
        <f t="shared" si="70"/>
        <v>1.8068754842718408E-2</v>
      </c>
      <c r="N233" s="94">
        <f t="shared" si="70"/>
        <v>2.7853750264168291E-2</v>
      </c>
      <c r="O233" s="94">
        <f t="shared" si="70"/>
        <v>2.2208436428209966E-2</v>
      </c>
      <c r="P233" s="94">
        <f t="shared" si="70"/>
        <v>2.1345939051704729E-2</v>
      </c>
      <c r="Q233" s="94">
        <f t="array" ref="Q233">MMULT(C233:G233,TRANSPOSE(L233:P233))/H233</f>
        <v>2.2208436428209966E-2</v>
      </c>
      <c r="R233" s="266">
        <f>P$179</f>
        <v>5.2294969366188604E-2</v>
      </c>
      <c r="S233" s="263">
        <f>Q233-R233</f>
        <v>-3.0086532937978638E-2</v>
      </c>
      <c r="U233" s="260">
        <f>U210</f>
        <v>1</v>
      </c>
      <c r="AT233"/>
    </row>
    <row r="234" spans="1:46" ht="12.75" customHeight="1" x14ac:dyDescent="0.2">
      <c r="A234" t="s">
        <v>482</v>
      </c>
      <c r="B234" t="s">
        <v>11</v>
      </c>
      <c r="C234" s="271">
        <f>I234*0.5</f>
        <v>24.802</v>
      </c>
      <c r="D234" s="271">
        <v>0</v>
      </c>
      <c r="E234" s="271">
        <f>I234*0.4</f>
        <v>19.8416</v>
      </c>
      <c r="F234" s="271">
        <f>I234*0.1</f>
        <v>4.9603999999999999</v>
      </c>
      <c r="G234" s="271">
        <v>0</v>
      </c>
      <c r="H234" s="268">
        <f t="shared" si="69"/>
        <v>49.603999999999999</v>
      </c>
      <c r="I234" s="269">
        <f>M$180</f>
        <v>49.603999999999999</v>
      </c>
      <c r="J234" s="219">
        <f t="shared" ref="J234:J239" si="71">H234-I234</f>
        <v>0</v>
      </c>
      <c r="L234" s="94">
        <f t="shared" si="70"/>
        <v>3.8389851183215425E-2</v>
      </c>
      <c r="M234" s="94">
        <f t="shared" si="70"/>
        <v>1.8068754842718408E-2</v>
      </c>
      <c r="N234" s="94">
        <f t="shared" si="70"/>
        <v>2.7853750264168291E-2</v>
      </c>
      <c r="O234" s="94">
        <f t="shared" si="70"/>
        <v>2.2208436428209966E-2</v>
      </c>
      <c r="P234" s="94">
        <f t="shared" si="70"/>
        <v>2.1345939051704729E-2</v>
      </c>
      <c r="Q234" s="94">
        <f t="array" ref="Q234">MMULT(C234:G234,TRANSPOSE(L234:P234))/H234</f>
        <v>3.2557269340096028E-2</v>
      </c>
      <c r="R234" s="266">
        <f>P$180</f>
        <v>1.3544640815701807E-2</v>
      </c>
      <c r="S234" s="263">
        <f>Q234-R234</f>
        <v>1.9012628524394219E-2</v>
      </c>
      <c r="U234" s="260">
        <f>U211</f>
        <v>1</v>
      </c>
      <c r="AT234"/>
    </row>
    <row r="235" spans="1:46" ht="12.75" customHeight="1" x14ac:dyDescent="0.2">
      <c r="A235" t="s">
        <v>483</v>
      </c>
      <c r="B235" s="91" t="s">
        <v>480</v>
      </c>
      <c r="C235" s="271">
        <f>I235</f>
        <v>53.05</v>
      </c>
      <c r="D235" s="271">
        <v>0</v>
      </c>
      <c r="E235" s="271">
        <v>0</v>
      </c>
      <c r="F235" s="271">
        <v>0</v>
      </c>
      <c r="G235" s="271">
        <v>0</v>
      </c>
      <c r="H235" s="268">
        <f t="shared" si="69"/>
        <v>53.05</v>
      </c>
      <c r="I235" s="269">
        <f>M$181</f>
        <v>53.05</v>
      </c>
      <c r="J235" s="219">
        <f t="shared" si="71"/>
        <v>0</v>
      </c>
      <c r="L235" s="94">
        <f t="shared" si="70"/>
        <v>3.8389851183215425E-2</v>
      </c>
      <c r="M235" s="94">
        <f t="shared" si="70"/>
        <v>1.8068754842718408E-2</v>
      </c>
      <c r="N235" s="94">
        <f t="shared" si="70"/>
        <v>2.7853750264168291E-2</v>
      </c>
      <c r="O235" s="94">
        <f t="shared" si="70"/>
        <v>2.2208436428209966E-2</v>
      </c>
      <c r="P235" s="94">
        <f t="shared" si="70"/>
        <v>2.1345939051704729E-2</v>
      </c>
      <c r="Q235" s="94">
        <f t="array" ref="Q235">MMULT(C235:G235,TRANSPOSE(L235:P235))/H235</f>
        <v>3.8389851183215425E-2</v>
      </c>
      <c r="R235" s="266">
        <f>P$181</f>
        <v>1.8725009274908281E-2</v>
      </c>
      <c r="S235" s="263">
        <f>Q235-R235</f>
        <v>1.9664841908307144E-2</v>
      </c>
      <c r="U235" s="260">
        <f>U212</f>
        <v>1</v>
      </c>
      <c r="AT235"/>
    </row>
    <row r="236" spans="1:46" ht="12.75" customHeight="1" x14ac:dyDescent="0.2">
      <c r="A236" s="91" t="s">
        <v>484</v>
      </c>
      <c r="B236" t="s">
        <v>13</v>
      </c>
      <c r="C236" s="271">
        <f>C239-SUM(C233:C235)</f>
        <v>222.066</v>
      </c>
      <c r="D236" s="271">
        <v>0</v>
      </c>
      <c r="E236" s="271">
        <f>E239-E234</f>
        <v>1007.8543999999999</v>
      </c>
      <c r="F236" s="271">
        <v>0</v>
      </c>
      <c r="G236" s="271">
        <f>I236-SUM(C236:E236)</f>
        <v>280.27060000000006</v>
      </c>
      <c r="H236" s="268">
        <f t="shared" si="69"/>
        <v>1510.191</v>
      </c>
      <c r="I236" s="269">
        <f>M$182</f>
        <v>1510.191</v>
      </c>
      <c r="J236" s="219">
        <f t="shared" si="71"/>
        <v>0</v>
      </c>
      <c r="L236" s="94">
        <f t="shared" si="70"/>
        <v>3.8389851183215425E-2</v>
      </c>
      <c r="M236" s="94">
        <f t="shared" si="70"/>
        <v>1.8068754842718408E-2</v>
      </c>
      <c r="N236" s="94">
        <f t="shared" si="70"/>
        <v>2.7853750264168291E-2</v>
      </c>
      <c r="O236" s="94">
        <f t="shared" si="70"/>
        <v>2.2208436428209966E-2</v>
      </c>
      <c r="P236" s="94">
        <f t="shared" si="70"/>
        <v>2.1345939051704729E-2</v>
      </c>
      <c r="Q236" s="94">
        <f t="array" ref="Q236">MMULT(C236:G236,TRANSPOSE(L236:P236))/H236</f>
        <v>2.8195271060865685E-2</v>
      </c>
      <c r="R236" s="266">
        <f>P$182</f>
        <v>2.2912348445627326E-2</v>
      </c>
      <c r="S236" s="263">
        <f>Q236-R236</f>
        <v>5.2829226152383592E-3</v>
      </c>
      <c r="U236" s="260">
        <f>U213</f>
        <v>1</v>
      </c>
      <c r="AT236"/>
    </row>
    <row r="237" spans="1:46" ht="12.75" customHeight="1" x14ac:dyDescent="0.2">
      <c r="A237" s="91" t="s">
        <v>485</v>
      </c>
      <c r="B237" t="s">
        <v>9</v>
      </c>
      <c r="C237" s="271">
        <v>0</v>
      </c>
      <c r="D237" s="271">
        <v>0</v>
      </c>
      <c r="E237" s="271">
        <v>0</v>
      </c>
      <c r="F237" s="271">
        <f>F239-SUM(F233:F234)</f>
        <v>1528.2066</v>
      </c>
      <c r="G237" s="271">
        <f>G239-G236</f>
        <v>1168.1904</v>
      </c>
      <c r="H237" s="268">
        <f t="shared" si="69"/>
        <v>2696.3969999999999</v>
      </c>
      <c r="I237" s="269">
        <f>M$183</f>
        <v>2696.3960000000002</v>
      </c>
      <c r="J237" s="219">
        <f t="shared" si="71"/>
        <v>9.9999999974897946E-4</v>
      </c>
      <c r="L237" s="94">
        <f t="shared" si="70"/>
        <v>3.8389851183215425E-2</v>
      </c>
      <c r="M237" s="94">
        <f t="shared" si="70"/>
        <v>1.8068754842718408E-2</v>
      </c>
      <c r="N237" s="94">
        <f t="shared" si="70"/>
        <v>2.7853750264168291E-2</v>
      </c>
      <c r="O237" s="94">
        <f t="shared" si="70"/>
        <v>2.2208436428209966E-2</v>
      </c>
      <c r="P237" s="94">
        <f t="shared" si="70"/>
        <v>2.1345939051704729E-2</v>
      </c>
      <c r="Q237" s="94">
        <f t="array" ref="Q237">MMULT(C237:G237,TRANSPOSE(L237:P237))/H237</f>
        <v>2.1834766988858636E-2</v>
      </c>
      <c r="R237" s="266">
        <f>P$183</f>
        <v>2.2959286976913979E-2</v>
      </c>
      <c r="S237" s="263">
        <f>Q237-R237</f>
        <v>-1.1245199880553433E-3</v>
      </c>
      <c r="U237" s="260">
        <f>U214</f>
        <v>1</v>
      </c>
      <c r="AT237"/>
    </row>
    <row r="238" spans="1:46" ht="12.75" customHeight="1" x14ac:dyDescent="0.2">
      <c r="B238" s="17" t="s">
        <v>526</v>
      </c>
      <c r="C238" s="268">
        <f>SUM(C233:C237)</f>
        <v>299.91800000000001</v>
      </c>
      <c r="D238" s="268">
        <f>SUM(D233:D237)</f>
        <v>0</v>
      </c>
      <c r="E238" s="268">
        <f>SUM(E233:E237)</f>
        <v>1027.6959999999999</v>
      </c>
      <c r="F238" s="268">
        <f>SUM(F233:F237)</f>
        <v>1601.201</v>
      </c>
      <c r="G238" s="268">
        <f>SUM(G233:G237)</f>
        <v>1448.461</v>
      </c>
      <c r="H238" s="268">
        <f t="shared" si="69"/>
        <v>4377.2759999999998</v>
      </c>
      <c r="I238" s="269">
        <f>M$184</f>
        <v>4377.2749999999996</v>
      </c>
      <c r="J238" s="219">
        <f t="shared" si="71"/>
        <v>1.0000000002037268E-3</v>
      </c>
      <c r="K238" s="17" t="s">
        <v>528</v>
      </c>
      <c r="L238" s="94">
        <f t="array" ref="L238">IF(C238=0,0,MMULT(TRANSPOSE(C233:C237),L233:L237)/C238)</f>
        <v>3.8389851183215425E-2</v>
      </c>
      <c r="M238" s="94">
        <f t="array" ref="M238">IF(D238=0,0,MMULT(TRANSPOSE(D233:D237),M233:M237)/D238)</f>
        <v>0</v>
      </c>
      <c r="N238" s="94">
        <f t="array" ref="N238">IF(E238=0,0,MMULT(TRANSPOSE(E233:E237),N233:N237)/E238)</f>
        <v>2.7853750264168291E-2</v>
      </c>
      <c r="O238" s="94">
        <f t="array" ref="O238">IF(F238=0,0,MMULT(TRANSPOSE(F233:F237),O233:O237)/F238)</f>
        <v>2.2208436428209966E-2</v>
      </c>
      <c r="P238" s="94">
        <f t="array" ref="P238">IF(G238=0,0,MMULT(TRANSPOSE(G233:G237),P233:P237)/G238)</f>
        <v>2.1345939051704729E-2</v>
      </c>
      <c r="Q238" s="94"/>
      <c r="R238" s="96"/>
      <c r="AT238"/>
    </row>
    <row r="239" spans="1:46" ht="12.75" customHeight="1" x14ac:dyDescent="0.2">
      <c r="B239" s="219" t="s">
        <v>489</v>
      </c>
      <c r="C239" s="269">
        <f t="shared" ref="C239:H239" si="72">C$190</f>
        <v>299.91800000000001</v>
      </c>
      <c r="D239" s="269">
        <f t="shared" si="72"/>
        <v>0</v>
      </c>
      <c r="E239" s="269">
        <f t="shared" si="72"/>
        <v>1027.6959999999999</v>
      </c>
      <c r="F239" s="269">
        <f t="shared" si="72"/>
        <v>1601.201</v>
      </c>
      <c r="G239" s="269">
        <f t="shared" si="72"/>
        <v>1448.461</v>
      </c>
      <c r="H239" s="269">
        <f t="shared" si="72"/>
        <v>4377.2759999999998</v>
      </c>
      <c r="I239" s="270">
        <f>SUM(H233:H237)</f>
        <v>4377.2759999999998</v>
      </c>
      <c r="J239" s="219">
        <f t="shared" si="71"/>
        <v>0</v>
      </c>
      <c r="K239" s="219" t="s">
        <v>489</v>
      </c>
      <c r="L239" s="262">
        <f>C$193</f>
        <v>3.8389851183215425E-2</v>
      </c>
      <c r="M239" s="262">
        <f>D$193</f>
        <v>1.8068754842718408E-2</v>
      </c>
      <c r="N239" s="262">
        <f>E$193</f>
        <v>2.7853750264168291E-2</v>
      </c>
      <c r="O239" s="262">
        <f>F$193</f>
        <v>2.2208436428209966E-2</v>
      </c>
      <c r="P239" s="262">
        <f>G$193</f>
        <v>2.1345939051704729E-2</v>
      </c>
      <c r="S239" s="91" t="s">
        <v>530</v>
      </c>
      <c r="AT239"/>
    </row>
    <row r="240" spans="1:46" ht="12.75" customHeight="1" x14ac:dyDescent="0.2">
      <c r="B240" s="219" t="s">
        <v>489</v>
      </c>
      <c r="C240" s="264">
        <f t="shared" ref="C240:H240" si="73">C238-C239</f>
        <v>0</v>
      </c>
      <c r="D240" s="264">
        <f t="shared" si="73"/>
        <v>0</v>
      </c>
      <c r="E240" s="264">
        <f t="shared" si="73"/>
        <v>0</v>
      </c>
      <c r="F240" s="264">
        <f t="shared" si="73"/>
        <v>0</v>
      </c>
      <c r="G240" s="264">
        <f t="shared" si="73"/>
        <v>0</v>
      </c>
      <c r="H240" s="264">
        <f t="shared" si="73"/>
        <v>0</v>
      </c>
      <c r="K240" s="219" t="s">
        <v>489</v>
      </c>
      <c r="L240" s="266">
        <f>L238-L239</f>
        <v>0</v>
      </c>
      <c r="M240" s="266">
        <f>M238-M239</f>
        <v>-1.8068754842718408E-2</v>
      </c>
      <c r="N240" s="266">
        <f>N238-N239</f>
        <v>0</v>
      </c>
      <c r="O240" s="266">
        <f>O238-O239</f>
        <v>0</v>
      </c>
      <c r="P240" s="266">
        <f>P238-P239</f>
        <v>0</v>
      </c>
      <c r="S240" s="260">
        <f>STDEVPA(S233:S237)</f>
        <v>1.8166178446589812E-2</v>
      </c>
      <c r="AT240"/>
    </row>
    <row r="241" spans="1:46" ht="12.75" customHeight="1" x14ac:dyDescent="0.2">
      <c r="B241" s="17"/>
      <c r="C241" s="217"/>
      <c r="D241" s="217"/>
      <c r="E241" s="217"/>
      <c r="F241" s="217"/>
      <c r="G241" s="217"/>
      <c r="J241" s="94"/>
      <c r="K241" s="94"/>
      <c r="L241" s="94"/>
      <c r="M241" s="94"/>
      <c r="N241" s="94"/>
      <c r="AT241"/>
    </row>
    <row r="242" spans="1:46" ht="12.75" customHeight="1" x14ac:dyDescent="0.2">
      <c r="B242" s="17" t="s">
        <v>534</v>
      </c>
      <c r="C242" t="str">
        <f>C232</f>
        <v>SNF</v>
      </c>
      <c r="D242" t="str">
        <f>D232</f>
        <v>HSH</v>
      </c>
      <c r="E242" t="str">
        <f>E232</f>
        <v>GOV</v>
      </c>
      <c r="F242" t="str">
        <f>F232</f>
        <v>ROW</v>
      </c>
      <c r="G242" t="str">
        <f>G232</f>
        <v>BANK</v>
      </c>
      <c r="H242" s="91" t="s">
        <v>533</v>
      </c>
      <c r="J242" s="94"/>
      <c r="K242" s="261" t="s">
        <v>529</v>
      </c>
      <c r="L242" s="260">
        <v>1</v>
      </c>
      <c r="M242" s="260">
        <v>1</v>
      </c>
      <c r="N242" s="260">
        <v>1</v>
      </c>
      <c r="O242" s="260">
        <v>1</v>
      </c>
      <c r="P242" s="260">
        <v>1</v>
      </c>
      <c r="AT242"/>
    </row>
    <row r="243" spans="1:46" ht="12.75" customHeight="1" x14ac:dyDescent="0.2">
      <c r="A243" t="str">
        <f t="shared" ref="A243:B247" si="74">A233</f>
        <v>SNF</v>
      </c>
      <c r="B243" t="str">
        <f t="shared" si="74"/>
        <v>Sociétés non financières</v>
      </c>
      <c r="C243" s="273">
        <f>C233/$I233</f>
        <v>0</v>
      </c>
      <c r="D243" s="273">
        <f>D233/$I233</f>
        <v>0</v>
      </c>
      <c r="E243" s="273">
        <f>E233/$I233</f>
        <v>0</v>
      </c>
      <c r="F243" s="273">
        <f>F233/$I233</f>
        <v>1</v>
      </c>
      <c r="G243" s="273">
        <f>G233/$I233</f>
        <v>0</v>
      </c>
      <c r="H243">
        <f>SUM(C243:G243)</f>
        <v>1</v>
      </c>
      <c r="J243" s="94"/>
      <c r="K243" s="263"/>
      <c r="L243" s="219"/>
      <c r="M243" s="219"/>
      <c r="N243" s="219"/>
      <c r="O243" s="219"/>
      <c r="P243" s="219"/>
      <c r="AT243"/>
    </row>
    <row r="244" spans="1:46" ht="12.75" customHeight="1" x14ac:dyDescent="0.2">
      <c r="A244" t="str">
        <f t="shared" si="74"/>
        <v>HSH</v>
      </c>
      <c r="B244" t="str">
        <f t="shared" si="74"/>
        <v>Ménages</v>
      </c>
      <c r="C244" s="273">
        <f t="shared" ref="C244:G247" si="75">C234/$I234</f>
        <v>0.5</v>
      </c>
      <c r="D244" s="273">
        <f t="shared" si="75"/>
        <v>0</v>
      </c>
      <c r="E244" s="273">
        <f t="shared" si="75"/>
        <v>0.4</v>
      </c>
      <c r="F244" s="273">
        <f t="shared" si="75"/>
        <v>0.1</v>
      </c>
      <c r="G244" s="273">
        <f t="shared" si="75"/>
        <v>0</v>
      </c>
      <c r="H244">
        <f>SUM(C244:G244)</f>
        <v>1</v>
      </c>
      <c r="J244" s="94"/>
      <c r="K244" s="263"/>
      <c r="L244" s="219"/>
      <c r="M244" s="219"/>
      <c r="N244" s="219"/>
      <c r="O244" s="219"/>
      <c r="P244" s="219"/>
      <c r="AT244"/>
    </row>
    <row r="245" spans="1:46" ht="12.75" customHeight="1" x14ac:dyDescent="0.2">
      <c r="A245" t="str">
        <f t="shared" si="74"/>
        <v>GOV</v>
      </c>
      <c r="B245" t="str">
        <f t="shared" si="74"/>
        <v>APU+ISBL</v>
      </c>
      <c r="C245" s="273">
        <f t="shared" si="75"/>
        <v>1</v>
      </c>
      <c r="D245" s="273">
        <f t="shared" si="75"/>
        <v>0</v>
      </c>
      <c r="E245" s="273">
        <f t="shared" si="75"/>
        <v>0</v>
      </c>
      <c r="F245" s="273">
        <f t="shared" si="75"/>
        <v>0</v>
      </c>
      <c r="G245" s="273">
        <f t="shared" si="75"/>
        <v>0</v>
      </c>
      <c r="H245">
        <f>SUM(C245:G245)</f>
        <v>1</v>
      </c>
      <c r="J245" s="94"/>
      <c r="K245" s="263"/>
      <c r="L245" s="219"/>
      <c r="M245" s="219"/>
      <c r="N245" s="219"/>
      <c r="O245" s="219"/>
      <c r="P245" s="219"/>
      <c r="AT245"/>
    </row>
    <row r="246" spans="1:46" ht="12.75" customHeight="1" x14ac:dyDescent="0.2">
      <c r="A246" t="str">
        <f t="shared" si="74"/>
        <v>ROW</v>
      </c>
      <c r="B246" t="str">
        <f t="shared" si="74"/>
        <v>Reste du Monde</v>
      </c>
      <c r="C246" s="273">
        <f t="shared" si="75"/>
        <v>0.14704497643013367</v>
      </c>
      <c r="D246" s="273">
        <f t="shared" si="75"/>
        <v>0</v>
      </c>
      <c r="E246" s="273">
        <f t="shared" si="75"/>
        <v>0.66736882950567178</v>
      </c>
      <c r="F246" s="273">
        <f t="shared" si="75"/>
        <v>0</v>
      </c>
      <c r="G246" s="273">
        <f t="shared" si="75"/>
        <v>0.18558619406419458</v>
      </c>
      <c r="H246">
        <f>SUM(C246:G246)</f>
        <v>1</v>
      </c>
      <c r="J246" s="94"/>
      <c r="K246" s="263"/>
      <c r="L246" s="219"/>
      <c r="M246" s="219"/>
      <c r="N246" s="219"/>
      <c r="O246" s="219"/>
      <c r="P246" s="219"/>
      <c r="AT246"/>
    </row>
    <row r="247" spans="1:46" ht="12.75" customHeight="1" x14ac:dyDescent="0.2">
      <c r="A247" t="str">
        <f t="shared" si="74"/>
        <v>BANK</v>
      </c>
      <c r="B247" t="str">
        <f t="shared" si="74"/>
        <v>Sociétés financières</v>
      </c>
      <c r="C247" s="273">
        <f t="shared" si="75"/>
        <v>0</v>
      </c>
      <c r="D247" s="273">
        <f t="shared" si="75"/>
        <v>0</v>
      </c>
      <c r="E247" s="273">
        <f t="shared" si="75"/>
        <v>0</v>
      </c>
      <c r="F247" s="273">
        <f t="shared" si="75"/>
        <v>0.56675896270429116</v>
      </c>
      <c r="G247" s="273">
        <f t="shared" si="75"/>
        <v>0.43324140816111573</v>
      </c>
      <c r="H247">
        <f>SUM(C247:G247)</f>
        <v>1.0000003708654068</v>
      </c>
      <c r="J247" s="94"/>
      <c r="K247" s="263"/>
      <c r="L247" s="219"/>
      <c r="M247" s="219"/>
      <c r="N247" s="219"/>
      <c r="O247" s="219"/>
      <c r="P247" s="219"/>
      <c r="AT247"/>
    </row>
    <row r="248" spans="1:46" ht="12.75" customHeight="1" x14ac:dyDescent="0.2">
      <c r="B248" s="17"/>
      <c r="C248" s="217"/>
      <c r="D248" s="217"/>
      <c r="E248" s="217"/>
      <c r="F248" s="217"/>
      <c r="G248" s="217"/>
      <c r="J248" s="94"/>
      <c r="K248" s="94"/>
      <c r="L248" s="94"/>
      <c r="M248" s="94"/>
      <c r="N248" s="94"/>
      <c r="AT248"/>
    </row>
    <row r="249" spans="1:46" x14ac:dyDescent="0.2">
      <c r="B249" s="98"/>
      <c r="C249" s="218"/>
      <c r="D249" s="218"/>
      <c r="E249" s="218"/>
      <c r="F249" s="218"/>
      <c r="G249" s="218"/>
      <c r="I249" s="93"/>
      <c r="J249" s="93"/>
      <c r="K249" s="94"/>
      <c r="L249" s="219"/>
    </row>
    <row r="250" spans="1:46" ht="12.75" customHeight="1" x14ac:dyDescent="0.2">
      <c r="A250" s="2" t="str">
        <f>A$191</f>
        <v>AF4</v>
      </c>
      <c r="B250" s="245" t="str">
        <f>B$191</f>
        <v>Crédits</v>
      </c>
      <c r="C250" s="67"/>
      <c r="D250" s="78"/>
      <c r="E250" s="78"/>
      <c r="F250" s="78"/>
      <c r="G250" s="78"/>
      <c r="H250" s="78"/>
      <c r="I250" s="78"/>
      <c r="J250" s="78"/>
      <c r="K250" s="78"/>
      <c r="L250" s="67"/>
      <c r="M250" s="80"/>
      <c r="N250" s="67"/>
      <c r="O250" s="78"/>
      <c r="P250" s="68"/>
      <c r="Q250" s="68"/>
      <c r="R250" s="68"/>
      <c r="S250" s="68"/>
      <c r="T250" s="68"/>
      <c r="U250" s="68"/>
      <c r="V250" s="68"/>
      <c r="W250" s="67"/>
      <c r="X250" s="2"/>
      <c r="Y250" s="31"/>
      <c r="AT250"/>
    </row>
    <row r="251" spans="1:46" ht="12.75" customHeight="1" x14ac:dyDescent="0.2">
      <c r="AT251"/>
    </row>
    <row r="252" spans="1:46" ht="12.75" customHeight="1" x14ac:dyDescent="0.2">
      <c r="B252" s="17" t="s">
        <v>531</v>
      </c>
      <c r="C252" t="str">
        <f>C261</f>
        <v>SNF</v>
      </c>
      <c r="D252" t="str">
        <f>D261</f>
        <v>HSH</v>
      </c>
      <c r="E252" t="str">
        <f>E261</f>
        <v>GOV</v>
      </c>
      <c r="F252" t="str">
        <f>F261</f>
        <v>ROW</v>
      </c>
      <c r="G252" t="str">
        <f>G261</f>
        <v>BANK</v>
      </c>
      <c r="H252" s="17" t="s">
        <v>487</v>
      </c>
      <c r="AT252"/>
    </row>
    <row r="253" spans="1:46" ht="12.75" customHeight="1" x14ac:dyDescent="0.2">
      <c r="A253" t="str">
        <f t="shared" ref="A253:B257" si="76">A262</f>
        <v>SNF</v>
      </c>
      <c r="B253" t="str">
        <f t="shared" si="76"/>
        <v>Sociétés non financières</v>
      </c>
      <c r="C253" s="267">
        <f t="shared" ref="C253:G257" si="77">C262*L262</f>
        <v>10.863193700181066</v>
      </c>
      <c r="D253" s="267">
        <f t="shared" si="77"/>
        <v>3.0834203330530694</v>
      </c>
      <c r="E253" s="267">
        <f t="shared" si="77"/>
        <v>1.1753947706646004</v>
      </c>
      <c r="F253" s="267">
        <f t="shared" si="77"/>
        <v>1.8543928680249981</v>
      </c>
      <c r="G253" s="267">
        <f t="shared" si="77"/>
        <v>1.1419812268968303</v>
      </c>
      <c r="H253" s="268">
        <f>SUM(C253:G253)</f>
        <v>18.118382898820567</v>
      </c>
      <c r="AT253"/>
    </row>
    <row r="254" spans="1:46" ht="12.75" customHeight="1" x14ac:dyDescent="0.2">
      <c r="A254" t="str">
        <f t="shared" si="76"/>
        <v>HSH</v>
      </c>
      <c r="B254" t="str">
        <f t="shared" si="76"/>
        <v>Ménages</v>
      </c>
      <c r="C254" s="267">
        <f t="shared" si="77"/>
        <v>0.37623612565223191</v>
      </c>
      <c r="D254" s="267">
        <f t="shared" si="77"/>
        <v>0.10679125788264873</v>
      </c>
      <c r="E254" s="267">
        <f t="shared" si="77"/>
        <v>4.0708652246472597E-2</v>
      </c>
      <c r="F254" s="267">
        <f t="shared" si="77"/>
        <v>6.4225089541690386E-2</v>
      </c>
      <c r="G254" s="267">
        <f t="shared" si="77"/>
        <v>3.9551406725637638E-2</v>
      </c>
      <c r="H254" s="268">
        <f>SUM(C254:G254)</f>
        <v>0.62751253204868118</v>
      </c>
      <c r="AT254"/>
    </row>
    <row r="255" spans="1:46" ht="12.75" customHeight="1" x14ac:dyDescent="0.2">
      <c r="A255" t="str">
        <f t="shared" si="76"/>
        <v>GOV</v>
      </c>
      <c r="B255" t="str">
        <f t="shared" si="76"/>
        <v>APU+ISBL</v>
      </c>
      <c r="C255" s="267">
        <f t="shared" si="77"/>
        <v>0.77228228411017052</v>
      </c>
      <c r="D255" s="267">
        <f t="shared" si="77"/>
        <v>0.21920541632634943</v>
      </c>
      <c r="E255" s="267">
        <f t="shared" si="77"/>
        <v>8.3560744958904448E-2</v>
      </c>
      <c r="F255" s="267">
        <f t="shared" si="77"/>
        <v>0.13183183502767565</v>
      </c>
      <c r="G255" s="267">
        <f t="shared" si="77"/>
        <v>8.1185321247113473E-2</v>
      </c>
      <c r="H255" s="268">
        <f>SUM(C255:G255)</f>
        <v>1.2880656016702134</v>
      </c>
      <c r="AT255"/>
    </row>
    <row r="256" spans="1:46" ht="12.75" customHeight="1" x14ac:dyDescent="0.2">
      <c r="A256" t="str">
        <f t="shared" si="76"/>
        <v>ROW</v>
      </c>
      <c r="B256" t="str">
        <f t="shared" si="76"/>
        <v>Reste du Monde</v>
      </c>
      <c r="C256" s="267">
        <f t="shared" si="77"/>
        <v>5.8102276894138178</v>
      </c>
      <c r="D256" s="267">
        <f t="shared" si="77"/>
        <v>1.6491811424579412</v>
      </c>
      <c r="E256" s="267">
        <f t="shared" si="77"/>
        <v>0.62866514498345316</v>
      </c>
      <c r="F256" s="267">
        <f t="shared" si="77"/>
        <v>0.99183031125282817</v>
      </c>
      <c r="G256" s="267">
        <f t="shared" si="77"/>
        <v>0.61079376180101941</v>
      </c>
      <c r="H256" s="268">
        <f>SUM(C256:G256)</f>
        <v>9.6906980499090594</v>
      </c>
      <c r="AT256"/>
    </row>
    <row r="257" spans="1:46" ht="12.75" customHeight="1" x14ac:dyDescent="0.2">
      <c r="A257" t="str">
        <f t="shared" si="76"/>
        <v>BANK</v>
      </c>
      <c r="B257" t="str">
        <f t="shared" si="76"/>
        <v>Sociétés financières</v>
      </c>
      <c r="C257" s="267">
        <f t="shared" si="77"/>
        <v>33.608252813475126</v>
      </c>
      <c r="D257" s="267">
        <f t="shared" si="77"/>
        <v>9.539401850279992</v>
      </c>
      <c r="E257" s="267">
        <f t="shared" si="77"/>
        <v>3.6364043299231676</v>
      </c>
      <c r="F257" s="267">
        <f t="shared" si="77"/>
        <v>5.7370701512070594</v>
      </c>
      <c r="G257" s="267">
        <f t="shared" si="77"/>
        <v>3.5330304182232766</v>
      </c>
      <c r="H257" s="268">
        <f>SUM(C257:G257)</f>
        <v>56.05415956310862</v>
      </c>
      <c r="AT257"/>
    </row>
    <row r="258" spans="1:46" ht="12.75" customHeight="1" x14ac:dyDescent="0.2">
      <c r="B258" s="17" t="s">
        <v>486</v>
      </c>
      <c r="C258" s="268">
        <f>SUM(C253:C257)</f>
        <v>51.430192612832414</v>
      </c>
      <c r="D258" s="268">
        <f>SUM(D253:D257)</f>
        <v>14.598000000000001</v>
      </c>
      <c r="E258" s="268">
        <f>SUM(E253:E257)</f>
        <v>5.5647336427765985</v>
      </c>
      <c r="F258" s="268">
        <f>SUM(F253:F257)</f>
        <v>8.7793502550542524</v>
      </c>
      <c r="G258" s="268">
        <f>SUM(G253:G257)</f>
        <v>5.4065421348938774</v>
      </c>
      <c r="H258" s="267"/>
      <c r="AT258"/>
    </row>
    <row r="259" spans="1:46" ht="12.75" customHeight="1" x14ac:dyDescent="0.2">
      <c r="B259" s="219"/>
      <c r="C259" s="93"/>
      <c r="D259" s="93"/>
      <c r="E259" s="93"/>
      <c r="F259" s="93"/>
      <c r="G259" s="93"/>
      <c r="H259" s="209"/>
      <c r="AT259"/>
    </row>
    <row r="260" spans="1:46" ht="12.75" customHeight="1" x14ac:dyDescent="0.2">
      <c r="C260" s="91" t="s">
        <v>525</v>
      </c>
      <c r="L260" s="91" t="s">
        <v>524</v>
      </c>
      <c r="AT260"/>
    </row>
    <row r="261" spans="1:46" ht="12.75" customHeight="1" x14ac:dyDescent="0.2">
      <c r="B261" s="17" t="s">
        <v>532</v>
      </c>
      <c r="C261" s="91" t="s">
        <v>481</v>
      </c>
      <c r="D261" s="91" t="s">
        <v>482</v>
      </c>
      <c r="E261" s="91" t="s">
        <v>483</v>
      </c>
      <c r="F261" t="s">
        <v>484</v>
      </c>
      <c r="G261" t="s">
        <v>485</v>
      </c>
      <c r="H261" s="17" t="s">
        <v>527</v>
      </c>
      <c r="I261" s="219" t="s">
        <v>489</v>
      </c>
      <c r="J261" s="219" t="s">
        <v>489</v>
      </c>
      <c r="L261" s="91" t="s">
        <v>481</v>
      </c>
      <c r="M261" s="91" t="s">
        <v>482</v>
      </c>
      <c r="N261" s="91" t="s">
        <v>483</v>
      </c>
      <c r="O261" t="s">
        <v>484</v>
      </c>
      <c r="P261" t="s">
        <v>485</v>
      </c>
      <c r="Q261" s="17" t="s">
        <v>528</v>
      </c>
      <c r="R261" s="219" t="s">
        <v>489</v>
      </c>
      <c r="S261" s="219" t="s">
        <v>489</v>
      </c>
      <c r="U261" s="260" t="s">
        <v>529</v>
      </c>
      <c r="AT261"/>
    </row>
    <row r="262" spans="1:46" ht="12.75" customHeight="1" x14ac:dyDescent="0.2">
      <c r="A262" t="s">
        <v>481</v>
      </c>
      <c r="B262" t="s">
        <v>8</v>
      </c>
      <c r="C262" s="272">
        <f t="shared" ref="C262:G266" si="78">C$268*$I262/SUM($I$262:$I$266)</f>
        <v>282.97045613270325</v>
      </c>
      <c r="D262" s="272">
        <f t="shared" si="78"/>
        <v>170.64929818867225</v>
      </c>
      <c r="E262" s="272">
        <f t="shared" si="78"/>
        <v>42.198797631091544</v>
      </c>
      <c r="F262" s="272">
        <f t="shared" si="78"/>
        <v>83.499478858830457</v>
      </c>
      <c r="G262" s="272">
        <f t="shared" si="78"/>
        <v>53.49875796659456</v>
      </c>
      <c r="H262" s="268">
        <f t="shared" ref="H262:H267" si="79">SUM(C262:G262)</f>
        <v>632.81678877789204</v>
      </c>
      <c r="I262" s="269">
        <f>N$179</f>
        <v>632.81700000000001</v>
      </c>
      <c r="J262" s="219">
        <f>H262-I262</f>
        <v>-2.1122210796420404E-4</v>
      </c>
      <c r="L262" s="94">
        <f t="shared" ref="L262:P266" si="80">L$216*L$219*$U262</f>
        <v>3.8389851183215425E-2</v>
      </c>
      <c r="M262" s="94">
        <f t="shared" si="80"/>
        <v>1.8068754842718408E-2</v>
      </c>
      <c r="N262" s="94">
        <f t="shared" si="80"/>
        <v>2.7853750264168291E-2</v>
      </c>
      <c r="O262" s="94">
        <f t="shared" si="80"/>
        <v>2.2208436428209966E-2</v>
      </c>
      <c r="P262" s="94">
        <f t="shared" si="80"/>
        <v>2.1345939051704729E-2</v>
      </c>
      <c r="Q262" s="94">
        <f t="array" ref="Q262">MMULT(C262:G262,TRANSPOSE(L262:P262))/H262</f>
        <v>2.8631324611047594E-2</v>
      </c>
      <c r="R262" s="266">
        <f>P$179</f>
        <v>5.2294969366188604E-2</v>
      </c>
      <c r="S262" s="263">
        <f>Q262-R262</f>
        <v>-2.366364475514101E-2</v>
      </c>
      <c r="U262" s="260">
        <f>U233</f>
        <v>1</v>
      </c>
      <c r="AT262"/>
    </row>
    <row r="263" spans="1:46" ht="12.75" customHeight="1" x14ac:dyDescent="0.2">
      <c r="A263" t="s">
        <v>482</v>
      </c>
      <c r="B263" t="s">
        <v>11</v>
      </c>
      <c r="C263" s="272">
        <f t="shared" si="78"/>
        <v>9.8004059420977274</v>
      </c>
      <c r="D263" s="272">
        <f t="shared" si="78"/>
        <v>5.910272114056875</v>
      </c>
      <c r="E263" s="272">
        <f t="shared" si="78"/>
        <v>1.4615142255670019</v>
      </c>
      <c r="F263" s="272">
        <f t="shared" si="78"/>
        <v>2.8919230648812961</v>
      </c>
      <c r="G263" s="272">
        <f t="shared" si="78"/>
        <v>1.8528773379252661</v>
      </c>
      <c r="H263" s="268">
        <f t="shared" si="79"/>
        <v>21.916992684528168</v>
      </c>
      <c r="I263" s="269">
        <f>N$180</f>
        <v>21.917000000000002</v>
      </c>
      <c r="J263" s="219">
        <f t="shared" ref="J263:J268" si="81">H263-I263</f>
        <v>-7.3154718336354563E-6</v>
      </c>
      <c r="L263" s="94">
        <f t="shared" si="80"/>
        <v>3.8389851183215425E-2</v>
      </c>
      <c r="M263" s="94">
        <f t="shared" si="80"/>
        <v>1.8068754842718408E-2</v>
      </c>
      <c r="N263" s="94">
        <f t="shared" si="80"/>
        <v>2.7853750264168291E-2</v>
      </c>
      <c r="O263" s="94">
        <f t="shared" si="80"/>
        <v>2.2208436428209966E-2</v>
      </c>
      <c r="P263" s="94">
        <f t="shared" si="80"/>
        <v>2.1345939051704729E-2</v>
      </c>
      <c r="Q263" s="94">
        <f t="array" ref="Q263">MMULT(C263:G263,TRANSPOSE(L263:P263))/H263</f>
        <v>2.8631324611047584E-2</v>
      </c>
      <c r="R263" s="266">
        <f>P$180</f>
        <v>1.3544640815701807E-2</v>
      </c>
      <c r="S263" s="263">
        <f>Q263-R263</f>
        <v>1.5086683795345777E-2</v>
      </c>
      <c r="U263" s="260">
        <f>U234</f>
        <v>1</v>
      </c>
      <c r="AT263"/>
    </row>
    <row r="264" spans="1:46" ht="12.75" customHeight="1" x14ac:dyDescent="0.2">
      <c r="A264" t="s">
        <v>483</v>
      </c>
      <c r="B264" s="91" t="s">
        <v>480</v>
      </c>
      <c r="C264" s="272">
        <f t="shared" si="78"/>
        <v>20.116834535889605</v>
      </c>
      <c r="D264" s="272">
        <f t="shared" si="78"/>
        <v>12.131738918063178</v>
      </c>
      <c r="E264" s="272">
        <f t="shared" si="78"/>
        <v>2.9999818396590898</v>
      </c>
      <c r="F264" s="272">
        <f t="shared" si="78"/>
        <v>5.9361151089510313</v>
      </c>
      <c r="G264" s="272">
        <f t="shared" si="78"/>
        <v>3.8033145813104836</v>
      </c>
      <c r="H264" s="268">
        <f t="shared" si="79"/>
        <v>44.987984983873389</v>
      </c>
      <c r="I264" s="269">
        <f>N$181</f>
        <v>44.988</v>
      </c>
      <c r="J264" s="219">
        <f t="shared" si="81"/>
        <v>-1.5016126610589708E-5</v>
      </c>
      <c r="L264" s="94">
        <f t="shared" si="80"/>
        <v>3.8389851183215425E-2</v>
      </c>
      <c r="M264" s="94">
        <f t="shared" si="80"/>
        <v>1.8068754842718408E-2</v>
      </c>
      <c r="N264" s="94">
        <f t="shared" si="80"/>
        <v>2.7853750264168291E-2</v>
      </c>
      <c r="O264" s="94">
        <f t="shared" si="80"/>
        <v>2.2208436428209966E-2</v>
      </c>
      <c r="P264" s="94">
        <f t="shared" si="80"/>
        <v>2.1345939051704729E-2</v>
      </c>
      <c r="Q264" s="94">
        <f t="array" ref="Q264">MMULT(C264:G264,TRANSPOSE(L264:P264))/H264</f>
        <v>2.8631324611047587E-2</v>
      </c>
      <c r="R264" s="266">
        <f>P$181</f>
        <v>1.8725009274908281E-2</v>
      </c>
      <c r="S264" s="263">
        <f>Q264-R264</f>
        <v>9.9063153361393062E-3</v>
      </c>
      <c r="U264" s="260">
        <f>U235</f>
        <v>1</v>
      </c>
      <c r="AT264"/>
    </row>
    <row r="265" spans="1:46" ht="12.75" customHeight="1" x14ac:dyDescent="0.2">
      <c r="A265" s="91" t="s">
        <v>484</v>
      </c>
      <c r="B265" t="s">
        <v>13</v>
      </c>
      <c r="C265" s="272">
        <f t="shared" si="78"/>
        <v>151.34801282986297</v>
      </c>
      <c r="D265" s="272">
        <f t="shared" si="78"/>
        <v>91.27253963061824</v>
      </c>
      <c r="E265" s="272">
        <f t="shared" si="78"/>
        <v>22.570215465462205</v>
      </c>
      <c r="F265" s="272">
        <f t="shared" si="78"/>
        <v>44.660069359631692</v>
      </c>
      <c r="G265" s="272">
        <f t="shared" si="78"/>
        <v>28.614049741336643</v>
      </c>
      <c r="H265" s="268">
        <f t="shared" si="79"/>
        <v>338.46488702691175</v>
      </c>
      <c r="I265" s="269">
        <f>N$182</f>
        <v>338.46499999999997</v>
      </c>
      <c r="J265" s="219">
        <f t="shared" si="81"/>
        <v>-1.1297308822122432E-4</v>
      </c>
      <c r="L265" s="94">
        <f t="shared" si="80"/>
        <v>3.8389851183215425E-2</v>
      </c>
      <c r="M265" s="94">
        <f t="shared" si="80"/>
        <v>1.8068754842718408E-2</v>
      </c>
      <c r="N265" s="94">
        <f t="shared" si="80"/>
        <v>2.7853750264168291E-2</v>
      </c>
      <c r="O265" s="94">
        <f t="shared" si="80"/>
        <v>2.2208436428209966E-2</v>
      </c>
      <c r="P265" s="94">
        <f t="shared" si="80"/>
        <v>2.1345939051704729E-2</v>
      </c>
      <c r="Q265" s="94">
        <f t="array" ref="Q265">MMULT(C265:G265,TRANSPOSE(L265:P265))/H265</f>
        <v>2.8631324611047587E-2</v>
      </c>
      <c r="R265" s="266">
        <f>P$182</f>
        <v>2.2912348445627326E-2</v>
      </c>
      <c r="S265" s="263">
        <f>Q265-R265</f>
        <v>5.7189761654202614E-3</v>
      </c>
      <c r="U265" s="260">
        <f>U236</f>
        <v>1</v>
      </c>
      <c r="AT265"/>
    </row>
    <row r="266" spans="1:46" ht="12.75" customHeight="1" x14ac:dyDescent="0.2">
      <c r="A266" s="91" t="s">
        <v>485</v>
      </c>
      <c r="B266" t="s">
        <v>9</v>
      </c>
      <c r="C266" s="272">
        <f>C$268*$I266/SUM($I$262:$I$266)</f>
        <v>875.44629055944654</v>
      </c>
      <c r="D266" s="272">
        <f t="shared" si="78"/>
        <v>527.9501511485895</v>
      </c>
      <c r="E266" s="272">
        <f t="shared" si="78"/>
        <v>130.55349083822017</v>
      </c>
      <c r="F266" s="272">
        <f t="shared" si="78"/>
        <v>258.32841360770556</v>
      </c>
      <c r="G266" s="272">
        <f t="shared" si="78"/>
        <v>165.51300037283306</v>
      </c>
      <c r="H266" s="268">
        <f t="shared" si="79"/>
        <v>1957.7913465267948</v>
      </c>
      <c r="I266" s="269">
        <f>N$183</f>
        <v>1957.7919999999999</v>
      </c>
      <c r="J266" s="219">
        <f t="shared" si="81"/>
        <v>-6.5347320514774765E-4</v>
      </c>
      <c r="L266" s="94">
        <f t="shared" si="80"/>
        <v>3.8389851183215425E-2</v>
      </c>
      <c r="M266" s="94">
        <f t="shared" si="80"/>
        <v>1.8068754842718408E-2</v>
      </c>
      <c r="N266" s="94">
        <f t="shared" si="80"/>
        <v>2.7853750264168291E-2</v>
      </c>
      <c r="O266" s="94">
        <f t="shared" si="80"/>
        <v>2.2208436428209966E-2</v>
      </c>
      <c r="P266" s="94">
        <f t="shared" si="80"/>
        <v>2.1345939051704729E-2</v>
      </c>
      <c r="Q266" s="94">
        <f t="array" ref="Q266">MMULT(C266:G266,TRANSPOSE(L266:P266))/H266</f>
        <v>2.8631324611047591E-2</v>
      </c>
      <c r="R266" s="266">
        <f>P$183</f>
        <v>2.2959286976913979E-2</v>
      </c>
      <c r="S266" s="263">
        <f>Q266-R266</f>
        <v>5.6720376341336115E-3</v>
      </c>
      <c r="U266" s="260">
        <f>U237</f>
        <v>1</v>
      </c>
      <c r="AT266"/>
    </row>
    <row r="267" spans="1:46" ht="12.75" customHeight="1" x14ac:dyDescent="0.2">
      <c r="B267" s="17" t="s">
        <v>526</v>
      </c>
      <c r="C267" s="268">
        <f>SUM(C262:C266)</f>
        <v>1339.682</v>
      </c>
      <c r="D267" s="268">
        <f>SUM(D262:D266)</f>
        <v>807.91399999999999</v>
      </c>
      <c r="E267" s="268">
        <f>SUM(E262:E266)</f>
        <v>199.78400000000002</v>
      </c>
      <c r="F267" s="268">
        <f>SUM(F262:F266)</f>
        <v>395.31600000000003</v>
      </c>
      <c r="G267" s="268">
        <f>SUM(G262:G266)</f>
        <v>253.28200000000001</v>
      </c>
      <c r="H267" s="268">
        <f t="shared" si="79"/>
        <v>2995.9780000000001</v>
      </c>
      <c r="I267" s="269">
        <f>N$184</f>
        <v>2995.9789999999998</v>
      </c>
      <c r="J267" s="219">
        <f t="shared" si="81"/>
        <v>-9.9999999974897946E-4</v>
      </c>
      <c r="K267" s="17" t="s">
        <v>528</v>
      </c>
      <c r="L267" s="94">
        <f t="array" ref="L267">IF(C267=0,0,MMULT(TRANSPOSE(C262:C266),L262:L266)/C267)</f>
        <v>3.8389851183215432E-2</v>
      </c>
      <c r="M267" s="94">
        <f t="array" ref="M267">IF(D267=0,0,MMULT(TRANSPOSE(D262:D266),M262:M266)/D267)</f>
        <v>1.8068754842718408E-2</v>
      </c>
      <c r="N267" s="94">
        <f t="array" ref="N267">IF(E267=0,0,MMULT(TRANSPOSE(E262:E266),N262:N266)/E267)</f>
        <v>2.7853750264168291E-2</v>
      </c>
      <c r="O267" s="94">
        <f t="array" ref="O267">IF(F267=0,0,MMULT(TRANSPOSE(F262:F266),O262:O266)/F267)</f>
        <v>2.2208436428209969E-2</v>
      </c>
      <c r="P267" s="94">
        <f t="array" ref="P267">IF(G267=0,0,MMULT(TRANSPOSE(G262:G266),P262:P266)/G267)</f>
        <v>2.1345939051704729E-2</v>
      </c>
      <c r="Q267" s="94"/>
      <c r="R267" s="96"/>
      <c r="AT267"/>
    </row>
    <row r="268" spans="1:46" ht="12.75" customHeight="1" x14ac:dyDescent="0.2">
      <c r="B268" s="219" t="s">
        <v>489</v>
      </c>
      <c r="C268" s="269">
        <f t="shared" ref="C268:H268" si="82">C$191</f>
        <v>1339.682</v>
      </c>
      <c r="D268" s="269">
        <f t="shared" si="82"/>
        <v>807.91399999999999</v>
      </c>
      <c r="E268" s="269">
        <f t="shared" si="82"/>
        <v>199.78399999999999</v>
      </c>
      <c r="F268" s="269">
        <f t="shared" si="82"/>
        <v>395.31599999999997</v>
      </c>
      <c r="G268" s="269">
        <f t="shared" si="82"/>
        <v>253.28200000000001</v>
      </c>
      <c r="H268" s="269">
        <f t="shared" si="82"/>
        <v>2995.9780000000001</v>
      </c>
      <c r="I268" s="270">
        <f>SUM(H262:H266)</f>
        <v>2995.9780000000001</v>
      </c>
      <c r="J268" s="219">
        <f t="shared" si="81"/>
        <v>0</v>
      </c>
      <c r="K268" s="219" t="s">
        <v>489</v>
      </c>
      <c r="L268" s="262">
        <f>C$193</f>
        <v>3.8389851183215425E-2</v>
      </c>
      <c r="M268" s="262">
        <f>D$193</f>
        <v>1.8068754842718408E-2</v>
      </c>
      <c r="N268" s="262">
        <f>E$193</f>
        <v>2.7853750264168291E-2</v>
      </c>
      <c r="O268" s="262">
        <f>F$193</f>
        <v>2.2208436428209966E-2</v>
      </c>
      <c r="P268" s="262">
        <f>G$193</f>
        <v>2.1345939051704729E-2</v>
      </c>
      <c r="S268" s="91" t="s">
        <v>530</v>
      </c>
      <c r="AT268"/>
    </row>
    <row r="269" spans="1:46" ht="12.75" customHeight="1" x14ac:dyDescent="0.2">
      <c r="B269" s="219" t="s">
        <v>489</v>
      </c>
      <c r="C269" s="264">
        <f t="shared" ref="C269:H269" si="83">C267-C268</f>
        <v>0</v>
      </c>
      <c r="D269" s="264">
        <f t="shared" si="83"/>
        <v>0</v>
      </c>
      <c r="E269" s="264">
        <f t="shared" si="83"/>
        <v>0</v>
      </c>
      <c r="F269" s="264">
        <f t="shared" si="83"/>
        <v>0</v>
      </c>
      <c r="G269" s="264">
        <f t="shared" si="83"/>
        <v>0</v>
      </c>
      <c r="H269" s="264">
        <f t="shared" si="83"/>
        <v>0</v>
      </c>
      <c r="K269" s="219" t="s">
        <v>489</v>
      </c>
      <c r="L269" s="266">
        <f>L267-L268</f>
        <v>0</v>
      </c>
      <c r="M269" s="266">
        <f>M267-M268</f>
        <v>0</v>
      </c>
      <c r="N269" s="266">
        <f>N267-N268</f>
        <v>0</v>
      </c>
      <c r="O269" s="266">
        <f>O267-O268</f>
        <v>0</v>
      </c>
      <c r="P269" s="266">
        <f>P267-P268</f>
        <v>0</v>
      </c>
      <c r="S269" s="260">
        <f>STDEVPA(S262:S266)</f>
        <v>1.3551592825752136E-2</v>
      </c>
      <c r="AT269"/>
    </row>
    <row r="270" spans="1:46" ht="12.75" customHeight="1" x14ac:dyDescent="0.2">
      <c r="B270" s="17"/>
      <c r="C270" s="217"/>
      <c r="D270" s="217"/>
      <c r="E270" s="217"/>
      <c r="F270" s="217"/>
      <c r="G270" s="217"/>
      <c r="J270" s="94"/>
      <c r="K270" s="94"/>
      <c r="L270" s="94"/>
      <c r="M270" s="94"/>
      <c r="N270" s="94"/>
      <c r="AT270"/>
    </row>
    <row r="271" spans="1:46" ht="12.75" customHeight="1" x14ac:dyDescent="0.2">
      <c r="B271" s="17"/>
      <c r="C271" s="217"/>
      <c r="D271" s="217"/>
      <c r="E271" s="217"/>
      <c r="F271" s="217"/>
      <c r="G271" s="217"/>
      <c r="J271" s="94"/>
      <c r="K271" s="261" t="s">
        <v>529</v>
      </c>
      <c r="L271" s="260">
        <v>1</v>
      </c>
      <c r="M271" s="260">
        <v>1</v>
      </c>
      <c r="N271" s="260">
        <v>1</v>
      </c>
      <c r="O271" s="260">
        <v>1</v>
      </c>
      <c r="P271" s="260">
        <v>1</v>
      </c>
      <c r="AT271"/>
    </row>
    <row r="272" spans="1:46" ht="12.75" customHeight="1" x14ac:dyDescent="0.2">
      <c r="B272" s="17"/>
      <c r="C272" s="217"/>
      <c r="D272" s="217"/>
      <c r="E272" s="217"/>
      <c r="F272" s="217"/>
      <c r="G272" s="217"/>
      <c r="J272" s="94"/>
      <c r="K272" s="94"/>
      <c r="L272" s="94"/>
      <c r="M272" s="94"/>
      <c r="N272" s="94"/>
      <c r="AT272"/>
    </row>
    <row r="273" spans="1:46" x14ac:dyDescent="0.2">
      <c r="B273" s="98"/>
      <c r="C273" s="218"/>
      <c r="D273" s="218"/>
      <c r="E273" s="218"/>
      <c r="F273" s="218"/>
      <c r="G273" s="218"/>
      <c r="I273" s="93"/>
      <c r="J273" s="93"/>
      <c r="K273" s="94"/>
      <c r="L273" s="219"/>
    </row>
    <row r="274" spans="1:46" ht="12.75" customHeight="1" x14ac:dyDescent="0.2">
      <c r="B274" s="207"/>
      <c r="AT274"/>
    </row>
    <row r="275" spans="1:46" ht="12.75" customHeight="1" x14ac:dyDescent="0.2">
      <c r="A275" s="2" t="str">
        <f>A$40</f>
        <v>D42</v>
      </c>
      <c r="B275" s="245" t="str">
        <f t="shared" ref="B275:Y275" si="84">B$40</f>
        <v xml:space="preserve">  Revenus distribués des sociétés</v>
      </c>
      <c r="C275" s="67">
        <f t="shared" si="84"/>
        <v>261.678</v>
      </c>
      <c r="D275" s="78">
        <f t="shared" si="84"/>
        <v>220.39599999999999</v>
      </c>
      <c r="E275" s="78">
        <f t="shared" si="84"/>
        <v>41.281999999999996</v>
      </c>
      <c r="F275" s="78">
        <f t="shared" si="84"/>
        <v>0</v>
      </c>
      <c r="G275" s="78">
        <f t="shared" si="84"/>
        <v>0</v>
      </c>
      <c r="H275" s="78">
        <f t="shared" si="84"/>
        <v>0</v>
      </c>
      <c r="I275" s="78">
        <f t="shared" si="84"/>
        <v>0</v>
      </c>
      <c r="J275" s="78">
        <f t="shared" si="84"/>
        <v>74.44</v>
      </c>
      <c r="K275" s="78">
        <f t="shared" si="84"/>
        <v>0</v>
      </c>
      <c r="L275" s="67">
        <f t="shared" si="84"/>
        <v>336.11799999999999</v>
      </c>
      <c r="M275" s="80">
        <f t="shared" si="84"/>
        <v>0</v>
      </c>
      <c r="N275" s="67">
        <f t="shared" si="84"/>
        <v>336.11799999999999</v>
      </c>
      <c r="O275" s="78">
        <f t="shared" si="84"/>
        <v>0</v>
      </c>
      <c r="P275" s="68">
        <f t="shared" si="84"/>
        <v>43.951999999999998</v>
      </c>
      <c r="Q275" s="68">
        <f t="shared" si="84"/>
        <v>0</v>
      </c>
      <c r="R275" s="68">
        <f t="shared" si="84"/>
        <v>0</v>
      </c>
      <c r="S275" s="68">
        <f t="shared" si="84"/>
        <v>42.128999999999998</v>
      </c>
      <c r="T275" s="68">
        <f t="shared" si="84"/>
        <v>8.4060000000000006</v>
      </c>
      <c r="U275" s="68">
        <f t="shared" si="84"/>
        <v>58.430999999999997</v>
      </c>
      <c r="V275" s="68">
        <f t="shared" si="84"/>
        <v>183.2</v>
      </c>
      <c r="W275" s="67">
        <f t="shared" si="84"/>
        <v>292.166</v>
      </c>
      <c r="X275" s="2" t="str">
        <f t="shared" si="84"/>
        <v>D42</v>
      </c>
      <c r="Y275" s="31" t="str">
        <f t="shared" si="84"/>
        <v xml:space="preserve">  Revenus distribués des sociétés</v>
      </c>
      <c r="AT275"/>
    </row>
    <row r="276" spans="1:46" ht="12.75" customHeight="1" x14ac:dyDescent="0.2">
      <c r="AT276"/>
    </row>
    <row r="277" spans="1:46" ht="12.75" customHeight="1" x14ac:dyDescent="0.2">
      <c r="B277" s="2"/>
      <c r="C277" s="91" t="s">
        <v>481</v>
      </c>
      <c r="D277" s="91" t="s">
        <v>482</v>
      </c>
      <c r="E277" s="91" t="s">
        <v>483</v>
      </c>
      <c r="F277" t="s">
        <v>484</v>
      </c>
      <c r="G277" t="s">
        <v>485</v>
      </c>
      <c r="H277" s="17" t="s">
        <v>487</v>
      </c>
      <c r="I277" s="219" t="s">
        <v>489</v>
      </c>
      <c r="J277" s="219" t="s">
        <v>490</v>
      </c>
      <c r="K277" s="17" t="s">
        <v>516</v>
      </c>
      <c r="L277" s="91" t="s">
        <v>517</v>
      </c>
      <c r="N277" s="17" t="s">
        <v>515</v>
      </c>
      <c r="R277" s="91" t="s">
        <v>488</v>
      </c>
      <c r="AT277"/>
    </row>
    <row r="278" spans="1:46" ht="12.75" customHeight="1" x14ac:dyDescent="0.2">
      <c r="A278" t="s">
        <v>481</v>
      </c>
      <c r="B278" t="s">
        <v>8</v>
      </c>
      <c r="C278" s="90">
        <f>I278-SUM(D278:G278)</f>
        <v>108.75999999999999</v>
      </c>
      <c r="D278" s="218">
        <v>0</v>
      </c>
      <c r="E278" s="218">
        <v>0</v>
      </c>
      <c r="F278" s="218">
        <f>F284</f>
        <v>74.44</v>
      </c>
      <c r="G278" s="218">
        <v>0</v>
      </c>
      <c r="H278" s="253">
        <f t="shared" ref="H278:H283" si="85">SUM(C278:G278)</f>
        <v>183.2</v>
      </c>
      <c r="I278" s="92">
        <f>V275</f>
        <v>183.2</v>
      </c>
      <c r="J278" s="93">
        <f t="shared" ref="J278:J283" si="86">H278-I278</f>
        <v>0</v>
      </c>
      <c r="L278" s="254">
        <f>$D161</f>
        <v>2881.6350000000002</v>
      </c>
      <c r="M278" s="258"/>
      <c r="N278" s="257">
        <f t="shared" ref="N278:N283" si="87">H278/L278</f>
        <v>6.3575019043008565E-2</v>
      </c>
      <c r="R278">
        <f t="array" ref="R278:R282">H278:H282-TRANSPOSE(C283:G283)</f>
        <v>-37.195999999999998</v>
      </c>
      <c r="AT278"/>
    </row>
    <row r="279" spans="1:46" ht="12.75" customHeight="1" x14ac:dyDescent="0.2">
      <c r="A279" t="s">
        <v>482</v>
      </c>
      <c r="B279" t="s">
        <v>11</v>
      </c>
      <c r="C279" s="90">
        <f>I279</f>
        <v>42.128999999999998</v>
      </c>
      <c r="D279" s="90">
        <v>0</v>
      </c>
      <c r="E279" s="90">
        <v>0</v>
      </c>
      <c r="F279" s="90">
        <v>0</v>
      </c>
      <c r="G279" s="90">
        <v>0</v>
      </c>
      <c r="H279" s="253">
        <f t="shared" si="85"/>
        <v>42.128999999999998</v>
      </c>
      <c r="I279" s="92">
        <f>S275</f>
        <v>42.128999999999998</v>
      </c>
      <c r="J279" s="93">
        <f t="shared" si="86"/>
        <v>0</v>
      </c>
      <c r="L279" s="254">
        <f>$G161</f>
        <v>1035.21</v>
      </c>
      <c r="M279" s="258"/>
      <c r="N279" s="257">
        <f t="shared" si="87"/>
        <v>4.0696090648274258E-2</v>
      </c>
      <c r="R279">
        <v>42.128999999999998</v>
      </c>
      <c r="AT279"/>
    </row>
    <row r="280" spans="1:46" ht="12.75" customHeight="1" x14ac:dyDescent="0.2">
      <c r="A280" t="s">
        <v>483</v>
      </c>
      <c r="B280" s="91" t="s">
        <v>480</v>
      </c>
      <c r="C280" s="90">
        <f>I280</f>
        <v>8.4060000000000006</v>
      </c>
      <c r="D280" s="90">
        <v>0</v>
      </c>
      <c r="E280" s="90">
        <v>0</v>
      </c>
      <c r="F280" s="90">
        <v>0</v>
      </c>
      <c r="G280" s="90">
        <v>0</v>
      </c>
      <c r="H280" s="253">
        <f t="shared" si="85"/>
        <v>8.4060000000000006</v>
      </c>
      <c r="I280" s="92">
        <f>R275+T275</f>
        <v>8.4060000000000006</v>
      </c>
      <c r="J280" s="93">
        <f t="shared" si="86"/>
        <v>0</v>
      </c>
      <c r="L280" s="254">
        <f>$F161+$H161</f>
        <v>425.30799999999999</v>
      </c>
      <c r="M280" s="258"/>
      <c r="N280" s="257">
        <f t="shared" si="87"/>
        <v>1.9764500079942068E-2</v>
      </c>
      <c r="R280">
        <v>8.4060000000000006</v>
      </c>
      <c r="AT280"/>
    </row>
    <row r="281" spans="1:46" ht="12.75" customHeight="1" x14ac:dyDescent="0.2">
      <c r="A281" s="91" t="s">
        <v>484</v>
      </c>
      <c r="B281" t="s">
        <v>13</v>
      </c>
      <c r="C281" s="90">
        <f>I281</f>
        <v>43.951999999999998</v>
      </c>
      <c r="D281" s="90">
        <v>0</v>
      </c>
      <c r="E281" s="90">
        <v>0</v>
      </c>
      <c r="F281" s="90">
        <v>0</v>
      </c>
      <c r="G281" s="90">
        <v>0</v>
      </c>
      <c r="H281" s="253">
        <f t="shared" si="85"/>
        <v>43.951999999999998</v>
      </c>
      <c r="I281" s="92">
        <f>P275</f>
        <v>43.951999999999998</v>
      </c>
      <c r="J281" s="93">
        <f t="shared" si="86"/>
        <v>0</v>
      </c>
      <c r="L281" s="254">
        <f>$J161</f>
        <v>1362.771</v>
      </c>
      <c r="M281" s="258"/>
      <c r="N281" s="257">
        <f t="shared" si="87"/>
        <v>3.2251933743820495E-2</v>
      </c>
      <c r="R281">
        <v>-30.488</v>
      </c>
      <c r="AT281"/>
    </row>
    <row r="282" spans="1:46" ht="12.75" customHeight="1" x14ac:dyDescent="0.2">
      <c r="A282" s="91" t="s">
        <v>485</v>
      </c>
      <c r="B282" t="s">
        <v>9</v>
      </c>
      <c r="C282" s="90">
        <f>I282-SUM(D282:G282)</f>
        <v>17.149000000000001</v>
      </c>
      <c r="D282" s="90">
        <v>0</v>
      </c>
      <c r="E282" s="90">
        <v>0</v>
      </c>
      <c r="F282" s="90">
        <v>0</v>
      </c>
      <c r="G282" s="90">
        <f>G284</f>
        <v>41.281999999999996</v>
      </c>
      <c r="H282" s="253">
        <f t="shared" si="85"/>
        <v>58.430999999999997</v>
      </c>
      <c r="I282" s="92">
        <f>U275</f>
        <v>58.430999999999997</v>
      </c>
      <c r="J282" s="93">
        <f t="shared" si="86"/>
        <v>0</v>
      </c>
      <c r="L282" s="254">
        <f>$E161</f>
        <v>2398.11</v>
      </c>
      <c r="M282" s="258"/>
      <c r="N282" s="257">
        <f t="shared" si="87"/>
        <v>2.4365437782253523E-2</v>
      </c>
      <c r="R282">
        <v>17.149000000000001</v>
      </c>
      <c r="AT282"/>
    </row>
    <row r="283" spans="1:46" ht="12.75" customHeight="1" x14ac:dyDescent="0.2">
      <c r="B283" s="17" t="s">
        <v>486</v>
      </c>
      <c r="C283" s="253">
        <f>SUM(C278:C282)</f>
        <v>220.39599999999999</v>
      </c>
      <c r="D283" s="253">
        <f>SUM(D278:D282)</f>
        <v>0</v>
      </c>
      <c r="E283" s="253">
        <f>SUM(E278:E282)</f>
        <v>0</v>
      </c>
      <c r="F283" s="253">
        <f>SUM(F278:F282)</f>
        <v>74.44</v>
      </c>
      <c r="G283" s="253">
        <f>SUM(G278:G282)</f>
        <v>41.281999999999996</v>
      </c>
      <c r="H283" s="253">
        <f t="shared" si="85"/>
        <v>336.11799999999999</v>
      </c>
      <c r="I283" s="92">
        <f>N275</f>
        <v>336.11799999999999</v>
      </c>
      <c r="J283" s="93">
        <f t="shared" si="86"/>
        <v>0</v>
      </c>
      <c r="L283" s="252">
        <f>SUM(L278:L282)</f>
        <v>8103.0339999999997</v>
      </c>
      <c r="M283" s="258"/>
      <c r="N283" s="257">
        <f t="shared" si="87"/>
        <v>4.1480512114351241E-2</v>
      </c>
      <c r="R283" s="93">
        <f>SUM(R278:R282)</f>
        <v>0</v>
      </c>
      <c r="AT283"/>
    </row>
    <row r="284" spans="1:46" ht="12.75" customHeight="1" x14ac:dyDescent="0.2">
      <c r="B284" s="219" t="s">
        <v>489</v>
      </c>
      <c r="C284" s="93">
        <f>D275</f>
        <v>220.39599999999999</v>
      </c>
      <c r="D284" s="93">
        <f>G275</f>
        <v>0</v>
      </c>
      <c r="E284" s="93">
        <f>F275+H275</f>
        <v>0</v>
      </c>
      <c r="F284" s="93">
        <f>J275</f>
        <v>74.44</v>
      </c>
      <c r="G284" s="93">
        <f>E275</f>
        <v>41.281999999999996</v>
      </c>
      <c r="H284" s="92">
        <f>L275</f>
        <v>336.11799999999999</v>
      </c>
      <c r="I284" s="219"/>
      <c r="J284" s="219"/>
      <c r="L284" s="255">
        <f>$L161</f>
        <v>8103.0330000000004</v>
      </c>
      <c r="AT284"/>
    </row>
    <row r="285" spans="1:46" ht="12.75" customHeight="1" x14ac:dyDescent="0.2">
      <c r="B285" s="219" t="s">
        <v>490</v>
      </c>
      <c r="C285" s="93">
        <f t="shared" ref="C285:H285" si="88">C283-C284</f>
        <v>0</v>
      </c>
      <c r="D285" s="93">
        <f t="shared" si="88"/>
        <v>0</v>
      </c>
      <c r="E285" s="93">
        <f t="shared" si="88"/>
        <v>0</v>
      </c>
      <c r="F285" s="93">
        <f t="shared" si="88"/>
        <v>0</v>
      </c>
      <c r="G285" s="93">
        <f t="shared" si="88"/>
        <v>0</v>
      </c>
      <c r="H285" s="93">
        <f t="shared" si="88"/>
        <v>0</v>
      </c>
      <c r="I285" s="219"/>
      <c r="J285" s="219"/>
      <c r="L285" s="93">
        <f>L284-L283</f>
        <v>-9.9999999929423211E-4</v>
      </c>
      <c r="AT285"/>
    </row>
    <row r="286" spans="1:46" ht="12.75" customHeight="1" x14ac:dyDescent="0.2">
      <c r="B286" s="219"/>
      <c r="C286" s="93"/>
      <c r="D286" s="93"/>
      <c r="E286" s="93"/>
      <c r="F286" s="93"/>
      <c r="G286" s="93"/>
      <c r="H286" s="209"/>
      <c r="AT286"/>
    </row>
    <row r="287" spans="1:46" ht="12.75" customHeight="1" x14ac:dyDescent="0.2">
      <c r="B287" s="17" t="s">
        <v>514</v>
      </c>
      <c r="C287" s="93"/>
      <c r="D287" s="93"/>
      <c r="E287" s="93"/>
      <c r="F287" s="93"/>
      <c r="G287" s="93"/>
      <c r="H287" s="209"/>
      <c r="AT287"/>
    </row>
    <row r="288" spans="1:46" ht="12.75" customHeight="1" x14ac:dyDescent="0.2">
      <c r="A288" t="str">
        <f>A161</f>
        <v>AF5</v>
      </c>
      <c r="B288" s="57" t="str">
        <f>B161</f>
        <v>Actions et autres participations</v>
      </c>
      <c r="C288" s="218">
        <f>V161</f>
        <v>4310.893</v>
      </c>
      <c r="D288" s="218">
        <f>S161</f>
        <v>0</v>
      </c>
      <c r="E288" s="218">
        <f>T161+R161</f>
        <v>5.1580000000000004</v>
      </c>
      <c r="F288" s="218">
        <f>P161</f>
        <v>1536.9680000000001</v>
      </c>
      <c r="G288" s="218">
        <f>U161</f>
        <v>2250.0140000000001</v>
      </c>
      <c r="H288">
        <f>SUM(C288:G288)</f>
        <v>8103.0330000000004</v>
      </c>
      <c r="I288" s="93">
        <f>N161</f>
        <v>8103.0330000000004</v>
      </c>
      <c r="J288" s="93">
        <f>H288-I288</f>
        <v>0</v>
      </c>
      <c r="AT288"/>
    </row>
    <row r="289" spans="1:46" ht="12.75" customHeight="1" x14ac:dyDescent="0.2">
      <c r="B289" s="219"/>
      <c r="C289" s="93"/>
      <c r="D289" s="93"/>
      <c r="E289" s="93"/>
      <c r="F289" s="93"/>
      <c r="G289" s="93"/>
      <c r="H289" s="209"/>
      <c r="AT289"/>
    </row>
    <row r="290" spans="1:46" ht="12.75" customHeight="1" x14ac:dyDescent="0.2">
      <c r="B290" s="17" t="s">
        <v>515</v>
      </c>
      <c r="C290" s="257">
        <f t="shared" ref="C290:H290" si="89">C283/C288</f>
        <v>5.1125370079934708E-2</v>
      </c>
      <c r="D290" s="257" t="e">
        <f t="shared" si="89"/>
        <v>#DIV/0!</v>
      </c>
      <c r="E290" s="217">
        <f t="shared" si="89"/>
        <v>0</v>
      </c>
      <c r="F290" s="257">
        <f t="shared" si="89"/>
        <v>4.8433018774626406E-2</v>
      </c>
      <c r="G290" s="257">
        <f t="shared" si="89"/>
        <v>1.8347441393697993E-2</v>
      </c>
      <c r="H290" s="257">
        <f t="shared" si="89"/>
        <v>4.1480517233485288E-2</v>
      </c>
      <c r="AT290"/>
    </row>
    <row r="291" spans="1:46" ht="12.75" customHeight="1" x14ac:dyDescent="0.2">
      <c r="B291" s="219"/>
      <c r="C291" s="265"/>
      <c r="D291" s="93"/>
      <c r="E291" s="93"/>
      <c r="F291" s="93"/>
      <c r="G291" s="93"/>
      <c r="H291" s="209"/>
      <c r="AT291"/>
    </row>
    <row r="292" spans="1:46" ht="12.75" customHeight="1" x14ac:dyDescent="0.2">
      <c r="B292" s="219"/>
      <c r="C292" s="93"/>
      <c r="D292" s="93"/>
      <c r="E292" s="93"/>
      <c r="F292" s="93"/>
      <c r="G292" s="93"/>
      <c r="H292" s="209"/>
      <c r="AT292"/>
    </row>
    <row r="293" spans="1:46" ht="12.75" customHeight="1" x14ac:dyDescent="0.2">
      <c r="C293" s="91" t="s">
        <v>525</v>
      </c>
      <c r="L293" s="91" t="s">
        <v>524</v>
      </c>
      <c r="AT293"/>
    </row>
    <row r="294" spans="1:46" ht="12.75" customHeight="1" x14ac:dyDescent="0.2">
      <c r="B294" s="2"/>
      <c r="C294" s="91" t="s">
        <v>481</v>
      </c>
      <c r="D294" s="91" t="s">
        <v>482</v>
      </c>
      <c r="E294" s="91" t="s">
        <v>483</v>
      </c>
      <c r="F294" t="s">
        <v>484</v>
      </c>
      <c r="G294" t="s">
        <v>485</v>
      </c>
      <c r="H294" s="17" t="s">
        <v>527</v>
      </c>
      <c r="I294" s="219" t="s">
        <v>489</v>
      </c>
      <c r="J294" s="219" t="s">
        <v>489</v>
      </c>
      <c r="L294" s="91" t="s">
        <v>481</v>
      </c>
      <c r="M294" s="91" t="s">
        <v>482</v>
      </c>
      <c r="N294" s="91" t="s">
        <v>483</v>
      </c>
      <c r="O294" t="s">
        <v>484</v>
      </c>
      <c r="P294" t="s">
        <v>485</v>
      </c>
      <c r="Q294" s="17" t="s">
        <v>528</v>
      </c>
      <c r="R294" s="219" t="s">
        <v>489</v>
      </c>
      <c r="S294" s="219" t="s">
        <v>489</v>
      </c>
      <c r="U294" s="260" t="s">
        <v>529</v>
      </c>
      <c r="AT294"/>
    </row>
    <row r="295" spans="1:46" ht="12.75" customHeight="1" x14ac:dyDescent="0.2">
      <c r="A295" t="s">
        <v>481</v>
      </c>
      <c r="B295" t="s">
        <v>8</v>
      </c>
      <c r="C295" s="267">
        <f t="shared" ref="C295:G299" si="90">IF(C278=0,0,C278/L295)</f>
        <v>1313.2257871345757</v>
      </c>
      <c r="D295" s="267">
        <f t="shared" si="90"/>
        <v>0</v>
      </c>
      <c r="E295" s="275">
        <f>E301-E296</f>
        <v>1.5474000000000006</v>
      </c>
      <c r="F295" s="267">
        <f t="shared" si="90"/>
        <v>1536.9679993335392</v>
      </c>
      <c r="G295" s="267">
        <f t="shared" si="90"/>
        <v>0</v>
      </c>
      <c r="H295" s="217">
        <f>SUM(C295:G295)</f>
        <v>2851.7411864681148</v>
      </c>
      <c r="I295" s="269">
        <f t="shared" ref="I295:I300" si="91">L278</f>
        <v>2881.6350000000002</v>
      </c>
      <c r="J295" s="219">
        <f>H295-I295</f>
        <v>-29.893813531885371</v>
      </c>
      <c r="L295" s="94">
        <f>L$301*L$304*$U295</f>
        <v>8.2818964617890622E-2</v>
      </c>
      <c r="M295" s="94">
        <f t="shared" ref="M295:P299" si="92">M$301*M$304*$U295</f>
        <v>0</v>
      </c>
      <c r="N295" s="94">
        <f t="shared" si="92"/>
        <v>0</v>
      </c>
      <c r="O295" s="94">
        <f t="shared" si="92"/>
        <v>4.8433018795627954E-2</v>
      </c>
      <c r="P295" s="94">
        <f t="shared" si="92"/>
        <v>1.9951866665929768E-2</v>
      </c>
      <c r="Q295" s="257">
        <f t="array" ref="Q295">MMULT(C295:G295,TRANSPOSE(L295:P295))/H295</f>
        <v>6.4241453912195101E-2</v>
      </c>
      <c r="R295" s="263">
        <f>N278</f>
        <v>6.3575019043008565E-2</v>
      </c>
      <c r="S295" s="280">
        <f>Q295-R295</f>
        <v>6.6643486918653572E-4</v>
      </c>
      <c r="U295" s="260">
        <v>1.4432929173114686</v>
      </c>
      <c r="AT295"/>
    </row>
    <row r="296" spans="1:46" ht="12.75" customHeight="1" x14ac:dyDescent="0.2">
      <c r="A296" t="s">
        <v>482</v>
      </c>
      <c r="B296" t="s">
        <v>11</v>
      </c>
      <c r="C296" s="267">
        <f t="shared" si="90"/>
        <v>690.26116384003728</v>
      </c>
      <c r="D296" s="267">
        <f t="shared" si="90"/>
        <v>0</v>
      </c>
      <c r="E296" s="275">
        <f>E301*0.7</f>
        <v>3.6105999999999998</v>
      </c>
      <c r="F296" s="267">
        <f t="shared" si="90"/>
        <v>0</v>
      </c>
      <c r="G296" s="267">
        <f t="shared" si="90"/>
        <v>0</v>
      </c>
      <c r="H296" s="217">
        <f>SUM(C296:G296)</f>
        <v>693.87176384003726</v>
      </c>
      <c r="I296" s="269">
        <f t="shared" si="91"/>
        <v>1035.21</v>
      </c>
      <c r="J296" s="219">
        <f>H296-I296</f>
        <v>-341.33823615996278</v>
      </c>
      <c r="L296" s="94">
        <f>L$301*L$304*$U296</f>
        <v>6.103342069200212E-2</v>
      </c>
      <c r="M296" s="94">
        <f t="shared" si="92"/>
        <v>0</v>
      </c>
      <c r="N296" s="94">
        <f t="shared" si="92"/>
        <v>0</v>
      </c>
      <c r="O296" s="94">
        <f t="shared" si="92"/>
        <v>3.5692704263760408E-2</v>
      </c>
      <c r="P296" s="94">
        <f t="shared" si="92"/>
        <v>1.4703524457601948E-2</v>
      </c>
      <c r="Q296" s="257">
        <f t="array" ref="Q296">MMULT(C296:G296,TRANSPOSE(L296:P296))/H296</f>
        <v>6.0715829920573436E-2</v>
      </c>
      <c r="R296" s="263">
        <f>N279</f>
        <v>4.0696090648274258E-2</v>
      </c>
      <c r="S296" s="280">
        <f>Q296-R296</f>
        <v>2.0019739272299178E-2</v>
      </c>
      <c r="U296" s="260">
        <v>1.0636344490719316</v>
      </c>
      <c r="AT296"/>
    </row>
    <row r="297" spans="1:46" ht="12.75" customHeight="1" x14ac:dyDescent="0.2">
      <c r="A297" t="s">
        <v>483</v>
      </c>
      <c r="B297" s="91" t="s">
        <v>480</v>
      </c>
      <c r="C297" s="267">
        <f t="shared" si="90"/>
        <v>469.30481066514147</v>
      </c>
      <c r="D297" s="267">
        <f t="shared" si="90"/>
        <v>0</v>
      </c>
      <c r="E297" s="275">
        <v>0</v>
      </c>
      <c r="F297" s="267">
        <f t="shared" si="90"/>
        <v>0</v>
      </c>
      <c r="G297" s="267">
        <f t="shared" si="90"/>
        <v>0</v>
      </c>
      <c r="H297" s="217">
        <f>SUM(C297:G297)</f>
        <v>469.30481066514147</v>
      </c>
      <c r="I297" s="269">
        <f t="shared" si="91"/>
        <v>425.30799999999999</v>
      </c>
      <c r="J297" s="219">
        <f>H297-I297</f>
        <v>43.996810665141481</v>
      </c>
      <c r="L297" s="94">
        <f>L$301*L$304*$U297</f>
        <v>1.7911599900470341E-2</v>
      </c>
      <c r="M297" s="94">
        <f t="shared" si="92"/>
        <v>0</v>
      </c>
      <c r="N297" s="94">
        <f t="shared" si="92"/>
        <v>0</v>
      </c>
      <c r="O297" s="94">
        <f t="shared" si="92"/>
        <v>1.0474809225661907E-2</v>
      </c>
      <c r="P297" s="94">
        <f t="shared" si="92"/>
        <v>4.3150726966522087E-3</v>
      </c>
      <c r="Q297" s="257">
        <f t="array" ref="Q297">MMULT(C297:G297,TRANSPOSE(L297:P297))/H297</f>
        <v>1.7911599900470341E-2</v>
      </c>
      <c r="R297" s="263">
        <f>N280</f>
        <v>1.9764500079942068E-2</v>
      </c>
      <c r="S297" s="280">
        <f>Q297-R297</f>
        <v>-1.8529001794717267E-3</v>
      </c>
      <c r="U297" s="260">
        <v>0.31214692665309107</v>
      </c>
      <c r="AT297"/>
    </row>
    <row r="298" spans="1:46" ht="12.75" customHeight="1" x14ac:dyDescent="0.2">
      <c r="A298" s="91" t="s">
        <v>484</v>
      </c>
      <c r="B298" t="s">
        <v>13</v>
      </c>
      <c r="C298" s="267">
        <f t="shared" si="90"/>
        <v>2193.8976425467595</v>
      </c>
      <c r="D298" s="267">
        <f t="shared" si="90"/>
        <v>0</v>
      </c>
      <c r="E298" s="275">
        <v>0</v>
      </c>
      <c r="F298" s="267">
        <f t="shared" si="90"/>
        <v>0</v>
      </c>
      <c r="G298" s="267">
        <f t="shared" si="90"/>
        <v>0</v>
      </c>
      <c r="H298" s="217">
        <f>SUM(C298:G298)</f>
        <v>2193.8976425467595</v>
      </c>
      <c r="I298" s="269">
        <f t="shared" si="91"/>
        <v>1362.771</v>
      </c>
      <c r="J298" s="219">
        <f>H298-I298</f>
        <v>831.12664254675951</v>
      </c>
      <c r="L298" s="94">
        <f>L$301*L$304*$U298</f>
        <v>2.0033751414664385E-2</v>
      </c>
      <c r="M298" s="94">
        <f t="shared" si="92"/>
        <v>0</v>
      </c>
      <c r="N298" s="94">
        <f t="shared" si="92"/>
        <v>0</v>
      </c>
      <c r="O298" s="94">
        <f t="shared" si="92"/>
        <v>1.1715855943021223E-2</v>
      </c>
      <c r="P298" s="94">
        <f t="shared" si="92"/>
        <v>4.826318934171024E-3</v>
      </c>
      <c r="Q298" s="257">
        <f t="array" ref="Q298">MMULT(C298:G298,TRANSPOSE(L298:P298))/H298</f>
        <v>2.0033751414664385E-2</v>
      </c>
      <c r="R298" s="263">
        <f>N281</f>
        <v>3.2251933743820495E-2</v>
      </c>
      <c r="S298" s="280">
        <f>Q298-R298</f>
        <v>-1.221818232915611E-2</v>
      </c>
      <c r="U298" s="260">
        <v>0.34912983586995444</v>
      </c>
      <c r="AT298"/>
    </row>
    <row r="299" spans="1:46" ht="12.75" customHeight="1" x14ac:dyDescent="0.2">
      <c r="A299" s="91" t="s">
        <v>485</v>
      </c>
      <c r="B299" t="s">
        <v>9</v>
      </c>
      <c r="C299" s="267">
        <f t="shared" si="90"/>
        <v>225.17337035195615</v>
      </c>
      <c r="D299" s="267">
        <f t="shared" si="90"/>
        <v>0</v>
      </c>
      <c r="E299" s="275">
        <v>0</v>
      </c>
      <c r="F299" s="267">
        <f t="shared" si="90"/>
        <v>0</v>
      </c>
      <c r="G299" s="267">
        <f t="shared" si="90"/>
        <v>2250.0140000000001</v>
      </c>
      <c r="H299" s="217">
        <f>SUM(C299:G299)</f>
        <v>2475.1873703519564</v>
      </c>
      <c r="I299" s="269">
        <f t="shared" si="91"/>
        <v>2398.11</v>
      </c>
      <c r="J299" s="219">
        <f>H299-I299</f>
        <v>77.077370351956233</v>
      </c>
      <c r="L299" s="94">
        <f>L$301*L$304*$U299</f>
        <v>7.6159094537668198E-2</v>
      </c>
      <c r="M299" s="94">
        <f t="shared" si="92"/>
        <v>0</v>
      </c>
      <c r="N299" s="94">
        <f t="shared" si="92"/>
        <v>0</v>
      </c>
      <c r="O299" s="94">
        <f t="shared" si="92"/>
        <v>4.453828750720789E-2</v>
      </c>
      <c r="P299" s="94">
        <f t="shared" si="92"/>
        <v>1.8347441393697993E-2</v>
      </c>
      <c r="Q299" s="257">
        <f t="array" ref="Q299">MMULT(C299:G299,TRANSPOSE(L299:P299))/H299</f>
        <v>2.3606697698886316E-2</v>
      </c>
      <c r="R299" s="263">
        <f>N282</f>
        <v>2.4365437782253523E-2</v>
      </c>
      <c r="S299" s="280">
        <f>Q299-R299</f>
        <v>-7.587400833672063E-4</v>
      </c>
      <c r="U299" s="260">
        <v>1.3272308129209101</v>
      </c>
      <c r="AT299"/>
    </row>
    <row r="300" spans="1:46" ht="12.75" customHeight="1" x14ac:dyDescent="0.2">
      <c r="B300" s="17" t="s">
        <v>526</v>
      </c>
      <c r="C300" s="217">
        <f>SUM(C295:C299)</f>
        <v>4891.8627745384701</v>
      </c>
      <c r="D300" s="217">
        <f>SUM(D295:D299)</f>
        <v>0</v>
      </c>
      <c r="E300" s="217">
        <f>SUM(E295:E299)</f>
        <v>5.1580000000000004</v>
      </c>
      <c r="F300" s="217">
        <f>SUM(F295:F299)</f>
        <v>1536.9679993335392</v>
      </c>
      <c r="G300" s="217">
        <f>SUM(G295:G299)</f>
        <v>2250.0140000000001</v>
      </c>
      <c r="I300" s="269">
        <f t="shared" si="91"/>
        <v>8103.0339999999997</v>
      </c>
      <c r="J300" s="260">
        <f>STDEVPA(J295:J299)</f>
        <v>386.92340963801365</v>
      </c>
      <c r="K300" s="17" t="s">
        <v>528</v>
      </c>
      <c r="L300" s="257">
        <f t="array" ref="L300">IF(C300=0,0,MMULT(TRANSPOSE(C295:C299),L295:L299)/C300)</f>
        <v>4.5053594133329621E-2</v>
      </c>
      <c r="M300" s="257">
        <f t="array" ref="M300">IF(D300=0,0,MMULT(TRANSPOSE(D295:D299),M295:M299)/D300)</f>
        <v>0</v>
      </c>
      <c r="N300" s="257">
        <f t="array" ref="N300">IF(E300=0,0,MMULT(TRANSPOSE(E295:E299),N295:N299)/E300)</f>
        <v>0</v>
      </c>
      <c r="O300" s="257">
        <f t="array" ref="O300">IF(F300=0,0,MMULT(TRANSPOSE(F295:F299),O295:O299)/F300)</f>
        <v>4.8433018795627954E-2</v>
      </c>
      <c r="P300" s="257">
        <f t="array" ref="P300">IF(G300=0,0,MMULT(TRANSPOSE(G295:G299),P295:P299)/G300)</f>
        <v>1.8347441393697993E-2</v>
      </c>
      <c r="Q300" s="94"/>
      <c r="R300" s="96"/>
      <c r="AT300"/>
    </row>
    <row r="301" spans="1:46" ht="12.75" customHeight="1" x14ac:dyDescent="0.2">
      <c r="B301" s="219" t="s">
        <v>489</v>
      </c>
      <c r="C301" s="256">
        <f>C288</f>
        <v>4310.893</v>
      </c>
      <c r="D301" s="256">
        <f>D288</f>
        <v>0</v>
      </c>
      <c r="E301" s="256">
        <f>E288</f>
        <v>5.1580000000000004</v>
      </c>
      <c r="F301" s="256">
        <f>F288</f>
        <v>1536.9680000000001</v>
      </c>
      <c r="G301" s="256">
        <f>G288</f>
        <v>2250.0140000000001</v>
      </c>
      <c r="J301" s="219">
        <f>SUM(J295:J299)</f>
        <v>580.96877387200902</v>
      </c>
      <c r="K301" s="219" t="s">
        <v>489</v>
      </c>
      <c r="L301" s="263">
        <f>C290</f>
        <v>5.1125370079934708E-2</v>
      </c>
      <c r="M301" s="263">
        <v>0</v>
      </c>
      <c r="N301" s="263">
        <f>E290</f>
        <v>0</v>
      </c>
      <c r="O301" s="263">
        <f>F290</f>
        <v>4.8433018774626406E-2</v>
      </c>
      <c r="P301" s="263">
        <f>G290</f>
        <v>1.8347441393697993E-2</v>
      </c>
      <c r="AT301"/>
    </row>
    <row r="302" spans="1:46" ht="12.75" customHeight="1" x14ac:dyDescent="0.2">
      <c r="B302" s="219" t="s">
        <v>489</v>
      </c>
      <c r="C302" s="264">
        <f>C300-C288</f>
        <v>580.96977453847012</v>
      </c>
      <c r="D302" s="264">
        <f>D300-D288</f>
        <v>0</v>
      </c>
      <c r="E302" s="264">
        <f>E300-E288</f>
        <v>0</v>
      </c>
      <c r="F302" s="264">
        <f>F300-F288</f>
        <v>-6.6646089180721901E-7</v>
      </c>
      <c r="G302" s="264">
        <f>G300-G288</f>
        <v>0</v>
      </c>
      <c r="K302" s="219" t="s">
        <v>489</v>
      </c>
      <c r="L302" s="279">
        <f>L300-L301</f>
        <v>-6.0717759466050875E-3</v>
      </c>
      <c r="M302" s="279">
        <f>M300-M301</f>
        <v>0</v>
      </c>
      <c r="N302" s="279">
        <f>N300-N301</f>
        <v>0</v>
      </c>
      <c r="O302" s="279">
        <f>O300-O301</f>
        <v>2.1001547723109582E-11</v>
      </c>
      <c r="P302" s="279">
        <f>P300-P301</f>
        <v>0</v>
      </c>
      <c r="AT302"/>
    </row>
    <row r="303" spans="1:46" ht="12.75" customHeight="1" x14ac:dyDescent="0.2">
      <c r="B303" s="17"/>
      <c r="C303" s="217"/>
      <c r="D303" s="217"/>
      <c r="E303" s="217"/>
      <c r="F303" s="217"/>
      <c r="G303" s="217"/>
      <c r="J303" s="94"/>
      <c r="K303" s="94"/>
      <c r="L303" s="94"/>
      <c r="M303" s="94"/>
      <c r="N303" s="94"/>
      <c r="AT303"/>
    </row>
    <row r="304" spans="1:46" ht="12.75" customHeight="1" x14ac:dyDescent="0.2">
      <c r="B304" s="17"/>
      <c r="C304" s="217"/>
      <c r="D304" s="217"/>
      <c r="E304" s="217"/>
      <c r="F304" s="217"/>
      <c r="G304" s="217"/>
      <c r="J304" s="94"/>
      <c r="K304" s="261" t="s">
        <v>529</v>
      </c>
      <c r="L304" s="260">
        <v>1.1223772407450217</v>
      </c>
      <c r="M304" s="260"/>
      <c r="N304" s="260"/>
      <c r="O304" s="260">
        <v>0.6928600483236601</v>
      </c>
      <c r="P304" s="260">
        <v>0.7534484509135565</v>
      </c>
      <c r="AT304"/>
    </row>
    <row r="305" spans="1:46" ht="12.75" customHeight="1" x14ac:dyDescent="0.2">
      <c r="B305" s="17"/>
      <c r="C305" s="217"/>
      <c r="D305" s="217"/>
      <c r="E305" s="217"/>
      <c r="F305" s="217"/>
      <c r="G305" s="217"/>
      <c r="J305" s="94"/>
      <c r="K305" s="94"/>
      <c r="L305" s="94"/>
      <c r="M305" s="94"/>
      <c r="N305" s="94"/>
      <c r="AT305"/>
    </row>
    <row r="306" spans="1:46" ht="12.75" customHeight="1" x14ac:dyDescent="0.2">
      <c r="B306" s="17"/>
      <c r="C306" s="217"/>
      <c r="D306" s="217"/>
      <c r="E306" s="217"/>
      <c r="F306" s="217"/>
      <c r="G306" s="217"/>
      <c r="J306" s="94"/>
      <c r="K306" s="94"/>
      <c r="L306" s="94"/>
      <c r="M306" s="94"/>
      <c r="N306" s="94"/>
      <c r="AT306"/>
    </row>
    <row r="307" spans="1:46" ht="12.75" customHeight="1" x14ac:dyDescent="0.2">
      <c r="B307" s="17"/>
      <c r="C307" s="217"/>
      <c r="D307" s="217"/>
      <c r="E307" s="217"/>
      <c r="F307" s="217"/>
      <c r="G307" s="217"/>
      <c r="J307" s="94"/>
      <c r="K307" s="94"/>
      <c r="L307" s="94"/>
      <c r="M307" s="94"/>
      <c r="N307" s="94"/>
      <c r="AT307"/>
    </row>
    <row r="308" spans="1:46" ht="12.75" customHeight="1" x14ac:dyDescent="0.2">
      <c r="B308" s="17"/>
      <c r="C308" s="217"/>
      <c r="D308" s="217"/>
      <c r="E308" s="217"/>
      <c r="F308" s="217"/>
      <c r="G308" s="217"/>
      <c r="J308" s="94"/>
      <c r="K308" s="94"/>
      <c r="L308" s="94"/>
      <c r="M308" s="94"/>
      <c r="N308" s="94"/>
      <c r="AT308"/>
    </row>
    <row r="309" spans="1:46" ht="12.75" customHeight="1" x14ac:dyDescent="0.2">
      <c r="AT309"/>
    </row>
    <row r="310" spans="1:46" ht="12.75" customHeight="1" x14ac:dyDescent="0.2">
      <c r="B310" s="211" t="s">
        <v>491</v>
      </c>
      <c r="D310" s="252"/>
      <c r="AT310"/>
    </row>
    <row r="311" spans="1:46" ht="12.75" customHeight="1" x14ac:dyDescent="0.2">
      <c r="A311" s="91" t="str">
        <f t="shared" ref="A311:B314" si="93">A158</f>
        <v>AF2</v>
      </c>
      <c r="B311" s="91" t="str">
        <f t="shared" si="93"/>
        <v>Numéraire et dépôts</v>
      </c>
      <c r="C311" s="234">
        <f t="shared" ref="C311:L311" si="94">AW158-C158</f>
        <v>427.54200000000037</v>
      </c>
      <c r="D311" s="235">
        <f t="shared" si="94"/>
        <v>-244.02</v>
      </c>
      <c r="E311" s="234">
        <f t="shared" si="94"/>
        <v>1685.4589999999998</v>
      </c>
      <c r="F311" s="235">
        <f t="shared" si="94"/>
        <v>-2.6529999999999916</v>
      </c>
      <c r="G311" s="235">
        <f t="shared" si="94"/>
        <v>-986.90499999999997</v>
      </c>
      <c r="H311" s="235">
        <f t="shared" si="94"/>
        <v>-24.338999999999999</v>
      </c>
      <c r="I311" s="233">
        <f t="shared" si="94"/>
        <v>0</v>
      </c>
      <c r="J311" s="235">
        <f t="shared" si="94"/>
        <v>-427.54200000000003</v>
      </c>
      <c r="K311" s="220">
        <f t="shared" si="94"/>
        <v>0</v>
      </c>
      <c r="L311" s="220">
        <f t="shared" si="94"/>
        <v>0</v>
      </c>
      <c r="AT311"/>
    </row>
    <row r="312" spans="1:46" ht="12.75" customHeight="1" x14ac:dyDescent="0.2">
      <c r="A312" s="91" t="str">
        <f t="shared" si="93"/>
        <v>AF3</v>
      </c>
      <c r="B312" s="91" t="str">
        <f t="shared" si="93"/>
        <v>Titres autres qu'actions</v>
      </c>
      <c r="C312" s="235">
        <f>AW159-C159</f>
        <v>-91.009999999999764</v>
      </c>
      <c r="D312" s="234">
        <f>AX159-D159</f>
        <v>231.88400000000001</v>
      </c>
      <c r="E312" s="235">
        <f t="shared" ref="E312:L312" si="95">AY159-E159</f>
        <v>-1247.9350000000002</v>
      </c>
      <c r="F312" s="234">
        <f t="shared" si="95"/>
        <v>979.1</v>
      </c>
      <c r="G312" s="235">
        <f t="shared" si="95"/>
        <v>-49.603999999999999</v>
      </c>
      <c r="H312" s="235">
        <f t="shared" si="95"/>
        <v>-4.4539999999999997</v>
      </c>
      <c r="I312" s="233">
        <f t="shared" si="95"/>
        <v>0</v>
      </c>
      <c r="J312" s="234">
        <f t="shared" si="95"/>
        <v>91.009999999999991</v>
      </c>
      <c r="K312" s="220">
        <f t="shared" si="95"/>
        <v>0</v>
      </c>
      <c r="L312" s="220">
        <f t="shared" si="95"/>
        <v>0</v>
      </c>
      <c r="M312" s="80"/>
      <c r="N312" s="67"/>
      <c r="O312" s="78"/>
      <c r="P312" s="78"/>
      <c r="Q312" s="78"/>
      <c r="R312" s="78"/>
      <c r="S312" s="78"/>
      <c r="T312" s="78"/>
      <c r="U312" s="78"/>
      <c r="V312" s="78"/>
      <c r="W312" s="67"/>
      <c r="X312" s="3"/>
      <c r="Y312" s="7"/>
      <c r="AT312"/>
    </row>
    <row r="313" spans="1:46" ht="12.75" customHeight="1" x14ac:dyDescent="0.2">
      <c r="A313" s="91" t="str">
        <f t="shared" si="93"/>
        <v>AF4</v>
      </c>
      <c r="B313" s="91" t="str">
        <f t="shared" si="93"/>
        <v>Crédits</v>
      </c>
      <c r="C313" s="235">
        <f>AW160-C160</f>
        <v>-56.852000000000317</v>
      </c>
      <c r="D313" s="234">
        <f t="shared" ref="D313:L314" si="96">AX160-D160</f>
        <v>706.86500000000001</v>
      </c>
      <c r="E313" s="235">
        <f t="shared" si="96"/>
        <v>-1704.51</v>
      </c>
      <c r="F313" s="234">
        <f t="shared" si="96"/>
        <v>142.965</v>
      </c>
      <c r="G313" s="234">
        <f t="shared" si="96"/>
        <v>785.99699999999996</v>
      </c>
      <c r="H313" s="234">
        <f t="shared" si="96"/>
        <v>11.831</v>
      </c>
      <c r="I313" s="233">
        <f t="shared" si="96"/>
        <v>0</v>
      </c>
      <c r="J313" s="234">
        <f t="shared" si="96"/>
        <v>56.850999999999999</v>
      </c>
      <c r="K313" s="220">
        <f t="shared" si="96"/>
        <v>0</v>
      </c>
      <c r="L313" s="220">
        <f t="shared" si="96"/>
        <v>0</v>
      </c>
      <c r="M313" s="80"/>
      <c r="N313" s="67"/>
      <c r="O313" s="78"/>
      <c r="P313" s="78"/>
      <c r="Q313" s="78"/>
      <c r="R313" s="78"/>
      <c r="S313" s="78"/>
      <c r="T313" s="78"/>
      <c r="U313" s="78"/>
      <c r="V313" s="78"/>
      <c r="W313" s="67"/>
      <c r="X313" s="3"/>
      <c r="Y313" s="7"/>
      <c r="AT313"/>
    </row>
    <row r="314" spans="1:46" ht="12.75" customHeight="1" x14ac:dyDescent="0.2">
      <c r="A314" s="91" t="str">
        <f t="shared" si="93"/>
        <v>AF5</v>
      </c>
      <c r="B314" s="91" t="str">
        <f t="shared" si="93"/>
        <v>Actions et autres participations</v>
      </c>
      <c r="C314" s="235">
        <f>AW161-C161</f>
        <v>-174.19700000000012</v>
      </c>
      <c r="D314" s="234">
        <f t="shared" si="96"/>
        <v>1429.2579999999998</v>
      </c>
      <c r="E314" s="235">
        <f t="shared" si="96"/>
        <v>-148.096</v>
      </c>
      <c r="F314" s="235">
        <f t="shared" si="96"/>
        <v>-397.02699999999999</v>
      </c>
      <c r="G314" s="235">
        <f t="shared" si="96"/>
        <v>-1035.21</v>
      </c>
      <c r="H314" s="235">
        <f t="shared" si="96"/>
        <v>-23.122999999999998</v>
      </c>
      <c r="I314" s="233">
        <f t="shared" si="96"/>
        <v>0</v>
      </c>
      <c r="J314" s="234">
        <f t="shared" si="96"/>
        <v>174.19700000000012</v>
      </c>
      <c r="K314" s="220">
        <f t="shared" si="96"/>
        <v>0</v>
      </c>
      <c r="L314" s="220">
        <f t="shared" si="96"/>
        <v>0</v>
      </c>
      <c r="M314" s="80"/>
      <c r="N314" s="67"/>
      <c r="O314" s="78"/>
      <c r="P314" s="78"/>
      <c r="Q314" s="78"/>
      <c r="R314" s="78"/>
      <c r="S314" s="78"/>
      <c r="T314" s="78"/>
      <c r="U314" s="78"/>
      <c r="V314" s="78"/>
      <c r="W314" s="67"/>
      <c r="X314" s="3"/>
      <c r="Y314" s="7"/>
      <c r="AT314"/>
    </row>
    <row r="315" spans="1:46" ht="12.75" customHeight="1" x14ac:dyDescent="0.2">
      <c r="A315" s="91"/>
      <c r="B315" s="211" t="s">
        <v>498</v>
      </c>
      <c r="C315" s="220"/>
      <c r="D315" s="220"/>
      <c r="E315" s="220"/>
      <c r="F315" s="220"/>
      <c r="G315" s="220"/>
      <c r="H315" s="220"/>
      <c r="I315" s="220"/>
      <c r="J315" s="220"/>
      <c r="K315" s="220"/>
      <c r="L315" s="220"/>
      <c r="M315" s="80"/>
      <c r="N315" s="67"/>
      <c r="O315" s="78"/>
      <c r="P315" s="78"/>
      <c r="Q315" s="78"/>
      <c r="R315" s="78"/>
      <c r="S315" s="78"/>
      <c r="T315" s="78"/>
      <c r="U315" s="78"/>
      <c r="V315" s="78"/>
      <c r="W315" s="67"/>
      <c r="X315" s="3"/>
      <c r="Y315" s="7"/>
      <c r="AT315"/>
    </row>
    <row r="316" spans="1:46" ht="12.75" customHeight="1" x14ac:dyDescent="0.2">
      <c r="A316" s="91" t="str">
        <f>A$39</f>
        <v>D41</v>
      </c>
      <c r="B316" s="91" t="str">
        <f>B$39</f>
        <v xml:space="preserve">  Intérêts</v>
      </c>
      <c r="C316" s="229">
        <f>C$39-AW39</f>
        <v>8.4710000000000036</v>
      </c>
      <c r="D316" s="229">
        <f t="shared" ref="D316:L316" si="97">D$39-AX39</f>
        <v>13.532000000000004</v>
      </c>
      <c r="E316" s="230">
        <f t="shared" si="97"/>
        <v>-37.801999999999992</v>
      </c>
      <c r="F316" s="229">
        <f t="shared" si="97"/>
        <v>33.093999999999994</v>
      </c>
      <c r="G316" s="230">
        <f t="shared" si="97"/>
        <v>0.26200000000000045</v>
      </c>
      <c r="H316" s="230">
        <f t="shared" si="97"/>
        <v>-0.61499999999999999</v>
      </c>
      <c r="I316" s="228">
        <f t="shared" si="97"/>
        <v>0</v>
      </c>
      <c r="J316" s="230">
        <f t="shared" si="97"/>
        <v>-8.4710000000000036</v>
      </c>
      <c r="K316" s="225">
        <f t="shared" si="97"/>
        <v>0</v>
      </c>
      <c r="L316" s="225">
        <f t="shared" si="97"/>
        <v>0</v>
      </c>
      <c r="M316" s="80"/>
      <c r="N316" s="231" t="s">
        <v>499</v>
      </c>
      <c r="O316" s="78"/>
      <c r="P316" s="78"/>
      <c r="Q316" s="78"/>
      <c r="R316" s="78"/>
      <c r="S316" s="78"/>
      <c r="T316" s="78"/>
      <c r="U316" s="78"/>
      <c r="V316" s="78"/>
      <c r="W316" s="67"/>
      <c r="X316" s="3"/>
      <c r="Y316" s="7"/>
      <c r="AT316"/>
    </row>
    <row r="317" spans="1:46" ht="12.75" customHeight="1" x14ac:dyDescent="0.2">
      <c r="A317" s="91" t="str">
        <f>A$40</f>
        <v>D42</v>
      </c>
      <c r="B317" s="91" t="str">
        <f>B$40</f>
        <v xml:space="preserve">  Revenus distribués des sociétés</v>
      </c>
      <c r="C317" s="230">
        <f>C$40-AW40</f>
        <v>-30.488</v>
      </c>
      <c r="D317" s="229">
        <f t="shared" ref="D317:L317" si="98">D$40-AX40</f>
        <v>37.195999999999998</v>
      </c>
      <c r="E317" s="230">
        <f t="shared" si="98"/>
        <v>-17.149000000000001</v>
      </c>
      <c r="F317" s="230">
        <f>F$40-AZ40</f>
        <v>-8.4060000000000006</v>
      </c>
      <c r="G317" s="230">
        <f t="shared" si="98"/>
        <v>-42.128999999999998</v>
      </c>
      <c r="H317" s="228">
        <f t="shared" si="98"/>
        <v>0</v>
      </c>
      <c r="I317" s="228">
        <f t="shared" si="98"/>
        <v>0</v>
      </c>
      <c r="J317" s="229">
        <f t="shared" si="98"/>
        <v>30.488</v>
      </c>
      <c r="K317" s="225">
        <f t="shared" si="98"/>
        <v>0</v>
      </c>
      <c r="L317" s="225">
        <f t="shared" si="98"/>
        <v>0</v>
      </c>
      <c r="M317" s="80"/>
      <c r="N317" s="232" t="s">
        <v>500</v>
      </c>
      <c r="O317" s="78"/>
      <c r="P317" s="78"/>
      <c r="Q317" s="78"/>
      <c r="R317" s="78"/>
      <c r="S317" s="78"/>
      <c r="T317" s="78"/>
      <c r="U317" s="78"/>
      <c r="V317" s="78"/>
      <c r="W317" s="67"/>
      <c r="X317" s="3"/>
      <c r="Y317" s="7"/>
      <c r="AT317"/>
    </row>
    <row r="318" spans="1:46" ht="12.75" customHeight="1" x14ac:dyDescent="0.2">
      <c r="A318" s="91"/>
      <c r="B318" s="91" t="s">
        <v>494</v>
      </c>
      <c r="C318" s="236">
        <f>C316/SUM(C311:C313)</f>
        <v>3.0288186498855816E-2</v>
      </c>
      <c r="D318" s="236">
        <f t="shared" ref="D318:L318" si="99">D316/SUM(D311:D313)</f>
        <v>1.9478098654295419E-2</v>
      </c>
      <c r="E318" s="242">
        <f t="shared" si="99"/>
        <v>2.9836162356963677E-2</v>
      </c>
      <c r="F318" s="236">
        <f t="shared" si="99"/>
        <v>2.9563735246718806E-2</v>
      </c>
      <c r="G318" s="242">
        <f t="shared" si="99"/>
        <v>-1.045858082646741E-3</v>
      </c>
      <c r="H318" s="242">
        <f t="shared" si="99"/>
        <v>3.6257516802263884E-2</v>
      </c>
      <c r="I318" s="239" t="e">
        <f t="shared" si="99"/>
        <v>#DIV/0!</v>
      </c>
      <c r="J318" s="242">
        <f t="shared" si="99"/>
        <v>3.0288078203381717E-2</v>
      </c>
      <c r="K318" s="239" t="e">
        <f t="shared" si="99"/>
        <v>#DIV/0!</v>
      </c>
      <c r="L318" s="239" t="e">
        <f t="shared" si="99"/>
        <v>#DIV/0!</v>
      </c>
      <c r="AT318"/>
    </row>
    <row r="319" spans="1:46" ht="12.75" customHeight="1" x14ac:dyDescent="0.2">
      <c r="B319" s="226" t="s">
        <v>492</v>
      </c>
      <c r="C319" s="238">
        <f>C316/SUM(C312:C313)</f>
        <v>-5.7289905452381266E-2</v>
      </c>
      <c r="D319" s="238">
        <f t="shared" ref="D319:L319" si="100">D316/SUM(D312:D313)</f>
        <v>1.4414928804185148E-2</v>
      </c>
      <c r="E319" s="238">
        <f t="shared" si="100"/>
        <v>1.2803625469737791E-2</v>
      </c>
      <c r="F319" s="238">
        <f t="shared" si="100"/>
        <v>2.9493835027382544E-2</v>
      </c>
      <c r="G319" s="238">
        <f>G316/SUM(G312:G313)</f>
        <v>3.5578828152902118E-4</v>
      </c>
      <c r="H319" s="238">
        <f t="shared" si="100"/>
        <v>-8.3367222448149661E-2</v>
      </c>
      <c r="I319" s="238" t="e">
        <f t="shared" si="100"/>
        <v>#DIV/0!</v>
      </c>
      <c r="J319" s="238">
        <f t="shared" si="100"/>
        <v>-5.7290292910233291E-2</v>
      </c>
      <c r="K319" s="238" t="e">
        <f t="shared" si="100"/>
        <v>#DIV/0!</v>
      </c>
      <c r="L319" s="238" t="e">
        <f t="shared" si="100"/>
        <v>#DIV/0!</v>
      </c>
      <c r="AT319"/>
    </row>
    <row r="320" spans="1:46" ht="12.75" customHeight="1" x14ac:dyDescent="0.2">
      <c r="B320" s="91" t="s">
        <v>493</v>
      </c>
      <c r="C320" s="241">
        <f>C317/C314</f>
        <v>0.17502023571014413</v>
      </c>
      <c r="D320" s="237">
        <f t="shared" ref="D320:L320" si="101">D317/D314</f>
        <v>2.6024692532768755E-2</v>
      </c>
      <c r="E320" s="241">
        <f t="shared" si="101"/>
        <v>0.11579651037165083</v>
      </c>
      <c r="F320" s="241">
        <f t="shared" si="101"/>
        <v>2.1172363592400521E-2</v>
      </c>
      <c r="G320" s="241">
        <f t="shared" si="101"/>
        <v>4.0696090648274258E-2</v>
      </c>
      <c r="H320" s="240">
        <f t="shared" si="101"/>
        <v>0</v>
      </c>
      <c r="I320" s="240" t="e">
        <f t="shared" si="101"/>
        <v>#DIV/0!</v>
      </c>
      <c r="J320" s="237">
        <f t="shared" si="101"/>
        <v>0.17502023571014413</v>
      </c>
      <c r="K320" s="240" t="e">
        <f t="shared" si="101"/>
        <v>#DIV/0!</v>
      </c>
      <c r="L320" s="240" t="e">
        <f t="shared" si="101"/>
        <v>#DIV/0!</v>
      </c>
      <c r="AT320"/>
    </row>
    <row r="321" spans="1:46" ht="12.75" customHeight="1" x14ac:dyDescent="0.2">
      <c r="C321" s="211"/>
      <c r="D321" s="211"/>
      <c r="E321" s="211"/>
      <c r="F321" s="211"/>
      <c r="G321" s="211"/>
      <c r="H321" s="211"/>
      <c r="I321" s="211"/>
      <c r="J321" s="211"/>
      <c r="K321" s="211"/>
      <c r="L321" s="211"/>
      <c r="N321" s="211"/>
      <c r="O321" s="211"/>
      <c r="P321" s="211"/>
      <c r="Q321" s="211"/>
      <c r="R321" s="211"/>
      <c r="S321" s="211"/>
      <c r="T321" s="211"/>
      <c r="U321" s="211"/>
      <c r="V321" s="211"/>
      <c r="W321" s="211"/>
      <c r="AT321"/>
    </row>
    <row r="322" spans="1:46" ht="12.75" customHeight="1" x14ac:dyDescent="0.2">
      <c r="A322" s="246" t="s">
        <v>257</v>
      </c>
      <c r="B322" s="243" t="s">
        <v>494</v>
      </c>
      <c r="C322" s="237">
        <f>AW$39/SUM(C$158:C$160)</f>
        <v>2.4869295839407408E-2</v>
      </c>
      <c r="D322" s="237">
        <f t="shared" ref="D322:L322" si="102">AX$39/SUM(D$158:D$160)</f>
        <v>5.2294969366188604E-2</v>
      </c>
      <c r="E322" s="241">
        <f t="shared" si="102"/>
        <v>2.2959286976913979E-2</v>
      </c>
      <c r="F322" s="237">
        <f t="shared" si="102"/>
        <v>1.7502027378690131E-2</v>
      </c>
      <c r="G322" s="241">
        <f t="shared" si="102"/>
        <v>1.3544640815701807E-2</v>
      </c>
      <c r="H322" s="96">
        <f t="shared" si="102"/>
        <v>2.5733509051813833E-2</v>
      </c>
      <c r="I322" s="96" t="e">
        <f t="shared" si="102"/>
        <v>#DIV/0!</v>
      </c>
      <c r="J322" s="241">
        <f t="shared" si="102"/>
        <v>2.2912348445627326E-2</v>
      </c>
      <c r="K322" s="96" t="e">
        <f t="shared" si="102"/>
        <v>#DIV/0!</v>
      </c>
      <c r="L322" s="96">
        <f t="shared" si="102"/>
        <v>2.4349032306150677E-2</v>
      </c>
      <c r="M322" s="96"/>
      <c r="N322" s="96"/>
      <c r="O322" s="96"/>
      <c r="P322" s="96"/>
      <c r="Q322" s="96"/>
      <c r="R322" s="96"/>
      <c r="S322" s="96"/>
      <c r="T322" s="96"/>
      <c r="U322" s="96"/>
      <c r="V322" s="96"/>
      <c r="W322" s="96"/>
      <c r="AT322"/>
    </row>
    <row r="323" spans="1:46" ht="12.75" customHeight="1" x14ac:dyDescent="0.2">
      <c r="A323" s="245" t="s">
        <v>495</v>
      </c>
      <c r="B323" s="244" t="str">
        <f>B322</f>
        <v>Tx interet (crédit+obligation+depot)</v>
      </c>
      <c r="C323" s="237">
        <f>C$39/SUM(AW$158:AW$160)</f>
        <v>2.5035029072517204E-2</v>
      </c>
      <c r="D323" s="237">
        <f t="shared" ref="D323:L323" si="103">D$39/SUM(AX$158:AX$160)</f>
        <v>3.8389851183215425E-2</v>
      </c>
      <c r="E323" s="241">
        <f t="shared" si="103"/>
        <v>2.1345939051704729E-2</v>
      </c>
      <c r="F323" s="237">
        <f t="shared" si="103"/>
        <v>2.8012299069785546E-2</v>
      </c>
      <c r="G323" s="241">
        <f t="shared" si="103"/>
        <v>1.8068754842718408E-2</v>
      </c>
      <c r="H323" s="96">
        <f t="shared" si="103"/>
        <v>1.0697439353099731E-2</v>
      </c>
      <c r="I323" s="96" t="e">
        <f t="shared" si="103"/>
        <v>#DIV/0!</v>
      </c>
      <c r="J323" s="241">
        <f t="shared" si="103"/>
        <v>2.2208436428209966E-2</v>
      </c>
      <c r="K323" s="96" t="e">
        <f t="shared" si="103"/>
        <v>#DIV/0!</v>
      </c>
      <c r="L323" s="96">
        <f t="shared" si="103"/>
        <v>2.4349032306150677E-2</v>
      </c>
      <c r="M323" s="96"/>
      <c r="N323" s="96"/>
      <c r="O323" s="96"/>
      <c r="P323" s="96"/>
      <c r="Q323" s="96"/>
      <c r="R323" s="96"/>
      <c r="S323" s="96"/>
      <c r="T323" s="96"/>
      <c r="U323" s="96"/>
      <c r="V323" s="96"/>
      <c r="W323" s="96"/>
      <c r="AT323"/>
    </row>
    <row r="324" spans="1:46" ht="12.75" customHeight="1" x14ac:dyDescent="0.2">
      <c r="B324" s="207" t="s">
        <v>496</v>
      </c>
      <c r="C324" s="237">
        <f>C322-C323</f>
        <v>-1.657332331097966E-4</v>
      </c>
      <c r="D324" s="237">
        <f t="shared" ref="D324:L324" si="104">D322-D323</f>
        <v>1.3905118182973179E-2</v>
      </c>
      <c r="E324" s="241">
        <f t="shared" si="104"/>
        <v>1.6133479252092506E-3</v>
      </c>
      <c r="F324" s="237">
        <f t="shared" si="104"/>
        <v>-1.0510271691095415E-2</v>
      </c>
      <c r="G324" s="241">
        <f t="shared" si="104"/>
        <v>-4.5241140270166017E-3</v>
      </c>
      <c r="H324" s="96">
        <f t="shared" si="104"/>
        <v>1.5036069698714101E-2</v>
      </c>
      <c r="I324" s="96" t="e">
        <f t="shared" si="104"/>
        <v>#DIV/0!</v>
      </c>
      <c r="J324" s="241">
        <f t="shared" si="104"/>
        <v>7.039120174173602E-4</v>
      </c>
      <c r="K324" s="96" t="e">
        <f t="shared" si="104"/>
        <v>#DIV/0!</v>
      </c>
      <c r="L324" s="96">
        <f t="shared" si="104"/>
        <v>0</v>
      </c>
      <c r="M324" s="96"/>
      <c r="N324" s="96"/>
      <c r="O324" s="96"/>
      <c r="P324" s="96"/>
      <c r="Q324" s="96"/>
      <c r="R324" s="96"/>
      <c r="S324" s="96"/>
      <c r="T324" s="96"/>
      <c r="U324" s="96"/>
      <c r="V324" s="96"/>
      <c r="W324" s="96"/>
      <c r="AT324"/>
    </row>
    <row r="325" spans="1:46" ht="12.75" customHeight="1" x14ac:dyDescent="0.2">
      <c r="A325" s="247" t="s">
        <v>257</v>
      </c>
      <c r="B325" s="226" t="s">
        <v>492</v>
      </c>
      <c r="C325" s="227">
        <f>AW$39/SUM(C$159:C$160)</f>
        <v>3.990570897647213E-2</v>
      </c>
      <c r="D325" s="227">
        <f t="shared" ref="D325:L325" si="105">AX$39/SUM(D$159:D$160)</f>
        <v>7.0502860094370984E-2</v>
      </c>
      <c r="E325" s="227">
        <f t="shared" si="105"/>
        <v>3.2891022021456801E-2</v>
      </c>
      <c r="F325" s="227">
        <f t="shared" si="105"/>
        <v>3.0916263108944547E-2</v>
      </c>
      <c r="G325" s="227">
        <f t="shared" si="105"/>
        <v>0.20044462465569554</v>
      </c>
      <c r="H325" s="227">
        <f t="shared" si="105"/>
        <v>0.16507230255839822</v>
      </c>
      <c r="I325" s="227" t="e">
        <f t="shared" si="105"/>
        <v>#DIV/0!</v>
      </c>
      <c r="J325" s="227">
        <f t="shared" si="105"/>
        <v>3.978782423555275E-2</v>
      </c>
      <c r="K325" s="227" t="e">
        <f t="shared" si="105"/>
        <v>#DIV/0!</v>
      </c>
      <c r="L325" s="227">
        <f t="shared" si="105"/>
        <v>3.9876157782731722E-2</v>
      </c>
      <c r="M325" s="96"/>
      <c r="N325" s="96"/>
      <c r="O325" s="96"/>
      <c r="P325" s="96"/>
      <c r="Q325" s="96"/>
      <c r="R325" s="96"/>
      <c r="S325" s="96"/>
      <c r="T325" s="96"/>
      <c r="U325" s="96"/>
      <c r="V325" s="96"/>
      <c r="W325" s="96"/>
      <c r="AT325"/>
    </row>
    <row r="326" spans="1:46" ht="12.75" customHeight="1" x14ac:dyDescent="0.2">
      <c r="A326" s="247" t="s">
        <v>495</v>
      </c>
      <c r="B326" s="226" t="str">
        <f>B325</f>
        <v>Tx interet (crédit+obligation)</v>
      </c>
      <c r="C326" s="227">
        <f>C$39/SUM(AW$159:AW$160)</f>
        <v>4.257862018890271E-2</v>
      </c>
      <c r="D326" s="227">
        <f t="shared" ref="D326:L326" si="106">D$39/SUM(AX$159:AX$160)</f>
        <v>3.8389851183215425E-2</v>
      </c>
      <c r="E326" s="227">
        <f t="shared" si="106"/>
        <v>6.7741721282238265E-2</v>
      </c>
      <c r="F326" s="227">
        <f t="shared" si="106"/>
        <v>2.9603293166876161E-2</v>
      </c>
      <c r="G326" s="227">
        <f t="shared" si="106"/>
        <v>1.8068754842718408E-2</v>
      </c>
      <c r="H326" s="227">
        <f t="shared" si="106"/>
        <v>1.0697439353099731E-2</v>
      </c>
      <c r="I326" s="227" t="e">
        <f t="shared" si="106"/>
        <v>#DIV/0!</v>
      </c>
      <c r="J326" s="227">
        <f t="shared" si="106"/>
        <v>3.2598269887008223E-2</v>
      </c>
      <c r="K326" s="227" t="e">
        <f t="shared" si="106"/>
        <v>#DIV/0!</v>
      </c>
      <c r="L326" s="227">
        <f t="shared" si="106"/>
        <v>3.9876157782731722E-2</v>
      </c>
      <c r="M326" s="96"/>
      <c r="N326" s="96"/>
      <c r="O326" s="96"/>
      <c r="P326" s="96"/>
      <c r="Q326" s="96"/>
      <c r="R326" s="96"/>
      <c r="S326" s="96"/>
      <c r="T326" s="96"/>
      <c r="U326" s="96"/>
      <c r="V326" s="96"/>
      <c r="W326" s="96"/>
      <c r="AT326"/>
    </row>
    <row r="327" spans="1:46" ht="12.75" customHeight="1" x14ac:dyDescent="0.2">
      <c r="B327" s="207" t="s">
        <v>496</v>
      </c>
      <c r="C327" s="96">
        <f>C325-C326</f>
        <v>-2.6729112124305801E-3</v>
      </c>
      <c r="D327" s="96">
        <f t="shared" ref="D327:L327" si="107">D325-D326</f>
        <v>3.2113008911155559E-2</v>
      </c>
      <c r="E327" s="96">
        <f t="shared" si="107"/>
        <v>-3.4850699260781465E-2</v>
      </c>
      <c r="F327" s="96">
        <f t="shared" si="107"/>
        <v>1.3129699420683857E-3</v>
      </c>
      <c r="G327" s="96">
        <f t="shared" si="107"/>
        <v>0.18237586981297713</v>
      </c>
      <c r="H327" s="96">
        <f t="shared" si="107"/>
        <v>0.1543748632052985</v>
      </c>
      <c r="I327" s="96" t="e">
        <f t="shared" si="107"/>
        <v>#DIV/0!</v>
      </c>
      <c r="J327" s="96">
        <f t="shared" si="107"/>
        <v>7.1895543485445274E-3</v>
      </c>
      <c r="K327" s="96" t="e">
        <f t="shared" si="107"/>
        <v>#DIV/0!</v>
      </c>
      <c r="L327" s="96">
        <f t="shared" si="107"/>
        <v>0</v>
      </c>
      <c r="M327" s="96"/>
      <c r="N327" s="96"/>
      <c r="O327" s="96"/>
      <c r="P327" s="96"/>
      <c r="Q327" s="96"/>
      <c r="R327" s="96"/>
      <c r="S327" s="96"/>
      <c r="T327" s="96"/>
      <c r="U327" s="96"/>
      <c r="V327" s="96"/>
      <c r="W327" s="96"/>
      <c r="AT327"/>
    </row>
    <row r="328" spans="1:46" ht="12.75" customHeight="1" x14ac:dyDescent="0.2">
      <c r="A328" s="246" t="s">
        <v>257</v>
      </c>
      <c r="B328" s="243" t="s">
        <v>493</v>
      </c>
      <c r="C328" s="241">
        <f>AW40/C161</f>
        <v>4.3346386238398447E-2</v>
      </c>
      <c r="D328" s="237">
        <f t="shared" ref="D328:L328" si="108">AX40/D161</f>
        <v>6.3575019043008565E-2</v>
      </c>
      <c r="E328" s="241">
        <f t="shared" si="108"/>
        <v>2.4365437782253523E-2</v>
      </c>
      <c r="F328" s="241">
        <f t="shared" si="108"/>
        <v>2.1172363592400521E-2</v>
      </c>
      <c r="G328" s="241">
        <f t="shared" si="108"/>
        <v>4.0696090648274258E-2</v>
      </c>
      <c r="H328" s="96">
        <f t="shared" si="108"/>
        <v>0</v>
      </c>
      <c r="I328" s="96" t="e">
        <f t="shared" si="108"/>
        <v>#DIV/0!</v>
      </c>
      <c r="J328" s="237">
        <f t="shared" si="108"/>
        <v>3.2251933743820495E-2</v>
      </c>
      <c r="K328" s="96" t="e">
        <f t="shared" si="108"/>
        <v>#DIV/0!</v>
      </c>
      <c r="L328" s="96">
        <f t="shared" si="108"/>
        <v>4.1480517233485288E-2</v>
      </c>
      <c r="M328" s="96"/>
      <c r="N328" s="96"/>
      <c r="O328" s="96"/>
      <c r="P328" s="96"/>
      <c r="Q328" s="96"/>
      <c r="R328" s="96"/>
      <c r="S328" s="96"/>
      <c r="T328" s="96"/>
      <c r="U328" s="96"/>
      <c r="V328" s="96"/>
      <c r="W328" s="96"/>
      <c r="AT328"/>
    </row>
    <row r="329" spans="1:46" ht="12.75" customHeight="1" x14ac:dyDescent="0.2">
      <c r="A329" s="246" t="s">
        <v>495</v>
      </c>
      <c r="B329" s="243" t="str">
        <f>B328</f>
        <v>"Tx interet" (action)</v>
      </c>
      <c r="C329" s="241">
        <f>C40/AW161</f>
        <v>3.9853093138736827E-2</v>
      </c>
      <c r="D329" s="237">
        <f t="shared" ref="D329:L329" si="109">D40/AX161</f>
        <v>5.1125370079934708E-2</v>
      </c>
      <c r="E329" s="241">
        <f t="shared" si="109"/>
        <v>1.8347441393697993E-2</v>
      </c>
      <c r="F329" s="96" t="e">
        <f t="shared" si="109"/>
        <v>#DIV/0!</v>
      </c>
      <c r="G329" s="96" t="e">
        <f t="shared" si="109"/>
        <v>#DIV/0!</v>
      </c>
      <c r="H329" s="96">
        <f t="shared" si="109"/>
        <v>0</v>
      </c>
      <c r="I329" s="96" t="e">
        <f t="shared" si="109"/>
        <v>#DIV/0!</v>
      </c>
      <c r="J329" s="237">
        <f t="shared" si="109"/>
        <v>4.8433018774626406E-2</v>
      </c>
      <c r="K329" s="96" t="e">
        <f t="shared" si="109"/>
        <v>#DIV/0!</v>
      </c>
      <c r="L329" s="96">
        <f t="shared" si="109"/>
        <v>4.1480517233485288E-2</v>
      </c>
      <c r="M329" s="96"/>
      <c r="N329" s="96"/>
      <c r="O329" s="96"/>
      <c r="P329" s="96"/>
      <c r="Q329" s="96"/>
      <c r="R329" s="96"/>
      <c r="S329" s="96"/>
      <c r="T329" s="96"/>
      <c r="U329" s="96"/>
      <c r="V329" s="96"/>
      <c r="W329" s="96"/>
      <c r="AT329"/>
    </row>
    <row r="330" spans="1:46" ht="12.75" customHeight="1" x14ac:dyDescent="0.2">
      <c r="B330" s="207" t="s">
        <v>496</v>
      </c>
      <c r="C330" s="241">
        <f t="shared" ref="C330:L330" si="110">C328-C329</f>
        <v>3.4932930996616207E-3</v>
      </c>
      <c r="D330" s="237">
        <f t="shared" si="110"/>
        <v>1.2449648963073857E-2</v>
      </c>
      <c r="E330" s="241">
        <f t="shared" si="110"/>
        <v>6.0179963885555292E-3</v>
      </c>
      <c r="F330" s="96" t="e">
        <f t="shared" si="110"/>
        <v>#DIV/0!</v>
      </c>
      <c r="G330" s="96" t="e">
        <f t="shared" si="110"/>
        <v>#DIV/0!</v>
      </c>
      <c r="H330" s="96">
        <f t="shared" si="110"/>
        <v>0</v>
      </c>
      <c r="I330" s="96" t="e">
        <f t="shared" si="110"/>
        <v>#DIV/0!</v>
      </c>
      <c r="J330" s="237">
        <f t="shared" si="110"/>
        <v>-1.6181085030805911E-2</v>
      </c>
      <c r="K330" s="96" t="e">
        <f t="shared" si="110"/>
        <v>#DIV/0!</v>
      </c>
      <c r="L330" s="96">
        <f t="shared" si="110"/>
        <v>0</v>
      </c>
      <c r="M330" s="96"/>
      <c r="N330" s="96"/>
      <c r="O330" s="96"/>
      <c r="P330" s="96"/>
      <c r="Q330" s="96"/>
      <c r="R330" s="96"/>
      <c r="S330" s="96"/>
      <c r="T330" s="96"/>
      <c r="U330" s="96"/>
      <c r="V330" s="96"/>
      <c r="W330" s="96"/>
      <c r="AT330"/>
    </row>
    <row r="331" spans="1:46" ht="12.75" customHeight="1" x14ac:dyDescent="0.2">
      <c r="AT331"/>
    </row>
    <row r="332" spans="1:46" ht="12.75" customHeight="1" x14ac:dyDescent="0.2">
      <c r="AT332"/>
    </row>
    <row r="333" spans="1:46" ht="12.75" customHeight="1" x14ac:dyDescent="0.2">
      <c r="Y333">
        <f>Y151</f>
        <v>0</v>
      </c>
      <c r="AT333"/>
    </row>
    <row r="334" spans="1:46" ht="12.75" customHeight="1" x14ac:dyDescent="0.2">
      <c r="AT334"/>
    </row>
    <row r="335" spans="1:46" ht="12.75" customHeight="1" x14ac:dyDescent="0.2">
      <c r="C335" s="91"/>
      <c r="D335" s="91"/>
      <c r="E335" s="91"/>
      <c r="F335" s="91"/>
      <c r="G335" s="219"/>
      <c r="AT335"/>
    </row>
    <row r="336" spans="1:46" ht="12.75" customHeight="1" x14ac:dyDescent="0.2">
      <c r="B336" s="91"/>
      <c r="G336" s="219"/>
      <c r="AT336"/>
    </row>
    <row r="337" spans="46:46" ht="12.75" customHeight="1" x14ac:dyDescent="0.2">
      <c r="AT337"/>
    </row>
    <row r="338" spans="46:46" ht="12.75" customHeight="1" x14ac:dyDescent="0.2">
      <c r="AT338"/>
    </row>
    <row r="339" spans="46:46" ht="12.75" customHeight="1" x14ac:dyDescent="0.2">
      <c r="AT339"/>
    </row>
    <row r="340" spans="46:46" ht="12.75" customHeight="1" x14ac:dyDescent="0.2">
      <c r="AT340"/>
    </row>
    <row r="341" spans="46:46" ht="12.75" customHeight="1" x14ac:dyDescent="0.2">
      <c r="AT341"/>
    </row>
    <row r="342" spans="46:46" ht="12.75" customHeight="1" x14ac:dyDescent="0.2">
      <c r="AT342"/>
    </row>
    <row r="343" spans="46:46" ht="12.75" customHeight="1" x14ac:dyDescent="0.2">
      <c r="AT343"/>
    </row>
    <row r="344" spans="46:46" ht="12.75" customHeight="1" x14ac:dyDescent="0.2">
      <c r="AT344"/>
    </row>
    <row r="345" spans="46:46" ht="12.75" customHeight="1" x14ac:dyDescent="0.2">
      <c r="AT345"/>
    </row>
    <row r="346" spans="46:46" ht="12.75" customHeight="1" x14ac:dyDescent="0.2">
      <c r="AT346"/>
    </row>
    <row r="347" spans="46:46" ht="12.75" customHeight="1" x14ac:dyDescent="0.2">
      <c r="AT347"/>
    </row>
    <row r="348" spans="46:46" ht="12.75" customHeight="1" x14ac:dyDescent="0.2">
      <c r="AT348"/>
    </row>
    <row r="349" spans="46:46" ht="12.75" customHeight="1" x14ac:dyDescent="0.2">
      <c r="AT349"/>
    </row>
    <row r="350" spans="46:46" ht="12.75" customHeight="1" x14ac:dyDescent="0.2">
      <c r="AT350"/>
    </row>
    <row r="351" spans="46:46" ht="12.75" customHeight="1" x14ac:dyDescent="0.2">
      <c r="AT351"/>
    </row>
    <row r="352" spans="46:46" ht="12.75" customHeight="1" x14ac:dyDescent="0.2">
      <c r="AT352"/>
    </row>
    <row r="353" spans="46:46" ht="12.75" customHeight="1" x14ac:dyDescent="0.2">
      <c r="AT353"/>
    </row>
    <row r="354" spans="46:46" ht="12.75" customHeight="1" x14ac:dyDescent="0.2">
      <c r="AT354"/>
    </row>
    <row r="355" spans="46:46" ht="12.75" customHeight="1" x14ac:dyDescent="0.2">
      <c r="AT355"/>
    </row>
    <row r="356" spans="46:46" ht="12.75" customHeight="1" x14ac:dyDescent="0.2">
      <c r="AT356"/>
    </row>
  </sheetData>
  <phoneticPr fontId="0" type="noConversion"/>
  <pageMargins left="0" right="0" top="0.19685039370078741" bottom="0" header="0.19685039370078741" footer="0.19685039370078741"/>
  <pageSetup paperSize="8" scale="5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10" r:id="rId4" name="Button 74">
              <controlPr defaultSize="0" print="0" autoFill="0" autoPict="0" macro="[0]!Feuil6.Macro2">
                <anchor moveWithCells="1">
                  <from>
                    <xdr:col>8</xdr:col>
                    <xdr:colOff>409575</xdr:colOff>
                    <xdr:row>0</xdr:row>
                    <xdr:rowOff>66675</xdr:rowOff>
                  </from>
                  <to>
                    <xdr:col>9</xdr:col>
                    <xdr:colOff>381000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5" name="Button 75">
              <controlPr defaultSize="0" print="0" autoFill="0" autoPict="0" macro="[0]!Feuil6.Macro3">
                <anchor moveWithCells="1">
                  <from>
                    <xdr:col>9</xdr:col>
                    <xdr:colOff>638175</xdr:colOff>
                    <xdr:row>0</xdr:row>
                    <xdr:rowOff>66675</xdr:rowOff>
                  </from>
                  <to>
                    <xdr:col>11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6" name="Button 616">
              <controlPr defaultSize="0" print="0" autoFill="0" autoPict="0" macro="[0]!Feuil6.Macro2">
                <anchor moveWithCells="1">
                  <from>
                    <xdr:col>8</xdr:col>
                    <xdr:colOff>409575</xdr:colOff>
                    <xdr:row>0</xdr:row>
                    <xdr:rowOff>66675</xdr:rowOff>
                  </from>
                  <to>
                    <xdr:col>9</xdr:col>
                    <xdr:colOff>381000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7" name="Button 617">
              <controlPr defaultSize="0" print="0" autoFill="0" autoPict="0" macro="[0]!Feuil6.Macro3">
                <anchor moveWithCells="1">
                  <from>
                    <xdr:col>9</xdr:col>
                    <xdr:colOff>638175</xdr:colOff>
                    <xdr:row>0</xdr:row>
                    <xdr:rowOff>66675</xdr:rowOff>
                  </from>
                  <to>
                    <xdr:col>11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1" r:id="rId8" name="Button 7647">
              <controlPr defaultSize="0" print="0" autoFill="0" autoPict="0" macro="[0]!CalcRendement_Action">
                <anchor moveWithCells="1" sizeWithCells="1">
                  <from>
                    <xdr:col>21</xdr:col>
                    <xdr:colOff>581025</xdr:colOff>
                    <xdr:row>293</xdr:row>
                    <xdr:rowOff>0</xdr:rowOff>
                  </from>
                  <to>
                    <xdr:col>24</xdr:col>
                    <xdr:colOff>1362075</xdr:colOff>
                    <xdr:row>300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4</vt:i4>
      </vt:variant>
    </vt:vector>
  </HeadingPairs>
  <TitlesOfParts>
    <vt:vector size="10" baseType="lpstr">
      <vt:lpstr>Organisation du TEE</vt:lpstr>
      <vt:lpstr>EA_2006</vt:lpstr>
      <vt:lpstr>RP_2006</vt:lpstr>
      <vt:lpstr>TES17</vt:lpstr>
      <vt:lpstr>CpteMenage_t_7401</vt:lpstr>
      <vt:lpstr>TEE_2019_COMPLET</vt:lpstr>
      <vt:lpstr>EA_2006!Zone_d_impression</vt:lpstr>
      <vt:lpstr>RP_2006!Zone_d_impression</vt:lpstr>
      <vt:lpstr>TEE_2019_COMPLET!Zone_d_impression</vt:lpstr>
      <vt:lpstr>'TES17'!Zone_d_impression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INSEE</dc:creator>
  <cp:lastModifiedBy>CALLONNEC Gaël</cp:lastModifiedBy>
  <cp:lastPrinted>2009-06-03T10:03:59Z</cp:lastPrinted>
  <dcterms:created xsi:type="dcterms:W3CDTF">2000-04-13T10:36:41Z</dcterms:created>
  <dcterms:modified xsi:type="dcterms:W3CDTF">2024-04-12T13:57:54Z</dcterms:modified>
</cp:coreProperties>
</file>